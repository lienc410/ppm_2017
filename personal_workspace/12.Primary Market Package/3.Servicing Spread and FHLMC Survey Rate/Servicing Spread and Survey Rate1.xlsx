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60" yWindow="630" windowWidth="23475" windowHeight="16605" activeTab="1"/>
  </bookViews>
  <sheets>
    <sheet name="Report" sheetId="2" r:id="rId1"/>
    <sheet name="Time Series Query" sheetId="3" r:id="rId2"/>
    <sheet name="WA Current Coupon" sheetId="1" r:id="rId3"/>
  </sheets>
  <externalReferences>
    <externalReference r:id="rId4"/>
  </externalReferences>
  <definedNames>
    <definedName name="CurrentCloseDate" localSheetId="1">[1]Report!$U$2</definedName>
    <definedName name="CurrentCloseDate">Report!$U$2</definedName>
    <definedName name="DatabaseEnv">Report!$U$1</definedName>
    <definedName name="PDFReportName">Report!$U$3</definedName>
    <definedName name="_xlnm.Print_Area" localSheetId="0">Report!$A$7:$AA$86</definedName>
    <definedName name="Query_from_Agency" localSheetId="1" hidden="1">'Time Series Query'!$A$4:$D$61</definedName>
    <definedName name="Query_from_Agency_1" localSheetId="1" hidden="1">'Time Series Query'!#REF!</definedName>
    <definedName name="Query_from_Agency_2" localSheetId="1" hidden="1">'Time Series Query'!#REF!</definedName>
    <definedName name="Query_from_Agency_3" localSheetId="1" hidden="1">'Time Series Query'!#REF!</definedName>
    <definedName name="Query_from_Agency_4" localSheetId="1" hidden="1">'Time Series Query'!#REF!</definedName>
    <definedName name="Query_from_Agency_5" localSheetId="1" hidden="1">'Time Series Query'!#REF!</definedName>
    <definedName name="Query_from_Agency_6" localSheetId="1" hidden="1">'Time Series Query'!$F$4:$H$24673</definedName>
    <definedName name="SaveRatesToDB">Report!$W$1</definedName>
  </definedNames>
  <calcPr calcId="145621"/>
</workbook>
</file>

<file path=xl/calcChain.xml><?xml version="1.0" encoding="utf-8"?>
<calcChain xmlns="http://schemas.openxmlformats.org/spreadsheetml/2006/main">
  <c r="L48" i="3" l="1"/>
  <c r="M48" i="3" s="1"/>
  <c r="J48" i="3"/>
  <c r="K48" i="3" s="1"/>
  <c r="L47" i="3"/>
  <c r="M47" i="3" s="1"/>
  <c r="Q47" i="3" s="1"/>
  <c r="J47" i="3"/>
  <c r="K47" i="3" s="1"/>
  <c r="M46" i="3"/>
  <c r="O46" i="3" s="1"/>
  <c r="L46" i="3"/>
  <c r="J46" i="3"/>
  <c r="K46" i="3" s="1"/>
  <c r="L45" i="3"/>
  <c r="M45" i="3" s="1"/>
  <c r="Q45" i="3" s="1"/>
  <c r="J45" i="3"/>
  <c r="K45" i="3" s="1"/>
  <c r="L44" i="3"/>
  <c r="M44" i="3" s="1"/>
  <c r="O44" i="3" s="1"/>
  <c r="J44" i="3"/>
  <c r="K44" i="3" s="1"/>
  <c r="L43" i="3"/>
  <c r="M43" i="3" s="1"/>
  <c r="J43" i="3"/>
  <c r="K43" i="3" s="1"/>
  <c r="L42" i="3"/>
  <c r="M42" i="3" s="1"/>
  <c r="J42" i="3"/>
  <c r="K42" i="3" s="1"/>
  <c r="L41" i="3"/>
  <c r="M41" i="3" s="1"/>
  <c r="J41" i="3"/>
  <c r="K41" i="3" s="1"/>
  <c r="L40" i="3"/>
  <c r="M40" i="3" s="1"/>
  <c r="J40" i="3"/>
  <c r="K40" i="3" s="1"/>
  <c r="L39" i="3"/>
  <c r="M39" i="3" s="1"/>
  <c r="Q39" i="3" s="1"/>
  <c r="J39" i="3"/>
  <c r="K39" i="3" s="1"/>
  <c r="L38" i="3"/>
  <c r="M38" i="3" s="1"/>
  <c r="O38" i="3" s="1"/>
  <c r="J38" i="3"/>
  <c r="K38" i="3" s="1"/>
  <c r="L37" i="3"/>
  <c r="M37" i="3" s="1"/>
  <c r="Q37" i="3" s="1"/>
  <c r="J37" i="3"/>
  <c r="K37" i="3" s="1"/>
  <c r="P37" i="3" s="1"/>
  <c r="L36" i="3"/>
  <c r="M36" i="3" s="1"/>
  <c r="Q36" i="3" s="1"/>
  <c r="K36" i="3"/>
  <c r="J36" i="3"/>
  <c r="L35" i="3"/>
  <c r="M35" i="3" s="1"/>
  <c r="J35" i="3"/>
  <c r="K35" i="3" s="1"/>
  <c r="L34" i="3"/>
  <c r="M34" i="3" s="1"/>
  <c r="J34" i="3"/>
  <c r="K34" i="3" s="1"/>
  <c r="L33" i="3"/>
  <c r="M33" i="3" s="1"/>
  <c r="J33" i="3"/>
  <c r="K33" i="3" s="1"/>
  <c r="L32" i="3"/>
  <c r="M32" i="3" s="1"/>
  <c r="P32" i="3" s="1"/>
  <c r="J32" i="3"/>
  <c r="K32" i="3" s="1"/>
  <c r="L31" i="3"/>
  <c r="M31" i="3" s="1"/>
  <c r="P31" i="3" s="1"/>
  <c r="J31" i="3"/>
  <c r="K31" i="3" s="1"/>
  <c r="M30" i="3"/>
  <c r="O30" i="3" s="1"/>
  <c r="L30" i="3"/>
  <c r="J30" i="3"/>
  <c r="K30" i="3" s="1"/>
  <c r="L29" i="3"/>
  <c r="M29" i="3" s="1"/>
  <c r="Q29" i="3" s="1"/>
  <c r="J29" i="3"/>
  <c r="K29" i="3" s="1"/>
  <c r="M28" i="3"/>
  <c r="Q28" i="3" s="1"/>
  <c r="L28" i="3"/>
  <c r="K28" i="3"/>
  <c r="J28" i="3"/>
  <c r="L27" i="3"/>
  <c r="M27" i="3" s="1"/>
  <c r="J27" i="3"/>
  <c r="K27" i="3" s="1"/>
  <c r="L26" i="3"/>
  <c r="M26" i="3" s="1"/>
  <c r="J26" i="3"/>
  <c r="K26" i="3" s="1"/>
  <c r="L25" i="3"/>
  <c r="M25" i="3" s="1"/>
  <c r="J25" i="3"/>
  <c r="K25" i="3" s="1"/>
  <c r="L24" i="3"/>
  <c r="M24" i="3" s="1"/>
  <c r="P24" i="3" s="1"/>
  <c r="J24" i="3"/>
  <c r="K24" i="3" s="1"/>
  <c r="L23" i="3"/>
  <c r="M23" i="3" s="1"/>
  <c r="P23" i="3" s="1"/>
  <c r="J23" i="3"/>
  <c r="K23" i="3" s="1"/>
  <c r="M22" i="3"/>
  <c r="O22" i="3" s="1"/>
  <c r="L22" i="3"/>
  <c r="J22" i="3"/>
  <c r="K22" i="3" s="1"/>
  <c r="L21" i="3"/>
  <c r="M21" i="3" s="1"/>
  <c r="O21" i="3" s="1"/>
  <c r="J21" i="3"/>
  <c r="K21" i="3" s="1"/>
  <c r="M20" i="3"/>
  <c r="Q20" i="3" s="1"/>
  <c r="L20" i="3"/>
  <c r="K20" i="3"/>
  <c r="J20" i="3"/>
  <c r="L19" i="3"/>
  <c r="M19" i="3" s="1"/>
  <c r="J19" i="3"/>
  <c r="K19" i="3" s="1"/>
  <c r="L18" i="3"/>
  <c r="M18" i="3" s="1"/>
  <c r="J18" i="3"/>
  <c r="K18" i="3" s="1"/>
  <c r="L17" i="3"/>
  <c r="M17" i="3" s="1"/>
  <c r="Q17" i="3" s="1"/>
  <c r="J17" i="3"/>
  <c r="K17" i="3" s="1"/>
  <c r="L16" i="3"/>
  <c r="M16" i="3" s="1"/>
  <c r="J16" i="3"/>
  <c r="K16" i="3" s="1"/>
  <c r="L15" i="3"/>
  <c r="M15" i="3" s="1"/>
  <c r="P15" i="3" s="1"/>
  <c r="J15" i="3"/>
  <c r="K15" i="3" s="1"/>
  <c r="M14" i="3"/>
  <c r="O14" i="3" s="1"/>
  <c r="L14" i="3"/>
  <c r="J14" i="3"/>
  <c r="K14" i="3" s="1"/>
  <c r="L13" i="3"/>
  <c r="M13" i="3" s="1"/>
  <c r="O13" i="3" s="1"/>
  <c r="J13" i="3"/>
  <c r="K13" i="3" s="1"/>
  <c r="L12" i="3"/>
  <c r="M12" i="3" s="1"/>
  <c r="Q12" i="3" s="1"/>
  <c r="J12" i="3"/>
  <c r="K12" i="3" s="1"/>
  <c r="L11" i="3"/>
  <c r="M11" i="3" s="1"/>
  <c r="J11" i="3"/>
  <c r="K11" i="3" s="1"/>
  <c r="L10" i="3"/>
  <c r="M10" i="3" s="1"/>
  <c r="J10" i="3"/>
  <c r="K10" i="3" s="1"/>
  <c r="L9" i="3"/>
  <c r="M9" i="3" s="1"/>
  <c r="J9" i="3"/>
  <c r="K9" i="3" s="1"/>
  <c r="L8" i="3"/>
  <c r="M8" i="3" s="1"/>
  <c r="P8" i="3" s="1"/>
  <c r="J8" i="3"/>
  <c r="K8" i="3" s="1"/>
  <c r="L7" i="3"/>
  <c r="M7" i="3" s="1"/>
  <c r="P7" i="3" s="1"/>
  <c r="J7" i="3"/>
  <c r="K7" i="3" s="1"/>
  <c r="M6" i="3"/>
  <c r="O6" i="3" s="1"/>
  <c r="L6" i="3"/>
  <c r="J6" i="3"/>
  <c r="K6" i="3" s="1"/>
  <c r="L5" i="3"/>
  <c r="M5" i="3" s="1"/>
  <c r="O5" i="3" s="1"/>
  <c r="J5" i="3"/>
  <c r="K5" i="3" s="1"/>
  <c r="R81" i="2"/>
  <c r="K79" i="2"/>
  <c r="C79" i="2"/>
  <c r="R78" i="2"/>
  <c r="R77" i="2"/>
  <c r="R76" i="2"/>
  <c r="R75" i="2"/>
  <c r="Q75" i="2"/>
  <c r="Q79" i="2" s="1"/>
  <c r="P75" i="2"/>
  <c r="P79" i="2" s="1"/>
  <c r="O75" i="2"/>
  <c r="O79" i="2" s="1"/>
  <c r="N75" i="2"/>
  <c r="N79" i="2" s="1"/>
  <c r="M75" i="2"/>
  <c r="M79" i="2" s="1"/>
  <c r="L75" i="2"/>
  <c r="L79" i="2" s="1"/>
  <c r="K75" i="2"/>
  <c r="J75" i="2"/>
  <c r="J79" i="2" s="1"/>
  <c r="I75" i="2"/>
  <c r="I79" i="2" s="1"/>
  <c r="H75" i="2"/>
  <c r="H79" i="2" s="1"/>
  <c r="G75" i="2"/>
  <c r="G79" i="2" s="1"/>
  <c r="F75" i="2"/>
  <c r="F79" i="2" s="1"/>
  <c r="E75" i="2"/>
  <c r="E79" i="2" s="1"/>
  <c r="D75" i="2"/>
  <c r="D79" i="2" s="1"/>
  <c r="C75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R73" i="2"/>
  <c r="R71" i="2"/>
  <c r="Q66" i="2"/>
  <c r="N66" i="2"/>
  <c r="R65" i="2"/>
  <c r="R64" i="2"/>
  <c r="R63" i="2"/>
  <c r="R62" i="2"/>
  <c r="Q62" i="2"/>
  <c r="P62" i="2"/>
  <c r="P66" i="2" s="1"/>
  <c r="O62" i="2"/>
  <c r="O66" i="2" s="1"/>
  <c r="N62" i="2"/>
  <c r="M62" i="2"/>
  <c r="M66" i="2" s="1"/>
  <c r="L62" i="2"/>
  <c r="L66" i="2" s="1"/>
  <c r="K62" i="2"/>
  <c r="K66" i="2" s="1"/>
  <c r="J62" i="2"/>
  <c r="J66" i="2" s="1"/>
  <c r="I62" i="2"/>
  <c r="I66" i="2" s="1"/>
  <c r="H62" i="2"/>
  <c r="H66" i="2" s="1"/>
  <c r="G62" i="2"/>
  <c r="G66" i="2" s="1"/>
  <c r="F62" i="2"/>
  <c r="F66" i="2" s="1"/>
  <c r="E62" i="2"/>
  <c r="E66" i="2" s="1"/>
  <c r="D62" i="2"/>
  <c r="D66" i="2" s="1"/>
  <c r="C62" i="2"/>
  <c r="C66" i="2" s="1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R60" i="2"/>
  <c r="R58" i="2"/>
  <c r="R54" i="2"/>
  <c r="M53" i="2"/>
  <c r="K53" i="2"/>
  <c r="E53" i="2"/>
  <c r="C53" i="2"/>
  <c r="R52" i="2"/>
  <c r="R51" i="2"/>
  <c r="R50" i="2"/>
  <c r="R49" i="2"/>
  <c r="Q49" i="2"/>
  <c r="Q53" i="2" s="1"/>
  <c r="P49" i="2"/>
  <c r="P53" i="2" s="1"/>
  <c r="O49" i="2"/>
  <c r="O53" i="2" s="1"/>
  <c r="N49" i="2"/>
  <c r="N53" i="2" s="1"/>
  <c r="M49" i="2"/>
  <c r="L49" i="2"/>
  <c r="L53" i="2" s="1"/>
  <c r="K49" i="2"/>
  <c r="J49" i="2"/>
  <c r="J53" i="2" s="1"/>
  <c r="I49" i="2"/>
  <c r="I53" i="2" s="1"/>
  <c r="H49" i="2"/>
  <c r="H53" i="2" s="1"/>
  <c r="G49" i="2"/>
  <c r="G53" i="2" s="1"/>
  <c r="F49" i="2"/>
  <c r="F53" i="2" s="1"/>
  <c r="E49" i="2"/>
  <c r="D49" i="2"/>
  <c r="D53" i="2" s="1"/>
  <c r="C49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R47" i="2"/>
  <c r="O47" i="2"/>
  <c r="N47" i="2"/>
  <c r="M47" i="2"/>
  <c r="K47" i="2"/>
  <c r="C47" i="2"/>
  <c r="B55" i="2" s="1"/>
  <c r="R45" i="2"/>
  <c r="D45" i="2"/>
  <c r="C45" i="2"/>
  <c r="R42" i="2"/>
  <c r="B42" i="2"/>
  <c r="R41" i="2"/>
  <c r="R80" i="2" s="1"/>
  <c r="R40" i="2"/>
  <c r="P40" i="2"/>
  <c r="O40" i="2"/>
  <c r="N40" i="2"/>
  <c r="M40" i="2"/>
  <c r="H40" i="2"/>
  <c r="G40" i="2"/>
  <c r="F40" i="2"/>
  <c r="E40" i="2"/>
  <c r="E37" i="2"/>
  <c r="D37" i="2"/>
  <c r="C37" i="2"/>
  <c r="Q36" i="2"/>
  <c r="Q40" i="2" s="1"/>
  <c r="P36" i="2"/>
  <c r="O36" i="2"/>
  <c r="N36" i="2"/>
  <c r="M36" i="2"/>
  <c r="L36" i="2"/>
  <c r="L40" i="2" s="1"/>
  <c r="K36" i="2"/>
  <c r="K40" i="2" s="1"/>
  <c r="J36" i="2"/>
  <c r="J40" i="2" s="1"/>
  <c r="I36" i="2"/>
  <c r="I40" i="2" s="1"/>
  <c r="H36" i="2"/>
  <c r="G36" i="2"/>
  <c r="F36" i="2"/>
  <c r="E36" i="2"/>
  <c r="D36" i="2"/>
  <c r="D40" i="2" s="1"/>
  <c r="C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D32" i="2"/>
  <c r="E32" i="2" s="1"/>
  <c r="H22" i="2"/>
  <c r="C22" i="2" s="1"/>
  <c r="D21" i="2"/>
  <c r="U3" i="2"/>
  <c r="Q30" i="3" l="1"/>
  <c r="P46" i="3"/>
  <c r="Q21" i="3"/>
  <c r="Q46" i="3"/>
  <c r="D22" i="2"/>
  <c r="N52" i="2" s="1"/>
  <c r="P21" i="3"/>
  <c r="Q23" i="3"/>
  <c r="P30" i="3"/>
  <c r="O7" i="3"/>
  <c r="P5" i="3"/>
  <c r="Q7" i="3"/>
  <c r="P14" i="3"/>
  <c r="Q38" i="3"/>
  <c r="Q14" i="3"/>
  <c r="P12" i="3"/>
  <c r="O37" i="3"/>
  <c r="Q5" i="3"/>
  <c r="P28" i="3"/>
  <c r="P38" i="3"/>
  <c r="O23" i="3"/>
  <c r="Q42" i="3"/>
  <c r="P42" i="3"/>
  <c r="O42" i="3"/>
  <c r="Q35" i="3"/>
  <c r="P35" i="3"/>
  <c r="O35" i="3"/>
  <c r="Q19" i="3"/>
  <c r="P19" i="3"/>
  <c r="O19" i="3"/>
  <c r="Q18" i="3"/>
  <c r="P18" i="3"/>
  <c r="O18" i="3"/>
  <c r="Q43" i="3"/>
  <c r="P43" i="3"/>
  <c r="O43" i="3"/>
  <c r="Q11" i="3"/>
  <c r="P11" i="3"/>
  <c r="Q16" i="3"/>
  <c r="O16" i="3"/>
  <c r="P16" i="3"/>
  <c r="O20" i="3"/>
  <c r="O29" i="3"/>
  <c r="P20" i="3"/>
  <c r="P29" i="3"/>
  <c r="P6" i="3"/>
  <c r="Q8" i="3"/>
  <c r="O8" i="3"/>
  <c r="Q13" i="3"/>
  <c r="O15" i="3"/>
  <c r="P17" i="3"/>
  <c r="O17" i="3"/>
  <c r="P22" i="3"/>
  <c r="Q24" i="3"/>
  <c r="O24" i="3"/>
  <c r="O31" i="3"/>
  <c r="Q33" i="3"/>
  <c r="P33" i="3"/>
  <c r="O33" i="3"/>
  <c r="O45" i="3"/>
  <c r="P47" i="3"/>
  <c r="O47" i="3"/>
  <c r="P9" i="3"/>
  <c r="O9" i="3"/>
  <c r="P25" i="3"/>
  <c r="O25" i="3"/>
  <c r="Q34" i="3"/>
  <c r="P34" i="3"/>
  <c r="O34" i="3"/>
  <c r="Q25" i="3"/>
  <c r="O36" i="3"/>
  <c r="P13" i="3"/>
  <c r="Q6" i="3"/>
  <c r="Q31" i="3"/>
  <c r="Q41" i="3"/>
  <c r="P41" i="3"/>
  <c r="O41" i="3"/>
  <c r="P45" i="3"/>
  <c r="Q27" i="3"/>
  <c r="P27" i="3"/>
  <c r="Q32" i="3"/>
  <c r="O32" i="3"/>
  <c r="Q44" i="3"/>
  <c r="P44" i="3"/>
  <c r="Q9" i="3"/>
  <c r="P36" i="3"/>
  <c r="Q40" i="3"/>
  <c r="P40" i="3"/>
  <c r="O40" i="3"/>
  <c r="Q10" i="3"/>
  <c r="P10" i="3"/>
  <c r="O10" i="3"/>
  <c r="Q15" i="3"/>
  <c r="Q22" i="3"/>
  <c r="Q26" i="3"/>
  <c r="P26" i="3"/>
  <c r="O26" i="3"/>
  <c r="O12" i="3"/>
  <c r="O28" i="3"/>
  <c r="P39" i="3"/>
  <c r="O39" i="3"/>
  <c r="O11" i="3"/>
  <c r="O27" i="3"/>
  <c r="Q48" i="3"/>
  <c r="P48" i="3"/>
  <c r="O48" i="3"/>
  <c r="C41" i="2"/>
  <c r="C58" i="2"/>
  <c r="C50" i="2"/>
  <c r="C51" i="2"/>
  <c r="C40" i="2"/>
  <c r="C38" i="2"/>
  <c r="P39" i="2"/>
  <c r="H39" i="2"/>
  <c r="G39" i="2"/>
  <c r="O39" i="2"/>
  <c r="F39" i="2"/>
  <c r="N39" i="2"/>
  <c r="C39" i="2"/>
  <c r="M39" i="2"/>
  <c r="I39" i="2"/>
  <c r="Q39" i="2"/>
  <c r="E39" i="2"/>
  <c r="D39" i="2"/>
  <c r="L39" i="2"/>
  <c r="J39" i="2"/>
  <c r="E45" i="2"/>
  <c r="E38" i="2"/>
  <c r="K39" i="2"/>
  <c r="F32" i="2"/>
  <c r="D51" i="2"/>
  <c r="D50" i="2"/>
  <c r="D58" i="2"/>
  <c r="E41" i="2"/>
  <c r="Q47" i="2"/>
  <c r="I47" i="2"/>
  <c r="P47" i="2"/>
  <c r="H47" i="2"/>
  <c r="E21" i="2"/>
  <c r="L47" i="2"/>
  <c r="D47" i="2"/>
  <c r="D38" i="2"/>
  <c r="D41" i="2" s="1"/>
  <c r="R68" i="2"/>
  <c r="R55" i="2"/>
  <c r="J47" i="2"/>
  <c r="R79" i="2"/>
  <c r="R66" i="2"/>
  <c r="E47" i="2"/>
  <c r="R53" i="2"/>
  <c r="F47" i="2"/>
  <c r="G47" i="2"/>
  <c r="R67" i="2"/>
  <c r="G52" i="2" l="1"/>
  <c r="C52" i="2"/>
  <c r="J52" i="2"/>
  <c r="D23" i="2"/>
  <c r="L52" i="2"/>
  <c r="C42" i="2"/>
  <c r="D52" i="2"/>
  <c r="D55" i="2" s="1"/>
  <c r="I52" i="2"/>
  <c r="E52" i="2"/>
  <c r="K52" i="2"/>
  <c r="E42" i="2"/>
  <c r="F52" i="2"/>
  <c r="Q52" i="2"/>
  <c r="H52" i="2"/>
  <c r="O52" i="2"/>
  <c r="M52" i="2"/>
  <c r="P52" i="2"/>
  <c r="D42" i="2"/>
  <c r="P60" i="2"/>
  <c r="H60" i="2"/>
  <c r="O60" i="2"/>
  <c r="G60" i="2"/>
  <c r="K60" i="2"/>
  <c r="C60" i="2"/>
  <c r="B68" i="2" s="1"/>
  <c r="J60" i="2"/>
  <c r="D60" i="2"/>
  <c r="D63" i="2" s="1"/>
  <c r="F21" i="2"/>
  <c r="M60" i="2"/>
  <c r="Q60" i="2"/>
  <c r="L60" i="2"/>
  <c r="N60" i="2"/>
  <c r="E60" i="2"/>
  <c r="F60" i="2"/>
  <c r="E22" i="2"/>
  <c r="I60" i="2"/>
  <c r="C55" i="2"/>
  <c r="C54" i="2"/>
  <c r="D71" i="2"/>
  <c r="F37" i="2"/>
  <c r="F45" i="2"/>
  <c r="G32" i="2"/>
  <c r="F38" i="2"/>
  <c r="C71" i="2"/>
  <c r="D54" i="2"/>
  <c r="E50" i="2"/>
  <c r="E58" i="2"/>
  <c r="E51" i="2"/>
  <c r="E71" i="2" l="1"/>
  <c r="E64" i="2"/>
  <c r="E63" i="2"/>
  <c r="G38" i="2"/>
  <c r="G45" i="2"/>
  <c r="G37" i="2"/>
  <c r="H32" i="2"/>
  <c r="O73" i="2"/>
  <c r="G73" i="2"/>
  <c r="N73" i="2"/>
  <c r="F73" i="2"/>
  <c r="J73" i="2"/>
  <c r="Q73" i="2"/>
  <c r="I73" i="2"/>
  <c r="C73" i="2"/>
  <c r="B81" i="2" s="1"/>
  <c r="E73" i="2"/>
  <c r="D73" i="2"/>
  <c r="K73" i="2"/>
  <c r="H73" i="2"/>
  <c r="P73" i="2"/>
  <c r="M73" i="2"/>
  <c r="L73" i="2"/>
  <c r="F22" i="2"/>
  <c r="F58" i="2"/>
  <c r="F50" i="2"/>
  <c r="F51" i="2"/>
  <c r="P65" i="2"/>
  <c r="H65" i="2"/>
  <c r="O65" i="2"/>
  <c r="G65" i="2"/>
  <c r="E23" i="2"/>
  <c r="K65" i="2"/>
  <c r="C65" i="2"/>
  <c r="J65" i="2"/>
  <c r="M65" i="2"/>
  <c r="F65" i="2"/>
  <c r="L65" i="2"/>
  <c r="I65" i="2"/>
  <c r="N65" i="2"/>
  <c r="E65" i="2"/>
  <c r="D65" i="2"/>
  <c r="Q65" i="2"/>
  <c r="F42" i="2"/>
  <c r="F41" i="2"/>
  <c r="D64" i="2"/>
  <c r="D67" i="2" s="1"/>
  <c r="D68" i="2" s="1"/>
  <c r="C85" i="2"/>
  <c r="C63" i="2"/>
  <c r="D76" i="2"/>
  <c r="D85" i="2"/>
  <c r="D77" i="2"/>
  <c r="C64" i="2"/>
  <c r="E55" i="2"/>
  <c r="E54" i="2"/>
  <c r="O78" i="2" l="1"/>
  <c r="G78" i="2"/>
  <c r="N78" i="2"/>
  <c r="F78" i="2"/>
  <c r="M78" i="2"/>
  <c r="E78" i="2"/>
  <c r="J78" i="2"/>
  <c r="Q78" i="2"/>
  <c r="I78" i="2"/>
  <c r="H78" i="2"/>
  <c r="D78" i="2"/>
  <c r="D81" i="2" s="1"/>
  <c r="D84" i="2" s="1"/>
  <c r="D86" i="2" s="1"/>
  <c r="C78" i="2"/>
  <c r="K78" i="2"/>
  <c r="F23" i="2"/>
  <c r="P78" i="2"/>
  <c r="L78" i="2"/>
  <c r="D80" i="2"/>
  <c r="E67" i="2"/>
  <c r="E68" i="2" s="1"/>
  <c r="G58" i="2"/>
  <c r="G51" i="2"/>
  <c r="G50" i="2"/>
  <c r="C67" i="2"/>
  <c r="C68" i="2"/>
  <c r="C76" i="2"/>
  <c r="F54" i="2"/>
  <c r="F55" i="2" s="1"/>
  <c r="E85" i="2"/>
  <c r="E77" i="2"/>
  <c r="E76" i="2"/>
  <c r="C77" i="2"/>
  <c r="F71" i="2"/>
  <c r="F64" i="2"/>
  <c r="F63" i="2"/>
  <c r="H45" i="2"/>
  <c r="H37" i="2"/>
  <c r="I32" i="2"/>
  <c r="H38" i="2"/>
  <c r="G41" i="2"/>
  <c r="G42" i="2"/>
  <c r="H58" i="2" l="1"/>
  <c r="H51" i="2"/>
  <c r="H50" i="2"/>
  <c r="F67" i="2"/>
  <c r="F68" i="2" s="1"/>
  <c r="C80" i="2"/>
  <c r="C81" i="2" s="1"/>
  <c r="C84" i="2" s="1"/>
  <c r="C86" i="2" s="1"/>
  <c r="E80" i="2"/>
  <c r="E81" i="2" s="1"/>
  <c r="E84" i="2" s="1"/>
  <c r="E86" i="2" s="1"/>
  <c r="G54" i="2"/>
  <c r="G55" i="2" s="1"/>
  <c r="H42" i="2"/>
  <c r="H41" i="2"/>
  <c r="G71" i="2"/>
  <c r="G64" i="2"/>
  <c r="G63" i="2"/>
  <c r="F85" i="2"/>
  <c r="F77" i="2"/>
  <c r="F76" i="2"/>
  <c r="I45" i="2"/>
  <c r="J32" i="2"/>
  <c r="I37" i="2"/>
  <c r="I38" i="2"/>
  <c r="H55" i="2" l="1"/>
  <c r="H54" i="2"/>
  <c r="G67" i="2"/>
  <c r="G68" i="2" s="1"/>
  <c r="I51" i="2"/>
  <c r="I50" i="2"/>
  <c r="I58" i="2"/>
  <c r="F81" i="2"/>
  <c r="F84" i="2" s="1"/>
  <c r="F86" i="2" s="1"/>
  <c r="F80" i="2"/>
  <c r="H64" i="2"/>
  <c r="H63" i="2"/>
  <c r="H71" i="2"/>
  <c r="I42" i="2"/>
  <c r="I41" i="2"/>
  <c r="G85" i="2"/>
  <c r="G77" i="2"/>
  <c r="G76" i="2"/>
  <c r="J37" i="2"/>
  <c r="J45" i="2"/>
  <c r="J38" i="2"/>
  <c r="K32" i="2"/>
  <c r="L32" i="2" l="1"/>
  <c r="K38" i="2"/>
  <c r="K37" i="2"/>
  <c r="K45" i="2"/>
  <c r="I54" i="2"/>
  <c r="I55" i="2"/>
  <c r="H85" i="2"/>
  <c r="H77" i="2"/>
  <c r="H76" i="2"/>
  <c r="J41" i="2"/>
  <c r="J42" i="2"/>
  <c r="G80" i="2"/>
  <c r="G81" i="2"/>
  <c r="G84" i="2" s="1"/>
  <c r="G86" i="2" s="1"/>
  <c r="J58" i="2"/>
  <c r="J51" i="2"/>
  <c r="J50" i="2"/>
  <c r="H67" i="2"/>
  <c r="H68" i="2"/>
  <c r="I71" i="2"/>
  <c r="I64" i="2"/>
  <c r="I63" i="2"/>
  <c r="J71" i="2" l="1"/>
  <c r="J64" i="2"/>
  <c r="J63" i="2"/>
  <c r="H80" i="2"/>
  <c r="H81" i="2" s="1"/>
  <c r="H84" i="2" s="1"/>
  <c r="H86" i="2" s="1"/>
  <c r="K42" i="2"/>
  <c r="K41" i="2"/>
  <c r="L45" i="2"/>
  <c r="L38" i="2"/>
  <c r="M32" i="2"/>
  <c r="L37" i="2"/>
  <c r="I68" i="2"/>
  <c r="I67" i="2"/>
  <c r="I85" i="2"/>
  <c r="I77" i="2"/>
  <c r="I76" i="2"/>
  <c r="K58" i="2"/>
  <c r="K51" i="2"/>
  <c r="K50" i="2"/>
  <c r="J55" i="2"/>
  <c r="J54" i="2"/>
  <c r="K55" i="2" l="1"/>
  <c r="K54" i="2"/>
  <c r="J68" i="2"/>
  <c r="J67" i="2"/>
  <c r="I80" i="2"/>
  <c r="I81" i="2" s="1"/>
  <c r="I84" i="2" s="1"/>
  <c r="I86" i="2" s="1"/>
  <c r="L51" i="2"/>
  <c r="L50" i="2"/>
  <c r="L58" i="2"/>
  <c r="L41" i="2"/>
  <c r="L42" i="2"/>
  <c r="M45" i="2"/>
  <c r="N32" i="2"/>
  <c r="M38" i="2"/>
  <c r="M37" i="2"/>
  <c r="J85" i="2"/>
  <c r="J77" i="2"/>
  <c r="J76" i="2"/>
  <c r="K64" i="2"/>
  <c r="K63" i="2"/>
  <c r="K71" i="2"/>
  <c r="M42" i="2" l="1"/>
  <c r="M41" i="2"/>
  <c r="N37" i="2"/>
  <c r="N38" i="2"/>
  <c r="O32" i="2"/>
  <c r="N45" i="2"/>
  <c r="K67" i="2"/>
  <c r="K68" i="2"/>
  <c r="M51" i="2"/>
  <c r="M50" i="2"/>
  <c r="M58" i="2"/>
  <c r="K85" i="2"/>
  <c r="K76" i="2"/>
  <c r="K77" i="2"/>
  <c r="L63" i="2"/>
  <c r="L64" i="2"/>
  <c r="L71" i="2"/>
  <c r="J80" i="2"/>
  <c r="J81" i="2"/>
  <c r="J84" i="2" s="1"/>
  <c r="J86" i="2" s="1"/>
  <c r="L54" i="2"/>
  <c r="L55" i="2"/>
  <c r="L68" i="2" l="1"/>
  <c r="L67" i="2"/>
  <c r="N51" i="2"/>
  <c r="N58" i="2"/>
  <c r="N50" i="2"/>
  <c r="O38" i="2"/>
  <c r="P32" i="2"/>
  <c r="O37" i="2"/>
  <c r="O45" i="2"/>
  <c r="M64" i="2"/>
  <c r="M63" i="2"/>
  <c r="M71" i="2"/>
  <c r="N42" i="2"/>
  <c r="N41" i="2"/>
  <c r="L85" i="2"/>
  <c r="L76" i="2"/>
  <c r="L77" i="2"/>
  <c r="K80" i="2"/>
  <c r="K81" i="2" s="1"/>
  <c r="K84" i="2" s="1"/>
  <c r="K86" i="2" s="1"/>
  <c r="M55" i="2"/>
  <c r="M54" i="2"/>
  <c r="P45" i="2" l="1"/>
  <c r="P37" i="2"/>
  <c r="Q32" i="2"/>
  <c r="P38" i="2"/>
  <c r="N55" i="2"/>
  <c r="N54" i="2"/>
  <c r="O58" i="2"/>
  <c r="O50" i="2"/>
  <c r="O51" i="2"/>
  <c r="M85" i="2"/>
  <c r="M77" i="2"/>
  <c r="M76" i="2"/>
  <c r="N71" i="2"/>
  <c r="N63" i="2"/>
  <c r="N64" i="2"/>
  <c r="M67" i="2"/>
  <c r="M68" i="2"/>
  <c r="L81" i="2"/>
  <c r="L84" i="2" s="1"/>
  <c r="L86" i="2" s="1"/>
  <c r="L80" i="2"/>
  <c r="O42" i="2"/>
  <c r="O41" i="2"/>
  <c r="N68" i="2" l="1"/>
  <c r="N67" i="2"/>
  <c r="N85" i="2"/>
  <c r="N77" i="2"/>
  <c r="N76" i="2"/>
  <c r="M81" i="2"/>
  <c r="M84" i="2" s="1"/>
  <c r="M86" i="2" s="1"/>
  <c r="M80" i="2"/>
  <c r="P58" i="2"/>
  <c r="P51" i="2"/>
  <c r="P50" i="2"/>
  <c r="Q45" i="2"/>
  <c r="Q37" i="2"/>
  <c r="Q38" i="2"/>
  <c r="P42" i="2"/>
  <c r="P41" i="2"/>
  <c r="O55" i="2"/>
  <c r="O54" i="2"/>
  <c r="O71" i="2"/>
  <c r="O64" i="2"/>
  <c r="O63" i="2"/>
  <c r="O68" i="2" l="1"/>
  <c r="O67" i="2"/>
  <c r="Q51" i="2"/>
  <c r="Q50" i="2"/>
  <c r="Q58" i="2"/>
  <c r="N81" i="2"/>
  <c r="N84" i="2" s="1"/>
  <c r="N86" i="2" s="1"/>
  <c r="N80" i="2"/>
  <c r="P55" i="2"/>
  <c r="P54" i="2"/>
  <c r="P64" i="2"/>
  <c r="P63" i="2"/>
  <c r="P71" i="2"/>
  <c r="Q42" i="2"/>
  <c r="Q41" i="2"/>
  <c r="O85" i="2"/>
  <c r="O77" i="2"/>
  <c r="O76" i="2"/>
  <c r="Q54" i="2" l="1"/>
  <c r="Q55" i="2"/>
  <c r="O80" i="2"/>
  <c r="O81" i="2"/>
  <c r="O84" i="2" s="1"/>
  <c r="O86" i="2" s="1"/>
  <c r="P76" i="2"/>
  <c r="P77" i="2"/>
  <c r="P85" i="2"/>
  <c r="Q71" i="2"/>
  <c r="Q64" i="2"/>
  <c r="Q63" i="2"/>
  <c r="P67" i="2"/>
  <c r="P68" i="2"/>
  <c r="P81" i="2" l="1"/>
  <c r="P80" i="2"/>
  <c r="P84" i="2"/>
  <c r="P86" i="2" s="1"/>
  <c r="Q68" i="2"/>
  <c r="Q67" i="2"/>
  <c r="Q85" i="2"/>
  <c r="Q77" i="2"/>
  <c r="Q76" i="2"/>
  <c r="Q81" i="2" l="1"/>
  <c r="Q84" i="2" s="1"/>
  <c r="Q86" i="2" s="1"/>
  <c r="Q80" i="2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3" i="1"/>
  <c r="D2243" i="1" l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D11" i="1"/>
  <c r="D12" i="1"/>
  <c r="E12" i="1" s="1"/>
  <c r="D13" i="1"/>
  <c r="E13" i="1" s="1"/>
  <c r="D14" i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D2043" i="1"/>
  <c r="E2043" i="1" s="1"/>
  <c r="D2044" i="1"/>
  <c r="E2044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" i="1"/>
  <c r="E10" i="1"/>
  <c r="E11" i="1"/>
  <c r="E14" i="1"/>
  <c r="E22" i="1"/>
  <c r="E698" i="1"/>
  <c r="E786" i="1"/>
  <c r="E1290" i="1"/>
  <c r="E1364" i="1"/>
  <c r="E2042" i="1"/>
  <c r="E2130" i="1"/>
  <c r="E2" i="1" l="1"/>
  <c r="G2" i="1" s="1"/>
  <c r="F2" i="1"/>
  <c r="E3" i="1"/>
  <c r="F3" i="1" l="1"/>
  <c r="G3" i="1" l="1"/>
  <c r="F4" i="1"/>
  <c r="H3" i="1"/>
  <c r="H4" i="1" l="1"/>
  <c r="G4" i="1"/>
  <c r="F5" i="1"/>
  <c r="F6" i="1" l="1"/>
  <c r="H5" i="1"/>
  <c r="G5" i="1"/>
  <c r="G6" i="1" l="1"/>
  <c r="F7" i="1"/>
  <c r="H6" i="1"/>
  <c r="F8" i="1" l="1"/>
  <c r="H7" i="1"/>
  <c r="G7" i="1"/>
  <c r="G8" i="1" l="1"/>
  <c r="H8" i="1"/>
  <c r="F9" i="1"/>
  <c r="F10" i="1" l="1"/>
  <c r="H9" i="1"/>
  <c r="G9" i="1"/>
  <c r="G10" i="1" l="1"/>
  <c r="F11" i="1"/>
  <c r="H10" i="1"/>
  <c r="H11" i="1" l="1"/>
  <c r="F12" i="1"/>
  <c r="G11" i="1"/>
  <c r="F13" i="1" l="1"/>
  <c r="H12" i="1"/>
  <c r="G12" i="1"/>
  <c r="G13" i="1" l="1"/>
  <c r="F14" i="1"/>
  <c r="H13" i="1"/>
  <c r="H14" i="1" s="1"/>
  <c r="F15" i="1" l="1"/>
  <c r="G14" i="1"/>
  <c r="G15" i="1" l="1"/>
  <c r="F16" i="1"/>
  <c r="H15" i="1"/>
  <c r="H16" i="1" l="1"/>
  <c r="F17" i="1"/>
  <c r="G16" i="1"/>
  <c r="G17" i="1" l="1"/>
  <c r="H17" i="1"/>
  <c r="F18" i="1"/>
  <c r="F19" i="1" l="1"/>
  <c r="H18" i="1"/>
  <c r="H19" i="1" s="1"/>
  <c r="G18" i="1"/>
  <c r="F20" i="1" l="1"/>
  <c r="G19" i="1"/>
  <c r="G20" i="1" l="1"/>
  <c r="F21" i="1"/>
  <c r="H20" i="1"/>
  <c r="F22" i="1" l="1"/>
  <c r="H21" i="1"/>
  <c r="G21" i="1"/>
  <c r="G22" i="1" l="1"/>
  <c r="F23" i="1"/>
  <c r="H22" i="1"/>
  <c r="F24" i="1" l="1"/>
  <c r="H23" i="1"/>
  <c r="G23" i="1"/>
  <c r="H24" i="1" l="1"/>
  <c r="G24" i="1"/>
  <c r="F25" i="1"/>
  <c r="F26" i="1" l="1"/>
  <c r="H25" i="1"/>
  <c r="G25" i="1"/>
  <c r="G26" i="1" l="1"/>
  <c r="H26" i="1"/>
  <c r="F27" i="1"/>
  <c r="F28" i="1" l="1"/>
  <c r="G27" i="1"/>
  <c r="H27" i="1"/>
  <c r="F29" i="1" l="1"/>
  <c r="H28" i="1"/>
  <c r="G28" i="1"/>
  <c r="G29" i="1" l="1"/>
  <c r="F30" i="1"/>
  <c r="H29" i="1"/>
  <c r="F31" i="1" l="1"/>
  <c r="H30" i="1"/>
  <c r="G30" i="1"/>
  <c r="G31" i="1" l="1"/>
  <c r="F32" i="1"/>
  <c r="H31" i="1"/>
  <c r="H32" i="1" l="1"/>
  <c r="F33" i="1"/>
  <c r="G32" i="1"/>
  <c r="F34" i="1" l="1"/>
  <c r="H33" i="1"/>
  <c r="G33" i="1"/>
  <c r="G34" i="1" l="1"/>
  <c r="F35" i="1"/>
  <c r="H34" i="1"/>
  <c r="H35" i="1" l="1"/>
  <c r="F36" i="1"/>
  <c r="G35" i="1"/>
  <c r="G36" i="1" l="1"/>
  <c r="F37" i="1"/>
  <c r="H36" i="1"/>
  <c r="F38" i="1" l="1"/>
  <c r="H37" i="1"/>
  <c r="H38" i="1" s="1"/>
  <c r="G37" i="1"/>
  <c r="G38" i="1" s="1"/>
  <c r="F39" i="1" l="1"/>
  <c r="F40" i="1" l="1"/>
  <c r="H39" i="1"/>
  <c r="G39" i="1"/>
  <c r="G40" i="1" l="1"/>
  <c r="H40" i="1"/>
  <c r="F41" i="1"/>
  <c r="F42" i="1" l="1"/>
  <c r="G41" i="1"/>
  <c r="H41" i="1"/>
  <c r="F43" i="1" l="1"/>
  <c r="H42" i="1"/>
  <c r="G42" i="1"/>
  <c r="H43" i="1" l="1"/>
  <c r="F44" i="1"/>
  <c r="G43" i="1"/>
  <c r="G44" i="1" l="1"/>
  <c r="F45" i="1"/>
  <c r="H44" i="1"/>
  <c r="F46" i="1" l="1"/>
  <c r="H45" i="1"/>
  <c r="G45" i="1"/>
  <c r="G46" i="1" l="1"/>
  <c r="F47" i="1"/>
  <c r="H46" i="1"/>
  <c r="F48" i="1" l="1"/>
  <c r="H47" i="1"/>
  <c r="H48" i="1" s="1"/>
  <c r="G47" i="1"/>
  <c r="G48" i="1" l="1"/>
  <c r="F49" i="1"/>
  <c r="F50" i="1" l="1"/>
  <c r="H49" i="1"/>
  <c r="G49" i="1"/>
  <c r="G50" i="1" l="1"/>
  <c r="H50" i="1"/>
  <c r="F51" i="1"/>
  <c r="F52" i="1" l="1"/>
  <c r="H51" i="1"/>
  <c r="G51" i="1"/>
  <c r="F53" i="1" l="1"/>
  <c r="H52" i="1"/>
  <c r="G52" i="1"/>
  <c r="G53" i="1" l="1"/>
  <c r="F54" i="1"/>
  <c r="H53" i="1"/>
  <c r="F55" i="1" l="1"/>
  <c r="H54" i="1"/>
  <c r="G54" i="1"/>
  <c r="G55" i="1" l="1"/>
  <c r="H55" i="1"/>
  <c r="F56" i="1"/>
  <c r="G56" i="1" l="1"/>
  <c r="F57" i="1"/>
  <c r="H56" i="1"/>
  <c r="F58" i="1" l="1"/>
  <c r="H57" i="1"/>
  <c r="G57" i="1"/>
  <c r="F59" i="1" l="1"/>
  <c r="H58" i="1"/>
  <c r="G58" i="1"/>
  <c r="G59" i="1" l="1"/>
  <c r="H59" i="1"/>
  <c r="F60" i="1"/>
  <c r="F61" i="1" l="1"/>
  <c r="H60" i="1"/>
  <c r="G60" i="1"/>
  <c r="G61" i="1" s="1"/>
  <c r="H61" i="1" l="1"/>
  <c r="F62" i="1"/>
  <c r="F63" i="1" l="1"/>
  <c r="H62" i="1"/>
  <c r="G62" i="1"/>
  <c r="G63" i="1" l="1"/>
  <c r="H63" i="1"/>
  <c r="F64" i="1"/>
  <c r="H64" i="1" s="1"/>
  <c r="F65" i="1" l="1"/>
  <c r="G64" i="1"/>
  <c r="G65" i="1" l="1"/>
  <c r="F66" i="1"/>
  <c r="H65" i="1"/>
  <c r="H66" i="1" l="1"/>
  <c r="F67" i="1"/>
  <c r="G66" i="1"/>
  <c r="G67" i="1" l="1"/>
  <c r="F68" i="1"/>
  <c r="H67" i="1"/>
  <c r="F69" i="1" l="1"/>
  <c r="H68" i="1"/>
  <c r="G68" i="1"/>
  <c r="F70" i="1" l="1"/>
  <c r="H69" i="1"/>
  <c r="G69" i="1"/>
  <c r="G70" i="1" l="1"/>
  <c r="F71" i="1"/>
  <c r="H70" i="1"/>
  <c r="F72" i="1" l="1"/>
  <c r="H71" i="1"/>
  <c r="G71" i="1"/>
  <c r="G72" i="1" l="1"/>
  <c r="F73" i="1"/>
  <c r="H72" i="1"/>
  <c r="H73" i="1" l="1"/>
  <c r="F74" i="1"/>
  <c r="G73" i="1"/>
  <c r="F75" i="1" l="1"/>
  <c r="G74" i="1"/>
  <c r="H74" i="1"/>
  <c r="H75" i="1" s="1"/>
  <c r="G75" i="1" l="1"/>
  <c r="F76" i="1"/>
  <c r="F77" i="1" l="1"/>
  <c r="H76" i="1"/>
  <c r="G76" i="1"/>
  <c r="G77" i="1" s="1"/>
  <c r="F78" i="1" l="1"/>
  <c r="H77" i="1"/>
  <c r="H78" i="1" s="1"/>
  <c r="F79" i="1" l="1"/>
  <c r="G78" i="1"/>
  <c r="F80" i="1" l="1"/>
  <c r="G79" i="1"/>
  <c r="H79" i="1"/>
  <c r="H80" i="1" s="1"/>
  <c r="G80" i="1" l="1"/>
  <c r="F81" i="1"/>
  <c r="F82" i="1" l="1"/>
  <c r="H81" i="1"/>
  <c r="G81" i="1"/>
  <c r="G82" i="1" l="1"/>
  <c r="F83" i="1"/>
  <c r="H82" i="1"/>
  <c r="H83" i="1" l="1"/>
  <c r="F84" i="1"/>
  <c r="G83" i="1"/>
  <c r="F85" i="1" l="1"/>
  <c r="G84" i="1"/>
  <c r="H84" i="1"/>
  <c r="G85" i="1" l="1"/>
  <c r="F86" i="1"/>
  <c r="H85" i="1"/>
  <c r="F87" i="1" l="1"/>
  <c r="H86" i="1"/>
  <c r="H87" i="1" s="1"/>
  <c r="G86" i="1"/>
  <c r="G87" i="1" s="1"/>
  <c r="F88" i="1" l="1"/>
  <c r="F89" i="1" l="1"/>
  <c r="H88" i="1"/>
  <c r="H89" i="1" s="1"/>
  <c r="G88" i="1"/>
  <c r="G89" i="1" s="1"/>
  <c r="F90" i="1" l="1"/>
  <c r="F91" i="1" l="1"/>
  <c r="H90" i="1"/>
  <c r="G90" i="1"/>
  <c r="F92" i="1" l="1"/>
  <c r="H91" i="1"/>
  <c r="G91" i="1"/>
  <c r="G92" i="1" s="1"/>
  <c r="F93" i="1" l="1"/>
  <c r="H92" i="1"/>
  <c r="F94" i="1" l="1"/>
  <c r="H93" i="1"/>
  <c r="H94" i="1" s="1"/>
  <c r="G93" i="1"/>
  <c r="G94" i="1" s="1"/>
  <c r="F95" i="1" l="1"/>
  <c r="F96" i="1" l="1"/>
  <c r="H95" i="1"/>
  <c r="G95" i="1"/>
  <c r="G96" i="1" l="1"/>
  <c r="F97" i="1"/>
  <c r="H96" i="1"/>
  <c r="H97" i="1" s="1"/>
  <c r="F98" i="1" l="1"/>
  <c r="G97" i="1"/>
  <c r="G98" i="1" s="1"/>
  <c r="F99" i="1" l="1"/>
  <c r="H98" i="1"/>
  <c r="H99" i="1" s="1"/>
  <c r="F100" i="1" l="1"/>
  <c r="G99" i="1"/>
  <c r="G100" i="1" l="1"/>
  <c r="F101" i="1"/>
  <c r="H100" i="1"/>
  <c r="F102" i="1" l="1"/>
  <c r="H101" i="1"/>
  <c r="H102" i="1" s="1"/>
  <c r="G101" i="1"/>
  <c r="G102" i="1" l="1"/>
  <c r="F103" i="1"/>
  <c r="F104" i="1" l="1"/>
  <c r="H103" i="1"/>
  <c r="H104" i="1" s="1"/>
  <c r="G103" i="1"/>
  <c r="G104" i="1" s="1"/>
  <c r="F105" i="1" l="1"/>
  <c r="F106" i="1" l="1"/>
  <c r="H105" i="1"/>
  <c r="G105" i="1"/>
  <c r="F107" i="1" l="1"/>
  <c r="H106" i="1"/>
  <c r="G106" i="1"/>
  <c r="H107" i="1" l="1"/>
  <c r="F108" i="1"/>
  <c r="G107" i="1"/>
  <c r="G108" i="1" l="1"/>
  <c r="F109" i="1"/>
  <c r="H108" i="1"/>
  <c r="H109" i="1" l="1"/>
  <c r="F110" i="1"/>
  <c r="G109" i="1"/>
  <c r="F111" i="1" l="1"/>
  <c r="H110" i="1"/>
  <c r="G110" i="1"/>
  <c r="G111" i="1" l="1"/>
  <c r="H111" i="1"/>
  <c r="F112" i="1"/>
  <c r="F113" i="1" l="1"/>
  <c r="H112" i="1"/>
  <c r="G112" i="1"/>
  <c r="G113" i="1" l="1"/>
  <c r="H113" i="1"/>
  <c r="F114" i="1"/>
  <c r="F115" i="1" l="1"/>
  <c r="G114" i="1"/>
  <c r="H114" i="1"/>
  <c r="F116" i="1" l="1"/>
  <c r="H115" i="1"/>
  <c r="G115" i="1"/>
  <c r="G116" i="1" l="1"/>
  <c r="F117" i="1"/>
  <c r="H116" i="1"/>
  <c r="F118" i="1" l="1"/>
  <c r="H117" i="1"/>
  <c r="G117" i="1"/>
  <c r="G118" i="1" l="1"/>
  <c r="H118" i="1"/>
  <c r="F119" i="1"/>
  <c r="H119" i="1" s="1"/>
  <c r="F120" i="1" l="1"/>
  <c r="G119" i="1"/>
  <c r="F121" i="1" l="1"/>
  <c r="H120" i="1"/>
  <c r="G120" i="1"/>
  <c r="H121" i="1" l="1"/>
  <c r="F122" i="1"/>
  <c r="G121" i="1"/>
  <c r="F123" i="1" l="1"/>
  <c r="G122" i="1"/>
  <c r="H122" i="1"/>
  <c r="H123" i="1" l="1"/>
  <c r="F124" i="1"/>
  <c r="G123" i="1"/>
  <c r="G124" i="1" l="1"/>
  <c r="F125" i="1"/>
  <c r="H124" i="1"/>
  <c r="F126" i="1" l="1"/>
  <c r="H125" i="1"/>
  <c r="G125" i="1"/>
  <c r="H126" i="1" l="1"/>
  <c r="F127" i="1"/>
  <c r="G126" i="1"/>
  <c r="G127" i="1" l="1"/>
  <c r="F128" i="1"/>
  <c r="H127" i="1"/>
  <c r="H128" i="1" l="1"/>
  <c r="F129" i="1"/>
  <c r="G128" i="1"/>
  <c r="F130" i="1" l="1"/>
  <c r="H129" i="1"/>
  <c r="G129" i="1"/>
  <c r="F131" i="1" l="1"/>
  <c r="H130" i="1"/>
  <c r="G130" i="1"/>
  <c r="H131" i="1" l="1"/>
  <c r="F132" i="1"/>
  <c r="G131" i="1"/>
  <c r="G132" i="1" l="1"/>
  <c r="F133" i="1"/>
  <c r="H132" i="1"/>
  <c r="G133" i="1" l="1"/>
  <c r="F134" i="1"/>
  <c r="H133" i="1"/>
  <c r="F135" i="1" l="1"/>
  <c r="H134" i="1"/>
  <c r="G134" i="1"/>
  <c r="H135" i="1" l="1"/>
  <c r="F136" i="1"/>
  <c r="G135" i="1"/>
  <c r="G136" i="1" l="1"/>
  <c r="F137" i="1"/>
  <c r="H136" i="1"/>
  <c r="H137" i="1" s="1"/>
  <c r="F138" i="1" l="1"/>
  <c r="G137" i="1"/>
  <c r="F139" i="1" l="1"/>
  <c r="G138" i="1"/>
  <c r="H138" i="1"/>
  <c r="F140" i="1" l="1"/>
  <c r="H139" i="1"/>
  <c r="G139" i="1"/>
  <c r="F141" i="1" l="1"/>
  <c r="H140" i="1"/>
  <c r="G140" i="1"/>
  <c r="G141" i="1" s="1"/>
  <c r="F142" i="1" l="1"/>
  <c r="H141" i="1"/>
  <c r="H142" i="1" s="1"/>
  <c r="F143" i="1" l="1"/>
  <c r="G142" i="1"/>
  <c r="G143" i="1" l="1"/>
  <c r="F144" i="1"/>
  <c r="H143" i="1"/>
  <c r="F145" i="1" l="1"/>
  <c r="H144" i="1"/>
  <c r="G144" i="1"/>
  <c r="H145" i="1" l="1"/>
  <c r="F146" i="1"/>
  <c r="G145" i="1"/>
  <c r="G146" i="1" l="1"/>
  <c r="F147" i="1"/>
  <c r="H146" i="1"/>
  <c r="H147" i="1" s="1"/>
  <c r="G147" i="1" l="1"/>
  <c r="F148" i="1"/>
  <c r="F149" i="1" l="1"/>
  <c r="G148" i="1"/>
  <c r="H148" i="1"/>
  <c r="F150" i="1" l="1"/>
  <c r="H149" i="1"/>
  <c r="G149" i="1"/>
  <c r="G150" i="1" s="1"/>
  <c r="H150" i="1" l="1"/>
  <c r="F151" i="1"/>
  <c r="F152" i="1" l="1"/>
  <c r="G151" i="1"/>
  <c r="H151" i="1"/>
  <c r="H152" i="1" s="1"/>
  <c r="G152" i="1" l="1"/>
  <c r="F153" i="1"/>
  <c r="F154" i="1" l="1"/>
  <c r="G153" i="1"/>
  <c r="H153" i="1"/>
  <c r="F155" i="1" l="1"/>
  <c r="H154" i="1"/>
  <c r="G154" i="1"/>
  <c r="G155" i="1" l="1"/>
  <c r="H155" i="1"/>
  <c r="F156" i="1"/>
  <c r="F157" i="1" l="1"/>
  <c r="H156" i="1"/>
  <c r="H157" i="1" s="1"/>
  <c r="G156" i="1"/>
  <c r="G157" i="1" s="1"/>
  <c r="F158" i="1" l="1"/>
  <c r="H158" i="1" s="1"/>
  <c r="F159" i="1" l="1"/>
  <c r="G158" i="1"/>
  <c r="F160" i="1" l="1"/>
  <c r="H159" i="1"/>
  <c r="G159" i="1"/>
  <c r="G160" i="1" l="1"/>
  <c r="H160" i="1"/>
  <c r="F161" i="1"/>
  <c r="G161" i="1" s="1"/>
  <c r="F162" i="1" l="1"/>
  <c r="H161" i="1"/>
  <c r="H162" i="1" s="1"/>
  <c r="F163" i="1" l="1"/>
  <c r="G162" i="1"/>
  <c r="G163" i="1" s="1"/>
  <c r="F164" i="1" l="1"/>
  <c r="H163" i="1"/>
  <c r="F165" i="1" l="1"/>
  <c r="H164" i="1"/>
  <c r="G164" i="1"/>
  <c r="F166" i="1" l="1"/>
  <c r="H165" i="1"/>
  <c r="G165" i="1"/>
  <c r="G166" i="1" s="1"/>
  <c r="F167" i="1" l="1"/>
  <c r="H166" i="1"/>
  <c r="F168" i="1" l="1"/>
  <c r="H167" i="1"/>
  <c r="G167" i="1"/>
  <c r="G168" i="1" l="1"/>
  <c r="H168" i="1"/>
  <c r="F169" i="1"/>
  <c r="F170" i="1" l="1"/>
  <c r="H169" i="1"/>
  <c r="G169" i="1"/>
  <c r="G170" i="1" s="1"/>
  <c r="F171" i="1" l="1"/>
  <c r="H170" i="1"/>
  <c r="H171" i="1" s="1"/>
  <c r="F172" i="1" l="1"/>
  <c r="G171" i="1"/>
  <c r="G172" i="1" s="1"/>
  <c r="F173" i="1" l="1"/>
  <c r="H172" i="1"/>
  <c r="F174" i="1" l="1"/>
  <c r="H173" i="1"/>
  <c r="H174" i="1" s="1"/>
  <c r="G173" i="1"/>
  <c r="G174" i="1" l="1"/>
  <c r="F175" i="1"/>
  <c r="F176" i="1" l="1"/>
  <c r="H175" i="1"/>
  <c r="G175" i="1"/>
  <c r="G176" i="1" s="1"/>
  <c r="H176" i="1" l="1"/>
  <c r="F177" i="1"/>
  <c r="F178" i="1" l="1"/>
  <c r="H177" i="1"/>
  <c r="G177" i="1"/>
  <c r="F179" i="1" l="1"/>
  <c r="H178" i="1"/>
  <c r="H179" i="1" s="1"/>
  <c r="G178" i="1"/>
  <c r="G179" i="1" s="1"/>
  <c r="F180" i="1" l="1"/>
  <c r="F181" i="1" l="1"/>
  <c r="G180" i="1"/>
  <c r="H180" i="1"/>
  <c r="G181" i="1" l="1"/>
  <c r="F182" i="1"/>
  <c r="H181" i="1"/>
  <c r="F183" i="1" l="1"/>
  <c r="H182" i="1"/>
  <c r="G182" i="1"/>
  <c r="F184" i="1" l="1"/>
  <c r="H183" i="1"/>
  <c r="G183" i="1"/>
  <c r="H184" i="1" l="1"/>
  <c r="G184" i="1"/>
  <c r="F185" i="1"/>
  <c r="F186" i="1" l="1"/>
  <c r="H185" i="1"/>
  <c r="G185" i="1"/>
  <c r="G186" i="1" l="1"/>
  <c r="F187" i="1"/>
  <c r="H186" i="1"/>
  <c r="H187" i="1" s="1"/>
  <c r="F188" i="1" l="1"/>
  <c r="G187" i="1"/>
  <c r="F189" i="1" l="1"/>
  <c r="H188" i="1"/>
  <c r="G188" i="1"/>
  <c r="G189" i="1" l="1"/>
  <c r="F190" i="1"/>
  <c r="H189" i="1"/>
  <c r="F191" i="1" l="1"/>
  <c r="H190" i="1"/>
  <c r="G190" i="1"/>
  <c r="G191" i="1" l="1"/>
  <c r="H191" i="1"/>
  <c r="F192" i="1"/>
  <c r="F193" i="1" l="1"/>
  <c r="H192" i="1"/>
  <c r="G192" i="1"/>
  <c r="F194" i="1" l="1"/>
  <c r="H193" i="1"/>
  <c r="G193" i="1"/>
  <c r="F195" i="1" l="1"/>
  <c r="H194" i="1"/>
  <c r="G194" i="1"/>
  <c r="H195" i="1" l="1"/>
  <c r="F196" i="1"/>
  <c r="G195" i="1"/>
  <c r="G196" i="1" l="1"/>
  <c r="F197" i="1"/>
  <c r="H196" i="1"/>
  <c r="F198" i="1" l="1"/>
  <c r="H197" i="1"/>
  <c r="G197" i="1"/>
  <c r="G198" i="1" l="1"/>
  <c r="H198" i="1"/>
  <c r="F199" i="1"/>
  <c r="F200" i="1" l="1"/>
  <c r="H199" i="1"/>
  <c r="G199" i="1"/>
  <c r="G200" i="1" l="1"/>
  <c r="H200" i="1"/>
  <c r="F201" i="1"/>
  <c r="F202" i="1" l="1"/>
  <c r="H201" i="1"/>
  <c r="G201" i="1"/>
  <c r="F203" i="1" l="1"/>
  <c r="H202" i="1"/>
  <c r="G202" i="1"/>
  <c r="G203" i="1" l="1"/>
  <c r="H203" i="1"/>
  <c r="F204" i="1"/>
  <c r="F205" i="1" l="1"/>
  <c r="H204" i="1"/>
  <c r="G204" i="1"/>
  <c r="G205" i="1" l="1"/>
  <c r="F206" i="1"/>
  <c r="H205" i="1"/>
  <c r="H206" i="1" l="1"/>
  <c r="F207" i="1"/>
  <c r="G206" i="1"/>
  <c r="F208" i="1" l="1"/>
  <c r="H207" i="1"/>
  <c r="H208" i="1" s="1"/>
  <c r="G207" i="1"/>
  <c r="G208" i="1" s="1"/>
  <c r="F209" i="1" l="1"/>
  <c r="G209" i="1" s="1"/>
  <c r="F210" i="1" l="1"/>
  <c r="H209" i="1"/>
  <c r="F211" i="1" l="1"/>
  <c r="H210" i="1"/>
  <c r="G210" i="1"/>
  <c r="H211" i="1" l="1"/>
  <c r="F212" i="1"/>
  <c r="G211" i="1"/>
  <c r="F213" i="1" l="1"/>
  <c r="H212" i="1"/>
  <c r="G212" i="1"/>
  <c r="G213" i="1" l="1"/>
  <c r="F214" i="1"/>
  <c r="H213" i="1"/>
  <c r="H214" i="1" s="1"/>
  <c r="F215" i="1" l="1"/>
  <c r="G214" i="1"/>
  <c r="G215" i="1" l="1"/>
  <c r="F216" i="1"/>
  <c r="H215" i="1"/>
  <c r="H216" i="1" s="1"/>
  <c r="F217" i="1" l="1"/>
  <c r="G216" i="1"/>
  <c r="F218" i="1" l="1"/>
  <c r="H217" i="1"/>
  <c r="G217" i="1"/>
  <c r="G218" i="1" l="1"/>
  <c r="F219" i="1"/>
  <c r="H218" i="1"/>
  <c r="H219" i="1" s="1"/>
  <c r="F220" i="1" l="1"/>
  <c r="G219" i="1"/>
  <c r="G220" i="1" l="1"/>
  <c r="F221" i="1"/>
  <c r="H220" i="1"/>
  <c r="F222" i="1" l="1"/>
  <c r="H221" i="1"/>
  <c r="G221" i="1"/>
  <c r="F223" i="1" l="1"/>
  <c r="H222" i="1"/>
  <c r="H223" i="1" s="1"/>
  <c r="G222" i="1"/>
  <c r="G223" i="1" s="1"/>
  <c r="F224" i="1" l="1"/>
  <c r="F225" i="1" l="1"/>
  <c r="H224" i="1"/>
  <c r="G224" i="1"/>
  <c r="G225" i="1" l="1"/>
  <c r="H225" i="1"/>
  <c r="F226" i="1"/>
  <c r="F227" i="1" l="1"/>
  <c r="H226" i="1"/>
  <c r="G226" i="1"/>
  <c r="G227" i="1" l="1"/>
  <c r="F228" i="1"/>
  <c r="H227" i="1"/>
  <c r="F229" i="1" l="1"/>
  <c r="H228" i="1"/>
  <c r="G228" i="1"/>
  <c r="G229" i="1" l="1"/>
  <c r="F230" i="1"/>
  <c r="H229" i="1"/>
  <c r="H230" i="1" s="1"/>
  <c r="F231" i="1" l="1"/>
  <c r="G230" i="1"/>
  <c r="F232" i="1" l="1"/>
  <c r="H231" i="1"/>
  <c r="H232" i="1" s="1"/>
  <c r="G231" i="1"/>
  <c r="G232" i="1" s="1"/>
  <c r="F233" i="1" l="1"/>
  <c r="F234" i="1" l="1"/>
  <c r="G233" i="1"/>
  <c r="H233" i="1"/>
  <c r="G234" i="1" l="1"/>
  <c r="F235" i="1"/>
  <c r="H234" i="1"/>
  <c r="H235" i="1" l="1"/>
  <c r="F236" i="1"/>
  <c r="G235" i="1"/>
  <c r="G236" i="1" l="1"/>
  <c r="F237" i="1"/>
  <c r="H236" i="1"/>
  <c r="F238" i="1" l="1"/>
  <c r="H237" i="1"/>
  <c r="G237" i="1"/>
  <c r="H238" i="1" l="1"/>
  <c r="F239" i="1"/>
  <c r="G238" i="1"/>
  <c r="G239" i="1" l="1"/>
  <c r="F240" i="1"/>
  <c r="H239" i="1"/>
  <c r="H240" i="1" l="1"/>
  <c r="F241" i="1"/>
  <c r="G240" i="1"/>
  <c r="F242" i="1" l="1"/>
  <c r="H241" i="1"/>
  <c r="G241" i="1"/>
  <c r="G242" i="1" s="1"/>
  <c r="F243" i="1" l="1"/>
  <c r="H242" i="1"/>
  <c r="H243" i="1" l="1"/>
  <c r="F244" i="1"/>
  <c r="G243" i="1"/>
  <c r="G244" i="1" s="1"/>
  <c r="F245" i="1" l="1"/>
  <c r="H244" i="1"/>
  <c r="F246" i="1" l="1"/>
  <c r="H245" i="1"/>
  <c r="G245" i="1"/>
  <c r="G246" i="1" l="1"/>
  <c r="F247" i="1"/>
  <c r="H246" i="1"/>
  <c r="F248" i="1" l="1"/>
  <c r="H247" i="1"/>
  <c r="G247" i="1"/>
  <c r="G248" i="1" l="1"/>
  <c r="H248" i="1"/>
  <c r="F249" i="1"/>
  <c r="F250" i="1" l="1"/>
  <c r="H249" i="1"/>
  <c r="G249" i="1"/>
  <c r="G250" i="1" l="1"/>
  <c r="F251" i="1"/>
  <c r="H250" i="1"/>
  <c r="H251" i="1" l="1"/>
  <c r="F252" i="1"/>
  <c r="G251" i="1"/>
  <c r="F253" i="1" l="1"/>
  <c r="G252" i="1"/>
  <c r="H252" i="1"/>
  <c r="H253" i="1" l="1"/>
  <c r="G253" i="1"/>
  <c r="F254" i="1"/>
  <c r="F255" i="1" l="1"/>
  <c r="H254" i="1"/>
  <c r="G254" i="1"/>
  <c r="G255" i="1" s="1"/>
  <c r="F256" i="1" l="1"/>
  <c r="H255" i="1"/>
  <c r="H256" i="1" l="1"/>
  <c r="F257" i="1"/>
  <c r="G256" i="1"/>
  <c r="G257" i="1" l="1"/>
  <c r="F258" i="1"/>
  <c r="H257" i="1"/>
  <c r="H258" i="1" l="1"/>
  <c r="F259" i="1"/>
  <c r="G258" i="1"/>
  <c r="F260" i="1" l="1"/>
  <c r="H259" i="1"/>
  <c r="G259" i="1"/>
  <c r="G260" i="1" s="1"/>
  <c r="F261" i="1" l="1"/>
  <c r="H260" i="1"/>
  <c r="F262" i="1" l="1"/>
  <c r="H261" i="1"/>
  <c r="G261" i="1"/>
  <c r="G262" i="1" l="1"/>
  <c r="F263" i="1"/>
  <c r="H262" i="1"/>
  <c r="F264" i="1" l="1"/>
  <c r="H263" i="1"/>
  <c r="G263" i="1"/>
  <c r="H264" i="1" l="1"/>
  <c r="G264" i="1"/>
  <c r="F265" i="1"/>
  <c r="H265" i="1" l="1"/>
  <c r="F266" i="1"/>
  <c r="G265" i="1"/>
  <c r="G266" i="1" l="1"/>
  <c r="F267" i="1"/>
  <c r="H266" i="1"/>
  <c r="H267" i="1" l="1"/>
  <c r="F268" i="1"/>
  <c r="G267" i="1"/>
  <c r="F269" i="1" l="1"/>
  <c r="H268" i="1"/>
  <c r="G268" i="1"/>
  <c r="G269" i="1" l="1"/>
  <c r="F270" i="1"/>
  <c r="H269" i="1"/>
  <c r="F271" i="1" l="1"/>
  <c r="H270" i="1"/>
  <c r="G270" i="1"/>
  <c r="G271" i="1" s="1"/>
  <c r="F272" i="1" l="1"/>
  <c r="H271" i="1"/>
  <c r="H272" i="1" l="1"/>
  <c r="F273" i="1"/>
  <c r="G272" i="1"/>
  <c r="F274" i="1" l="1"/>
  <c r="H273" i="1"/>
  <c r="G273" i="1"/>
  <c r="G274" i="1" l="1"/>
  <c r="F275" i="1"/>
  <c r="H274" i="1"/>
  <c r="H275" i="1" l="1"/>
  <c r="F276" i="1"/>
  <c r="G275" i="1"/>
  <c r="G276" i="1" l="1"/>
  <c r="F277" i="1"/>
  <c r="H276" i="1"/>
  <c r="H277" i="1" s="1"/>
  <c r="F278" i="1" l="1"/>
  <c r="G277" i="1"/>
  <c r="F279" i="1" l="1"/>
  <c r="H278" i="1"/>
  <c r="G278" i="1"/>
  <c r="G279" i="1" l="1"/>
  <c r="F280" i="1"/>
  <c r="H279" i="1"/>
  <c r="H280" i="1" l="1"/>
  <c r="F281" i="1"/>
  <c r="G280" i="1"/>
  <c r="G281" i="1" l="1"/>
  <c r="H281" i="1"/>
  <c r="F282" i="1"/>
  <c r="F283" i="1" l="1"/>
  <c r="G282" i="1"/>
  <c r="H282" i="1"/>
  <c r="F284" i="1" l="1"/>
  <c r="H283" i="1"/>
  <c r="G283" i="1"/>
  <c r="F285" i="1" l="1"/>
  <c r="H284" i="1"/>
  <c r="G284" i="1"/>
  <c r="F286" i="1" l="1"/>
  <c r="H285" i="1"/>
  <c r="G285" i="1"/>
  <c r="G286" i="1" l="1"/>
  <c r="F287" i="1"/>
  <c r="H286" i="1"/>
  <c r="F288" i="1" l="1"/>
  <c r="H287" i="1"/>
  <c r="G287" i="1"/>
  <c r="G288" i="1" s="1"/>
  <c r="H288" i="1" l="1"/>
  <c r="F289" i="1"/>
  <c r="F290" i="1" l="1"/>
  <c r="H289" i="1"/>
  <c r="G289" i="1"/>
  <c r="G290" i="1" l="1"/>
  <c r="H290" i="1"/>
  <c r="F291" i="1"/>
  <c r="G291" i="1" l="1"/>
  <c r="F292" i="1"/>
  <c r="H291" i="1"/>
  <c r="F293" i="1" l="1"/>
  <c r="H292" i="1"/>
  <c r="G292" i="1"/>
  <c r="F294" i="1" l="1"/>
  <c r="H293" i="1"/>
  <c r="G293" i="1"/>
  <c r="G294" i="1" s="1"/>
  <c r="F295" i="1" l="1"/>
  <c r="H294" i="1"/>
  <c r="F296" i="1" l="1"/>
  <c r="H295" i="1"/>
  <c r="G295" i="1"/>
  <c r="H296" i="1" l="1"/>
  <c r="F297" i="1"/>
  <c r="G296" i="1"/>
  <c r="G297" i="1" l="1"/>
  <c r="F298" i="1"/>
  <c r="H297" i="1"/>
  <c r="F299" i="1" l="1"/>
  <c r="H298" i="1"/>
  <c r="G298" i="1"/>
  <c r="G299" i="1" l="1"/>
  <c r="H299" i="1"/>
  <c r="F300" i="1"/>
  <c r="F301" i="1" l="1"/>
  <c r="H300" i="1"/>
  <c r="G300" i="1"/>
  <c r="G301" i="1" l="1"/>
  <c r="H301" i="1"/>
  <c r="F302" i="1"/>
  <c r="F303" i="1" l="1"/>
  <c r="H302" i="1"/>
  <c r="G302" i="1"/>
  <c r="G303" i="1" l="1"/>
  <c r="F304" i="1"/>
  <c r="H303" i="1"/>
  <c r="H304" i="1" s="1"/>
  <c r="F305" i="1" l="1"/>
  <c r="G304" i="1"/>
  <c r="F306" i="1" l="1"/>
  <c r="G305" i="1"/>
  <c r="H305" i="1"/>
  <c r="H306" i="1" l="1"/>
  <c r="G306" i="1"/>
  <c r="F307" i="1"/>
  <c r="F308" i="1" l="1"/>
  <c r="H307" i="1"/>
  <c r="G307" i="1"/>
  <c r="G308" i="1" s="1"/>
  <c r="F309" i="1" l="1"/>
  <c r="H308" i="1"/>
  <c r="F310" i="1" l="1"/>
  <c r="H309" i="1"/>
  <c r="G309" i="1"/>
  <c r="H310" i="1" l="1"/>
  <c r="F311" i="1"/>
  <c r="G310" i="1"/>
  <c r="G311" i="1" l="1"/>
  <c r="F312" i="1"/>
  <c r="H311" i="1"/>
  <c r="F313" i="1" l="1"/>
  <c r="H312" i="1"/>
  <c r="H313" i="1" s="1"/>
  <c r="G312" i="1"/>
  <c r="G313" i="1" s="1"/>
  <c r="F314" i="1" l="1"/>
  <c r="F315" i="1" l="1"/>
  <c r="H314" i="1"/>
  <c r="G314" i="1"/>
  <c r="G315" i="1" l="1"/>
  <c r="H315" i="1"/>
  <c r="F316" i="1"/>
  <c r="F317" i="1" l="1"/>
  <c r="H316" i="1"/>
  <c r="G316" i="1"/>
  <c r="F318" i="1" l="1"/>
  <c r="H317" i="1"/>
  <c r="G317" i="1"/>
  <c r="G318" i="1" s="1"/>
  <c r="F319" i="1" l="1"/>
  <c r="H318" i="1"/>
  <c r="F320" i="1" l="1"/>
  <c r="H319" i="1"/>
  <c r="G319" i="1"/>
  <c r="G320" i="1" l="1"/>
  <c r="H320" i="1"/>
  <c r="F321" i="1"/>
  <c r="F322" i="1" l="1"/>
  <c r="H321" i="1"/>
  <c r="G321" i="1"/>
  <c r="G322" i="1" s="1"/>
  <c r="F323" i="1" l="1"/>
  <c r="H322" i="1"/>
  <c r="H323" i="1" l="1"/>
  <c r="F324" i="1"/>
  <c r="G323" i="1"/>
  <c r="G324" i="1" l="1"/>
  <c r="F325" i="1"/>
  <c r="H324" i="1"/>
  <c r="H325" i="1" l="1"/>
  <c r="F326" i="1"/>
  <c r="G325" i="1"/>
  <c r="F327" i="1" l="1"/>
  <c r="H326" i="1"/>
  <c r="G326" i="1"/>
  <c r="G327" i="1" s="1"/>
  <c r="F328" i="1" l="1"/>
  <c r="H327" i="1"/>
  <c r="H328" i="1" l="1"/>
  <c r="F329" i="1"/>
  <c r="G328" i="1"/>
  <c r="G329" i="1" l="1"/>
  <c r="H329" i="1"/>
  <c r="F330" i="1"/>
  <c r="F331" i="1" l="1"/>
  <c r="G330" i="1"/>
  <c r="H330" i="1"/>
  <c r="G331" i="1" l="1"/>
  <c r="F332" i="1"/>
  <c r="H331" i="1"/>
  <c r="F333" i="1" l="1"/>
  <c r="H332" i="1"/>
  <c r="G332" i="1"/>
  <c r="G333" i="1" l="1"/>
  <c r="F334" i="1"/>
  <c r="H333" i="1"/>
  <c r="F335" i="1" l="1"/>
  <c r="H334" i="1"/>
  <c r="G334" i="1"/>
  <c r="G335" i="1" l="1"/>
  <c r="H335" i="1"/>
  <c r="F336" i="1"/>
  <c r="F337" i="1" l="1"/>
  <c r="H336" i="1"/>
  <c r="H337" i="1" s="1"/>
  <c r="G336" i="1"/>
  <c r="F338" i="1" l="1"/>
  <c r="G337" i="1"/>
  <c r="G338" i="1" l="1"/>
  <c r="F339" i="1"/>
  <c r="H338" i="1"/>
  <c r="H339" i="1" l="1"/>
  <c r="F340" i="1"/>
  <c r="G339" i="1"/>
  <c r="G340" i="1" l="1"/>
  <c r="F341" i="1"/>
  <c r="H340" i="1"/>
  <c r="F342" i="1" l="1"/>
  <c r="H341" i="1"/>
  <c r="G341" i="1"/>
  <c r="G342" i="1" l="1"/>
  <c r="F343" i="1"/>
  <c r="H342" i="1"/>
  <c r="F344" i="1" l="1"/>
  <c r="H343" i="1"/>
  <c r="G343" i="1"/>
  <c r="G344" i="1" l="1"/>
  <c r="H344" i="1"/>
  <c r="F345" i="1"/>
  <c r="F346" i="1" l="1"/>
  <c r="H345" i="1"/>
  <c r="G345" i="1"/>
  <c r="F347" i="1" l="1"/>
  <c r="H346" i="1"/>
  <c r="H347" i="1" s="1"/>
  <c r="G346" i="1"/>
  <c r="G347" i="1" s="1"/>
  <c r="F348" i="1" l="1"/>
  <c r="F349" i="1" l="1"/>
  <c r="H348" i="1"/>
  <c r="G348" i="1"/>
  <c r="G349" i="1" s="1"/>
  <c r="H349" i="1" l="1"/>
  <c r="F350" i="1"/>
  <c r="F351" i="1" l="1"/>
  <c r="H350" i="1"/>
  <c r="G350" i="1"/>
  <c r="F352" i="1" l="1"/>
  <c r="H351" i="1"/>
  <c r="G351" i="1"/>
  <c r="G352" i="1" s="1"/>
  <c r="H352" i="1" l="1"/>
  <c r="F353" i="1"/>
  <c r="F354" i="1" l="1"/>
  <c r="H353" i="1"/>
  <c r="G353" i="1"/>
  <c r="G354" i="1" l="1"/>
  <c r="F355" i="1"/>
  <c r="H354" i="1"/>
  <c r="F356" i="1" l="1"/>
  <c r="H355" i="1"/>
  <c r="G355" i="1"/>
  <c r="F357" i="1" l="1"/>
  <c r="H356" i="1"/>
  <c r="G356" i="1"/>
  <c r="F358" i="1" l="1"/>
  <c r="H357" i="1"/>
  <c r="G357" i="1"/>
  <c r="G358" i="1" l="1"/>
  <c r="H358" i="1"/>
  <c r="F359" i="1"/>
  <c r="F360" i="1" l="1"/>
  <c r="H359" i="1"/>
  <c r="G359" i="1"/>
  <c r="F361" i="1" l="1"/>
  <c r="H360" i="1"/>
  <c r="G360" i="1"/>
  <c r="G361" i="1" s="1"/>
  <c r="H361" i="1" l="1"/>
  <c r="F362" i="1"/>
  <c r="F363" i="1" l="1"/>
  <c r="G362" i="1"/>
  <c r="H362" i="1"/>
  <c r="H363" i="1" l="1"/>
  <c r="F364" i="1"/>
  <c r="G363" i="1"/>
  <c r="G364" i="1" s="1"/>
  <c r="F365" i="1" l="1"/>
  <c r="H364" i="1"/>
  <c r="F366" i="1" l="1"/>
  <c r="H365" i="1"/>
  <c r="G365" i="1"/>
  <c r="H366" i="1" l="1"/>
  <c r="F367" i="1"/>
  <c r="G366" i="1"/>
  <c r="F368" i="1" l="1"/>
  <c r="G367" i="1"/>
  <c r="H367" i="1"/>
  <c r="H368" i="1" l="1"/>
  <c r="G368" i="1"/>
  <c r="F369" i="1"/>
  <c r="F370" i="1" l="1"/>
  <c r="G369" i="1"/>
  <c r="H369" i="1"/>
  <c r="G370" i="1" l="1"/>
  <c r="F371" i="1"/>
  <c r="H370" i="1"/>
  <c r="H371" i="1" l="1"/>
  <c r="F372" i="1"/>
  <c r="G371" i="1"/>
  <c r="H372" i="1" l="1"/>
  <c r="G372" i="1"/>
  <c r="F373" i="1"/>
  <c r="F374" i="1" l="1"/>
  <c r="G373" i="1"/>
  <c r="H373" i="1"/>
  <c r="H374" i="1" l="1"/>
  <c r="G374" i="1"/>
  <c r="F375" i="1"/>
  <c r="F376" i="1" l="1"/>
  <c r="H375" i="1"/>
  <c r="G375" i="1"/>
  <c r="G376" i="1" l="1"/>
  <c r="H376" i="1"/>
  <c r="F377" i="1"/>
  <c r="F378" i="1" l="1"/>
  <c r="H377" i="1"/>
  <c r="G377" i="1"/>
  <c r="G378" i="1" l="1"/>
  <c r="H378" i="1"/>
  <c r="F379" i="1"/>
  <c r="F380" i="1" l="1"/>
  <c r="H379" i="1"/>
  <c r="G379" i="1"/>
  <c r="G380" i="1" l="1"/>
  <c r="F381" i="1"/>
  <c r="H380" i="1"/>
  <c r="F382" i="1" l="1"/>
  <c r="H381" i="1"/>
  <c r="G381" i="1"/>
  <c r="G382" i="1" l="1"/>
  <c r="F383" i="1"/>
  <c r="H382" i="1"/>
  <c r="F384" i="1" l="1"/>
  <c r="H383" i="1"/>
  <c r="G383" i="1"/>
  <c r="F385" i="1" l="1"/>
  <c r="H384" i="1"/>
  <c r="G384" i="1"/>
  <c r="H385" i="1" l="1"/>
  <c r="F386" i="1"/>
  <c r="G385" i="1"/>
  <c r="G386" i="1" l="1"/>
  <c r="F387" i="1"/>
  <c r="H386" i="1"/>
  <c r="H387" i="1" l="1"/>
  <c r="F388" i="1"/>
  <c r="G387" i="1"/>
  <c r="G388" i="1" l="1"/>
  <c r="F389" i="1"/>
  <c r="H388" i="1"/>
  <c r="F390" i="1" l="1"/>
  <c r="H389" i="1"/>
  <c r="G389" i="1"/>
  <c r="G390" i="1" s="1"/>
  <c r="F391" i="1" l="1"/>
  <c r="H390" i="1"/>
  <c r="H391" i="1" l="1"/>
  <c r="F392" i="1"/>
  <c r="G391" i="1"/>
  <c r="G392" i="1" l="1"/>
  <c r="F393" i="1"/>
  <c r="H392" i="1"/>
  <c r="H393" i="1" l="1"/>
  <c r="F394" i="1"/>
  <c r="G393" i="1"/>
  <c r="F395" i="1" l="1"/>
  <c r="H394" i="1"/>
  <c r="H395" i="1" s="1"/>
  <c r="G394" i="1"/>
  <c r="G395" i="1" l="1"/>
  <c r="F396" i="1"/>
  <c r="F397" i="1" l="1"/>
  <c r="G396" i="1"/>
  <c r="H396" i="1"/>
  <c r="G397" i="1" l="1"/>
  <c r="F398" i="1"/>
  <c r="H397" i="1"/>
  <c r="H398" i="1" s="1"/>
  <c r="F399" i="1" l="1"/>
  <c r="G398" i="1"/>
  <c r="F400" i="1" l="1"/>
  <c r="H399" i="1"/>
  <c r="G399" i="1"/>
  <c r="G400" i="1" l="1"/>
  <c r="H400" i="1"/>
  <c r="F401" i="1"/>
  <c r="G401" i="1" s="1"/>
  <c r="F402" i="1" l="1"/>
  <c r="H401" i="1"/>
  <c r="H402" i="1" l="1"/>
  <c r="F403" i="1"/>
  <c r="G402" i="1"/>
  <c r="G403" i="1" l="1"/>
  <c r="F404" i="1"/>
  <c r="H403" i="1"/>
  <c r="F405" i="1" l="1"/>
  <c r="H404" i="1"/>
  <c r="G404" i="1"/>
  <c r="G405" i="1" s="1"/>
  <c r="F406" i="1" l="1"/>
  <c r="H405" i="1"/>
  <c r="H406" i="1" l="1"/>
  <c r="F407" i="1"/>
  <c r="G406" i="1"/>
  <c r="F408" i="1" l="1"/>
  <c r="G407" i="1"/>
  <c r="H407" i="1"/>
  <c r="H408" i="1" l="1"/>
  <c r="G408" i="1"/>
  <c r="F409" i="1"/>
  <c r="F410" i="1" l="1"/>
  <c r="H409" i="1"/>
  <c r="G409" i="1"/>
  <c r="G410" i="1" s="1"/>
  <c r="F411" i="1" l="1"/>
  <c r="H410" i="1"/>
  <c r="H411" i="1" s="1"/>
  <c r="F412" i="1" l="1"/>
  <c r="G411" i="1"/>
  <c r="G412" i="1" s="1"/>
  <c r="F413" i="1" l="1"/>
  <c r="H412" i="1"/>
  <c r="H413" i="1" l="1"/>
  <c r="F414" i="1"/>
  <c r="G413" i="1"/>
  <c r="F415" i="1" l="1"/>
  <c r="H414" i="1"/>
  <c r="G414" i="1"/>
  <c r="G415" i="1" s="1"/>
  <c r="H415" i="1" l="1"/>
  <c r="F416" i="1"/>
  <c r="H416" i="1" l="1"/>
  <c r="F417" i="1"/>
  <c r="G416" i="1"/>
  <c r="F418" i="1" l="1"/>
  <c r="G417" i="1"/>
  <c r="H417" i="1"/>
  <c r="H418" i="1" s="1"/>
  <c r="G418" i="1" l="1"/>
  <c r="F419" i="1"/>
  <c r="F420" i="1" l="1"/>
  <c r="H419" i="1"/>
  <c r="G419" i="1"/>
  <c r="F421" i="1" l="1"/>
  <c r="H420" i="1"/>
  <c r="G420" i="1"/>
  <c r="G421" i="1" l="1"/>
  <c r="F422" i="1"/>
  <c r="H421" i="1"/>
  <c r="F423" i="1" l="1"/>
  <c r="H422" i="1"/>
  <c r="G422" i="1"/>
  <c r="F424" i="1" l="1"/>
  <c r="H423" i="1"/>
  <c r="G423" i="1"/>
  <c r="G424" i="1" l="1"/>
  <c r="H424" i="1"/>
  <c r="F425" i="1"/>
  <c r="F426" i="1" l="1"/>
  <c r="H425" i="1"/>
  <c r="G425" i="1"/>
  <c r="G426" i="1" l="1"/>
  <c r="H426" i="1"/>
  <c r="F427" i="1"/>
  <c r="F428" i="1" l="1"/>
  <c r="G427" i="1"/>
  <c r="H427" i="1"/>
  <c r="F429" i="1" l="1"/>
  <c r="H428" i="1"/>
  <c r="G428" i="1"/>
  <c r="F430" i="1" l="1"/>
  <c r="H429" i="1"/>
  <c r="G429" i="1"/>
  <c r="G430" i="1" l="1"/>
  <c r="H430" i="1"/>
  <c r="F431" i="1"/>
  <c r="F432" i="1" l="1"/>
  <c r="H431" i="1"/>
  <c r="G431" i="1"/>
  <c r="G432" i="1" l="1"/>
  <c r="H432" i="1"/>
  <c r="F433" i="1"/>
  <c r="F434" i="1" l="1"/>
  <c r="H433" i="1"/>
  <c r="G433" i="1"/>
  <c r="G434" i="1" l="1"/>
  <c r="F435" i="1"/>
  <c r="H434" i="1"/>
  <c r="H435" i="1" l="1"/>
  <c r="F436" i="1"/>
  <c r="G435" i="1"/>
  <c r="G436" i="1" l="1"/>
  <c r="F437" i="1"/>
  <c r="H436" i="1"/>
  <c r="F438" i="1" l="1"/>
  <c r="H437" i="1"/>
  <c r="G437" i="1"/>
  <c r="F439" i="1" l="1"/>
  <c r="H438" i="1"/>
  <c r="G438" i="1"/>
  <c r="G439" i="1" s="1"/>
  <c r="H439" i="1" l="1"/>
  <c r="F440" i="1"/>
  <c r="F441" i="1" l="1"/>
  <c r="H440" i="1"/>
  <c r="G440" i="1"/>
  <c r="G441" i="1" s="1"/>
  <c r="H441" i="1" l="1"/>
  <c r="F442" i="1"/>
  <c r="F443" i="1" l="1"/>
  <c r="H442" i="1"/>
  <c r="G442" i="1"/>
  <c r="F444" i="1" l="1"/>
  <c r="H443" i="1"/>
  <c r="G443" i="1"/>
  <c r="G444" i="1" s="1"/>
  <c r="F445" i="1" l="1"/>
  <c r="H444" i="1"/>
  <c r="F446" i="1" l="1"/>
  <c r="H445" i="1"/>
  <c r="G445" i="1"/>
  <c r="G446" i="1" l="1"/>
  <c r="H446" i="1"/>
  <c r="F447" i="1"/>
  <c r="F448" i="1" l="1"/>
  <c r="H447" i="1"/>
  <c r="H448" i="1" s="1"/>
  <c r="G447" i="1"/>
  <c r="G448" i="1" s="1"/>
  <c r="F449" i="1" l="1"/>
  <c r="F450" i="1" l="1"/>
  <c r="H449" i="1"/>
  <c r="G449" i="1"/>
  <c r="G450" i="1" s="1"/>
  <c r="H450" i="1" l="1"/>
  <c r="F451" i="1"/>
  <c r="F452" i="1" l="1"/>
  <c r="H451" i="1"/>
  <c r="G451" i="1"/>
  <c r="F453" i="1" l="1"/>
  <c r="H452" i="1"/>
  <c r="G452" i="1"/>
  <c r="F454" i="1" l="1"/>
  <c r="H453" i="1"/>
  <c r="G453" i="1"/>
  <c r="H454" i="1" l="1"/>
  <c r="F455" i="1"/>
  <c r="G454" i="1"/>
  <c r="G455" i="1" l="1"/>
  <c r="F456" i="1"/>
  <c r="H455" i="1"/>
  <c r="H456" i="1" l="1"/>
  <c r="F457" i="1"/>
  <c r="G456" i="1"/>
  <c r="F458" i="1" l="1"/>
  <c r="H457" i="1"/>
  <c r="G457" i="1"/>
  <c r="G458" i="1" l="1"/>
  <c r="F459" i="1"/>
  <c r="H458" i="1"/>
  <c r="H459" i="1" l="1"/>
  <c r="F460" i="1"/>
  <c r="G459" i="1"/>
  <c r="G460" i="1" l="1"/>
  <c r="F461" i="1"/>
  <c r="H460" i="1"/>
  <c r="H461" i="1" l="1"/>
  <c r="F462" i="1"/>
  <c r="G461" i="1"/>
  <c r="G462" i="1" l="1"/>
  <c r="F463" i="1"/>
  <c r="H462" i="1"/>
  <c r="H463" i="1" l="1"/>
  <c r="F464" i="1"/>
  <c r="G463" i="1"/>
  <c r="G464" i="1" l="1"/>
  <c r="F465" i="1"/>
  <c r="H464" i="1"/>
  <c r="H465" i="1" l="1"/>
  <c r="F466" i="1"/>
  <c r="G465" i="1"/>
  <c r="G466" i="1" l="1"/>
  <c r="F467" i="1"/>
  <c r="H466" i="1"/>
  <c r="F468" i="1" l="1"/>
  <c r="H467" i="1"/>
  <c r="G467" i="1"/>
  <c r="F469" i="1" l="1"/>
  <c r="H468" i="1"/>
  <c r="G468" i="1"/>
  <c r="G469" i="1" l="1"/>
  <c r="F470" i="1"/>
  <c r="H469" i="1"/>
  <c r="H470" i="1" s="1"/>
  <c r="F471" i="1" l="1"/>
  <c r="G470" i="1"/>
  <c r="G471" i="1" l="1"/>
  <c r="F472" i="1"/>
  <c r="G472" i="1" s="1"/>
  <c r="H471" i="1"/>
  <c r="H472" i="1" l="1"/>
  <c r="F473" i="1"/>
  <c r="H473" i="1" s="1"/>
  <c r="F474" i="1" l="1"/>
  <c r="G473" i="1"/>
  <c r="F475" i="1" l="1"/>
  <c r="G474" i="1"/>
  <c r="H474" i="1"/>
  <c r="H475" i="1" s="1"/>
  <c r="G475" i="1" l="1"/>
  <c r="F476" i="1"/>
  <c r="F477" i="1" l="1"/>
  <c r="H476" i="1"/>
  <c r="G476" i="1"/>
  <c r="G477" i="1" l="1"/>
  <c r="F478" i="1"/>
  <c r="H477" i="1"/>
  <c r="H478" i="1" l="1"/>
  <c r="F479" i="1"/>
  <c r="G478" i="1"/>
  <c r="G479" i="1" l="1"/>
  <c r="F480" i="1"/>
  <c r="H479" i="1"/>
  <c r="F481" i="1" l="1"/>
  <c r="H480" i="1"/>
  <c r="G480" i="1"/>
  <c r="H481" i="1" l="1"/>
  <c r="F482" i="1"/>
  <c r="G481" i="1"/>
  <c r="G482" i="1" l="1"/>
  <c r="F483" i="1"/>
  <c r="H482" i="1"/>
  <c r="H483" i="1" l="1"/>
  <c r="F484" i="1"/>
  <c r="G483" i="1"/>
  <c r="G484" i="1" l="1"/>
  <c r="F485" i="1"/>
  <c r="H484" i="1"/>
  <c r="F486" i="1" l="1"/>
  <c r="H485" i="1"/>
  <c r="H486" i="1" s="1"/>
  <c r="G485" i="1"/>
  <c r="F487" i="1" l="1"/>
  <c r="G486" i="1"/>
  <c r="G487" i="1" l="1"/>
  <c r="F488" i="1"/>
  <c r="H487" i="1"/>
  <c r="H488" i="1" s="1"/>
  <c r="F489" i="1" l="1"/>
  <c r="G488" i="1"/>
  <c r="G489" i="1" l="1"/>
  <c r="F490" i="1"/>
  <c r="H489" i="1"/>
  <c r="F491" i="1" l="1"/>
  <c r="H490" i="1"/>
  <c r="H491" i="1" s="1"/>
  <c r="G490" i="1"/>
  <c r="G491" i="1" s="1"/>
  <c r="F492" i="1" l="1"/>
  <c r="G492" i="1" s="1"/>
  <c r="F493" i="1" l="1"/>
  <c r="H492" i="1"/>
  <c r="H493" i="1" l="1"/>
  <c r="F494" i="1"/>
  <c r="G493" i="1"/>
  <c r="G494" i="1" l="1"/>
  <c r="F495" i="1"/>
  <c r="H494" i="1"/>
  <c r="F496" i="1" l="1"/>
  <c r="H495" i="1"/>
  <c r="H496" i="1" s="1"/>
  <c r="G495" i="1"/>
  <c r="G496" i="1" s="1"/>
  <c r="F497" i="1" l="1"/>
  <c r="G497" i="1" s="1"/>
  <c r="F498" i="1" l="1"/>
  <c r="H497" i="1"/>
  <c r="H498" i="1" l="1"/>
  <c r="F499" i="1"/>
  <c r="G498" i="1"/>
  <c r="F500" i="1" l="1"/>
  <c r="H499" i="1"/>
  <c r="G499" i="1"/>
  <c r="G500" i="1" l="1"/>
  <c r="F501" i="1"/>
  <c r="H500" i="1"/>
  <c r="F502" i="1" l="1"/>
  <c r="H501" i="1"/>
  <c r="G501" i="1"/>
  <c r="G502" i="1" l="1"/>
  <c r="F503" i="1"/>
  <c r="H502" i="1"/>
  <c r="F504" i="1" l="1"/>
  <c r="H503" i="1"/>
  <c r="H504" i="1" s="1"/>
  <c r="G503" i="1"/>
  <c r="F505" i="1" l="1"/>
  <c r="G504" i="1"/>
  <c r="G505" i="1" l="1"/>
  <c r="F506" i="1"/>
  <c r="H505" i="1"/>
  <c r="F507" i="1" l="1"/>
  <c r="H506" i="1"/>
  <c r="G506" i="1"/>
  <c r="G507" i="1" s="1"/>
  <c r="H507" i="1" l="1"/>
  <c r="F508" i="1"/>
  <c r="F509" i="1" l="1"/>
  <c r="H508" i="1"/>
  <c r="G508" i="1"/>
  <c r="G509" i="1" s="1"/>
  <c r="F510" i="1" l="1"/>
  <c r="H509" i="1"/>
  <c r="H510" i="1" l="1"/>
  <c r="F511" i="1"/>
  <c r="G510" i="1"/>
  <c r="G511" i="1" l="1"/>
  <c r="F512" i="1"/>
  <c r="H511" i="1"/>
  <c r="H512" i="1" l="1"/>
  <c r="F513" i="1"/>
  <c r="G512" i="1"/>
  <c r="F514" i="1" l="1"/>
  <c r="H513" i="1"/>
  <c r="G513" i="1"/>
  <c r="G514" i="1" l="1"/>
  <c r="F515" i="1"/>
  <c r="H514" i="1"/>
  <c r="H515" i="1" l="1"/>
  <c r="F516" i="1"/>
  <c r="G515" i="1"/>
  <c r="G516" i="1" l="1"/>
  <c r="F517" i="1"/>
  <c r="H516" i="1"/>
  <c r="F518" i="1" l="1"/>
  <c r="H517" i="1"/>
  <c r="G517" i="1"/>
  <c r="F519" i="1" l="1"/>
  <c r="H518" i="1"/>
  <c r="G518" i="1"/>
  <c r="G519" i="1" l="1"/>
  <c r="F520" i="1"/>
  <c r="H519" i="1"/>
  <c r="H520" i="1" s="1"/>
  <c r="F521" i="1" l="1"/>
  <c r="G520" i="1"/>
  <c r="G521" i="1" l="1"/>
  <c r="F522" i="1"/>
  <c r="H521" i="1"/>
  <c r="F523" i="1" l="1"/>
  <c r="H522" i="1"/>
  <c r="H523" i="1" s="1"/>
  <c r="G522" i="1"/>
  <c r="G523" i="1" l="1"/>
  <c r="F524" i="1"/>
  <c r="F525" i="1" l="1"/>
  <c r="H524" i="1"/>
  <c r="H525" i="1" s="1"/>
  <c r="G524" i="1"/>
  <c r="G525" i="1" s="1"/>
  <c r="F526" i="1" l="1"/>
  <c r="G526" i="1" s="1"/>
  <c r="F527" i="1" l="1"/>
  <c r="H526" i="1"/>
  <c r="F528" i="1" l="1"/>
  <c r="H527" i="1"/>
  <c r="H528" i="1" s="1"/>
  <c r="G527" i="1"/>
  <c r="G528" i="1" s="1"/>
  <c r="F529" i="1" l="1"/>
  <c r="F530" i="1" l="1"/>
  <c r="H529" i="1"/>
  <c r="G529" i="1"/>
  <c r="G530" i="1" s="1"/>
  <c r="F531" i="1" l="1"/>
  <c r="H530" i="1"/>
  <c r="H531" i="1" s="1"/>
  <c r="F532" i="1" l="1"/>
  <c r="G531" i="1"/>
  <c r="F533" i="1" l="1"/>
  <c r="H532" i="1"/>
  <c r="G532" i="1"/>
  <c r="G533" i="1" s="1"/>
  <c r="F534" i="1" l="1"/>
  <c r="H533" i="1"/>
  <c r="F535" i="1" l="1"/>
  <c r="H534" i="1"/>
  <c r="G534" i="1"/>
  <c r="G535" i="1" l="1"/>
  <c r="F536" i="1"/>
  <c r="H535" i="1"/>
  <c r="F537" i="1" l="1"/>
  <c r="H536" i="1"/>
  <c r="G536" i="1"/>
  <c r="G537" i="1" l="1"/>
  <c r="H537" i="1"/>
  <c r="F538" i="1"/>
  <c r="F539" i="1" l="1"/>
  <c r="H538" i="1"/>
  <c r="G538" i="1"/>
  <c r="G539" i="1" l="1"/>
  <c r="H539" i="1"/>
  <c r="F540" i="1"/>
  <c r="F541" i="1" l="1"/>
  <c r="G540" i="1"/>
  <c r="H540" i="1"/>
  <c r="F542" i="1" l="1"/>
  <c r="H541" i="1"/>
  <c r="G541" i="1"/>
  <c r="G542" i="1" l="1"/>
  <c r="F543" i="1"/>
  <c r="H542" i="1"/>
  <c r="H543" i="1" l="1"/>
  <c r="F544" i="1"/>
  <c r="G543" i="1"/>
  <c r="G544" i="1" l="1"/>
  <c r="F545" i="1"/>
  <c r="H544" i="1"/>
  <c r="H545" i="1" l="1"/>
  <c r="F546" i="1"/>
  <c r="G545" i="1"/>
  <c r="F547" i="1" l="1"/>
  <c r="H546" i="1"/>
  <c r="H547" i="1" s="1"/>
  <c r="G546" i="1"/>
  <c r="G547" i="1" l="1"/>
  <c r="F548" i="1"/>
  <c r="F549" i="1" l="1"/>
  <c r="H548" i="1"/>
  <c r="G548" i="1"/>
  <c r="F550" i="1" l="1"/>
  <c r="H549" i="1"/>
  <c r="G549" i="1"/>
  <c r="G550" i="1" l="1"/>
  <c r="F551" i="1"/>
  <c r="H550" i="1"/>
  <c r="F552" i="1" l="1"/>
  <c r="H551" i="1"/>
  <c r="G551" i="1"/>
  <c r="H552" i="1" l="1"/>
  <c r="G552" i="1"/>
  <c r="F553" i="1"/>
  <c r="F554" i="1" l="1"/>
  <c r="G553" i="1"/>
  <c r="H553" i="1"/>
  <c r="H554" i="1" l="1"/>
  <c r="G554" i="1"/>
  <c r="F555" i="1"/>
  <c r="F556" i="1" l="1"/>
  <c r="G555" i="1"/>
  <c r="H555" i="1"/>
  <c r="F557" i="1" l="1"/>
  <c r="H556" i="1"/>
  <c r="G556" i="1"/>
  <c r="G557" i="1" l="1"/>
  <c r="F558" i="1"/>
  <c r="H557" i="1"/>
  <c r="H558" i="1" l="1"/>
  <c r="F559" i="1"/>
  <c r="G558" i="1"/>
  <c r="G559" i="1" l="1"/>
  <c r="H559" i="1"/>
  <c r="F560" i="1"/>
  <c r="F561" i="1" l="1"/>
  <c r="H560" i="1"/>
  <c r="G560" i="1"/>
  <c r="H561" i="1" l="1"/>
  <c r="F562" i="1"/>
  <c r="G561" i="1"/>
  <c r="G562" i="1" l="1"/>
  <c r="F563" i="1"/>
  <c r="H562" i="1"/>
  <c r="H563" i="1" l="1"/>
  <c r="F564" i="1"/>
  <c r="G563" i="1"/>
  <c r="G564" i="1" l="1"/>
  <c r="F565" i="1"/>
  <c r="H564" i="1"/>
  <c r="F566" i="1" l="1"/>
  <c r="H565" i="1"/>
  <c r="H566" i="1" s="1"/>
  <c r="G565" i="1"/>
  <c r="G566" i="1" s="1"/>
  <c r="F567" i="1" l="1"/>
  <c r="F568" i="1" l="1"/>
  <c r="G567" i="1"/>
  <c r="H567" i="1"/>
  <c r="H568" i="1" l="1"/>
  <c r="G568" i="1"/>
  <c r="F569" i="1"/>
  <c r="F570" i="1" l="1"/>
  <c r="G569" i="1"/>
  <c r="H569" i="1"/>
  <c r="G570" i="1" l="1"/>
  <c r="F571" i="1"/>
  <c r="H570" i="1"/>
  <c r="H571" i="1" l="1"/>
  <c r="F572" i="1"/>
  <c r="G571" i="1"/>
  <c r="F573" i="1" l="1"/>
  <c r="G572" i="1"/>
  <c r="H572" i="1"/>
  <c r="H573" i="1" l="1"/>
  <c r="G573" i="1"/>
  <c r="F574" i="1"/>
  <c r="F575" i="1" l="1"/>
  <c r="G574" i="1"/>
  <c r="H574" i="1"/>
  <c r="F576" i="1" l="1"/>
  <c r="H575" i="1"/>
  <c r="H576" i="1" s="1"/>
  <c r="G575" i="1"/>
  <c r="G576" i="1" l="1"/>
  <c r="F577" i="1"/>
  <c r="F578" i="1" l="1"/>
  <c r="H577" i="1"/>
  <c r="G577" i="1"/>
  <c r="G578" i="1" l="1"/>
  <c r="F579" i="1"/>
  <c r="H578" i="1"/>
  <c r="H579" i="1" l="1"/>
  <c r="F580" i="1"/>
  <c r="G579" i="1"/>
  <c r="F581" i="1" l="1"/>
  <c r="H580" i="1"/>
  <c r="G580" i="1"/>
  <c r="G581" i="1" l="1"/>
  <c r="F582" i="1"/>
  <c r="H581" i="1"/>
  <c r="H582" i="1" l="1"/>
  <c r="F583" i="1"/>
  <c r="G582" i="1"/>
  <c r="G583" i="1" l="1"/>
  <c r="F584" i="1"/>
  <c r="H583" i="1"/>
  <c r="H584" i="1" l="1"/>
  <c r="F585" i="1"/>
  <c r="G584" i="1"/>
  <c r="G585" i="1" l="1"/>
  <c r="F586" i="1"/>
  <c r="H585" i="1"/>
  <c r="F587" i="1" l="1"/>
  <c r="H586" i="1"/>
  <c r="G586" i="1"/>
  <c r="G587" i="1" l="1"/>
  <c r="H587" i="1"/>
  <c r="F588" i="1"/>
  <c r="G588" i="1" l="1"/>
  <c r="F589" i="1"/>
  <c r="H588" i="1"/>
  <c r="F590" i="1" l="1"/>
  <c r="H589" i="1"/>
  <c r="G589" i="1"/>
  <c r="F591" i="1" l="1"/>
  <c r="H590" i="1"/>
  <c r="G590" i="1"/>
  <c r="G591" i="1" l="1"/>
  <c r="F592" i="1"/>
  <c r="H591" i="1"/>
  <c r="H592" i="1" s="1"/>
  <c r="F593" i="1" l="1"/>
  <c r="G592" i="1"/>
  <c r="G593" i="1" l="1"/>
  <c r="F594" i="1"/>
  <c r="H593" i="1"/>
  <c r="H594" i="1" l="1"/>
  <c r="F595" i="1"/>
  <c r="G594" i="1"/>
  <c r="F596" i="1" l="1"/>
  <c r="H595" i="1"/>
  <c r="G595" i="1"/>
  <c r="F597" i="1" l="1"/>
  <c r="H596" i="1"/>
  <c r="G596" i="1"/>
  <c r="G597" i="1" l="1"/>
  <c r="F598" i="1"/>
  <c r="H597" i="1"/>
  <c r="F599" i="1" l="1"/>
  <c r="H598" i="1"/>
  <c r="G598" i="1"/>
  <c r="G599" i="1" l="1"/>
  <c r="F600" i="1"/>
  <c r="H599" i="1"/>
  <c r="F601" i="1" l="1"/>
  <c r="H600" i="1"/>
  <c r="G600" i="1"/>
  <c r="G601" i="1" s="1"/>
  <c r="F602" i="1" l="1"/>
  <c r="H601" i="1"/>
  <c r="F603" i="1" l="1"/>
  <c r="H602" i="1"/>
  <c r="G602" i="1"/>
  <c r="G603" i="1" l="1"/>
  <c r="H603" i="1"/>
  <c r="F604" i="1"/>
  <c r="F605" i="1" l="1"/>
  <c r="H604" i="1"/>
  <c r="G604" i="1"/>
  <c r="G605" i="1" l="1"/>
  <c r="F606" i="1"/>
  <c r="H605" i="1"/>
  <c r="H606" i="1" l="1"/>
  <c r="F607" i="1"/>
  <c r="G606" i="1"/>
  <c r="G607" i="1" s="1"/>
  <c r="F608" i="1" l="1"/>
  <c r="H607" i="1"/>
  <c r="H608" i="1" l="1"/>
  <c r="F609" i="1"/>
  <c r="G608" i="1"/>
  <c r="F610" i="1" l="1"/>
  <c r="H609" i="1"/>
  <c r="G609" i="1"/>
  <c r="G610" i="1" s="1"/>
  <c r="F611" i="1" l="1"/>
  <c r="H610" i="1"/>
  <c r="H611" i="1" l="1"/>
  <c r="F612" i="1"/>
  <c r="G611" i="1"/>
  <c r="G612" i="1" l="1"/>
  <c r="F613" i="1"/>
  <c r="H612" i="1"/>
  <c r="F614" i="1" l="1"/>
  <c r="H613" i="1"/>
  <c r="G613" i="1"/>
  <c r="F615" i="1" l="1"/>
  <c r="H614" i="1"/>
  <c r="H615" i="1" s="1"/>
  <c r="G614" i="1"/>
  <c r="G615" i="1" s="1"/>
  <c r="F616" i="1" l="1"/>
  <c r="F617" i="1" l="1"/>
  <c r="H616" i="1"/>
  <c r="G616" i="1"/>
  <c r="G617" i="1" l="1"/>
  <c r="H617" i="1"/>
  <c r="F618" i="1"/>
  <c r="F619" i="1" l="1"/>
  <c r="H618" i="1"/>
  <c r="G618" i="1"/>
  <c r="F620" i="1" l="1"/>
  <c r="H619" i="1"/>
  <c r="G619" i="1"/>
  <c r="F621" i="1" l="1"/>
  <c r="H620" i="1"/>
  <c r="G620" i="1"/>
  <c r="G621" i="1" l="1"/>
  <c r="F622" i="1"/>
  <c r="H621" i="1"/>
  <c r="H622" i="1" s="1"/>
  <c r="F623" i="1" l="1"/>
  <c r="G622" i="1"/>
  <c r="G623" i="1" l="1"/>
  <c r="F624" i="1"/>
  <c r="H623" i="1"/>
  <c r="F625" i="1" l="1"/>
  <c r="H624" i="1"/>
  <c r="G624" i="1"/>
  <c r="G625" i="1" s="1"/>
  <c r="F626" i="1" l="1"/>
  <c r="H625" i="1"/>
  <c r="F627" i="1" l="1"/>
  <c r="H626" i="1"/>
  <c r="G626" i="1"/>
  <c r="H627" i="1" l="1"/>
  <c r="G627" i="1"/>
  <c r="F628" i="1"/>
  <c r="F629" i="1" l="1"/>
  <c r="H628" i="1"/>
  <c r="G628" i="1"/>
  <c r="G629" i="1" l="1"/>
  <c r="F630" i="1"/>
  <c r="H629" i="1"/>
  <c r="F631" i="1" l="1"/>
  <c r="H630" i="1"/>
  <c r="G630" i="1"/>
  <c r="G631" i="1" s="1"/>
  <c r="F632" i="1" l="1"/>
  <c r="H631" i="1"/>
  <c r="H632" i="1" s="1"/>
  <c r="F633" i="1" l="1"/>
  <c r="G632" i="1"/>
  <c r="F634" i="1" l="1"/>
  <c r="H633" i="1"/>
  <c r="G633" i="1"/>
  <c r="G634" i="1" l="1"/>
  <c r="F635" i="1"/>
  <c r="H634" i="1"/>
  <c r="H635" i="1" l="1"/>
  <c r="F636" i="1"/>
  <c r="G635" i="1"/>
  <c r="G636" i="1" l="1"/>
  <c r="F637" i="1"/>
  <c r="H636" i="1"/>
  <c r="H637" i="1" l="1"/>
  <c r="F638" i="1"/>
  <c r="G637" i="1"/>
  <c r="F639" i="1" l="1"/>
  <c r="H638" i="1"/>
  <c r="G638" i="1"/>
  <c r="G639" i="1" l="1"/>
  <c r="F640" i="1"/>
  <c r="H639" i="1"/>
  <c r="H640" i="1" l="1"/>
  <c r="F641" i="1"/>
  <c r="G640" i="1"/>
  <c r="G641" i="1" l="1"/>
  <c r="F642" i="1"/>
  <c r="H641" i="1"/>
  <c r="H642" i="1" l="1"/>
  <c r="F643" i="1"/>
  <c r="G642" i="1"/>
  <c r="F644" i="1" l="1"/>
  <c r="H643" i="1"/>
  <c r="G643" i="1"/>
  <c r="F645" i="1" l="1"/>
  <c r="H644" i="1"/>
  <c r="G644" i="1"/>
  <c r="G645" i="1" l="1"/>
  <c r="F646" i="1"/>
  <c r="H645" i="1"/>
  <c r="F647" i="1" l="1"/>
  <c r="H646" i="1"/>
  <c r="G646" i="1"/>
  <c r="G647" i="1" l="1"/>
  <c r="H647" i="1"/>
  <c r="F648" i="1"/>
  <c r="F649" i="1" l="1"/>
  <c r="H648" i="1"/>
  <c r="G648" i="1"/>
  <c r="F650" i="1" l="1"/>
  <c r="H649" i="1"/>
  <c r="G649" i="1"/>
  <c r="G650" i="1" l="1"/>
  <c r="F651" i="1"/>
  <c r="H650" i="1"/>
  <c r="H651" i="1" s="1"/>
  <c r="F652" i="1" l="1"/>
  <c r="G651" i="1"/>
  <c r="G652" i="1" l="1"/>
  <c r="F653" i="1"/>
  <c r="H652" i="1"/>
  <c r="F654" i="1" l="1"/>
  <c r="H653" i="1"/>
  <c r="G653" i="1"/>
  <c r="G654" i="1" s="1"/>
  <c r="F655" i="1" l="1"/>
  <c r="H654" i="1"/>
  <c r="F656" i="1" l="1"/>
  <c r="H655" i="1"/>
  <c r="G655" i="1"/>
  <c r="G656" i="1" l="1"/>
  <c r="H656" i="1"/>
  <c r="F657" i="1"/>
  <c r="F658" i="1" l="1"/>
  <c r="G657" i="1"/>
  <c r="H657" i="1"/>
  <c r="F659" i="1" l="1"/>
  <c r="H658" i="1"/>
  <c r="G658" i="1"/>
  <c r="G659" i="1" l="1"/>
  <c r="H659" i="1"/>
  <c r="F660" i="1"/>
  <c r="F661" i="1" l="1"/>
  <c r="H660" i="1"/>
  <c r="G660" i="1"/>
  <c r="G661" i="1" l="1"/>
  <c r="H661" i="1"/>
  <c r="F662" i="1"/>
  <c r="F663" i="1" l="1"/>
  <c r="G662" i="1"/>
  <c r="G663" i="1" s="1"/>
  <c r="H662" i="1"/>
  <c r="F664" i="1" l="1"/>
  <c r="H663" i="1"/>
  <c r="H664" i="1" l="1"/>
  <c r="F665" i="1"/>
  <c r="G664" i="1"/>
  <c r="G665" i="1" l="1"/>
  <c r="F666" i="1"/>
  <c r="H665" i="1"/>
  <c r="H666" i="1" l="1"/>
  <c r="F667" i="1"/>
  <c r="G666" i="1"/>
  <c r="G667" i="1" l="1"/>
  <c r="F668" i="1"/>
  <c r="H667" i="1"/>
  <c r="F669" i="1" l="1"/>
  <c r="H668" i="1"/>
  <c r="G668" i="1"/>
  <c r="G669" i="1" l="1"/>
  <c r="F670" i="1"/>
  <c r="H669" i="1"/>
  <c r="F671" i="1" l="1"/>
  <c r="H670" i="1"/>
  <c r="H671" i="1" s="1"/>
  <c r="G670" i="1"/>
  <c r="G671" i="1" s="1"/>
  <c r="F672" i="1" l="1"/>
  <c r="F673" i="1" l="1"/>
  <c r="H672" i="1"/>
  <c r="G672" i="1"/>
  <c r="G673" i="1" s="1"/>
  <c r="F674" i="1" l="1"/>
  <c r="H673" i="1"/>
  <c r="F675" i="1" l="1"/>
  <c r="H674" i="1"/>
  <c r="H675" i="1" s="1"/>
  <c r="G674" i="1"/>
  <c r="G675" i="1" s="1"/>
  <c r="F676" i="1" l="1"/>
  <c r="F677" i="1" l="1"/>
  <c r="G676" i="1"/>
  <c r="H676" i="1"/>
  <c r="G677" i="1" l="1"/>
  <c r="F678" i="1"/>
  <c r="H677" i="1"/>
  <c r="F679" i="1" l="1"/>
  <c r="H678" i="1"/>
  <c r="G678" i="1"/>
  <c r="G679" i="1" s="1"/>
  <c r="F680" i="1" l="1"/>
  <c r="H679" i="1"/>
  <c r="H680" i="1" l="1"/>
  <c r="F681" i="1"/>
  <c r="G680" i="1"/>
  <c r="G681" i="1" l="1"/>
  <c r="F682" i="1"/>
  <c r="H681" i="1"/>
  <c r="F683" i="1" l="1"/>
  <c r="H682" i="1"/>
  <c r="G682" i="1"/>
  <c r="H683" i="1" l="1"/>
  <c r="F684" i="1"/>
  <c r="G683" i="1"/>
  <c r="G684" i="1" l="1"/>
  <c r="F685" i="1"/>
  <c r="H684" i="1"/>
  <c r="H685" i="1" l="1"/>
  <c r="F686" i="1"/>
  <c r="G685" i="1"/>
  <c r="G686" i="1" l="1"/>
  <c r="F687" i="1"/>
  <c r="H686" i="1"/>
  <c r="F688" i="1" l="1"/>
  <c r="H687" i="1"/>
  <c r="H688" i="1" s="1"/>
  <c r="G687" i="1"/>
  <c r="G688" i="1" s="1"/>
  <c r="F689" i="1" l="1"/>
  <c r="F690" i="1" l="1"/>
  <c r="H689" i="1"/>
  <c r="G689" i="1"/>
  <c r="G690" i="1" l="1"/>
  <c r="F691" i="1"/>
  <c r="H690" i="1"/>
  <c r="H691" i="1" l="1"/>
  <c r="F692" i="1"/>
  <c r="G691" i="1"/>
  <c r="F693" i="1" l="1"/>
  <c r="H692" i="1"/>
  <c r="G692" i="1"/>
  <c r="G693" i="1" l="1"/>
  <c r="F694" i="1"/>
  <c r="H693" i="1"/>
  <c r="F695" i="1" l="1"/>
  <c r="H694" i="1"/>
  <c r="H695" i="1" s="1"/>
  <c r="G694" i="1"/>
  <c r="G695" i="1" s="1"/>
  <c r="F696" i="1" l="1"/>
  <c r="F697" i="1" l="1"/>
  <c r="H696" i="1"/>
  <c r="G696" i="1"/>
  <c r="F698" i="1" l="1"/>
  <c r="H697" i="1"/>
  <c r="G697" i="1"/>
  <c r="F699" i="1" l="1"/>
  <c r="H698" i="1"/>
  <c r="H699" i="1" s="1"/>
  <c r="G698" i="1"/>
  <c r="G699" i="1" s="1"/>
  <c r="F700" i="1" l="1"/>
  <c r="F701" i="1" l="1"/>
  <c r="G700" i="1"/>
  <c r="H700" i="1"/>
  <c r="F702" i="1" l="1"/>
  <c r="H701" i="1"/>
  <c r="G701" i="1"/>
  <c r="G702" i="1" l="1"/>
  <c r="F703" i="1"/>
  <c r="H702" i="1"/>
  <c r="H703" i="1" l="1"/>
  <c r="F704" i="1"/>
  <c r="G703" i="1"/>
  <c r="G704" i="1" l="1"/>
  <c r="F705" i="1"/>
  <c r="H704" i="1"/>
  <c r="H705" i="1" l="1"/>
  <c r="F706" i="1"/>
  <c r="G705" i="1"/>
  <c r="G706" i="1" l="1"/>
  <c r="F707" i="1"/>
  <c r="G707" i="1" s="1"/>
  <c r="H706" i="1"/>
  <c r="H707" i="1" l="1"/>
  <c r="F708" i="1"/>
  <c r="F709" i="1" l="1"/>
  <c r="H708" i="1"/>
  <c r="G708" i="1"/>
  <c r="G709" i="1" s="1"/>
  <c r="F710" i="1" l="1"/>
  <c r="H709" i="1"/>
  <c r="H710" i="1" s="1"/>
  <c r="F711" i="1" l="1"/>
  <c r="G710" i="1"/>
  <c r="F712" i="1" l="1"/>
  <c r="H711" i="1"/>
  <c r="G711" i="1"/>
  <c r="H712" i="1" l="1"/>
  <c r="G712" i="1"/>
  <c r="F713" i="1"/>
  <c r="F714" i="1" l="1"/>
  <c r="H713" i="1"/>
  <c r="G713" i="1"/>
  <c r="G714" i="1" l="1"/>
  <c r="H714" i="1"/>
  <c r="F715" i="1"/>
  <c r="F716" i="1" l="1"/>
  <c r="H715" i="1"/>
  <c r="G715" i="1"/>
  <c r="F717" i="1" l="1"/>
  <c r="H716" i="1"/>
  <c r="G716" i="1"/>
  <c r="G717" i="1" s="1"/>
  <c r="F718" i="1" l="1"/>
  <c r="H717" i="1"/>
  <c r="H718" i="1" s="1"/>
  <c r="F719" i="1" l="1"/>
  <c r="G718" i="1"/>
  <c r="G719" i="1" l="1"/>
  <c r="F720" i="1"/>
  <c r="H719" i="1"/>
  <c r="F721" i="1" l="1"/>
  <c r="H720" i="1"/>
  <c r="G720" i="1"/>
  <c r="F722" i="1" l="1"/>
  <c r="H721" i="1"/>
  <c r="G721" i="1"/>
  <c r="G722" i="1" l="1"/>
  <c r="F723" i="1"/>
  <c r="H722" i="1"/>
  <c r="H723" i="1" l="1"/>
  <c r="F724" i="1"/>
  <c r="G723" i="1"/>
  <c r="F725" i="1" l="1"/>
  <c r="G724" i="1"/>
  <c r="H724" i="1"/>
  <c r="G725" i="1" l="1"/>
  <c r="F726" i="1"/>
  <c r="H725" i="1"/>
  <c r="H726" i="1" l="1"/>
  <c r="F727" i="1"/>
  <c r="G726" i="1"/>
  <c r="G727" i="1" l="1"/>
  <c r="F728" i="1"/>
  <c r="H727" i="1"/>
  <c r="H728" i="1" l="1"/>
  <c r="F729" i="1"/>
  <c r="G728" i="1"/>
  <c r="F730" i="1" l="1"/>
  <c r="G729" i="1"/>
  <c r="H729" i="1"/>
  <c r="F731" i="1" l="1"/>
  <c r="H730" i="1"/>
  <c r="G730" i="1"/>
  <c r="H731" i="1" l="1"/>
  <c r="F732" i="1"/>
  <c r="G731" i="1"/>
  <c r="G732" i="1" l="1"/>
  <c r="F733" i="1"/>
  <c r="H732" i="1"/>
  <c r="F734" i="1" l="1"/>
  <c r="H733" i="1"/>
  <c r="G733" i="1"/>
  <c r="F735" i="1" l="1"/>
  <c r="H734" i="1"/>
  <c r="G734" i="1"/>
  <c r="F736" i="1" l="1"/>
  <c r="H735" i="1"/>
  <c r="H736" i="1" s="1"/>
  <c r="G735" i="1"/>
  <c r="G736" i="1" s="1"/>
  <c r="F737" i="1" l="1"/>
  <c r="F738" i="1" l="1"/>
  <c r="G737" i="1"/>
  <c r="G738" i="1" s="1"/>
  <c r="H737" i="1"/>
  <c r="F739" i="1" l="1"/>
  <c r="H738" i="1"/>
  <c r="F740" i="1" l="1"/>
  <c r="H739" i="1"/>
  <c r="G739" i="1"/>
  <c r="G740" i="1" s="1"/>
  <c r="F741" i="1" l="1"/>
  <c r="H740" i="1"/>
  <c r="F742" i="1" l="1"/>
  <c r="H741" i="1"/>
  <c r="H742" i="1" s="1"/>
  <c r="G741" i="1"/>
  <c r="F743" i="1" l="1"/>
  <c r="G742" i="1"/>
  <c r="F744" i="1" l="1"/>
  <c r="G743" i="1"/>
  <c r="H743" i="1"/>
  <c r="F745" i="1" l="1"/>
  <c r="H744" i="1"/>
  <c r="G744" i="1"/>
  <c r="F746" i="1" l="1"/>
  <c r="H745" i="1"/>
  <c r="G745" i="1"/>
  <c r="G746" i="1" l="1"/>
  <c r="F747" i="1"/>
  <c r="H746" i="1"/>
  <c r="H747" i="1" l="1"/>
  <c r="F748" i="1"/>
  <c r="G747" i="1"/>
  <c r="G748" i="1" l="1"/>
  <c r="H748" i="1"/>
  <c r="F749" i="1"/>
  <c r="F750" i="1" l="1"/>
  <c r="H749" i="1"/>
  <c r="G749" i="1"/>
  <c r="G750" i="1" l="1"/>
  <c r="H750" i="1"/>
  <c r="F751" i="1"/>
  <c r="F752" i="1" l="1"/>
  <c r="H751" i="1"/>
  <c r="G751" i="1"/>
  <c r="H752" i="1" l="1"/>
  <c r="F753" i="1"/>
  <c r="G752" i="1"/>
  <c r="F754" i="1" l="1"/>
  <c r="H753" i="1"/>
  <c r="G753" i="1"/>
  <c r="G754" i="1" l="1"/>
  <c r="F755" i="1"/>
  <c r="H754" i="1"/>
  <c r="H755" i="1" l="1"/>
  <c r="F756" i="1"/>
  <c r="G755" i="1"/>
  <c r="G756" i="1" l="1"/>
  <c r="F757" i="1"/>
  <c r="H756" i="1"/>
  <c r="F758" i="1" l="1"/>
  <c r="H757" i="1"/>
  <c r="H758" i="1" s="1"/>
  <c r="G757" i="1"/>
  <c r="F759" i="1" l="1"/>
  <c r="G758" i="1"/>
  <c r="F760" i="1" l="1"/>
  <c r="G759" i="1"/>
  <c r="H759" i="1"/>
  <c r="H760" i="1" l="1"/>
  <c r="G760" i="1"/>
  <c r="F761" i="1"/>
  <c r="F762" i="1" l="1"/>
  <c r="G761" i="1"/>
  <c r="H761" i="1"/>
  <c r="G762" i="1" l="1"/>
  <c r="F763" i="1"/>
  <c r="G763" i="1" s="1"/>
  <c r="H762" i="1"/>
  <c r="H763" i="1" l="1"/>
  <c r="F764" i="1"/>
  <c r="F765" i="1" l="1"/>
  <c r="H764" i="1"/>
  <c r="G764" i="1"/>
  <c r="G765" i="1" l="1"/>
  <c r="H765" i="1"/>
  <c r="F766" i="1"/>
  <c r="F767" i="1" l="1"/>
  <c r="H766" i="1"/>
  <c r="H767" i="1" s="1"/>
  <c r="G766" i="1"/>
  <c r="G767" i="1" l="1"/>
  <c r="F768" i="1"/>
  <c r="F769" i="1" l="1"/>
  <c r="G768" i="1"/>
  <c r="H768" i="1"/>
  <c r="H769" i="1" l="1"/>
  <c r="F770" i="1"/>
  <c r="G769" i="1"/>
  <c r="G770" i="1" l="1"/>
  <c r="F771" i="1"/>
  <c r="H770" i="1"/>
  <c r="F772" i="1" l="1"/>
  <c r="H771" i="1"/>
  <c r="G771" i="1"/>
  <c r="G772" i="1" l="1"/>
  <c r="F773" i="1"/>
  <c r="H772" i="1"/>
  <c r="F774" i="1" l="1"/>
  <c r="H773" i="1"/>
  <c r="G773" i="1"/>
  <c r="G774" i="1" l="1"/>
  <c r="H774" i="1"/>
  <c r="F775" i="1"/>
  <c r="H775" i="1" l="1"/>
  <c r="F776" i="1"/>
  <c r="G775" i="1"/>
  <c r="F777" i="1" l="1"/>
  <c r="H776" i="1"/>
  <c r="G776" i="1"/>
  <c r="G777" i="1" s="1"/>
  <c r="F778" i="1" l="1"/>
  <c r="H777" i="1"/>
  <c r="F779" i="1" l="1"/>
  <c r="H778" i="1"/>
  <c r="H779" i="1" s="1"/>
  <c r="G778" i="1"/>
  <c r="G779" i="1" s="1"/>
  <c r="F780" i="1" l="1"/>
  <c r="F781" i="1" l="1"/>
  <c r="H780" i="1"/>
  <c r="G780" i="1"/>
  <c r="G781" i="1" s="1"/>
  <c r="F782" i="1" l="1"/>
  <c r="H781" i="1"/>
  <c r="F783" i="1" l="1"/>
  <c r="H782" i="1"/>
  <c r="G782" i="1"/>
  <c r="G783" i="1" l="1"/>
  <c r="F784" i="1"/>
  <c r="H783" i="1"/>
  <c r="H784" i="1" s="1"/>
  <c r="F785" i="1" l="1"/>
  <c r="G784" i="1"/>
  <c r="F786" i="1" l="1"/>
  <c r="H785" i="1"/>
  <c r="G785" i="1"/>
  <c r="F787" i="1" l="1"/>
  <c r="H786" i="1"/>
  <c r="H787" i="1" s="1"/>
  <c r="G786" i="1"/>
  <c r="G787" i="1" s="1"/>
  <c r="F788" i="1" l="1"/>
  <c r="F789" i="1" l="1"/>
  <c r="G788" i="1"/>
  <c r="H788" i="1"/>
  <c r="G789" i="1" l="1"/>
  <c r="F790" i="1"/>
  <c r="H789" i="1"/>
  <c r="F791" i="1" l="1"/>
  <c r="H790" i="1"/>
  <c r="G790" i="1"/>
  <c r="G791" i="1" s="1"/>
  <c r="F792" i="1" l="1"/>
  <c r="H791" i="1"/>
  <c r="H792" i="1" s="1"/>
  <c r="F793" i="1" l="1"/>
  <c r="G792" i="1"/>
  <c r="G793" i="1" s="1"/>
  <c r="F794" i="1" l="1"/>
  <c r="H793" i="1"/>
  <c r="F795" i="1" l="1"/>
  <c r="H794" i="1"/>
  <c r="G794" i="1"/>
  <c r="F796" i="1" l="1"/>
  <c r="H795" i="1"/>
  <c r="G795" i="1"/>
  <c r="F797" i="1" l="1"/>
  <c r="H796" i="1"/>
  <c r="G796" i="1"/>
  <c r="F798" i="1" l="1"/>
  <c r="H797" i="1"/>
  <c r="H798" i="1" s="1"/>
  <c r="G797" i="1"/>
  <c r="G798" i="1" l="1"/>
  <c r="F799" i="1"/>
  <c r="F800" i="1" l="1"/>
  <c r="H799" i="1"/>
  <c r="G799" i="1"/>
  <c r="F801" i="1" l="1"/>
  <c r="H800" i="1"/>
  <c r="G800" i="1"/>
  <c r="G801" i="1" l="1"/>
  <c r="F802" i="1"/>
  <c r="H801" i="1"/>
  <c r="F803" i="1" l="1"/>
  <c r="H802" i="1"/>
  <c r="H803" i="1" s="1"/>
  <c r="G802" i="1"/>
  <c r="G803" i="1" s="1"/>
  <c r="F804" i="1" l="1"/>
  <c r="F805" i="1" l="1"/>
  <c r="G804" i="1"/>
  <c r="H804" i="1"/>
  <c r="F806" i="1" l="1"/>
  <c r="H805" i="1"/>
  <c r="G805" i="1"/>
  <c r="G806" i="1" s="1"/>
  <c r="F807" i="1" l="1"/>
  <c r="H806" i="1"/>
  <c r="H807" i="1" s="1"/>
  <c r="F808" i="1" l="1"/>
  <c r="G807" i="1"/>
  <c r="G808" i="1" l="1"/>
  <c r="F809" i="1"/>
  <c r="H808" i="1"/>
  <c r="F810" i="1" l="1"/>
  <c r="H809" i="1"/>
  <c r="G809" i="1"/>
  <c r="F811" i="1" l="1"/>
  <c r="H810" i="1"/>
  <c r="G810" i="1"/>
  <c r="G811" i="1" l="1"/>
  <c r="H811" i="1"/>
  <c r="F812" i="1"/>
  <c r="F813" i="1" l="1"/>
  <c r="H812" i="1"/>
  <c r="G812" i="1"/>
  <c r="G813" i="1" l="1"/>
  <c r="F814" i="1"/>
  <c r="H813" i="1"/>
  <c r="H814" i="1" s="1"/>
  <c r="F815" i="1" l="1"/>
  <c r="G814" i="1"/>
  <c r="F816" i="1" l="1"/>
  <c r="H815" i="1"/>
  <c r="H816" i="1" s="1"/>
  <c r="G815" i="1"/>
  <c r="G816" i="1" s="1"/>
  <c r="F817" i="1" l="1"/>
  <c r="F818" i="1" l="1"/>
  <c r="H817" i="1"/>
  <c r="H818" i="1" s="1"/>
  <c r="G817" i="1"/>
  <c r="G818" i="1" s="1"/>
  <c r="F819" i="1" l="1"/>
  <c r="F820" i="1" l="1"/>
  <c r="G819" i="1"/>
  <c r="H819" i="1"/>
  <c r="F821" i="1" l="1"/>
  <c r="H820" i="1"/>
  <c r="G820" i="1"/>
  <c r="G821" i="1" l="1"/>
  <c r="F822" i="1"/>
  <c r="H821" i="1"/>
  <c r="F823" i="1" l="1"/>
  <c r="H822" i="1"/>
  <c r="G822" i="1"/>
  <c r="G823" i="1" l="1"/>
  <c r="F824" i="1"/>
  <c r="H823" i="1"/>
  <c r="F825" i="1" l="1"/>
  <c r="H824" i="1"/>
  <c r="G824" i="1"/>
  <c r="G825" i="1" s="1"/>
  <c r="H825" i="1" l="1"/>
  <c r="F826" i="1"/>
  <c r="F827" i="1" l="1"/>
  <c r="G826" i="1"/>
  <c r="H826" i="1"/>
  <c r="H827" i="1" l="1"/>
  <c r="G827" i="1"/>
  <c r="F828" i="1"/>
  <c r="F829" i="1" l="1"/>
  <c r="G828" i="1"/>
  <c r="H828" i="1"/>
  <c r="F830" i="1" l="1"/>
  <c r="H829" i="1"/>
  <c r="G829" i="1"/>
  <c r="G830" i="1" s="1"/>
  <c r="F831" i="1" l="1"/>
  <c r="H830" i="1"/>
  <c r="F832" i="1" l="1"/>
  <c r="H831" i="1"/>
  <c r="G831" i="1"/>
  <c r="G832" i="1" l="1"/>
  <c r="F833" i="1"/>
  <c r="H832" i="1"/>
  <c r="F834" i="1" l="1"/>
  <c r="H833" i="1"/>
  <c r="G833" i="1"/>
  <c r="F835" i="1" l="1"/>
  <c r="H834" i="1"/>
  <c r="H835" i="1" s="1"/>
  <c r="G834" i="1"/>
  <c r="G835" i="1" s="1"/>
  <c r="F836" i="1" l="1"/>
  <c r="F837" i="1" l="1"/>
  <c r="H836" i="1"/>
  <c r="G836" i="1"/>
  <c r="G837" i="1" l="1"/>
  <c r="H837" i="1"/>
  <c r="F838" i="1"/>
  <c r="F839" i="1" l="1"/>
  <c r="H838" i="1"/>
  <c r="G838" i="1"/>
  <c r="F840" i="1" l="1"/>
  <c r="H839" i="1"/>
  <c r="G839" i="1"/>
  <c r="G840" i="1" l="1"/>
  <c r="F841" i="1"/>
  <c r="H840" i="1"/>
  <c r="H841" i="1" s="1"/>
  <c r="F842" i="1" l="1"/>
  <c r="G841" i="1"/>
  <c r="G842" i="1" l="1"/>
  <c r="F843" i="1"/>
  <c r="H842" i="1"/>
  <c r="H843" i="1" l="1"/>
  <c r="F844" i="1"/>
  <c r="G843" i="1"/>
  <c r="F845" i="1" l="1"/>
  <c r="H844" i="1"/>
  <c r="G844" i="1"/>
  <c r="H845" i="1" l="1"/>
  <c r="F846" i="1"/>
  <c r="G845" i="1"/>
  <c r="G846" i="1" l="1"/>
  <c r="F847" i="1"/>
  <c r="H846" i="1"/>
  <c r="H847" i="1" s="1"/>
  <c r="F848" i="1" l="1"/>
  <c r="G847" i="1"/>
  <c r="G848" i="1" l="1"/>
  <c r="F849" i="1"/>
  <c r="H848" i="1"/>
  <c r="F850" i="1" l="1"/>
  <c r="H849" i="1"/>
  <c r="G849" i="1"/>
  <c r="G850" i="1" s="1"/>
  <c r="H850" i="1" l="1"/>
  <c r="F851" i="1"/>
  <c r="F852" i="1" l="1"/>
  <c r="H851" i="1"/>
  <c r="G851" i="1"/>
  <c r="G852" i="1" l="1"/>
  <c r="H852" i="1"/>
  <c r="F853" i="1"/>
  <c r="F854" i="1" l="1"/>
  <c r="H853" i="1"/>
  <c r="H854" i="1" s="1"/>
  <c r="G853" i="1"/>
  <c r="F855" i="1" l="1"/>
  <c r="G854" i="1"/>
  <c r="G855" i="1" l="1"/>
  <c r="F856" i="1"/>
  <c r="H855" i="1"/>
  <c r="H856" i="1" s="1"/>
  <c r="F857" i="1" l="1"/>
  <c r="G856" i="1"/>
  <c r="G857" i="1" l="1"/>
  <c r="F858" i="1"/>
  <c r="H857" i="1"/>
  <c r="F859" i="1" l="1"/>
  <c r="H858" i="1"/>
  <c r="G858" i="1"/>
  <c r="G859" i="1" s="1"/>
  <c r="F860" i="1" l="1"/>
  <c r="H859" i="1"/>
  <c r="F861" i="1" l="1"/>
  <c r="H860" i="1"/>
  <c r="G860" i="1"/>
  <c r="G861" i="1" l="1"/>
  <c r="H861" i="1"/>
  <c r="F862" i="1"/>
  <c r="F863" i="1" l="1"/>
  <c r="H862" i="1"/>
  <c r="G862" i="1"/>
  <c r="F864" i="1" l="1"/>
  <c r="H863" i="1"/>
  <c r="G863" i="1"/>
  <c r="H864" i="1" l="1"/>
  <c r="F865" i="1"/>
  <c r="G864" i="1"/>
  <c r="F866" i="1" l="1"/>
  <c r="G865" i="1"/>
  <c r="H865" i="1"/>
  <c r="G866" i="1" l="1"/>
  <c r="H866" i="1"/>
  <c r="F867" i="1"/>
  <c r="F868" i="1" l="1"/>
  <c r="G867" i="1"/>
  <c r="H867" i="1"/>
  <c r="F869" i="1" l="1"/>
  <c r="H868" i="1"/>
  <c r="G868" i="1"/>
  <c r="G869" i="1" l="1"/>
  <c r="H869" i="1"/>
  <c r="F870" i="1"/>
  <c r="F871" i="1" l="1"/>
  <c r="G870" i="1"/>
  <c r="G871" i="1" s="1"/>
  <c r="H870" i="1"/>
  <c r="H871" i="1" l="1"/>
  <c r="F872" i="1"/>
  <c r="F873" i="1" l="1"/>
  <c r="G872" i="1"/>
  <c r="H872" i="1"/>
  <c r="F874" i="1" l="1"/>
  <c r="H873" i="1"/>
  <c r="G873" i="1"/>
  <c r="G874" i="1" l="1"/>
  <c r="F875" i="1"/>
  <c r="H874" i="1"/>
  <c r="H875" i="1" l="1"/>
  <c r="F876" i="1"/>
  <c r="G875" i="1"/>
  <c r="G876" i="1" l="1"/>
  <c r="F877" i="1"/>
  <c r="H876" i="1"/>
  <c r="H877" i="1" s="1"/>
  <c r="F878" i="1" l="1"/>
  <c r="G877" i="1"/>
  <c r="F879" i="1" l="1"/>
  <c r="H878" i="1"/>
  <c r="G878" i="1"/>
  <c r="F880" i="1" l="1"/>
  <c r="H879" i="1"/>
  <c r="G879" i="1"/>
  <c r="H880" i="1" l="1"/>
  <c r="F881" i="1"/>
  <c r="G880" i="1"/>
  <c r="F882" i="1" l="1"/>
  <c r="G881" i="1"/>
  <c r="H881" i="1"/>
  <c r="F883" i="1" l="1"/>
  <c r="H882" i="1"/>
  <c r="G882" i="1"/>
  <c r="H883" i="1" l="1"/>
  <c r="F884" i="1"/>
  <c r="G883" i="1"/>
  <c r="G884" i="1" l="1"/>
  <c r="F885" i="1"/>
  <c r="H884" i="1"/>
  <c r="H885" i="1" s="1"/>
  <c r="F886" i="1" l="1"/>
  <c r="G885" i="1"/>
  <c r="G886" i="1" l="1"/>
  <c r="F887" i="1"/>
  <c r="H886" i="1"/>
  <c r="F888" i="1" l="1"/>
  <c r="H887" i="1"/>
  <c r="H888" i="1" s="1"/>
  <c r="G887" i="1"/>
  <c r="F889" i="1" l="1"/>
  <c r="G888" i="1"/>
  <c r="G889" i="1" l="1"/>
  <c r="F890" i="1"/>
  <c r="H889" i="1"/>
  <c r="F891" i="1" l="1"/>
  <c r="H890" i="1"/>
  <c r="G890" i="1"/>
  <c r="G891" i="1" l="1"/>
  <c r="H891" i="1"/>
  <c r="F892" i="1"/>
  <c r="F893" i="1" l="1"/>
  <c r="H892" i="1"/>
  <c r="G892" i="1"/>
  <c r="H893" i="1" l="1"/>
  <c r="F894" i="1"/>
  <c r="G893" i="1"/>
  <c r="F895" i="1" l="1"/>
  <c r="G894" i="1"/>
  <c r="H894" i="1"/>
  <c r="H895" i="1" l="1"/>
  <c r="G895" i="1"/>
  <c r="F896" i="1"/>
  <c r="F897" i="1" l="1"/>
  <c r="G896" i="1"/>
  <c r="H896" i="1"/>
  <c r="G897" i="1" l="1"/>
  <c r="F898" i="1"/>
  <c r="H897" i="1"/>
  <c r="G898" i="1" l="1"/>
  <c r="F899" i="1"/>
  <c r="H898" i="1"/>
  <c r="F900" i="1" l="1"/>
  <c r="H899" i="1"/>
  <c r="G899" i="1"/>
  <c r="G900" i="1" l="1"/>
  <c r="F901" i="1"/>
  <c r="H900" i="1"/>
  <c r="H901" i="1" s="1"/>
  <c r="F902" i="1" l="1"/>
  <c r="G901" i="1"/>
  <c r="F903" i="1" l="1"/>
  <c r="H902" i="1"/>
  <c r="G902" i="1"/>
  <c r="F904" i="1" l="1"/>
  <c r="H903" i="1"/>
  <c r="G903" i="1"/>
  <c r="G904" i="1" l="1"/>
  <c r="H904" i="1"/>
  <c r="F905" i="1"/>
  <c r="F906" i="1" l="1"/>
  <c r="H905" i="1"/>
  <c r="G905" i="1"/>
  <c r="G906" i="1" l="1"/>
  <c r="H906" i="1"/>
  <c r="F907" i="1"/>
  <c r="F908" i="1" l="1"/>
  <c r="H907" i="1"/>
  <c r="G907" i="1"/>
  <c r="G908" i="1" l="1"/>
  <c r="F909" i="1"/>
  <c r="H908" i="1"/>
  <c r="H909" i="1" l="1"/>
  <c r="F910" i="1"/>
  <c r="G909" i="1"/>
  <c r="G910" i="1" l="1"/>
  <c r="F911" i="1"/>
  <c r="H910" i="1"/>
  <c r="H911" i="1" s="1"/>
  <c r="F912" i="1" l="1"/>
  <c r="G911" i="1"/>
  <c r="F913" i="1" l="1"/>
  <c r="H912" i="1"/>
  <c r="G912" i="1"/>
  <c r="G913" i="1" l="1"/>
  <c r="F914" i="1"/>
  <c r="H913" i="1"/>
  <c r="F915" i="1" l="1"/>
  <c r="H914" i="1"/>
  <c r="G914" i="1"/>
  <c r="G915" i="1" l="1"/>
  <c r="F916" i="1"/>
  <c r="H915" i="1"/>
  <c r="H916" i="1" s="1"/>
  <c r="F917" i="1" l="1"/>
  <c r="G916" i="1"/>
  <c r="G917" i="1" l="1"/>
  <c r="F918" i="1"/>
  <c r="G918" i="1" s="1"/>
  <c r="H917" i="1"/>
  <c r="H918" i="1" l="1"/>
  <c r="F919" i="1"/>
  <c r="F920" i="1" l="1"/>
  <c r="H919" i="1"/>
  <c r="G919" i="1"/>
  <c r="H920" i="1" l="1"/>
  <c r="F921" i="1"/>
  <c r="G920" i="1"/>
  <c r="G921" i="1" l="1"/>
  <c r="F922" i="1"/>
  <c r="H921" i="1"/>
  <c r="F923" i="1" l="1"/>
  <c r="H922" i="1"/>
  <c r="G922" i="1"/>
  <c r="G923" i="1" s="1"/>
  <c r="F924" i="1" l="1"/>
  <c r="H923" i="1"/>
  <c r="F925" i="1" l="1"/>
  <c r="H924" i="1"/>
  <c r="H925" i="1" s="1"/>
  <c r="G924" i="1"/>
  <c r="F926" i="1" l="1"/>
  <c r="G925" i="1"/>
  <c r="F927" i="1" l="1"/>
  <c r="H926" i="1"/>
  <c r="G926" i="1"/>
  <c r="F928" i="1" l="1"/>
  <c r="H927" i="1"/>
  <c r="G927" i="1"/>
  <c r="G928" i="1" l="1"/>
  <c r="H928" i="1"/>
  <c r="F929" i="1"/>
  <c r="F930" i="1" l="1"/>
  <c r="H929" i="1"/>
  <c r="G929" i="1"/>
  <c r="G930" i="1" s="1"/>
  <c r="H930" i="1" l="1"/>
  <c r="F931" i="1"/>
  <c r="F932" i="1" l="1"/>
  <c r="H931" i="1"/>
  <c r="G931" i="1"/>
  <c r="G932" i="1" s="1"/>
  <c r="F933" i="1" l="1"/>
  <c r="H932" i="1"/>
  <c r="H933" i="1" l="1"/>
  <c r="F934" i="1"/>
  <c r="G933" i="1"/>
  <c r="G934" i="1" l="1"/>
  <c r="F935" i="1"/>
  <c r="H934" i="1"/>
  <c r="H935" i="1" l="1"/>
  <c r="F936" i="1"/>
  <c r="G935" i="1"/>
  <c r="F937" i="1" l="1"/>
  <c r="H936" i="1"/>
  <c r="G936" i="1"/>
  <c r="F938" i="1" l="1"/>
  <c r="H937" i="1"/>
  <c r="G937" i="1"/>
  <c r="G938" i="1" l="1"/>
  <c r="F939" i="1"/>
  <c r="H938" i="1"/>
  <c r="F940" i="1" l="1"/>
  <c r="H939" i="1"/>
  <c r="G939" i="1"/>
  <c r="G940" i="1" s="1"/>
  <c r="H940" i="1" l="1"/>
  <c r="F941" i="1"/>
  <c r="F942" i="1" l="1"/>
  <c r="H941" i="1"/>
  <c r="G941" i="1"/>
  <c r="G942" i="1" s="1"/>
  <c r="H942" i="1" l="1"/>
  <c r="F943" i="1"/>
  <c r="F944" i="1" l="1"/>
  <c r="H943" i="1"/>
  <c r="G943" i="1"/>
  <c r="G944" i="1" l="1"/>
  <c r="H944" i="1"/>
  <c r="F945" i="1"/>
  <c r="G945" i="1" l="1"/>
  <c r="F946" i="1"/>
  <c r="H945" i="1"/>
  <c r="F947" i="1" l="1"/>
  <c r="H946" i="1"/>
  <c r="G946" i="1"/>
  <c r="G947" i="1" l="1"/>
  <c r="F948" i="1"/>
  <c r="H947" i="1"/>
  <c r="F949" i="1" l="1"/>
  <c r="H948" i="1"/>
  <c r="G948" i="1"/>
  <c r="G949" i="1" l="1"/>
  <c r="H949" i="1"/>
  <c r="F950" i="1"/>
  <c r="F951" i="1" l="1"/>
  <c r="H950" i="1"/>
  <c r="G950" i="1"/>
  <c r="F952" i="1" l="1"/>
  <c r="H951" i="1"/>
  <c r="G951" i="1"/>
  <c r="G952" i="1" l="1"/>
  <c r="H952" i="1"/>
  <c r="F953" i="1"/>
  <c r="F954" i="1" l="1"/>
  <c r="H953" i="1"/>
  <c r="G953" i="1"/>
  <c r="G954" i="1" l="1"/>
  <c r="H954" i="1"/>
  <c r="F955" i="1"/>
  <c r="F956" i="1" l="1"/>
  <c r="H955" i="1"/>
  <c r="G955" i="1"/>
  <c r="F957" i="1" l="1"/>
  <c r="H956" i="1"/>
  <c r="G956" i="1"/>
  <c r="G957" i="1" l="1"/>
  <c r="H957" i="1"/>
  <c r="F958" i="1"/>
  <c r="F959" i="1" l="1"/>
  <c r="H958" i="1"/>
  <c r="G958" i="1"/>
  <c r="G959" i="1" l="1"/>
  <c r="H959" i="1"/>
  <c r="F960" i="1"/>
  <c r="F961" i="1" l="1"/>
  <c r="H960" i="1"/>
  <c r="G960" i="1"/>
  <c r="F962" i="1" l="1"/>
  <c r="H961" i="1"/>
  <c r="G961" i="1"/>
  <c r="G962" i="1" l="1"/>
  <c r="F963" i="1"/>
  <c r="H962" i="1"/>
  <c r="F964" i="1" l="1"/>
  <c r="H963" i="1"/>
  <c r="G963" i="1"/>
  <c r="G964" i="1" l="1"/>
  <c r="H964" i="1"/>
  <c r="F965" i="1"/>
  <c r="F966" i="1" l="1"/>
  <c r="H965" i="1"/>
  <c r="H966" i="1" s="1"/>
  <c r="G965" i="1"/>
  <c r="G966" i="1" s="1"/>
  <c r="F967" i="1" l="1"/>
  <c r="F968" i="1" l="1"/>
  <c r="H967" i="1"/>
  <c r="G967" i="1"/>
  <c r="H968" i="1" l="1"/>
  <c r="F969" i="1"/>
  <c r="G968" i="1"/>
  <c r="G969" i="1" l="1"/>
  <c r="F970" i="1"/>
  <c r="H969" i="1"/>
  <c r="F971" i="1" l="1"/>
  <c r="H970" i="1"/>
  <c r="G970" i="1"/>
  <c r="G971" i="1" l="1"/>
  <c r="F972" i="1"/>
  <c r="H971" i="1"/>
  <c r="F973" i="1" l="1"/>
  <c r="H972" i="1"/>
  <c r="G972" i="1"/>
  <c r="H973" i="1" l="1"/>
  <c r="F974" i="1"/>
  <c r="G973" i="1"/>
  <c r="F975" i="1" l="1"/>
  <c r="H974" i="1"/>
  <c r="G974" i="1"/>
  <c r="F976" i="1" l="1"/>
  <c r="H975" i="1"/>
  <c r="G975" i="1"/>
  <c r="H976" i="1" l="1"/>
  <c r="F977" i="1"/>
  <c r="G976" i="1"/>
  <c r="F978" i="1" l="1"/>
  <c r="G977" i="1"/>
  <c r="H977" i="1"/>
  <c r="H978" i="1" l="1"/>
  <c r="G978" i="1"/>
  <c r="F979" i="1"/>
  <c r="F980" i="1" l="1"/>
  <c r="H979" i="1"/>
  <c r="G979" i="1"/>
  <c r="G980" i="1" s="1"/>
  <c r="H980" i="1" l="1"/>
  <c r="F981" i="1"/>
  <c r="F982" i="1" l="1"/>
  <c r="H981" i="1"/>
  <c r="G981" i="1"/>
  <c r="G982" i="1" l="1"/>
  <c r="H982" i="1"/>
  <c r="F983" i="1"/>
  <c r="F984" i="1" l="1"/>
  <c r="H983" i="1"/>
  <c r="H984" i="1" s="1"/>
  <c r="G983" i="1"/>
  <c r="G984" i="1" s="1"/>
  <c r="F985" i="1" l="1"/>
  <c r="F986" i="1" l="1"/>
  <c r="H985" i="1"/>
  <c r="G985" i="1"/>
  <c r="F987" i="1" l="1"/>
  <c r="H986" i="1"/>
  <c r="G986" i="1"/>
  <c r="G987" i="1" l="1"/>
  <c r="H987" i="1"/>
  <c r="F988" i="1"/>
  <c r="F989" i="1" l="1"/>
  <c r="H988" i="1"/>
  <c r="H989" i="1" s="1"/>
  <c r="G988" i="1"/>
  <c r="G989" i="1" s="1"/>
  <c r="F990" i="1" l="1"/>
  <c r="G990" i="1" s="1"/>
  <c r="F991" i="1" l="1"/>
  <c r="H990" i="1"/>
  <c r="H991" i="1" l="1"/>
  <c r="F992" i="1"/>
  <c r="G991" i="1"/>
  <c r="G992" i="1" l="1"/>
  <c r="F993" i="1"/>
  <c r="H992" i="1"/>
  <c r="F994" i="1" l="1"/>
  <c r="H993" i="1"/>
  <c r="G993" i="1"/>
  <c r="F995" i="1" l="1"/>
  <c r="H994" i="1"/>
  <c r="G994" i="1"/>
  <c r="G995" i="1" l="1"/>
  <c r="H995" i="1"/>
  <c r="F996" i="1"/>
  <c r="F997" i="1" l="1"/>
  <c r="H996" i="1"/>
  <c r="G996" i="1"/>
  <c r="G997" i="1" l="1"/>
  <c r="H997" i="1"/>
  <c r="F998" i="1"/>
  <c r="F999" i="1" l="1"/>
  <c r="H998" i="1"/>
  <c r="G998" i="1"/>
  <c r="F1000" i="1" l="1"/>
  <c r="H999" i="1"/>
  <c r="G999" i="1"/>
  <c r="G1000" i="1" l="1"/>
  <c r="H1000" i="1"/>
  <c r="F1001" i="1"/>
  <c r="F1002" i="1" l="1"/>
  <c r="H1001" i="1"/>
  <c r="G1001" i="1"/>
  <c r="F1003" i="1" l="1"/>
  <c r="H1002" i="1"/>
  <c r="G1002" i="1"/>
  <c r="G1003" i="1" l="1"/>
  <c r="H1003" i="1"/>
  <c r="F1004" i="1"/>
  <c r="H1004" i="1" s="1"/>
  <c r="F1005" i="1" l="1"/>
  <c r="G1004" i="1"/>
  <c r="F1006" i="1" l="1"/>
  <c r="G1005" i="1"/>
  <c r="H1005" i="1"/>
  <c r="F1007" i="1" l="1"/>
  <c r="H1006" i="1"/>
  <c r="G1006" i="1"/>
  <c r="G1007" i="1" l="1"/>
  <c r="F1008" i="1"/>
  <c r="H1007" i="1"/>
  <c r="H1008" i="1" l="1"/>
  <c r="F1009" i="1"/>
  <c r="G1008" i="1"/>
  <c r="G1009" i="1" l="1"/>
  <c r="F1010" i="1"/>
  <c r="H1009" i="1"/>
  <c r="F1011" i="1" l="1"/>
  <c r="H1010" i="1"/>
  <c r="G1010" i="1"/>
  <c r="G1011" i="1" l="1"/>
  <c r="F1012" i="1"/>
  <c r="H1011" i="1"/>
  <c r="F1013" i="1" l="1"/>
  <c r="H1012" i="1"/>
  <c r="G1012" i="1"/>
  <c r="G1013" i="1" l="1"/>
  <c r="H1013" i="1"/>
  <c r="F1014" i="1"/>
  <c r="F1015" i="1" l="1"/>
  <c r="H1014" i="1"/>
  <c r="G1014" i="1"/>
  <c r="F1016" i="1" l="1"/>
  <c r="H1015" i="1"/>
  <c r="G1015" i="1"/>
  <c r="H1016" i="1" l="1"/>
  <c r="F1017" i="1"/>
  <c r="G1016" i="1"/>
  <c r="F1018" i="1" l="1"/>
  <c r="G1017" i="1"/>
  <c r="H1017" i="1"/>
  <c r="H1018" i="1" l="1"/>
  <c r="G1018" i="1"/>
  <c r="F1019" i="1"/>
  <c r="F1020" i="1" l="1"/>
  <c r="G1019" i="1"/>
  <c r="H1019" i="1"/>
  <c r="F1021" i="1" l="1"/>
  <c r="H1020" i="1"/>
  <c r="G1020" i="1"/>
  <c r="G1021" i="1" l="1"/>
  <c r="H1021" i="1"/>
  <c r="F1022" i="1"/>
  <c r="G1022" i="1" l="1"/>
  <c r="F1023" i="1"/>
  <c r="H1022" i="1"/>
  <c r="H1023" i="1" l="1"/>
  <c r="F1024" i="1"/>
  <c r="G1023" i="1"/>
  <c r="G1024" i="1" l="1"/>
  <c r="H1024" i="1"/>
  <c r="F1025" i="1"/>
  <c r="F1026" i="1" l="1"/>
  <c r="H1025" i="1"/>
  <c r="G1025" i="1"/>
  <c r="G1026" i="1" l="1"/>
  <c r="F1027" i="1"/>
  <c r="H1026" i="1"/>
  <c r="H1027" i="1" l="1"/>
  <c r="F1028" i="1"/>
  <c r="G1027" i="1"/>
  <c r="G1028" i="1" l="1"/>
  <c r="F1029" i="1"/>
  <c r="H1028" i="1"/>
  <c r="H1029" i="1" l="1"/>
  <c r="F1030" i="1"/>
  <c r="G1029" i="1"/>
  <c r="F1031" i="1" l="1"/>
  <c r="H1030" i="1"/>
  <c r="G1030" i="1"/>
  <c r="G1031" i="1" l="1"/>
  <c r="F1032" i="1"/>
  <c r="H1031" i="1"/>
  <c r="H1032" i="1" l="1"/>
  <c r="F1033" i="1"/>
  <c r="G1032" i="1"/>
  <c r="G1033" i="1" l="1"/>
  <c r="F1034" i="1"/>
  <c r="H1033" i="1"/>
  <c r="F1035" i="1" l="1"/>
  <c r="H1034" i="1"/>
  <c r="G1034" i="1"/>
  <c r="G1035" i="1" l="1"/>
  <c r="H1035" i="1"/>
  <c r="F1036" i="1"/>
  <c r="F1037" i="1" l="1"/>
  <c r="H1036" i="1"/>
  <c r="G1036" i="1"/>
  <c r="G1037" i="1" l="1"/>
  <c r="H1037" i="1"/>
  <c r="F1038" i="1"/>
  <c r="G1038" i="1" l="1"/>
  <c r="F1039" i="1"/>
  <c r="H1038" i="1"/>
  <c r="F1040" i="1" l="1"/>
  <c r="H1039" i="1"/>
  <c r="G1039" i="1"/>
  <c r="G1040" i="1" l="1"/>
  <c r="H1040" i="1"/>
  <c r="F1041" i="1"/>
  <c r="F1042" i="1" l="1"/>
  <c r="H1041" i="1"/>
  <c r="G1041" i="1"/>
  <c r="G1042" i="1" l="1"/>
  <c r="H1042" i="1"/>
  <c r="F1043" i="1"/>
  <c r="F1044" i="1" l="1"/>
  <c r="G1043" i="1"/>
  <c r="H1043" i="1"/>
  <c r="F1045" i="1" l="1"/>
  <c r="H1044" i="1"/>
  <c r="G1044" i="1"/>
  <c r="G1045" i="1" l="1"/>
  <c r="H1045" i="1"/>
  <c r="F1046" i="1"/>
  <c r="F1047" i="1" l="1"/>
  <c r="H1046" i="1"/>
  <c r="G1046" i="1"/>
  <c r="H1047" i="1" l="1"/>
  <c r="F1048" i="1"/>
  <c r="G1047" i="1"/>
  <c r="G1048" i="1" l="1"/>
  <c r="F1049" i="1"/>
  <c r="H1048" i="1"/>
  <c r="F1050" i="1" l="1"/>
  <c r="H1049" i="1"/>
  <c r="G1049" i="1"/>
  <c r="G1050" i="1" l="1"/>
  <c r="F1051" i="1"/>
  <c r="H1050" i="1"/>
  <c r="F1052" i="1" l="1"/>
  <c r="H1051" i="1"/>
  <c r="G1051" i="1"/>
  <c r="G1052" i="1" s="1"/>
  <c r="F1053" i="1" l="1"/>
  <c r="H1052" i="1"/>
  <c r="H1053" i="1" l="1"/>
  <c r="F1054" i="1"/>
  <c r="G1053" i="1"/>
  <c r="F1055" i="1" l="1"/>
  <c r="H1054" i="1"/>
  <c r="G1054" i="1"/>
  <c r="G1055" i="1" l="1"/>
  <c r="F1056" i="1"/>
  <c r="H1055" i="1"/>
  <c r="H1056" i="1" l="1"/>
  <c r="F1057" i="1"/>
  <c r="G1056" i="1"/>
  <c r="G1057" i="1" l="1"/>
  <c r="F1058" i="1"/>
  <c r="H1057" i="1"/>
  <c r="H1058" i="1" l="1"/>
  <c r="F1059" i="1"/>
  <c r="G1058" i="1"/>
  <c r="F1060" i="1" l="1"/>
  <c r="H1059" i="1"/>
  <c r="G1059" i="1"/>
  <c r="G1060" i="1" s="1"/>
  <c r="F1061" i="1" l="1"/>
  <c r="H1060" i="1"/>
  <c r="H1061" i="1" l="1"/>
  <c r="F1062" i="1"/>
  <c r="G1061" i="1"/>
  <c r="G1062" i="1" s="1"/>
  <c r="F1063" i="1" l="1"/>
  <c r="H1062" i="1"/>
  <c r="H1063" i="1" l="1"/>
  <c r="F1064" i="1"/>
  <c r="G1063" i="1"/>
  <c r="F1065" i="1" l="1"/>
  <c r="H1064" i="1"/>
  <c r="G1064" i="1"/>
  <c r="F1066" i="1" l="1"/>
  <c r="H1065" i="1"/>
  <c r="G1065" i="1"/>
  <c r="G1066" i="1" l="1"/>
  <c r="F1067" i="1"/>
  <c r="H1066" i="1"/>
  <c r="F1068" i="1" l="1"/>
  <c r="H1067" i="1"/>
  <c r="G1067" i="1"/>
  <c r="F1069" i="1" l="1"/>
  <c r="H1068" i="1"/>
  <c r="G1068" i="1"/>
  <c r="H1069" i="1" l="1"/>
  <c r="G1069" i="1"/>
  <c r="F1070" i="1"/>
  <c r="G1070" i="1" l="1"/>
  <c r="F1071" i="1"/>
  <c r="H1070" i="1"/>
  <c r="H1071" i="1" l="1"/>
  <c r="F1072" i="1"/>
  <c r="G1071" i="1"/>
  <c r="G1072" i="1" l="1"/>
  <c r="H1072" i="1"/>
  <c r="F1073" i="1"/>
  <c r="F1074" i="1" l="1"/>
  <c r="H1073" i="1"/>
  <c r="G1073" i="1"/>
  <c r="F1075" i="1" l="1"/>
  <c r="H1074" i="1"/>
  <c r="G1074" i="1"/>
  <c r="G1075" i="1" l="1"/>
  <c r="F1076" i="1"/>
  <c r="H1075" i="1"/>
  <c r="F1077" i="1" l="1"/>
  <c r="H1076" i="1"/>
  <c r="G1076" i="1"/>
  <c r="G1077" i="1" l="1"/>
  <c r="H1077" i="1"/>
  <c r="F1078" i="1"/>
  <c r="F1079" i="1" l="1"/>
  <c r="H1078" i="1"/>
  <c r="G1078" i="1"/>
  <c r="G1079" i="1" l="1"/>
  <c r="F1080" i="1"/>
  <c r="H1079" i="1"/>
  <c r="H1080" i="1" l="1"/>
  <c r="F1081" i="1"/>
  <c r="G1080" i="1"/>
  <c r="G1081" i="1" l="1"/>
  <c r="F1082" i="1"/>
  <c r="H1081" i="1"/>
  <c r="H1082" i="1" l="1"/>
  <c r="F1083" i="1"/>
  <c r="G1082" i="1"/>
  <c r="F1084" i="1" l="1"/>
  <c r="H1083" i="1"/>
  <c r="G1083" i="1"/>
  <c r="G1084" i="1" s="1"/>
  <c r="F1085" i="1" l="1"/>
  <c r="H1084" i="1"/>
  <c r="H1085" i="1" l="1"/>
  <c r="F1086" i="1"/>
  <c r="G1085" i="1"/>
  <c r="G1086" i="1" l="1"/>
  <c r="F1087" i="1"/>
  <c r="H1086" i="1"/>
  <c r="H1087" i="1" l="1"/>
  <c r="F1088" i="1"/>
  <c r="G1087" i="1"/>
  <c r="F1089" i="1" l="1"/>
  <c r="H1088" i="1"/>
  <c r="G1088" i="1"/>
  <c r="F1090" i="1" l="1"/>
  <c r="H1089" i="1"/>
  <c r="G1089" i="1"/>
  <c r="F1091" i="1" l="1"/>
  <c r="H1090" i="1"/>
  <c r="G1090" i="1"/>
  <c r="G1091" i="1" l="1"/>
  <c r="F1092" i="1"/>
  <c r="H1091" i="1"/>
  <c r="H1092" i="1" s="1"/>
  <c r="F1093" i="1" l="1"/>
  <c r="G1092" i="1"/>
  <c r="F1094" i="1" l="1"/>
  <c r="H1093" i="1"/>
  <c r="H1094" i="1" s="1"/>
  <c r="G1093" i="1"/>
  <c r="G1094" i="1" s="1"/>
  <c r="F1095" i="1" l="1"/>
  <c r="F1096" i="1" l="1"/>
  <c r="H1095" i="1"/>
  <c r="G1095" i="1"/>
  <c r="G1096" i="1" l="1"/>
  <c r="H1096" i="1"/>
  <c r="F1097" i="1"/>
  <c r="F1098" i="1" l="1"/>
  <c r="H1097" i="1"/>
  <c r="G1097" i="1"/>
  <c r="F1099" i="1" l="1"/>
  <c r="H1098" i="1"/>
  <c r="G1098" i="1"/>
  <c r="G1099" i="1" l="1"/>
  <c r="F1100" i="1"/>
  <c r="H1099" i="1"/>
  <c r="F1101" i="1" l="1"/>
  <c r="H1100" i="1"/>
  <c r="G1100" i="1"/>
  <c r="G1101" i="1" l="1"/>
  <c r="H1101" i="1"/>
  <c r="F1102" i="1"/>
  <c r="F1103" i="1" l="1"/>
  <c r="H1102" i="1"/>
  <c r="G1102" i="1"/>
  <c r="F1104" i="1" l="1"/>
  <c r="H1103" i="1"/>
  <c r="G1103" i="1"/>
  <c r="G1104" i="1" l="1"/>
  <c r="H1104" i="1"/>
  <c r="F1105" i="1"/>
  <c r="F1106" i="1" l="1"/>
  <c r="H1105" i="1"/>
  <c r="G1105" i="1"/>
  <c r="H1106" i="1" l="1"/>
  <c r="F1107" i="1"/>
  <c r="G1106" i="1"/>
  <c r="F1108" i="1" l="1"/>
  <c r="H1107" i="1"/>
  <c r="G1107" i="1"/>
  <c r="G1108" i="1" l="1"/>
  <c r="H1108" i="1"/>
  <c r="F1109" i="1"/>
  <c r="F1110" i="1" l="1"/>
  <c r="H1109" i="1"/>
  <c r="G1109" i="1"/>
  <c r="G1110" i="1" l="1"/>
  <c r="H1110" i="1"/>
  <c r="F1111" i="1"/>
  <c r="F1112" i="1" l="1"/>
  <c r="H1111" i="1"/>
  <c r="G1111" i="1"/>
  <c r="F1113" i="1" l="1"/>
  <c r="H1112" i="1"/>
  <c r="G1112" i="1"/>
  <c r="G1113" i="1" s="1"/>
  <c r="F1114" i="1" l="1"/>
  <c r="H1113" i="1"/>
  <c r="F1115" i="1" l="1"/>
  <c r="H1114" i="1"/>
  <c r="H1115" i="1" s="1"/>
  <c r="G1114" i="1"/>
  <c r="G1115" i="1" s="1"/>
  <c r="F1116" i="1" l="1"/>
  <c r="F1117" i="1" l="1"/>
  <c r="H1116" i="1"/>
  <c r="G1116" i="1"/>
  <c r="F1118" i="1" l="1"/>
  <c r="H1117" i="1"/>
  <c r="G1117" i="1"/>
  <c r="G1118" i="1" s="1"/>
  <c r="H1118" i="1" l="1"/>
  <c r="F1119" i="1"/>
  <c r="F1120" i="1" l="1"/>
  <c r="H1119" i="1"/>
  <c r="G1119" i="1"/>
  <c r="G1120" i="1" l="1"/>
  <c r="H1120" i="1"/>
  <c r="F1121" i="1"/>
  <c r="F1122" i="1" l="1"/>
  <c r="H1121" i="1"/>
  <c r="G1121" i="1"/>
  <c r="F1123" i="1" l="1"/>
  <c r="H1122" i="1"/>
  <c r="G1122" i="1"/>
  <c r="G1123" i="1" s="1"/>
  <c r="H1123" i="1" l="1"/>
  <c r="F1124" i="1"/>
  <c r="H1124" i="1" l="1"/>
  <c r="F1125" i="1"/>
  <c r="G1124" i="1"/>
  <c r="G1125" i="1" l="1"/>
  <c r="F1126" i="1"/>
  <c r="H1125" i="1"/>
  <c r="F1127" i="1" l="1"/>
  <c r="H1126" i="1"/>
  <c r="G1126" i="1"/>
  <c r="F1128" i="1" l="1"/>
  <c r="H1127" i="1"/>
  <c r="G1127" i="1"/>
  <c r="H1128" i="1" l="1"/>
  <c r="G1128" i="1"/>
  <c r="F1129" i="1"/>
  <c r="F1130" i="1" l="1"/>
  <c r="H1129" i="1"/>
  <c r="G1129" i="1"/>
  <c r="G1130" i="1" l="1"/>
  <c r="F1131" i="1"/>
  <c r="H1130" i="1"/>
  <c r="F1132" i="1" l="1"/>
  <c r="H1131" i="1"/>
  <c r="G1131" i="1"/>
  <c r="H1132" i="1" l="1"/>
  <c r="F1133" i="1"/>
  <c r="G1132" i="1"/>
  <c r="F1134" i="1" l="1"/>
  <c r="G1133" i="1"/>
  <c r="H1133" i="1"/>
  <c r="H1134" i="1" l="1"/>
  <c r="G1134" i="1"/>
  <c r="F1135" i="1"/>
  <c r="F1136" i="1" l="1"/>
  <c r="G1135" i="1"/>
  <c r="H1135" i="1"/>
  <c r="F1137" i="1" l="1"/>
  <c r="H1136" i="1"/>
  <c r="G1136" i="1"/>
  <c r="G1137" i="1" l="1"/>
  <c r="F1138" i="1"/>
  <c r="H1137" i="1"/>
  <c r="F1139" i="1" l="1"/>
  <c r="H1138" i="1"/>
  <c r="G1138" i="1"/>
  <c r="G1139" i="1" l="1"/>
  <c r="F1140" i="1"/>
  <c r="H1139" i="1"/>
  <c r="F1141" i="1" l="1"/>
  <c r="H1140" i="1"/>
  <c r="G1140" i="1"/>
  <c r="F1142" i="1" l="1"/>
  <c r="H1141" i="1"/>
  <c r="G1141" i="1"/>
  <c r="G1142" i="1" l="1"/>
  <c r="H1142" i="1"/>
  <c r="F1143" i="1"/>
  <c r="F1144" i="1" l="1"/>
  <c r="G1143" i="1"/>
  <c r="H1143" i="1"/>
  <c r="H1144" i="1" s="1"/>
  <c r="G1144" i="1" l="1"/>
  <c r="F1145" i="1"/>
  <c r="F1146" i="1" l="1"/>
  <c r="G1145" i="1"/>
  <c r="H1145" i="1"/>
  <c r="F1147" i="1" l="1"/>
  <c r="H1146" i="1"/>
  <c r="G1146" i="1"/>
  <c r="F1148" i="1" l="1"/>
  <c r="H1147" i="1"/>
  <c r="G1147" i="1"/>
  <c r="H1148" i="1" l="1"/>
  <c r="G1148" i="1"/>
  <c r="F1149" i="1"/>
  <c r="F1150" i="1" l="1"/>
  <c r="H1149" i="1"/>
  <c r="G1149" i="1"/>
  <c r="G1150" i="1" l="1"/>
  <c r="H1150" i="1"/>
  <c r="F1151" i="1"/>
  <c r="F1152" i="1" l="1"/>
  <c r="H1151" i="1"/>
  <c r="H1152" i="1" s="1"/>
  <c r="G1151" i="1"/>
  <c r="G1152" i="1" l="1"/>
  <c r="F1153" i="1"/>
  <c r="F1154" i="1" l="1"/>
  <c r="H1153" i="1"/>
  <c r="G1153" i="1"/>
  <c r="G1154" i="1" l="1"/>
  <c r="F1155" i="1"/>
  <c r="H1154" i="1"/>
  <c r="F1156" i="1" l="1"/>
  <c r="H1155" i="1"/>
  <c r="G1155" i="1"/>
  <c r="F1157" i="1" l="1"/>
  <c r="H1156" i="1"/>
  <c r="H1157" i="1" s="1"/>
  <c r="G1156" i="1"/>
  <c r="G1157" i="1" s="1"/>
  <c r="F1158" i="1" l="1"/>
  <c r="F1159" i="1" l="1"/>
  <c r="H1158" i="1"/>
  <c r="G1158" i="1"/>
  <c r="G1159" i="1" l="1"/>
  <c r="H1159" i="1"/>
  <c r="F1160" i="1"/>
  <c r="F1161" i="1" l="1"/>
  <c r="G1160" i="1"/>
  <c r="H1160" i="1"/>
  <c r="G1161" i="1" l="1"/>
  <c r="F1162" i="1"/>
  <c r="H1161" i="1"/>
  <c r="F1163" i="1" l="1"/>
  <c r="H1162" i="1"/>
  <c r="G1162" i="1"/>
  <c r="H1163" i="1" l="1"/>
  <c r="F1164" i="1"/>
  <c r="G1163" i="1"/>
  <c r="G1164" i="1" l="1"/>
  <c r="F1165" i="1"/>
  <c r="H1164" i="1"/>
  <c r="H1165" i="1" l="1"/>
  <c r="F1166" i="1"/>
  <c r="G1165" i="1"/>
  <c r="F1167" i="1" l="1"/>
  <c r="H1166" i="1"/>
  <c r="G1166" i="1"/>
  <c r="G1167" i="1" s="1"/>
  <c r="F1168" i="1" l="1"/>
  <c r="H1167" i="1"/>
  <c r="H1168" i="1" l="1"/>
  <c r="F1169" i="1"/>
  <c r="G1168" i="1"/>
  <c r="G1169" i="1" l="1"/>
  <c r="F1170" i="1"/>
  <c r="H1169" i="1"/>
  <c r="H1170" i="1" l="1"/>
  <c r="F1171" i="1"/>
  <c r="G1170" i="1"/>
  <c r="F1172" i="1" l="1"/>
  <c r="H1171" i="1"/>
  <c r="H1172" i="1" s="1"/>
  <c r="G1171" i="1"/>
  <c r="F1173" i="1" l="1"/>
  <c r="G1172" i="1"/>
  <c r="F1174" i="1" l="1"/>
  <c r="H1173" i="1"/>
  <c r="H1174" i="1" s="1"/>
  <c r="G1173" i="1"/>
  <c r="G1174" i="1" s="1"/>
  <c r="F1175" i="1" l="1"/>
  <c r="F1176" i="1" l="1"/>
  <c r="H1175" i="1"/>
  <c r="G1175" i="1"/>
  <c r="G1176" i="1" l="1"/>
  <c r="H1176" i="1"/>
  <c r="F1177" i="1"/>
  <c r="H1177" i="1" s="1"/>
  <c r="F1178" i="1" l="1"/>
  <c r="G1177" i="1"/>
  <c r="F1179" i="1" l="1"/>
  <c r="H1178" i="1"/>
  <c r="G1178" i="1"/>
  <c r="F1180" i="1" l="1"/>
  <c r="H1179" i="1"/>
  <c r="G1179" i="1"/>
  <c r="G1180" i="1" l="1"/>
  <c r="F1181" i="1"/>
  <c r="H1180" i="1"/>
  <c r="H1181" i="1" l="1"/>
  <c r="F1182" i="1"/>
  <c r="G1181" i="1"/>
  <c r="G1182" i="1" l="1"/>
  <c r="F1183" i="1"/>
  <c r="H1182" i="1"/>
  <c r="F1184" i="1" l="1"/>
  <c r="H1183" i="1"/>
  <c r="H1184" i="1" s="1"/>
  <c r="G1183" i="1"/>
  <c r="G1184" i="1" s="1"/>
  <c r="F1185" i="1" l="1"/>
  <c r="F1186" i="1" l="1"/>
  <c r="H1185" i="1"/>
  <c r="G1185" i="1"/>
  <c r="G1186" i="1" l="1"/>
  <c r="H1186" i="1"/>
  <c r="F1187" i="1"/>
  <c r="F1188" i="1" l="1"/>
  <c r="H1187" i="1"/>
  <c r="G1187" i="1"/>
  <c r="F1189" i="1" l="1"/>
  <c r="H1188" i="1"/>
  <c r="G1188" i="1"/>
  <c r="H1189" i="1" l="1"/>
  <c r="F1190" i="1"/>
  <c r="G1189" i="1"/>
  <c r="G1190" i="1" l="1"/>
  <c r="F1191" i="1"/>
  <c r="H1190" i="1"/>
  <c r="H1191" i="1" s="1"/>
  <c r="G1191" i="1" l="1"/>
  <c r="F1192" i="1"/>
  <c r="F1193" i="1" l="1"/>
  <c r="G1192" i="1"/>
  <c r="H1192" i="1"/>
  <c r="F1194" i="1" l="1"/>
  <c r="H1193" i="1"/>
  <c r="G1193" i="1"/>
  <c r="G1194" i="1" l="1"/>
  <c r="F1195" i="1"/>
  <c r="H1194" i="1"/>
  <c r="F1196" i="1" l="1"/>
  <c r="H1195" i="1"/>
  <c r="G1195" i="1"/>
  <c r="G1196" i="1" l="1"/>
  <c r="H1196" i="1"/>
  <c r="F1197" i="1"/>
  <c r="F1198" i="1" l="1"/>
  <c r="H1197" i="1"/>
  <c r="H1198" i="1" s="1"/>
  <c r="G1197" i="1"/>
  <c r="G1198" i="1" s="1"/>
  <c r="F1199" i="1" l="1"/>
  <c r="F1200" i="1" l="1"/>
  <c r="H1199" i="1"/>
  <c r="G1199" i="1"/>
  <c r="G1200" i="1" l="1"/>
  <c r="H1200" i="1"/>
  <c r="F1201" i="1"/>
  <c r="F1202" i="1" l="1"/>
  <c r="H1201" i="1"/>
  <c r="G1201" i="1"/>
  <c r="F1203" i="1" l="1"/>
  <c r="H1202" i="1"/>
  <c r="G1202" i="1"/>
  <c r="H1203" i="1" l="1"/>
  <c r="F1204" i="1"/>
  <c r="G1203" i="1"/>
  <c r="G1204" i="1" l="1"/>
  <c r="F1205" i="1"/>
  <c r="H1204" i="1"/>
  <c r="H1205" i="1" s="1"/>
  <c r="F1206" i="1" l="1"/>
  <c r="G1205" i="1"/>
  <c r="G1206" i="1" l="1"/>
  <c r="F1207" i="1"/>
  <c r="H1206" i="1"/>
  <c r="F1208" i="1" l="1"/>
  <c r="H1207" i="1"/>
  <c r="G1207" i="1"/>
  <c r="H1208" i="1" l="1"/>
  <c r="G1208" i="1"/>
  <c r="F1209" i="1"/>
  <c r="F1210" i="1" l="1"/>
  <c r="G1209" i="1"/>
  <c r="H1209" i="1"/>
  <c r="F1211" i="1" l="1"/>
  <c r="H1210" i="1"/>
  <c r="G1210" i="1"/>
  <c r="G1211" i="1" l="1"/>
  <c r="H1211" i="1"/>
  <c r="F1212" i="1"/>
  <c r="F1213" i="1" l="1"/>
  <c r="H1212" i="1"/>
  <c r="G1212" i="1"/>
  <c r="G1213" i="1" l="1"/>
  <c r="H1213" i="1"/>
  <c r="F1214" i="1"/>
  <c r="F1215" i="1" l="1"/>
  <c r="H1214" i="1"/>
  <c r="G1214" i="1"/>
  <c r="G1215" i="1" l="1"/>
  <c r="H1215" i="1"/>
  <c r="F1216" i="1"/>
  <c r="F1217" i="1" l="1"/>
  <c r="H1216" i="1"/>
  <c r="G1216" i="1"/>
  <c r="F1218" i="1" l="1"/>
  <c r="H1217" i="1"/>
  <c r="G1217" i="1"/>
  <c r="G1218" i="1" l="1"/>
  <c r="F1219" i="1"/>
  <c r="H1218" i="1"/>
  <c r="F1220" i="1" l="1"/>
  <c r="H1219" i="1"/>
  <c r="G1219" i="1"/>
  <c r="G1220" i="1" l="1"/>
  <c r="F1221" i="1"/>
  <c r="H1220" i="1"/>
  <c r="F1222" i="1" l="1"/>
  <c r="H1221" i="1"/>
  <c r="G1221" i="1"/>
  <c r="H1222" i="1" l="1"/>
  <c r="F1223" i="1"/>
  <c r="G1222" i="1"/>
  <c r="F1224" i="1" l="1"/>
  <c r="H1223" i="1"/>
  <c r="G1223" i="1"/>
  <c r="G1224" i="1" l="1"/>
  <c r="H1224" i="1"/>
  <c r="F1225" i="1"/>
  <c r="F1226" i="1" l="1"/>
  <c r="H1225" i="1"/>
  <c r="G1225" i="1"/>
  <c r="F1227" i="1" l="1"/>
  <c r="H1226" i="1"/>
  <c r="G1226" i="1"/>
  <c r="G1227" i="1" l="1"/>
  <c r="H1227" i="1"/>
  <c r="F1228" i="1"/>
  <c r="F1229" i="1" l="1"/>
  <c r="H1228" i="1"/>
  <c r="G1228" i="1"/>
  <c r="G1229" i="1" l="1"/>
  <c r="H1229" i="1"/>
  <c r="F1230" i="1"/>
  <c r="F1231" i="1" l="1"/>
  <c r="H1230" i="1"/>
  <c r="G1230" i="1"/>
  <c r="G1231" i="1" s="1"/>
  <c r="F1232" i="1" l="1"/>
  <c r="H1231" i="1"/>
  <c r="H1232" i="1" l="1"/>
  <c r="F1233" i="1"/>
  <c r="G1232" i="1"/>
  <c r="G1233" i="1" l="1"/>
  <c r="F1234" i="1"/>
  <c r="H1233" i="1"/>
  <c r="F1235" i="1" l="1"/>
  <c r="H1234" i="1"/>
  <c r="G1234" i="1"/>
  <c r="F1236" i="1" l="1"/>
  <c r="H1235" i="1"/>
  <c r="G1235" i="1"/>
  <c r="G1236" i="1" l="1"/>
  <c r="F1237" i="1"/>
  <c r="H1236" i="1"/>
  <c r="H1237" i="1" l="1"/>
  <c r="F1238" i="1"/>
  <c r="G1237" i="1"/>
  <c r="G1238" i="1" l="1"/>
  <c r="F1239" i="1"/>
  <c r="H1238" i="1"/>
  <c r="H1239" i="1" l="1"/>
  <c r="F1240" i="1"/>
  <c r="G1239" i="1"/>
  <c r="F1241" i="1" l="1"/>
  <c r="H1240" i="1"/>
  <c r="G1240" i="1"/>
  <c r="F1242" i="1" l="1"/>
  <c r="H1241" i="1"/>
  <c r="G1241" i="1"/>
  <c r="G1242" i="1" l="1"/>
  <c r="F1243" i="1"/>
  <c r="H1242" i="1"/>
  <c r="F1244" i="1" l="1"/>
  <c r="H1243" i="1"/>
  <c r="G1243" i="1"/>
  <c r="G1244" i="1" l="1"/>
  <c r="F1245" i="1"/>
  <c r="H1244" i="1"/>
  <c r="F1246" i="1" l="1"/>
  <c r="H1245" i="1"/>
  <c r="G1245" i="1"/>
  <c r="G1246" i="1" s="1"/>
  <c r="H1246" i="1" l="1"/>
  <c r="F1247" i="1"/>
  <c r="F1248" i="1" l="1"/>
  <c r="H1247" i="1"/>
  <c r="G1247" i="1"/>
  <c r="H1248" i="1" l="1"/>
  <c r="F1249" i="1"/>
  <c r="G1248" i="1"/>
  <c r="F1250" i="1" l="1"/>
  <c r="H1249" i="1"/>
  <c r="G1249" i="1"/>
  <c r="F1251" i="1" l="1"/>
  <c r="H1250" i="1"/>
  <c r="G1250" i="1"/>
  <c r="F1252" i="1" l="1"/>
  <c r="H1251" i="1"/>
  <c r="H1252" i="1" s="1"/>
  <c r="G1251" i="1"/>
  <c r="G1252" i="1" s="1"/>
  <c r="F1253" i="1" l="1"/>
  <c r="F1254" i="1" l="1"/>
  <c r="H1253" i="1"/>
  <c r="G1253" i="1"/>
  <c r="G1254" i="1" l="1"/>
  <c r="F1255" i="1"/>
  <c r="H1254" i="1"/>
  <c r="F1256" i="1" l="1"/>
  <c r="H1255" i="1"/>
  <c r="G1255" i="1"/>
  <c r="H1256" i="1" l="1"/>
  <c r="F1257" i="1"/>
  <c r="G1256" i="1"/>
  <c r="G1257" i="1" l="1"/>
  <c r="F1258" i="1"/>
  <c r="H1257" i="1"/>
  <c r="H1258" i="1" l="1"/>
  <c r="F1259" i="1"/>
  <c r="G1258" i="1"/>
  <c r="F1260" i="1" l="1"/>
  <c r="H1259" i="1"/>
  <c r="H1260" i="1" s="1"/>
  <c r="G1259" i="1"/>
  <c r="G1260" i="1" l="1"/>
  <c r="F1261" i="1"/>
  <c r="F1262" i="1" l="1"/>
  <c r="H1261" i="1"/>
  <c r="G1261" i="1"/>
  <c r="H1262" i="1" l="1"/>
  <c r="G1262" i="1"/>
  <c r="F1263" i="1"/>
  <c r="F1264" i="1" l="1"/>
  <c r="H1263" i="1"/>
  <c r="G1263" i="1"/>
  <c r="G1264" i="1" l="1"/>
  <c r="H1264" i="1"/>
  <c r="F1265" i="1"/>
  <c r="F1266" i="1" l="1"/>
  <c r="H1265" i="1"/>
  <c r="G1265" i="1"/>
  <c r="G1266" i="1" s="1"/>
  <c r="F1267" i="1" l="1"/>
  <c r="H1266" i="1"/>
  <c r="F1268" i="1" l="1"/>
  <c r="H1267" i="1"/>
  <c r="G1267" i="1"/>
  <c r="F1269" i="1" l="1"/>
  <c r="H1268" i="1"/>
  <c r="G1268" i="1"/>
  <c r="F1270" i="1" l="1"/>
  <c r="H1269" i="1"/>
  <c r="G1269" i="1"/>
  <c r="G1270" i="1" l="1"/>
  <c r="H1270" i="1"/>
  <c r="F1271" i="1"/>
  <c r="F1272" i="1" l="1"/>
  <c r="G1271" i="1"/>
  <c r="G1272" i="1" s="1"/>
  <c r="H1271" i="1"/>
  <c r="H1272" i="1" l="1"/>
  <c r="F1273" i="1"/>
  <c r="F1274" i="1" l="1"/>
  <c r="H1273" i="1"/>
  <c r="G1273" i="1"/>
  <c r="F1275" i="1" l="1"/>
  <c r="H1274" i="1"/>
  <c r="G1274" i="1"/>
  <c r="G1275" i="1" s="1"/>
  <c r="H1275" i="1" l="1"/>
  <c r="F1276" i="1"/>
  <c r="F1277" i="1" l="1"/>
  <c r="H1276" i="1"/>
  <c r="G1276" i="1"/>
  <c r="G1277" i="1" l="1"/>
  <c r="F1278" i="1"/>
  <c r="H1277" i="1"/>
  <c r="F1279" i="1" l="1"/>
  <c r="H1278" i="1"/>
  <c r="G1278" i="1"/>
  <c r="G1279" i="1" s="1"/>
  <c r="F1280" i="1" l="1"/>
  <c r="H1279" i="1"/>
  <c r="H1280" i="1" l="1"/>
  <c r="F1281" i="1"/>
  <c r="G1280" i="1"/>
  <c r="G1281" i="1" l="1"/>
  <c r="F1282" i="1"/>
  <c r="H1281" i="1"/>
  <c r="H1282" i="1" l="1"/>
  <c r="F1283" i="1"/>
  <c r="G1282" i="1"/>
  <c r="F1284" i="1" l="1"/>
  <c r="H1283" i="1"/>
  <c r="G1283" i="1"/>
  <c r="F1285" i="1" l="1"/>
  <c r="H1284" i="1"/>
  <c r="G1284" i="1"/>
  <c r="G1285" i="1" l="1"/>
  <c r="H1285" i="1"/>
  <c r="F1286" i="1"/>
  <c r="F1287" i="1" l="1"/>
  <c r="H1286" i="1"/>
  <c r="G1286" i="1"/>
  <c r="G1287" i="1" l="1"/>
  <c r="F1288" i="1"/>
  <c r="H1287" i="1"/>
  <c r="H1288" i="1" l="1"/>
  <c r="F1289" i="1"/>
  <c r="G1288" i="1"/>
  <c r="G1289" i="1" l="1"/>
  <c r="F1290" i="1"/>
  <c r="H1289" i="1"/>
  <c r="F1291" i="1" l="1"/>
  <c r="H1290" i="1"/>
  <c r="G1290" i="1"/>
  <c r="G1291" i="1" l="1"/>
  <c r="F1292" i="1"/>
  <c r="H1291" i="1"/>
  <c r="F1293" i="1" l="1"/>
  <c r="H1292" i="1"/>
  <c r="G1292" i="1"/>
  <c r="H1293" i="1" l="1"/>
  <c r="F1294" i="1"/>
  <c r="G1293" i="1"/>
  <c r="G1294" i="1" l="1"/>
  <c r="F1295" i="1"/>
  <c r="H1294" i="1"/>
  <c r="H1295" i="1" l="1"/>
  <c r="F1296" i="1"/>
  <c r="G1295" i="1"/>
  <c r="G1296" i="1" l="1"/>
  <c r="F1297" i="1"/>
  <c r="H1296" i="1"/>
  <c r="F1298" i="1" l="1"/>
  <c r="H1297" i="1"/>
  <c r="G1297" i="1"/>
  <c r="G1298" i="1" s="1"/>
  <c r="F1299" i="1" l="1"/>
  <c r="H1298" i="1"/>
  <c r="F1300" i="1" l="1"/>
  <c r="H1299" i="1"/>
  <c r="G1299" i="1"/>
  <c r="G1300" i="1" l="1"/>
  <c r="F1301" i="1"/>
  <c r="H1300" i="1"/>
  <c r="F1302" i="1" l="1"/>
  <c r="H1301" i="1"/>
  <c r="G1301" i="1"/>
  <c r="F1303" i="1" l="1"/>
  <c r="H1302" i="1"/>
  <c r="G1302" i="1"/>
  <c r="F1304" i="1" l="1"/>
  <c r="H1303" i="1"/>
  <c r="H1304" i="1" s="1"/>
  <c r="G1303" i="1"/>
  <c r="G1304" i="1" s="1"/>
  <c r="F1305" i="1" l="1"/>
  <c r="F1306" i="1" l="1"/>
  <c r="H1305" i="1"/>
  <c r="G1305" i="1"/>
  <c r="G1306" i="1" l="1"/>
  <c r="H1306" i="1"/>
  <c r="F1307" i="1"/>
  <c r="F1308" i="1" l="1"/>
  <c r="H1307" i="1"/>
  <c r="G1307" i="1"/>
  <c r="G1308" i="1" l="1"/>
  <c r="H1308" i="1"/>
  <c r="F1309" i="1"/>
  <c r="F1310" i="1" l="1"/>
  <c r="H1309" i="1"/>
  <c r="H1310" i="1" s="1"/>
  <c r="G1309" i="1"/>
  <c r="G1310" i="1" s="1"/>
  <c r="F1311" i="1" l="1"/>
  <c r="F1312" i="1" l="1"/>
  <c r="H1311" i="1"/>
  <c r="G1311" i="1"/>
  <c r="F1313" i="1" l="1"/>
  <c r="H1312" i="1"/>
  <c r="G1312" i="1"/>
  <c r="G1313" i="1" l="1"/>
  <c r="F1314" i="1"/>
  <c r="H1313" i="1"/>
  <c r="F1315" i="1" l="1"/>
  <c r="H1314" i="1"/>
  <c r="H1315" i="1" s="1"/>
  <c r="G1314" i="1"/>
  <c r="G1315" i="1" s="1"/>
  <c r="F1316" i="1" l="1"/>
  <c r="F1317" i="1" l="1"/>
  <c r="H1316" i="1"/>
  <c r="G1316" i="1"/>
  <c r="G1317" i="1" s="1"/>
  <c r="F1318" i="1" l="1"/>
  <c r="H1317" i="1"/>
  <c r="H1318" i="1" l="1"/>
  <c r="F1319" i="1"/>
  <c r="G1318" i="1"/>
  <c r="G1319" i="1" l="1"/>
  <c r="F1320" i="1"/>
  <c r="H1319" i="1"/>
  <c r="H1320" i="1" l="1"/>
  <c r="F1321" i="1"/>
  <c r="G1320" i="1"/>
  <c r="G1321" i="1" l="1"/>
  <c r="F1322" i="1"/>
  <c r="H1321" i="1"/>
  <c r="F1323" i="1" l="1"/>
  <c r="H1322" i="1"/>
  <c r="G1322" i="1"/>
  <c r="G1323" i="1" s="1"/>
  <c r="F1324" i="1" l="1"/>
  <c r="H1323" i="1"/>
  <c r="F1325" i="1" l="1"/>
  <c r="H1324" i="1"/>
  <c r="H1325" i="1" s="1"/>
  <c r="G1324" i="1"/>
  <c r="G1325" i="1" s="1"/>
  <c r="F1326" i="1" l="1"/>
  <c r="F1327" i="1" l="1"/>
  <c r="H1326" i="1"/>
  <c r="G1326" i="1"/>
  <c r="F1328" i="1" l="1"/>
  <c r="H1327" i="1"/>
  <c r="H1328" i="1" s="1"/>
  <c r="G1327" i="1"/>
  <c r="G1328" i="1" s="1"/>
  <c r="F1329" i="1" l="1"/>
  <c r="F1330" i="1" l="1"/>
  <c r="H1329" i="1"/>
  <c r="G1329" i="1"/>
  <c r="G1330" i="1" s="1"/>
  <c r="F1331" i="1" l="1"/>
  <c r="H1330" i="1"/>
  <c r="F1332" i="1" l="1"/>
  <c r="H1331" i="1"/>
  <c r="G1331" i="1"/>
  <c r="G1332" i="1" l="1"/>
  <c r="F1333" i="1"/>
  <c r="H1332" i="1"/>
  <c r="F1334" i="1" l="1"/>
  <c r="H1333" i="1"/>
  <c r="H1334" i="1" s="1"/>
  <c r="G1333" i="1"/>
  <c r="F1335" i="1" l="1"/>
  <c r="G1334" i="1"/>
  <c r="G1335" i="1" s="1"/>
  <c r="F1336" i="1" l="1"/>
  <c r="H1335" i="1"/>
  <c r="F1337" i="1" l="1"/>
  <c r="H1336" i="1"/>
  <c r="G1336" i="1"/>
  <c r="G1337" i="1" l="1"/>
  <c r="F1338" i="1"/>
  <c r="H1337" i="1"/>
  <c r="F1339" i="1" l="1"/>
  <c r="H1338" i="1"/>
  <c r="G1338" i="1"/>
  <c r="F1340" i="1" l="1"/>
  <c r="H1339" i="1"/>
  <c r="H1340" i="1" s="1"/>
  <c r="G1339" i="1"/>
  <c r="G1340" i="1" s="1"/>
  <c r="F1341" i="1" l="1"/>
  <c r="F1342" i="1" l="1"/>
  <c r="H1341" i="1"/>
  <c r="H1342" i="1" s="1"/>
  <c r="G1341" i="1"/>
  <c r="F1343" i="1" l="1"/>
  <c r="G1342" i="1"/>
  <c r="G1343" i="1" l="1"/>
  <c r="F1344" i="1"/>
  <c r="H1343" i="1"/>
  <c r="H1344" i="1" l="1"/>
  <c r="F1345" i="1"/>
  <c r="G1344" i="1"/>
  <c r="G1345" i="1" l="1"/>
  <c r="F1346" i="1"/>
  <c r="G1346" i="1" s="1"/>
  <c r="H1345" i="1"/>
  <c r="F1347" i="1" l="1"/>
  <c r="H1346" i="1"/>
  <c r="F1348" i="1" l="1"/>
  <c r="H1347" i="1"/>
  <c r="H1348" i="1" s="1"/>
  <c r="G1347" i="1"/>
  <c r="G1348" i="1" s="1"/>
  <c r="F1349" i="1" l="1"/>
  <c r="F1350" i="1" l="1"/>
  <c r="H1349" i="1"/>
  <c r="H1350" i="1" s="1"/>
  <c r="G1349" i="1"/>
  <c r="G1350" i="1" s="1"/>
  <c r="F1351" i="1" l="1"/>
  <c r="F1352" i="1" l="1"/>
  <c r="H1351" i="1"/>
  <c r="H1352" i="1" s="1"/>
  <c r="G1351" i="1"/>
  <c r="G1352" i="1" s="1"/>
  <c r="F1353" i="1" l="1"/>
  <c r="F1354" i="1" l="1"/>
  <c r="H1353" i="1"/>
  <c r="H1354" i="1" s="1"/>
  <c r="G1353" i="1"/>
  <c r="G1354" i="1" s="1"/>
  <c r="F1355" i="1" l="1"/>
  <c r="F1356" i="1" l="1"/>
  <c r="H1355" i="1"/>
  <c r="H1356" i="1" s="1"/>
  <c r="G1355" i="1"/>
  <c r="G1356" i="1" s="1"/>
  <c r="F1357" i="1" l="1"/>
  <c r="F1358" i="1" l="1"/>
  <c r="G1357" i="1"/>
  <c r="H1357" i="1"/>
  <c r="H1358" i="1" s="1"/>
  <c r="G1358" i="1" l="1"/>
  <c r="F1359" i="1"/>
  <c r="F1360" i="1" l="1"/>
  <c r="G1359" i="1"/>
  <c r="H1359" i="1"/>
  <c r="F1361" i="1" l="1"/>
  <c r="H1360" i="1"/>
  <c r="G1360" i="1"/>
  <c r="F1362" i="1" l="1"/>
  <c r="H1361" i="1"/>
  <c r="H1362" i="1" s="1"/>
  <c r="G1361" i="1"/>
  <c r="G1362" i="1" s="1"/>
  <c r="F1363" i="1" l="1"/>
  <c r="F1364" i="1" l="1"/>
  <c r="G1363" i="1"/>
  <c r="H1363" i="1"/>
  <c r="G1364" i="1" l="1"/>
  <c r="F1365" i="1"/>
  <c r="H1364" i="1"/>
  <c r="F1366" i="1" l="1"/>
  <c r="H1365" i="1"/>
  <c r="G1365" i="1"/>
  <c r="G1366" i="1" l="1"/>
  <c r="H1366" i="1"/>
  <c r="F1367" i="1"/>
  <c r="F1368" i="1" l="1"/>
  <c r="H1367" i="1"/>
  <c r="G1367" i="1"/>
  <c r="G1368" i="1" l="1"/>
  <c r="H1368" i="1"/>
  <c r="F1369" i="1"/>
  <c r="F1370" i="1" l="1"/>
  <c r="H1369" i="1"/>
  <c r="G1369" i="1"/>
  <c r="F1371" i="1" l="1"/>
  <c r="H1370" i="1"/>
  <c r="G1370" i="1"/>
  <c r="G1371" i="1" l="1"/>
  <c r="F1372" i="1"/>
  <c r="H1371" i="1"/>
  <c r="H1372" i="1" l="1"/>
  <c r="F1373" i="1"/>
  <c r="G1372" i="1"/>
  <c r="F1374" i="1" l="1"/>
  <c r="G1373" i="1"/>
  <c r="H1373" i="1"/>
  <c r="G1374" i="1" l="1"/>
  <c r="F1375" i="1"/>
  <c r="H1374" i="1"/>
  <c r="F1376" i="1" l="1"/>
  <c r="H1375" i="1"/>
  <c r="G1375" i="1"/>
  <c r="H1376" i="1" l="1"/>
  <c r="G1376" i="1"/>
  <c r="F1377" i="1"/>
  <c r="F1378" i="1" l="1"/>
  <c r="H1377" i="1"/>
  <c r="H1378" i="1" s="1"/>
  <c r="G1377" i="1"/>
  <c r="F1379" i="1" l="1"/>
  <c r="G1378" i="1"/>
  <c r="G1379" i="1" l="1"/>
  <c r="F1380" i="1"/>
  <c r="H1379" i="1"/>
  <c r="F1381" i="1" l="1"/>
  <c r="H1380" i="1"/>
  <c r="G1380" i="1"/>
  <c r="H1381" i="1" l="1"/>
  <c r="F1382" i="1"/>
  <c r="G1381" i="1"/>
  <c r="G1382" i="1" l="1"/>
  <c r="F1383" i="1"/>
  <c r="H1382" i="1"/>
  <c r="F1384" i="1" l="1"/>
  <c r="H1383" i="1"/>
  <c r="G1383" i="1"/>
  <c r="G1384" i="1" l="1"/>
  <c r="F1385" i="1"/>
  <c r="H1384" i="1"/>
  <c r="F1386" i="1" l="1"/>
  <c r="H1385" i="1"/>
  <c r="G1385" i="1"/>
  <c r="H1386" i="1" l="1"/>
  <c r="F1387" i="1"/>
  <c r="G1386" i="1"/>
  <c r="G1387" i="1" l="1"/>
  <c r="F1388" i="1"/>
  <c r="H1387" i="1"/>
  <c r="F1389" i="1" l="1"/>
  <c r="H1388" i="1"/>
  <c r="G1388" i="1"/>
  <c r="G1389" i="1" l="1"/>
  <c r="F1390" i="1"/>
  <c r="H1389" i="1"/>
  <c r="F1391" i="1" l="1"/>
  <c r="H1390" i="1"/>
  <c r="G1390" i="1"/>
  <c r="F1392" i="1" l="1"/>
  <c r="H1391" i="1"/>
  <c r="G1391" i="1"/>
  <c r="G1392" i="1" l="1"/>
  <c r="H1392" i="1"/>
  <c r="F1393" i="1"/>
  <c r="F1394" i="1" l="1"/>
  <c r="H1393" i="1"/>
  <c r="G1393" i="1"/>
  <c r="F1395" i="1" l="1"/>
  <c r="H1394" i="1"/>
  <c r="G1394" i="1"/>
  <c r="G1395" i="1" l="1"/>
  <c r="H1395" i="1"/>
  <c r="F1396" i="1"/>
  <c r="F1397" i="1" l="1"/>
  <c r="G1396" i="1"/>
  <c r="H1396" i="1"/>
  <c r="G1397" i="1" l="1"/>
  <c r="F1398" i="1"/>
  <c r="H1397" i="1"/>
  <c r="H1398" i="1" l="1"/>
  <c r="F1399" i="1"/>
  <c r="G1398" i="1"/>
  <c r="G1399" i="1" l="1"/>
  <c r="F1400" i="1"/>
  <c r="H1399" i="1"/>
  <c r="H1400" i="1" l="1"/>
  <c r="F1401" i="1"/>
  <c r="G1400" i="1"/>
  <c r="F1402" i="1" l="1"/>
  <c r="H1401" i="1"/>
  <c r="G1401" i="1"/>
  <c r="G1402" i="1" l="1"/>
  <c r="F1403" i="1"/>
  <c r="H1402" i="1"/>
  <c r="H1403" i="1" l="1"/>
  <c r="F1404" i="1"/>
  <c r="G1403" i="1"/>
  <c r="F1405" i="1" l="1"/>
  <c r="H1404" i="1"/>
  <c r="H1405" i="1" s="1"/>
  <c r="G1404" i="1"/>
  <c r="F1406" i="1" l="1"/>
  <c r="G1405" i="1"/>
  <c r="G1406" i="1" l="1"/>
  <c r="F1407" i="1"/>
  <c r="H1406" i="1"/>
  <c r="H1407" i="1" s="1"/>
  <c r="F1408" i="1" l="1"/>
  <c r="G1407" i="1"/>
  <c r="G1408" i="1" l="1"/>
  <c r="F1409" i="1"/>
  <c r="H1408" i="1"/>
  <c r="F1410" i="1" l="1"/>
  <c r="H1409" i="1"/>
  <c r="G1409" i="1"/>
  <c r="G1410" i="1" s="1"/>
  <c r="F1411" i="1" l="1"/>
  <c r="H1410" i="1"/>
  <c r="H1411" i="1" l="1"/>
  <c r="F1412" i="1"/>
  <c r="G1411" i="1"/>
  <c r="G1412" i="1" s="1"/>
  <c r="F1413" i="1" l="1"/>
  <c r="H1412" i="1"/>
  <c r="H1413" i="1" l="1"/>
  <c r="F1414" i="1"/>
  <c r="G1413" i="1"/>
  <c r="G1414" i="1" l="1"/>
  <c r="F1415" i="1"/>
  <c r="H1414" i="1"/>
  <c r="F1416" i="1" l="1"/>
  <c r="H1415" i="1"/>
  <c r="H1416" i="1" s="1"/>
  <c r="G1415" i="1"/>
  <c r="G1416" i="1" l="1"/>
  <c r="F1417" i="1"/>
  <c r="F1418" i="1" l="1"/>
  <c r="G1417" i="1"/>
  <c r="H1417" i="1"/>
  <c r="H1418" i="1" l="1"/>
  <c r="G1418" i="1"/>
  <c r="F1419" i="1"/>
  <c r="F1420" i="1" l="1"/>
  <c r="H1419" i="1"/>
  <c r="G1419" i="1"/>
  <c r="G1420" i="1" l="1"/>
  <c r="F1421" i="1"/>
  <c r="H1420" i="1"/>
  <c r="F1422" i="1" l="1"/>
  <c r="H1421" i="1"/>
  <c r="G1421" i="1"/>
  <c r="G1422" i="1" l="1"/>
  <c r="H1422" i="1"/>
  <c r="F1423" i="1"/>
  <c r="F1424" i="1" l="1"/>
  <c r="H1423" i="1"/>
  <c r="H1424" i="1" s="1"/>
  <c r="G1423" i="1"/>
  <c r="G1424" i="1" l="1"/>
  <c r="F1425" i="1"/>
  <c r="F1426" i="1" l="1"/>
  <c r="H1425" i="1"/>
  <c r="G1425" i="1"/>
  <c r="G1426" i="1" s="1"/>
  <c r="H1426" i="1" l="1"/>
  <c r="F1427" i="1"/>
  <c r="F1428" i="1" l="1"/>
  <c r="H1427" i="1"/>
  <c r="G1427" i="1"/>
  <c r="F1429" i="1" l="1"/>
  <c r="H1428" i="1"/>
  <c r="G1428" i="1"/>
  <c r="G1429" i="1" l="1"/>
  <c r="F1430" i="1"/>
  <c r="H1429" i="1"/>
  <c r="H1430" i="1" l="1"/>
  <c r="F1431" i="1"/>
  <c r="G1430" i="1"/>
  <c r="G1431" i="1" l="1"/>
  <c r="F1432" i="1"/>
  <c r="H1431" i="1"/>
  <c r="H1432" i="1" l="1"/>
  <c r="F1433" i="1"/>
  <c r="G1432" i="1"/>
  <c r="F1434" i="1" l="1"/>
  <c r="H1433" i="1"/>
  <c r="G1433" i="1"/>
  <c r="G1434" i="1" s="1"/>
  <c r="F1435" i="1" l="1"/>
  <c r="H1434" i="1"/>
  <c r="H1435" i="1" l="1"/>
  <c r="F1436" i="1"/>
  <c r="G1435" i="1"/>
  <c r="G1436" i="1" l="1"/>
  <c r="F1437" i="1"/>
  <c r="H1436" i="1"/>
  <c r="F1438" i="1" l="1"/>
  <c r="H1437" i="1"/>
  <c r="G1437" i="1"/>
  <c r="F1439" i="1" l="1"/>
  <c r="H1438" i="1"/>
  <c r="H1439" i="1" s="1"/>
  <c r="G1438" i="1"/>
  <c r="F1440" i="1" l="1"/>
  <c r="G1439" i="1"/>
  <c r="G1440" i="1" l="1"/>
  <c r="F1441" i="1"/>
  <c r="H1440" i="1"/>
  <c r="H1441" i="1" s="1"/>
  <c r="F1442" i="1" l="1"/>
  <c r="G1441" i="1"/>
  <c r="G1442" i="1" l="1"/>
  <c r="F1443" i="1"/>
  <c r="H1442" i="1"/>
  <c r="F1444" i="1" l="1"/>
  <c r="H1443" i="1"/>
  <c r="G1443" i="1"/>
  <c r="G1444" i="1" l="1"/>
  <c r="H1444" i="1"/>
  <c r="F1445" i="1"/>
  <c r="F1446" i="1" l="1"/>
  <c r="G1445" i="1"/>
  <c r="G1446" i="1" s="1"/>
  <c r="H1445" i="1"/>
  <c r="F1447" i="1" l="1"/>
  <c r="H1446" i="1"/>
  <c r="F1448" i="1" l="1"/>
  <c r="H1447" i="1"/>
  <c r="G1447" i="1"/>
  <c r="H1448" i="1" l="1"/>
  <c r="F1449" i="1"/>
  <c r="G1448" i="1"/>
  <c r="G1449" i="1" l="1"/>
  <c r="F1450" i="1"/>
  <c r="H1449" i="1"/>
  <c r="H1450" i="1" l="1"/>
  <c r="F1451" i="1"/>
  <c r="G1450" i="1"/>
  <c r="G1451" i="1" l="1"/>
  <c r="F1452" i="1"/>
  <c r="H1451" i="1"/>
  <c r="F1453" i="1" l="1"/>
  <c r="H1452" i="1"/>
  <c r="G1452" i="1"/>
  <c r="G1453" i="1" l="1"/>
  <c r="H1453" i="1"/>
  <c r="F1454" i="1"/>
  <c r="F1455" i="1" l="1"/>
  <c r="G1454" i="1"/>
  <c r="H1454" i="1"/>
  <c r="G1455" i="1" l="1"/>
  <c r="F1456" i="1"/>
  <c r="H1455" i="1"/>
  <c r="H1456" i="1" l="1"/>
  <c r="F1457" i="1"/>
  <c r="G1456" i="1"/>
  <c r="G1457" i="1" l="1"/>
  <c r="F1458" i="1"/>
  <c r="H1457" i="1"/>
  <c r="H1458" i="1" s="1"/>
  <c r="F1459" i="1" l="1"/>
  <c r="G1458" i="1"/>
  <c r="F1460" i="1" l="1"/>
  <c r="G1459" i="1"/>
  <c r="H1459" i="1"/>
  <c r="H1460" i="1" l="1"/>
  <c r="G1460" i="1"/>
  <c r="F1461" i="1"/>
  <c r="F1462" i="1" l="1"/>
  <c r="G1461" i="1"/>
  <c r="H1461" i="1"/>
  <c r="F1463" i="1" l="1"/>
  <c r="H1462" i="1"/>
  <c r="G1462" i="1"/>
  <c r="F1464" i="1" l="1"/>
  <c r="H1463" i="1"/>
  <c r="G1463" i="1"/>
  <c r="G1464" i="1" l="1"/>
  <c r="H1464" i="1"/>
  <c r="F1465" i="1"/>
  <c r="F1466" i="1" l="1"/>
  <c r="H1465" i="1"/>
  <c r="G1465" i="1"/>
  <c r="G1466" i="1" l="1"/>
  <c r="F1467" i="1"/>
  <c r="H1466" i="1"/>
  <c r="F1468" i="1" l="1"/>
  <c r="H1467" i="1"/>
  <c r="G1467" i="1"/>
  <c r="G1468" i="1" s="1"/>
  <c r="H1468" i="1" l="1"/>
  <c r="F1469" i="1"/>
  <c r="F1470" i="1" l="1"/>
  <c r="G1469" i="1"/>
  <c r="H1469" i="1"/>
  <c r="F1471" i="1" l="1"/>
  <c r="H1470" i="1"/>
  <c r="G1470" i="1"/>
  <c r="F1472" i="1" l="1"/>
  <c r="H1471" i="1"/>
  <c r="H1472" i="1" s="1"/>
  <c r="G1471" i="1"/>
  <c r="G1472" i="1" s="1"/>
  <c r="F1473" i="1" l="1"/>
  <c r="F1474" i="1" l="1"/>
  <c r="H1473" i="1"/>
  <c r="G1473" i="1"/>
  <c r="G1474" i="1" l="1"/>
  <c r="F1475" i="1"/>
  <c r="H1474" i="1"/>
  <c r="H1475" i="1" l="1"/>
  <c r="F1476" i="1"/>
  <c r="G1475" i="1"/>
  <c r="F1477" i="1" l="1"/>
  <c r="H1476" i="1"/>
  <c r="G1476" i="1"/>
  <c r="H1477" i="1" l="1"/>
  <c r="F1478" i="1"/>
  <c r="G1477" i="1"/>
  <c r="G1478" i="1" l="1"/>
  <c r="F1479" i="1"/>
  <c r="H1478" i="1"/>
  <c r="F1480" i="1" l="1"/>
  <c r="H1479" i="1"/>
  <c r="G1479" i="1"/>
  <c r="F1481" i="1" l="1"/>
  <c r="H1480" i="1"/>
  <c r="G1480" i="1"/>
  <c r="F1482" i="1" l="1"/>
  <c r="H1481" i="1"/>
  <c r="G1481" i="1"/>
  <c r="G1482" i="1" l="1"/>
  <c r="F1483" i="1"/>
  <c r="H1482" i="1"/>
  <c r="F1484" i="1" l="1"/>
  <c r="H1483" i="1"/>
  <c r="G1483" i="1"/>
  <c r="G1484" i="1" l="1"/>
  <c r="F1485" i="1"/>
  <c r="H1484" i="1"/>
  <c r="F1486" i="1" l="1"/>
  <c r="H1485" i="1"/>
  <c r="G1485" i="1"/>
  <c r="G1486" i="1" l="1"/>
  <c r="H1486" i="1"/>
  <c r="F1487" i="1"/>
  <c r="F1488" i="1" l="1"/>
  <c r="H1487" i="1"/>
  <c r="G1487" i="1"/>
  <c r="G1488" i="1" l="1"/>
  <c r="H1488" i="1"/>
  <c r="F1489" i="1"/>
  <c r="F1490" i="1" l="1"/>
  <c r="H1489" i="1"/>
  <c r="G1489" i="1"/>
  <c r="F1491" i="1" l="1"/>
  <c r="H1490" i="1"/>
  <c r="G1490" i="1"/>
  <c r="G1491" i="1" l="1"/>
  <c r="F1492" i="1"/>
  <c r="H1491" i="1"/>
  <c r="F1493" i="1" l="1"/>
  <c r="H1492" i="1"/>
  <c r="G1492" i="1"/>
  <c r="G1493" i="1" l="1"/>
  <c r="H1493" i="1"/>
  <c r="F1494" i="1"/>
  <c r="F1495" i="1" l="1"/>
  <c r="H1494" i="1"/>
  <c r="G1494" i="1"/>
  <c r="F1496" i="1" l="1"/>
  <c r="H1495" i="1"/>
  <c r="H1496" i="1" s="1"/>
  <c r="G1495" i="1"/>
  <c r="G1496" i="1" s="1"/>
  <c r="F1497" i="1" l="1"/>
  <c r="F1498" i="1" l="1"/>
  <c r="H1497" i="1"/>
  <c r="G1497" i="1"/>
  <c r="G1498" i="1" l="1"/>
  <c r="F1499" i="1"/>
  <c r="H1498" i="1"/>
  <c r="F1500" i="1" l="1"/>
  <c r="H1499" i="1"/>
  <c r="G1499" i="1"/>
  <c r="H1500" i="1" l="1"/>
  <c r="G1500" i="1"/>
  <c r="F1501" i="1"/>
  <c r="F1502" i="1" l="1"/>
  <c r="H1501" i="1"/>
  <c r="G1501" i="1"/>
  <c r="H1502" i="1" l="1"/>
  <c r="F1503" i="1"/>
  <c r="G1502" i="1"/>
  <c r="F1504" i="1" l="1"/>
  <c r="H1503" i="1"/>
  <c r="G1503" i="1"/>
  <c r="G1504" i="1" l="1"/>
  <c r="H1504" i="1"/>
  <c r="F1505" i="1"/>
  <c r="F1506" i="1" l="1"/>
  <c r="H1505" i="1"/>
  <c r="G1505" i="1"/>
  <c r="G1506" i="1" l="1"/>
  <c r="F1507" i="1"/>
  <c r="H1506" i="1"/>
  <c r="F1508" i="1" l="1"/>
  <c r="H1507" i="1"/>
  <c r="G1507" i="1"/>
  <c r="F1509" i="1" l="1"/>
  <c r="H1508" i="1"/>
  <c r="H1509" i="1" s="1"/>
  <c r="G1508" i="1"/>
  <c r="F1510" i="1" l="1"/>
  <c r="G1509" i="1"/>
  <c r="G1510" i="1" l="1"/>
  <c r="F1511" i="1"/>
  <c r="H1510" i="1"/>
  <c r="H1511" i="1" l="1"/>
  <c r="F1512" i="1"/>
  <c r="G1511" i="1"/>
  <c r="G1512" i="1" l="1"/>
  <c r="F1513" i="1"/>
  <c r="H1512" i="1"/>
  <c r="F1514" i="1" l="1"/>
  <c r="H1513" i="1"/>
  <c r="G1513" i="1"/>
  <c r="F1515" i="1" l="1"/>
  <c r="H1514" i="1"/>
  <c r="G1514" i="1"/>
  <c r="G1515" i="1" l="1"/>
  <c r="F1516" i="1"/>
  <c r="H1515" i="1"/>
  <c r="F1517" i="1" l="1"/>
  <c r="H1516" i="1"/>
  <c r="G1516" i="1"/>
  <c r="G1517" i="1" l="1"/>
  <c r="F1518" i="1"/>
  <c r="H1517" i="1"/>
  <c r="H1518" i="1" s="1"/>
  <c r="F1519" i="1" l="1"/>
  <c r="G1518" i="1"/>
  <c r="G1519" i="1" l="1"/>
  <c r="F1520" i="1"/>
  <c r="H1519" i="1"/>
  <c r="H1520" i="1" l="1"/>
  <c r="F1521" i="1"/>
  <c r="G1520" i="1"/>
  <c r="G1521" i="1" l="1"/>
  <c r="F1522" i="1"/>
  <c r="H1521" i="1"/>
  <c r="F1523" i="1" l="1"/>
  <c r="H1522" i="1"/>
  <c r="G1522" i="1"/>
  <c r="G1523" i="1" s="1"/>
  <c r="F1524" i="1" l="1"/>
  <c r="H1523" i="1"/>
  <c r="F1525" i="1" l="1"/>
  <c r="H1524" i="1"/>
  <c r="G1524" i="1"/>
  <c r="H1525" i="1" l="1"/>
  <c r="G1525" i="1"/>
  <c r="F1526" i="1"/>
  <c r="F1527" i="1" l="1"/>
  <c r="G1526" i="1"/>
  <c r="H1526" i="1"/>
  <c r="G1527" i="1" l="1"/>
  <c r="F1528" i="1"/>
  <c r="H1527" i="1"/>
  <c r="H1528" i="1" l="1"/>
  <c r="F1529" i="1"/>
  <c r="G1528" i="1"/>
  <c r="G1529" i="1" l="1"/>
  <c r="H1529" i="1"/>
  <c r="F1530" i="1"/>
  <c r="F1531" i="1" l="1"/>
  <c r="H1530" i="1"/>
  <c r="G1530" i="1"/>
  <c r="G1531" i="1" l="1"/>
  <c r="F1532" i="1"/>
  <c r="H1531" i="1"/>
  <c r="F1533" i="1" l="1"/>
  <c r="H1532" i="1"/>
  <c r="G1532" i="1"/>
  <c r="H1533" i="1" l="1"/>
  <c r="G1533" i="1"/>
  <c r="F1534" i="1"/>
  <c r="F1535" i="1" l="1"/>
  <c r="H1534" i="1"/>
  <c r="G1534" i="1"/>
  <c r="G1535" i="1" l="1"/>
  <c r="F1536" i="1"/>
  <c r="H1535" i="1"/>
  <c r="F1537" i="1" l="1"/>
  <c r="H1536" i="1"/>
  <c r="G1536" i="1"/>
  <c r="G1537" i="1" l="1"/>
  <c r="F1538" i="1"/>
  <c r="H1537" i="1"/>
  <c r="F1539" i="1" l="1"/>
  <c r="H1538" i="1"/>
  <c r="G1538" i="1"/>
  <c r="H1539" i="1" l="1"/>
  <c r="G1539" i="1"/>
  <c r="F1540" i="1"/>
  <c r="F1541" i="1" l="1"/>
  <c r="H1540" i="1"/>
  <c r="G1540" i="1"/>
  <c r="F1542" i="1" l="1"/>
  <c r="H1541" i="1"/>
  <c r="H1542" i="1" s="1"/>
  <c r="G1541" i="1"/>
  <c r="G1542" i="1" s="1"/>
  <c r="F1543" i="1" l="1"/>
  <c r="F1544" i="1" l="1"/>
  <c r="H1543" i="1"/>
  <c r="H1544" i="1" s="1"/>
  <c r="G1543" i="1"/>
  <c r="G1544" i="1" l="1"/>
  <c r="F1545" i="1"/>
  <c r="F1546" i="1" l="1"/>
  <c r="H1545" i="1"/>
  <c r="G1545" i="1"/>
  <c r="F1547" i="1" l="1"/>
  <c r="H1546" i="1"/>
  <c r="G1546" i="1"/>
  <c r="H1547" i="1" l="1"/>
  <c r="F1548" i="1"/>
  <c r="G1547" i="1"/>
  <c r="G1548" i="1" l="1"/>
  <c r="F1549" i="1"/>
  <c r="H1548" i="1"/>
  <c r="H1549" i="1" l="1"/>
  <c r="F1550" i="1"/>
  <c r="G1549" i="1"/>
  <c r="G1550" i="1" l="1"/>
  <c r="F1551" i="1"/>
  <c r="H1550" i="1"/>
  <c r="F1552" i="1" l="1"/>
  <c r="H1551" i="1"/>
  <c r="G1551" i="1"/>
  <c r="H1552" i="1" l="1"/>
  <c r="F1553" i="1"/>
  <c r="G1552" i="1"/>
  <c r="G1553" i="1" l="1"/>
  <c r="F1554" i="1"/>
  <c r="H1553" i="1"/>
  <c r="H1554" i="1" l="1"/>
  <c r="G1554" i="1"/>
  <c r="F1555" i="1"/>
  <c r="F1556" i="1" l="1"/>
  <c r="G1555" i="1"/>
  <c r="H1555" i="1"/>
  <c r="G1556" i="1" l="1"/>
  <c r="F1557" i="1"/>
  <c r="H1556" i="1"/>
  <c r="H1557" i="1" l="1"/>
  <c r="F1558" i="1"/>
  <c r="G1557" i="1"/>
  <c r="G1558" i="1" l="1"/>
  <c r="F1559" i="1"/>
  <c r="H1558" i="1"/>
  <c r="F1560" i="1" l="1"/>
  <c r="H1559" i="1"/>
  <c r="G1559" i="1"/>
  <c r="G1560" i="1" l="1"/>
  <c r="H1560" i="1"/>
  <c r="F1561" i="1"/>
  <c r="F1562" i="1" l="1"/>
  <c r="H1561" i="1"/>
  <c r="G1561" i="1"/>
  <c r="F1563" i="1" l="1"/>
  <c r="H1562" i="1"/>
  <c r="G1562" i="1"/>
  <c r="G1563" i="1" l="1"/>
  <c r="F1564" i="1"/>
  <c r="H1563" i="1"/>
  <c r="F1565" i="1" l="1"/>
  <c r="H1564" i="1"/>
  <c r="G1564" i="1"/>
  <c r="G1565" i="1" l="1"/>
  <c r="H1565" i="1"/>
  <c r="F1566" i="1"/>
  <c r="F1567" i="1" l="1"/>
  <c r="H1566" i="1"/>
  <c r="G1566" i="1"/>
  <c r="F1568" i="1" l="1"/>
  <c r="H1567" i="1"/>
  <c r="G1567" i="1"/>
  <c r="G1568" i="1" l="1"/>
  <c r="H1568" i="1"/>
  <c r="F1569" i="1"/>
  <c r="F1570" i="1" l="1"/>
  <c r="H1569" i="1"/>
  <c r="G1569" i="1"/>
  <c r="G1570" i="1" l="1"/>
  <c r="F1571" i="1"/>
  <c r="H1570" i="1"/>
  <c r="F1572" i="1" l="1"/>
  <c r="H1571" i="1"/>
  <c r="G1571" i="1"/>
  <c r="G1572" i="1" s="1"/>
  <c r="F1573" i="1" l="1"/>
  <c r="H1572" i="1"/>
  <c r="H1573" i="1" l="1"/>
  <c r="F1574" i="1"/>
  <c r="G1573" i="1"/>
  <c r="G1574" i="1" l="1"/>
  <c r="F1575" i="1"/>
  <c r="H1574" i="1"/>
  <c r="H1575" i="1" l="1"/>
  <c r="F1576" i="1"/>
  <c r="G1575" i="1"/>
  <c r="F1577" i="1" l="1"/>
  <c r="H1576" i="1"/>
  <c r="G1576" i="1"/>
  <c r="F1578" i="1" l="1"/>
  <c r="H1577" i="1"/>
  <c r="G1577" i="1"/>
  <c r="G1578" i="1" l="1"/>
  <c r="F1579" i="1"/>
  <c r="H1578" i="1"/>
  <c r="G1579" i="1" l="1"/>
  <c r="F1580" i="1"/>
  <c r="H1579" i="1"/>
  <c r="G1580" i="1" l="1"/>
  <c r="F1581" i="1"/>
  <c r="H1580" i="1"/>
  <c r="F1582" i="1" l="1"/>
  <c r="H1581" i="1"/>
  <c r="G1581" i="1"/>
  <c r="H1582" i="1" l="1"/>
  <c r="G1582" i="1"/>
  <c r="F1583" i="1"/>
  <c r="F1584" i="1" l="1"/>
  <c r="H1583" i="1"/>
  <c r="G1583" i="1"/>
  <c r="G1584" i="1" l="1"/>
  <c r="H1584" i="1"/>
  <c r="F1585" i="1"/>
  <c r="F1586" i="1" l="1"/>
  <c r="H1585" i="1"/>
  <c r="G1585" i="1"/>
  <c r="F1587" i="1" l="1"/>
  <c r="H1586" i="1"/>
  <c r="G1586" i="1"/>
  <c r="F1588" i="1" l="1"/>
  <c r="H1587" i="1"/>
  <c r="G1587" i="1"/>
  <c r="G1588" i="1" l="1"/>
  <c r="F1589" i="1"/>
  <c r="H1588" i="1"/>
  <c r="H1589" i="1" s="1"/>
  <c r="F1590" i="1" l="1"/>
  <c r="G1589" i="1"/>
  <c r="G1590" i="1" l="1"/>
  <c r="H1590" i="1"/>
  <c r="F1591" i="1"/>
  <c r="F1592" i="1" l="1"/>
  <c r="H1591" i="1"/>
  <c r="H1592" i="1" s="1"/>
  <c r="G1591" i="1"/>
  <c r="G1592" i="1" s="1"/>
  <c r="F1593" i="1" l="1"/>
  <c r="F1594" i="1" l="1"/>
  <c r="H1593" i="1"/>
  <c r="G1593" i="1"/>
  <c r="G1594" i="1" l="1"/>
  <c r="F1595" i="1"/>
  <c r="H1594" i="1"/>
  <c r="F1596" i="1" l="1"/>
  <c r="H1595" i="1"/>
  <c r="G1595" i="1"/>
  <c r="F1597" i="1" l="1"/>
  <c r="H1596" i="1"/>
  <c r="G1596" i="1"/>
  <c r="H1597" i="1" l="1"/>
  <c r="F1598" i="1"/>
  <c r="G1597" i="1"/>
  <c r="G1598" i="1" l="1"/>
  <c r="F1599" i="1"/>
  <c r="H1598" i="1"/>
  <c r="F1600" i="1" l="1"/>
  <c r="H1599" i="1"/>
  <c r="G1599" i="1"/>
  <c r="G1600" i="1" l="1"/>
  <c r="H1600" i="1"/>
  <c r="F1601" i="1"/>
  <c r="F1602" i="1" l="1"/>
  <c r="H1601" i="1"/>
  <c r="G1601" i="1"/>
  <c r="G1602" i="1" l="1"/>
  <c r="F1603" i="1"/>
  <c r="H1602" i="1"/>
  <c r="F1604" i="1" l="1"/>
  <c r="H1603" i="1"/>
  <c r="G1603" i="1"/>
  <c r="G1604" i="1" l="1"/>
  <c r="H1604" i="1"/>
  <c r="F1605" i="1"/>
  <c r="F1606" i="1" l="1"/>
  <c r="H1605" i="1"/>
  <c r="G1605" i="1"/>
  <c r="H1606" i="1" l="1"/>
  <c r="G1606" i="1"/>
  <c r="F1607" i="1"/>
  <c r="F1608" i="1" l="1"/>
  <c r="H1607" i="1"/>
  <c r="G1607" i="1"/>
  <c r="G1608" i="1" l="1"/>
  <c r="H1608" i="1"/>
  <c r="F1609" i="1"/>
  <c r="F1610" i="1" l="1"/>
  <c r="G1609" i="1"/>
  <c r="H1609" i="1"/>
  <c r="F1611" i="1" l="1"/>
  <c r="H1610" i="1"/>
  <c r="G1610" i="1"/>
  <c r="G1611" i="1" l="1"/>
  <c r="F1612" i="1"/>
  <c r="H1611" i="1"/>
  <c r="H1612" i="1" l="1"/>
  <c r="F1613" i="1"/>
  <c r="G1612" i="1"/>
  <c r="H1613" i="1" l="1"/>
  <c r="G1613" i="1"/>
  <c r="F1614" i="1"/>
  <c r="H1614" i="1" l="1"/>
  <c r="F1615" i="1"/>
  <c r="G1614" i="1"/>
  <c r="F1616" i="1" l="1"/>
  <c r="H1615" i="1"/>
  <c r="G1615" i="1"/>
  <c r="G1616" i="1" l="1"/>
  <c r="H1616" i="1"/>
  <c r="F1617" i="1"/>
  <c r="F1618" i="1" l="1"/>
  <c r="H1617" i="1"/>
  <c r="G1617" i="1"/>
  <c r="G1618" i="1" l="1"/>
  <c r="F1619" i="1"/>
  <c r="H1618" i="1"/>
  <c r="H1619" i="1" l="1"/>
  <c r="F1620" i="1"/>
  <c r="G1619" i="1"/>
  <c r="F1621" i="1" l="1"/>
  <c r="H1620" i="1"/>
  <c r="G1620" i="1"/>
  <c r="H1621" i="1" l="1"/>
  <c r="F1622" i="1"/>
  <c r="G1621" i="1"/>
  <c r="G1622" i="1" s="1"/>
  <c r="F1623" i="1" l="1"/>
  <c r="H1622" i="1"/>
  <c r="F1624" i="1" l="1"/>
  <c r="H1623" i="1"/>
  <c r="G1623" i="1"/>
  <c r="G1624" i="1" l="1"/>
  <c r="H1624" i="1"/>
  <c r="F1625" i="1"/>
  <c r="F1626" i="1" l="1"/>
  <c r="H1625" i="1"/>
  <c r="G1625" i="1"/>
  <c r="F1627" i="1" l="1"/>
  <c r="H1626" i="1"/>
  <c r="G1626" i="1"/>
  <c r="G1627" i="1" l="1"/>
  <c r="H1627" i="1"/>
  <c r="F1628" i="1"/>
  <c r="F1629" i="1" l="1"/>
  <c r="G1628" i="1"/>
  <c r="H1628" i="1"/>
  <c r="G1629" i="1" l="1"/>
  <c r="F1630" i="1"/>
  <c r="H1629" i="1"/>
  <c r="H1630" i="1" l="1"/>
  <c r="F1631" i="1"/>
  <c r="G1630" i="1"/>
  <c r="G1631" i="1" l="1"/>
  <c r="F1632" i="1"/>
  <c r="H1631" i="1"/>
  <c r="H1632" i="1" l="1"/>
  <c r="G1632" i="1"/>
  <c r="F1633" i="1"/>
  <c r="G1633" i="1" l="1"/>
  <c r="F1634" i="1"/>
  <c r="H1633" i="1"/>
  <c r="F1635" i="1" l="1"/>
  <c r="H1634" i="1"/>
  <c r="G1634" i="1"/>
  <c r="G1635" i="1" l="1"/>
  <c r="F1636" i="1"/>
  <c r="H1635" i="1"/>
  <c r="F1637" i="1" l="1"/>
  <c r="H1636" i="1"/>
  <c r="G1636" i="1"/>
  <c r="G1637" i="1" l="1"/>
  <c r="H1637" i="1"/>
  <c r="F1638" i="1"/>
  <c r="F1639" i="1" l="1"/>
  <c r="H1638" i="1"/>
  <c r="G1638" i="1"/>
  <c r="F1640" i="1" l="1"/>
  <c r="H1639" i="1"/>
  <c r="H1640" i="1" s="1"/>
  <c r="G1639" i="1"/>
  <c r="G1640" i="1" l="1"/>
  <c r="F1641" i="1"/>
  <c r="F1642" i="1" l="1"/>
  <c r="H1641" i="1"/>
  <c r="G1641" i="1"/>
  <c r="G1642" i="1" l="1"/>
  <c r="H1642" i="1"/>
  <c r="F1643" i="1"/>
  <c r="F1644" i="1" l="1"/>
  <c r="G1643" i="1"/>
  <c r="H1643" i="1"/>
  <c r="F1645" i="1" l="1"/>
  <c r="H1644" i="1"/>
  <c r="H1645" i="1" s="1"/>
  <c r="G1644" i="1"/>
  <c r="F1646" i="1" l="1"/>
  <c r="G1645" i="1"/>
  <c r="G1646" i="1" l="1"/>
  <c r="F1647" i="1"/>
  <c r="H1646" i="1"/>
  <c r="H1647" i="1" l="1"/>
  <c r="F1648" i="1"/>
  <c r="G1647" i="1"/>
  <c r="G1648" i="1" l="1"/>
  <c r="F1649" i="1"/>
  <c r="H1648" i="1"/>
  <c r="F1650" i="1" l="1"/>
  <c r="H1649" i="1"/>
  <c r="G1649" i="1"/>
  <c r="G1650" i="1" s="1"/>
  <c r="F1651" i="1" l="1"/>
  <c r="H1650" i="1"/>
  <c r="F1652" i="1" l="1"/>
  <c r="H1651" i="1"/>
  <c r="G1651" i="1"/>
  <c r="G1652" i="1" l="1"/>
  <c r="F1653" i="1"/>
  <c r="H1652" i="1"/>
  <c r="H1653" i="1" l="1"/>
  <c r="F1654" i="1"/>
  <c r="G1653" i="1"/>
  <c r="F1655" i="1" l="1"/>
  <c r="H1654" i="1"/>
  <c r="G1654" i="1"/>
  <c r="G1655" i="1" l="1"/>
  <c r="F1656" i="1"/>
  <c r="H1655" i="1"/>
  <c r="H1656" i="1" l="1"/>
  <c r="F1657" i="1"/>
  <c r="G1656" i="1"/>
  <c r="F1658" i="1" l="1"/>
  <c r="G1657" i="1"/>
  <c r="H1657" i="1"/>
  <c r="G1658" i="1" l="1"/>
  <c r="F1659" i="1"/>
  <c r="H1658" i="1"/>
  <c r="F1660" i="1" l="1"/>
  <c r="H1659" i="1"/>
  <c r="G1659" i="1"/>
  <c r="G1660" i="1" l="1"/>
  <c r="F1661" i="1"/>
  <c r="H1660" i="1"/>
  <c r="H1661" i="1" l="1"/>
  <c r="F1662" i="1"/>
  <c r="G1661" i="1"/>
  <c r="G1662" i="1" l="1"/>
  <c r="F1663" i="1"/>
  <c r="H1662" i="1"/>
  <c r="F1664" i="1" l="1"/>
  <c r="H1663" i="1"/>
  <c r="G1663" i="1"/>
  <c r="F1665" i="1" l="1"/>
  <c r="H1664" i="1"/>
  <c r="G1664" i="1"/>
  <c r="F1666" i="1" l="1"/>
  <c r="H1665" i="1"/>
  <c r="G1665" i="1"/>
  <c r="G1666" i="1" l="1"/>
  <c r="F1667" i="1"/>
  <c r="H1666" i="1"/>
  <c r="F1668" i="1" l="1"/>
  <c r="H1667" i="1"/>
  <c r="G1667" i="1"/>
  <c r="G1668" i="1" l="1"/>
  <c r="F1669" i="1"/>
  <c r="H1668" i="1"/>
  <c r="F1670" i="1" l="1"/>
  <c r="H1669" i="1"/>
  <c r="H1670" i="1" s="1"/>
  <c r="G1669" i="1"/>
  <c r="G1670" i="1" s="1"/>
  <c r="F1671" i="1" l="1"/>
  <c r="F1672" i="1" l="1"/>
  <c r="H1671" i="1"/>
  <c r="G1671" i="1"/>
  <c r="H1672" i="1" l="1"/>
  <c r="F1673" i="1"/>
  <c r="G1672" i="1"/>
  <c r="F1674" i="1" l="1"/>
  <c r="H1673" i="1"/>
  <c r="G1673" i="1"/>
  <c r="G1674" i="1" s="1"/>
  <c r="F1675" i="1" l="1"/>
  <c r="H1674" i="1"/>
  <c r="F1676" i="1" l="1"/>
  <c r="H1675" i="1"/>
  <c r="G1675" i="1"/>
  <c r="G1676" i="1" l="1"/>
  <c r="H1676" i="1"/>
  <c r="F1677" i="1"/>
  <c r="F1678" i="1" l="1"/>
  <c r="H1677" i="1"/>
  <c r="G1677" i="1"/>
  <c r="F1679" i="1" l="1"/>
  <c r="H1678" i="1"/>
  <c r="G1678" i="1"/>
  <c r="F1680" i="1" l="1"/>
  <c r="H1679" i="1"/>
  <c r="G1679" i="1"/>
  <c r="G1680" i="1" l="1"/>
  <c r="H1680" i="1"/>
  <c r="F1681" i="1"/>
  <c r="F1682" i="1" l="1"/>
  <c r="H1681" i="1"/>
  <c r="G1681" i="1"/>
  <c r="G1682" i="1" l="1"/>
  <c r="H1682" i="1"/>
  <c r="F1683" i="1"/>
  <c r="F1684" i="1" l="1"/>
  <c r="H1683" i="1"/>
  <c r="G1683" i="1"/>
  <c r="F1685" i="1" l="1"/>
  <c r="H1684" i="1"/>
  <c r="G1684" i="1"/>
  <c r="H1685" i="1" l="1"/>
  <c r="G1685" i="1"/>
  <c r="F1686" i="1"/>
  <c r="F1687" i="1" l="1"/>
  <c r="H1686" i="1"/>
  <c r="G1686" i="1"/>
  <c r="G1687" i="1" l="1"/>
  <c r="F1688" i="1"/>
  <c r="H1687" i="1"/>
  <c r="F1689" i="1" l="1"/>
  <c r="H1688" i="1"/>
  <c r="G1688" i="1"/>
  <c r="G1689" i="1" l="1"/>
  <c r="F1690" i="1"/>
  <c r="H1689" i="1"/>
  <c r="F1691" i="1" l="1"/>
  <c r="H1690" i="1"/>
  <c r="G1690" i="1"/>
  <c r="G1691" i="1" l="1"/>
  <c r="F1692" i="1"/>
  <c r="H1691" i="1"/>
  <c r="H1692" i="1" s="1"/>
  <c r="F1693" i="1" l="1"/>
  <c r="G1692" i="1"/>
  <c r="F1694" i="1" l="1"/>
  <c r="H1693" i="1"/>
  <c r="G1693" i="1"/>
  <c r="H1694" i="1" l="1"/>
  <c r="G1694" i="1"/>
  <c r="F1695" i="1"/>
  <c r="F1696" i="1" l="1"/>
  <c r="H1695" i="1"/>
  <c r="G1695" i="1"/>
  <c r="G1696" i="1" l="1"/>
  <c r="H1696" i="1"/>
  <c r="F1697" i="1"/>
  <c r="F1698" i="1" l="1"/>
  <c r="H1697" i="1"/>
  <c r="G1697" i="1"/>
  <c r="G1698" i="1" l="1"/>
  <c r="F1699" i="1"/>
  <c r="H1698" i="1"/>
  <c r="H1699" i="1" l="1"/>
  <c r="F1700" i="1"/>
  <c r="G1699" i="1"/>
  <c r="G1700" i="1" l="1"/>
  <c r="F1701" i="1"/>
  <c r="H1700" i="1"/>
  <c r="H1701" i="1" l="1"/>
  <c r="F1702" i="1"/>
  <c r="G1701" i="1"/>
  <c r="F1703" i="1" l="1"/>
  <c r="H1702" i="1"/>
  <c r="G1702" i="1"/>
  <c r="G1703" i="1" l="1"/>
  <c r="F1704" i="1"/>
  <c r="H1703" i="1"/>
  <c r="H1704" i="1" l="1"/>
  <c r="F1705" i="1"/>
  <c r="G1704" i="1"/>
  <c r="F1706" i="1" l="1"/>
  <c r="G1705" i="1"/>
  <c r="H1705" i="1"/>
  <c r="G1706" i="1" l="1"/>
  <c r="F1707" i="1"/>
  <c r="H1706" i="1"/>
  <c r="F1708" i="1" l="1"/>
  <c r="H1707" i="1"/>
  <c r="G1707" i="1"/>
  <c r="F1709" i="1" l="1"/>
  <c r="H1708" i="1"/>
  <c r="G1708" i="1"/>
  <c r="H1709" i="1" l="1"/>
  <c r="G1709" i="1"/>
  <c r="F1710" i="1"/>
  <c r="F1711" i="1" l="1"/>
  <c r="G1710" i="1"/>
  <c r="H1710" i="1"/>
  <c r="F1712" i="1" l="1"/>
  <c r="H1711" i="1"/>
  <c r="G1711" i="1"/>
  <c r="G1712" i="1" l="1"/>
  <c r="H1712" i="1"/>
  <c r="F1713" i="1"/>
  <c r="F1714" i="1" l="1"/>
  <c r="G1713" i="1"/>
  <c r="H1713" i="1"/>
  <c r="H1714" i="1" s="1"/>
  <c r="G1714" i="1" l="1"/>
  <c r="F1715" i="1"/>
  <c r="H1715" i="1" s="1"/>
  <c r="F1716" i="1" l="1"/>
  <c r="G1715" i="1"/>
  <c r="G1716" i="1" l="1"/>
  <c r="F1717" i="1"/>
  <c r="H1716" i="1"/>
  <c r="F1718" i="1" l="1"/>
  <c r="H1717" i="1"/>
  <c r="G1717" i="1"/>
  <c r="H1718" i="1" l="1"/>
  <c r="F1719" i="1"/>
  <c r="G1718" i="1"/>
  <c r="G1719" i="1" l="1"/>
  <c r="F1720" i="1"/>
  <c r="H1719" i="1"/>
  <c r="F1721" i="1" l="1"/>
  <c r="H1720" i="1"/>
  <c r="G1720" i="1"/>
  <c r="F1722" i="1" l="1"/>
  <c r="H1721" i="1"/>
  <c r="G1721" i="1"/>
  <c r="G1722" i="1" s="1"/>
  <c r="F1723" i="1" l="1"/>
  <c r="H1722" i="1"/>
  <c r="F1724" i="1" l="1"/>
  <c r="H1723" i="1"/>
  <c r="G1723" i="1"/>
  <c r="H1724" i="1" l="1"/>
  <c r="G1724" i="1"/>
  <c r="F1725" i="1"/>
  <c r="F1726" i="1" l="1"/>
  <c r="H1725" i="1"/>
  <c r="G1725" i="1"/>
  <c r="H1726" i="1" l="1"/>
  <c r="G1726" i="1"/>
  <c r="F1727" i="1"/>
  <c r="F1728" i="1" l="1"/>
  <c r="H1727" i="1"/>
  <c r="G1727" i="1"/>
  <c r="G1728" i="1" l="1"/>
  <c r="H1728" i="1"/>
  <c r="F1729" i="1"/>
  <c r="F1730" i="1" l="1"/>
  <c r="H1729" i="1"/>
  <c r="G1729" i="1"/>
  <c r="F1731" i="1" l="1"/>
  <c r="H1730" i="1"/>
  <c r="G1730" i="1"/>
  <c r="G1731" i="1" l="1"/>
  <c r="F1732" i="1"/>
  <c r="H1731" i="1"/>
  <c r="F1733" i="1" l="1"/>
  <c r="H1732" i="1"/>
  <c r="G1732" i="1"/>
  <c r="G1733" i="1" l="1"/>
  <c r="H1733" i="1"/>
  <c r="F1734" i="1"/>
  <c r="F1735" i="1" l="1"/>
  <c r="H1734" i="1"/>
  <c r="G1734" i="1"/>
  <c r="F1736" i="1" l="1"/>
  <c r="H1735" i="1"/>
  <c r="G1735" i="1"/>
  <c r="G1736" i="1" l="1"/>
  <c r="H1736" i="1"/>
  <c r="F1737" i="1"/>
  <c r="F1738" i="1" l="1"/>
  <c r="H1737" i="1"/>
  <c r="G1737" i="1"/>
  <c r="G1738" i="1" l="1"/>
  <c r="F1739" i="1"/>
  <c r="H1738" i="1"/>
  <c r="F1740" i="1" l="1"/>
  <c r="H1739" i="1"/>
  <c r="G1739" i="1"/>
  <c r="H1740" i="1" l="1"/>
  <c r="F1741" i="1"/>
  <c r="G1740" i="1"/>
  <c r="G1741" i="1" l="1"/>
  <c r="F1742" i="1"/>
  <c r="H1741" i="1"/>
  <c r="H1742" i="1" l="1"/>
  <c r="F1743" i="1"/>
  <c r="G1742" i="1"/>
  <c r="G1743" i="1" l="1"/>
  <c r="F1744" i="1"/>
  <c r="H1743" i="1"/>
  <c r="F1745" i="1" l="1"/>
  <c r="H1744" i="1"/>
  <c r="G1744" i="1"/>
  <c r="G1745" i="1" l="1"/>
  <c r="F1746" i="1"/>
  <c r="H1745" i="1"/>
  <c r="F1747" i="1" l="1"/>
  <c r="H1746" i="1"/>
  <c r="G1746" i="1"/>
  <c r="H1747" i="1" l="1"/>
  <c r="F1748" i="1"/>
  <c r="G1747" i="1"/>
  <c r="F1749" i="1" l="1"/>
  <c r="H1748" i="1"/>
  <c r="G1748" i="1"/>
  <c r="G1749" i="1" l="1"/>
  <c r="H1749" i="1"/>
  <c r="F1750" i="1"/>
  <c r="F1751" i="1" l="1"/>
  <c r="G1750" i="1"/>
  <c r="H1750" i="1"/>
  <c r="G1751" i="1" l="1"/>
  <c r="F1752" i="1"/>
  <c r="H1751" i="1"/>
  <c r="F1753" i="1" l="1"/>
  <c r="H1752" i="1"/>
  <c r="G1752" i="1"/>
  <c r="G1753" i="1" l="1"/>
  <c r="F1754" i="1"/>
  <c r="H1753" i="1"/>
  <c r="F1755" i="1" l="1"/>
  <c r="H1754" i="1"/>
  <c r="G1754" i="1"/>
  <c r="G1755" i="1" l="1"/>
  <c r="F1756" i="1"/>
  <c r="H1755" i="1"/>
  <c r="F1757" i="1" l="1"/>
  <c r="H1756" i="1"/>
  <c r="G1756" i="1"/>
  <c r="F1758" i="1" l="1"/>
  <c r="H1757" i="1"/>
  <c r="H1758" i="1" s="1"/>
  <c r="G1757" i="1"/>
  <c r="F1759" i="1" l="1"/>
  <c r="G1758" i="1"/>
  <c r="G1759" i="1" l="1"/>
  <c r="F1760" i="1"/>
  <c r="H1759" i="1"/>
  <c r="H1760" i="1" s="1"/>
  <c r="F1761" i="1" l="1"/>
  <c r="G1760" i="1"/>
  <c r="G1761" i="1" l="1"/>
  <c r="F1762" i="1"/>
  <c r="H1761" i="1"/>
  <c r="F1763" i="1" l="1"/>
  <c r="H1762" i="1"/>
  <c r="G1762" i="1"/>
  <c r="G1763" i="1" l="1"/>
  <c r="H1763" i="1"/>
  <c r="F1764" i="1"/>
  <c r="F1765" i="1" l="1"/>
  <c r="G1764" i="1"/>
  <c r="H1764" i="1"/>
  <c r="H1765" i="1" l="1"/>
  <c r="G1765" i="1"/>
  <c r="F1766" i="1"/>
  <c r="F1767" i="1" l="1"/>
  <c r="H1766" i="1"/>
  <c r="G1766" i="1"/>
  <c r="F1768" i="1" l="1"/>
  <c r="H1767" i="1"/>
  <c r="G1767" i="1"/>
  <c r="G1768" i="1" l="1"/>
  <c r="H1768" i="1"/>
  <c r="F1769" i="1"/>
  <c r="F1770" i="1" l="1"/>
  <c r="H1769" i="1"/>
  <c r="G1769" i="1"/>
  <c r="G1770" i="1" l="1"/>
  <c r="F1771" i="1"/>
  <c r="H1770" i="1"/>
  <c r="F1772" i="1" l="1"/>
  <c r="H1771" i="1"/>
  <c r="G1771" i="1"/>
  <c r="G1772" i="1" l="1"/>
  <c r="F1773" i="1"/>
  <c r="H1772" i="1"/>
  <c r="H1773" i="1" l="1"/>
  <c r="F1774" i="1"/>
  <c r="G1773" i="1"/>
  <c r="F1775" i="1" l="1"/>
  <c r="G1774" i="1"/>
  <c r="H1774" i="1"/>
  <c r="G1775" i="1" l="1"/>
  <c r="F1776" i="1"/>
  <c r="H1775" i="1"/>
  <c r="F1777" i="1" l="1"/>
  <c r="H1776" i="1"/>
  <c r="G1776" i="1"/>
  <c r="G1777" i="1" l="1"/>
  <c r="F1778" i="1"/>
  <c r="H1777" i="1"/>
  <c r="F1779" i="1" l="1"/>
  <c r="H1778" i="1"/>
  <c r="G1778" i="1"/>
  <c r="G1779" i="1" l="1"/>
  <c r="F1780" i="1"/>
  <c r="H1779" i="1"/>
  <c r="F1781" i="1" l="1"/>
  <c r="H1780" i="1"/>
  <c r="G1780" i="1"/>
  <c r="F1782" i="1" l="1"/>
  <c r="H1781" i="1"/>
  <c r="G1781" i="1"/>
  <c r="G1782" i="1" s="1"/>
  <c r="H1782" i="1" l="1"/>
  <c r="F1783" i="1"/>
  <c r="F1784" i="1" l="1"/>
  <c r="H1783" i="1"/>
  <c r="G1783" i="1"/>
  <c r="G1784" i="1" l="1"/>
  <c r="H1784" i="1"/>
  <c r="F1785" i="1"/>
  <c r="F1786" i="1" l="1"/>
  <c r="H1785" i="1"/>
  <c r="G1785" i="1"/>
  <c r="G1786" i="1" l="1"/>
  <c r="F1787" i="1"/>
  <c r="H1786" i="1"/>
  <c r="F1788" i="1" l="1"/>
  <c r="H1787" i="1"/>
  <c r="G1787" i="1"/>
  <c r="G1788" i="1" l="1"/>
  <c r="F1789" i="1"/>
  <c r="H1788" i="1"/>
  <c r="H1789" i="1" l="1"/>
  <c r="F1790" i="1"/>
  <c r="G1789" i="1"/>
  <c r="F1791" i="1" l="1"/>
  <c r="H1790" i="1"/>
  <c r="G1790" i="1"/>
  <c r="F1792" i="1" l="1"/>
  <c r="H1791" i="1"/>
  <c r="G1791" i="1"/>
  <c r="G1792" i="1" l="1"/>
  <c r="H1792" i="1"/>
  <c r="F1793" i="1"/>
  <c r="F1794" i="1" l="1"/>
  <c r="H1793" i="1"/>
  <c r="G1793" i="1"/>
  <c r="G1794" i="1" l="1"/>
  <c r="H1794" i="1"/>
  <c r="F1795" i="1"/>
  <c r="F1796" i="1" l="1"/>
  <c r="H1795" i="1"/>
  <c r="G1795" i="1"/>
  <c r="G1796" i="1" l="1"/>
  <c r="F1797" i="1"/>
  <c r="H1796" i="1"/>
  <c r="H1797" i="1" l="1"/>
  <c r="F1798" i="1"/>
  <c r="G1797" i="1"/>
  <c r="F1799" i="1" l="1"/>
  <c r="G1798" i="1"/>
  <c r="H1798" i="1"/>
  <c r="H1799" i="1" l="1"/>
  <c r="G1799" i="1"/>
  <c r="F1800" i="1"/>
  <c r="F1801" i="1" l="1"/>
  <c r="H1800" i="1"/>
  <c r="G1800" i="1"/>
  <c r="G1801" i="1" s="1"/>
  <c r="F1802" i="1" l="1"/>
  <c r="H1801" i="1"/>
  <c r="F1803" i="1" l="1"/>
  <c r="H1802" i="1"/>
  <c r="G1802" i="1"/>
  <c r="G1803" i="1" l="1"/>
  <c r="F1804" i="1"/>
  <c r="H1803" i="1"/>
  <c r="H1804" i="1" l="1"/>
  <c r="F1805" i="1"/>
  <c r="G1804" i="1"/>
  <c r="F1806" i="1" l="1"/>
  <c r="H1805" i="1"/>
  <c r="H1806" i="1" s="1"/>
  <c r="G1805" i="1"/>
  <c r="G1806" i="1" l="1"/>
  <c r="F1807" i="1"/>
  <c r="F1808" i="1" l="1"/>
  <c r="H1807" i="1"/>
  <c r="G1807" i="1"/>
  <c r="G1808" i="1" l="1"/>
  <c r="H1808" i="1"/>
  <c r="F1809" i="1"/>
  <c r="F1810" i="1" l="1"/>
  <c r="H1809" i="1"/>
  <c r="G1809" i="1"/>
  <c r="F1811" i="1" l="1"/>
  <c r="H1810" i="1"/>
  <c r="G1810" i="1"/>
  <c r="G1811" i="1" l="1"/>
  <c r="F1812" i="1"/>
  <c r="H1811" i="1"/>
  <c r="F1813" i="1" l="1"/>
  <c r="H1812" i="1"/>
  <c r="G1812" i="1"/>
  <c r="G1813" i="1" l="1"/>
  <c r="H1813" i="1"/>
  <c r="F1814" i="1"/>
  <c r="F1815" i="1" l="1"/>
  <c r="H1814" i="1"/>
  <c r="G1814" i="1"/>
  <c r="G1815" i="1" l="1"/>
  <c r="F1816" i="1"/>
  <c r="H1815" i="1"/>
  <c r="H1816" i="1" l="1"/>
  <c r="F1817" i="1"/>
  <c r="G1816" i="1"/>
  <c r="G1817" i="1" l="1"/>
  <c r="F1818" i="1"/>
  <c r="H1817" i="1"/>
  <c r="H1818" i="1" s="1"/>
  <c r="G1818" i="1" l="1"/>
  <c r="F1819" i="1"/>
  <c r="F1820" i="1" l="1"/>
  <c r="H1819" i="1"/>
  <c r="G1819" i="1"/>
  <c r="G1820" i="1" l="1"/>
  <c r="F1821" i="1"/>
  <c r="H1820" i="1"/>
  <c r="H1821" i="1" l="1"/>
  <c r="F1822" i="1"/>
  <c r="G1821" i="1"/>
  <c r="F1823" i="1" l="1"/>
  <c r="G1822" i="1"/>
  <c r="H1822" i="1"/>
  <c r="H1823" i="1" l="1"/>
  <c r="G1823" i="1"/>
  <c r="F1824" i="1"/>
  <c r="F1825" i="1" l="1"/>
  <c r="H1824" i="1"/>
  <c r="G1824" i="1"/>
  <c r="G1825" i="1" s="1"/>
  <c r="F1826" i="1" l="1"/>
  <c r="H1825" i="1"/>
  <c r="F1827" i="1" l="1"/>
  <c r="H1826" i="1"/>
  <c r="G1826" i="1"/>
  <c r="G1827" i="1" l="1"/>
  <c r="F1828" i="1"/>
  <c r="H1827" i="1"/>
  <c r="H1828" i="1" l="1"/>
  <c r="F1829" i="1"/>
  <c r="G1828" i="1"/>
  <c r="F1830" i="1" l="1"/>
  <c r="H1829" i="1"/>
  <c r="H1830" i="1" s="1"/>
  <c r="G1829" i="1"/>
  <c r="G1830" i="1" l="1"/>
  <c r="F1831" i="1"/>
  <c r="F1832" i="1" l="1"/>
  <c r="H1831" i="1"/>
  <c r="G1831" i="1"/>
  <c r="G1832" i="1" l="1"/>
  <c r="H1832" i="1"/>
  <c r="F1833" i="1"/>
  <c r="F1834" i="1" l="1"/>
  <c r="G1833" i="1"/>
  <c r="H1833" i="1"/>
  <c r="F1835" i="1" l="1"/>
  <c r="H1834" i="1"/>
  <c r="G1834" i="1"/>
  <c r="G1835" i="1" l="1"/>
  <c r="F1836" i="1"/>
  <c r="H1835" i="1"/>
  <c r="F1837" i="1" l="1"/>
  <c r="H1836" i="1"/>
  <c r="G1836" i="1"/>
  <c r="G1837" i="1" l="1"/>
  <c r="H1837" i="1"/>
  <c r="F1838" i="1"/>
  <c r="F1839" i="1" l="1"/>
  <c r="G1838" i="1"/>
  <c r="H1838" i="1"/>
  <c r="F1840" i="1" l="1"/>
  <c r="H1839" i="1"/>
  <c r="G1839" i="1"/>
  <c r="H1840" i="1" l="1"/>
  <c r="G1840" i="1"/>
  <c r="F1841" i="1"/>
  <c r="F1842" i="1" l="1"/>
  <c r="H1841" i="1"/>
  <c r="G1841" i="1"/>
  <c r="F1843" i="1" l="1"/>
  <c r="H1842" i="1"/>
  <c r="G1842" i="1"/>
  <c r="G1843" i="1" l="1"/>
  <c r="H1843" i="1"/>
  <c r="F1844" i="1"/>
  <c r="F1845" i="1" l="1"/>
  <c r="H1844" i="1"/>
  <c r="H1845" i="1" s="1"/>
  <c r="G1844" i="1"/>
  <c r="G1845" i="1" s="1"/>
  <c r="F1846" i="1" l="1"/>
  <c r="F1847" i="1" l="1"/>
  <c r="H1846" i="1"/>
  <c r="G1846" i="1"/>
  <c r="G1847" i="1" l="1"/>
  <c r="F1848" i="1"/>
  <c r="H1847" i="1"/>
  <c r="H1848" i="1" s="1"/>
  <c r="F1849" i="1" l="1"/>
  <c r="G1848" i="1"/>
  <c r="F1850" i="1" l="1"/>
  <c r="H1849" i="1"/>
  <c r="G1849" i="1"/>
  <c r="F1851" i="1" l="1"/>
  <c r="H1850" i="1"/>
  <c r="G1850" i="1"/>
  <c r="G1851" i="1" l="1"/>
  <c r="F1852" i="1"/>
  <c r="H1851" i="1"/>
  <c r="F1853" i="1" l="1"/>
  <c r="H1852" i="1"/>
  <c r="G1852" i="1"/>
  <c r="F1854" i="1" l="1"/>
  <c r="H1853" i="1"/>
  <c r="G1853" i="1"/>
  <c r="H1854" i="1" l="1"/>
  <c r="G1854" i="1"/>
  <c r="F1855" i="1"/>
  <c r="G1855" i="1" s="1"/>
  <c r="F1856" i="1" l="1"/>
  <c r="H1855" i="1"/>
  <c r="F1857" i="1" l="1"/>
  <c r="H1856" i="1"/>
  <c r="H1857" i="1" s="1"/>
  <c r="G1856" i="1"/>
  <c r="G1857" i="1" s="1"/>
  <c r="F1858" i="1" l="1"/>
  <c r="F1859" i="1" l="1"/>
  <c r="H1858" i="1"/>
  <c r="G1858" i="1"/>
  <c r="G1859" i="1" l="1"/>
  <c r="F1860" i="1"/>
  <c r="H1859" i="1"/>
  <c r="H1860" i="1" s="1"/>
  <c r="F1861" i="1" l="1"/>
  <c r="G1860" i="1"/>
  <c r="G1861" i="1" l="1"/>
  <c r="F1862" i="1"/>
  <c r="H1861" i="1"/>
  <c r="H1862" i="1" l="1"/>
  <c r="F1863" i="1"/>
  <c r="G1862" i="1"/>
  <c r="F1864" i="1" l="1"/>
  <c r="H1863" i="1"/>
  <c r="G1863" i="1"/>
  <c r="H1864" i="1" l="1"/>
  <c r="F1865" i="1"/>
  <c r="G1864" i="1"/>
  <c r="G1865" i="1" l="1"/>
  <c r="F1866" i="1"/>
  <c r="H1865" i="1"/>
  <c r="F1867" i="1" l="1"/>
  <c r="H1866" i="1"/>
  <c r="G1866" i="1"/>
  <c r="G1867" i="1" s="1"/>
  <c r="F1868" i="1" l="1"/>
  <c r="H1867" i="1"/>
  <c r="F1869" i="1" l="1"/>
  <c r="H1868" i="1"/>
  <c r="H1869" i="1" s="1"/>
  <c r="G1868" i="1"/>
  <c r="G1869" i="1" s="1"/>
  <c r="F1870" i="1" l="1"/>
  <c r="F1871" i="1" l="1"/>
  <c r="G1870" i="1"/>
  <c r="H1870" i="1"/>
  <c r="H1871" i="1" l="1"/>
  <c r="G1871" i="1"/>
  <c r="F1872" i="1"/>
  <c r="F1873" i="1" l="1"/>
  <c r="G1872" i="1"/>
  <c r="H1872" i="1"/>
  <c r="F1874" i="1" l="1"/>
  <c r="H1873" i="1"/>
  <c r="G1873" i="1"/>
  <c r="G1874" i="1" l="1"/>
  <c r="F1875" i="1"/>
  <c r="H1874" i="1"/>
  <c r="H1875" i="1" l="1"/>
  <c r="F1876" i="1"/>
  <c r="G1875" i="1"/>
  <c r="G1876" i="1" l="1"/>
  <c r="F1877" i="1"/>
  <c r="H1876" i="1"/>
  <c r="H1877" i="1" l="1"/>
  <c r="F1878" i="1"/>
  <c r="G1877" i="1"/>
  <c r="F1879" i="1" l="1"/>
  <c r="H1878" i="1"/>
  <c r="G1878" i="1"/>
  <c r="F1880" i="1" l="1"/>
  <c r="H1879" i="1"/>
  <c r="H1880" i="1" s="1"/>
  <c r="G1879" i="1"/>
  <c r="G1880" i="1" l="1"/>
  <c r="F1881" i="1"/>
  <c r="F1882" i="1" l="1"/>
  <c r="H1881" i="1"/>
  <c r="G1881" i="1"/>
  <c r="F1883" i="1" l="1"/>
  <c r="H1882" i="1"/>
  <c r="G1882" i="1"/>
  <c r="G1883" i="1" s="1"/>
  <c r="H1883" i="1" l="1"/>
  <c r="F1884" i="1"/>
  <c r="F1885" i="1" l="1"/>
  <c r="H1884" i="1"/>
  <c r="H1885" i="1" s="1"/>
  <c r="G1884" i="1"/>
  <c r="G1885" i="1" s="1"/>
  <c r="F1886" i="1" l="1"/>
  <c r="F1887" i="1" l="1"/>
  <c r="G1886" i="1"/>
  <c r="H1886" i="1"/>
  <c r="F1888" i="1" l="1"/>
  <c r="H1887" i="1"/>
  <c r="G1887" i="1"/>
  <c r="G1888" i="1" s="1"/>
  <c r="H1888" i="1" l="1"/>
  <c r="F1889" i="1"/>
  <c r="F1890" i="1" l="1"/>
  <c r="H1889" i="1"/>
  <c r="H1890" i="1" s="1"/>
  <c r="G1889" i="1"/>
  <c r="G1890" i="1" l="1"/>
  <c r="F1891" i="1"/>
  <c r="F1892" i="1" l="1"/>
  <c r="G1891" i="1"/>
  <c r="H1891" i="1"/>
  <c r="F1893" i="1" l="1"/>
  <c r="H1892" i="1"/>
  <c r="G1892" i="1"/>
  <c r="H1893" i="1" l="1"/>
  <c r="G1893" i="1"/>
  <c r="F1894" i="1"/>
  <c r="F1895" i="1" l="1"/>
  <c r="H1894" i="1"/>
  <c r="G1894" i="1"/>
  <c r="G1895" i="1" l="1"/>
  <c r="F1896" i="1"/>
  <c r="H1895" i="1"/>
  <c r="H1896" i="1" s="1"/>
  <c r="F1897" i="1" l="1"/>
  <c r="G1896" i="1"/>
  <c r="F1898" i="1" l="1"/>
  <c r="H1897" i="1"/>
  <c r="G1897" i="1"/>
  <c r="G1898" i="1" l="1"/>
  <c r="F1899" i="1"/>
  <c r="H1898" i="1"/>
  <c r="F1900" i="1" l="1"/>
  <c r="H1899" i="1"/>
  <c r="G1899" i="1"/>
  <c r="G1900" i="1" l="1"/>
  <c r="F1901" i="1"/>
  <c r="H1900" i="1"/>
  <c r="H1901" i="1" l="1"/>
  <c r="F1902" i="1"/>
  <c r="G1901" i="1"/>
  <c r="G1902" i="1" l="1"/>
  <c r="F1903" i="1"/>
  <c r="H1902" i="1"/>
  <c r="F1904" i="1" l="1"/>
  <c r="H1903" i="1"/>
  <c r="G1903" i="1"/>
  <c r="G1904" i="1" l="1"/>
  <c r="H1904" i="1"/>
  <c r="F1905" i="1"/>
  <c r="F1906" i="1" l="1"/>
  <c r="G1905" i="1"/>
  <c r="H1905" i="1"/>
  <c r="G1906" i="1" l="1"/>
  <c r="F1907" i="1"/>
  <c r="H1906" i="1"/>
  <c r="F1908" i="1" l="1"/>
  <c r="H1907" i="1"/>
  <c r="G1907" i="1"/>
  <c r="F1909" i="1" l="1"/>
  <c r="H1908" i="1"/>
  <c r="H1909" i="1" s="1"/>
  <c r="G1908" i="1"/>
  <c r="F1910" i="1" l="1"/>
  <c r="G1909" i="1"/>
  <c r="F1911" i="1" l="1"/>
  <c r="G1910" i="1"/>
  <c r="G1911" i="1" s="1"/>
  <c r="H1910" i="1"/>
  <c r="H1911" i="1" s="1"/>
  <c r="F1912" i="1" l="1"/>
  <c r="F1913" i="1" l="1"/>
  <c r="H1912" i="1"/>
  <c r="G1912" i="1"/>
  <c r="G1913" i="1" s="1"/>
  <c r="F1914" i="1" l="1"/>
  <c r="H1913" i="1"/>
  <c r="F1915" i="1" l="1"/>
  <c r="H1914" i="1"/>
  <c r="G1914" i="1"/>
  <c r="G1915" i="1" l="1"/>
  <c r="F1916" i="1"/>
  <c r="H1915" i="1"/>
  <c r="F1917" i="1" l="1"/>
  <c r="H1916" i="1"/>
  <c r="G1916" i="1"/>
  <c r="G1917" i="1" s="1"/>
  <c r="F1918" i="1" l="1"/>
  <c r="H1917" i="1"/>
  <c r="H1918" i="1" l="1"/>
  <c r="F1919" i="1"/>
  <c r="G1918" i="1"/>
  <c r="G1919" i="1" l="1"/>
  <c r="F1920" i="1"/>
  <c r="H1919" i="1"/>
  <c r="H1920" i="1" s="1"/>
  <c r="F1921" i="1" l="1"/>
  <c r="G1920" i="1"/>
  <c r="F1922" i="1" l="1"/>
  <c r="H1921" i="1"/>
  <c r="G1921" i="1"/>
  <c r="F1923" i="1" l="1"/>
  <c r="H1922" i="1"/>
  <c r="H1923" i="1" s="1"/>
  <c r="G1922" i="1"/>
  <c r="G1923" i="1" s="1"/>
  <c r="F1924" i="1" l="1"/>
  <c r="F1925" i="1" l="1"/>
  <c r="H1924" i="1"/>
  <c r="G1924" i="1"/>
  <c r="G1925" i="1" l="1"/>
  <c r="H1925" i="1"/>
  <c r="F1926" i="1"/>
  <c r="F1927" i="1" l="1"/>
  <c r="H1926" i="1"/>
  <c r="G1926" i="1"/>
  <c r="F1928" i="1" l="1"/>
  <c r="H1927" i="1"/>
  <c r="G1927" i="1"/>
  <c r="G1928" i="1" l="1"/>
  <c r="H1928" i="1"/>
  <c r="F1929" i="1"/>
  <c r="H1929" i="1" s="1"/>
  <c r="F1930" i="1" l="1"/>
  <c r="G1929" i="1"/>
  <c r="G1930" i="1" l="1"/>
  <c r="F1931" i="1"/>
  <c r="H1930" i="1"/>
  <c r="F1932" i="1" l="1"/>
  <c r="H1931" i="1"/>
  <c r="G1931" i="1"/>
  <c r="F1933" i="1" l="1"/>
  <c r="H1932" i="1"/>
  <c r="H1933" i="1" s="1"/>
  <c r="G1932" i="1"/>
  <c r="G1933" i="1" l="1"/>
  <c r="F1934" i="1"/>
  <c r="F1935" i="1" l="1"/>
  <c r="H1934" i="1"/>
  <c r="H1935" i="1" s="1"/>
  <c r="G1934" i="1"/>
  <c r="G1935" i="1" l="1"/>
  <c r="F1936" i="1"/>
  <c r="F1937" i="1" l="1"/>
  <c r="H1936" i="1"/>
  <c r="G1936" i="1"/>
  <c r="F1938" i="1" l="1"/>
  <c r="H1937" i="1"/>
  <c r="G1937" i="1"/>
  <c r="G1938" i="1" s="1"/>
  <c r="F1939" i="1" l="1"/>
  <c r="H1938" i="1"/>
  <c r="H1939" i="1" s="1"/>
  <c r="F1940" i="1" l="1"/>
  <c r="G1939" i="1"/>
  <c r="G1940" i="1" s="1"/>
  <c r="F1941" i="1" l="1"/>
  <c r="H1940" i="1"/>
  <c r="F1942" i="1" l="1"/>
  <c r="H1941" i="1"/>
  <c r="G1941" i="1"/>
  <c r="G1942" i="1" l="1"/>
  <c r="H1942" i="1"/>
  <c r="F1943" i="1"/>
  <c r="F1944" i="1" l="1"/>
  <c r="G1943" i="1"/>
  <c r="H1943" i="1"/>
  <c r="H1944" i="1" s="1"/>
  <c r="G1944" i="1" l="1"/>
  <c r="F1945" i="1"/>
  <c r="F1946" i="1" l="1"/>
  <c r="G1945" i="1"/>
  <c r="H1945" i="1"/>
  <c r="G1946" i="1" l="1"/>
  <c r="F1947" i="1"/>
  <c r="H1946" i="1"/>
  <c r="F1948" i="1" l="1"/>
  <c r="H1947" i="1"/>
  <c r="G1947" i="1"/>
  <c r="F1949" i="1" l="1"/>
  <c r="H1948" i="1"/>
  <c r="G1948" i="1"/>
  <c r="G1949" i="1" l="1"/>
  <c r="F1950" i="1"/>
  <c r="H1949" i="1"/>
  <c r="F1951" i="1" l="1"/>
  <c r="H1950" i="1"/>
  <c r="G1950" i="1"/>
  <c r="G1951" i="1" l="1"/>
  <c r="F1952" i="1"/>
  <c r="H1951" i="1"/>
  <c r="H1952" i="1" l="1"/>
  <c r="F1953" i="1"/>
  <c r="G1952" i="1"/>
  <c r="G1953" i="1" l="1"/>
  <c r="F1954" i="1"/>
  <c r="H1953" i="1"/>
  <c r="F1955" i="1" l="1"/>
  <c r="H1954" i="1"/>
  <c r="G1954" i="1"/>
  <c r="F1956" i="1" l="1"/>
  <c r="H1955" i="1"/>
  <c r="G1955" i="1"/>
  <c r="G1956" i="1" l="1"/>
  <c r="F1957" i="1"/>
  <c r="H1956" i="1"/>
  <c r="F1958" i="1" l="1"/>
  <c r="H1957" i="1"/>
  <c r="H1958" i="1" s="1"/>
  <c r="G1957" i="1"/>
  <c r="G1958" i="1" s="1"/>
  <c r="F1959" i="1" l="1"/>
  <c r="F1960" i="1" l="1"/>
  <c r="H1959" i="1"/>
  <c r="G1959" i="1"/>
  <c r="F1961" i="1" l="1"/>
  <c r="H1960" i="1"/>
  <c r="G1960" i="1"/>
  <c r="G1961" i="1" s="1"/>
  <c r="F1962" i="1" l="1"/>
  <c r="H1961" i="1"/>
  <c r="F1963" i="1" l="1"/>
  <c r="H1962" i="1"/>
  <c r="G1962" i="1"/>
  <c r="F1964" i="1" l="1"/>
  <c r="H1963" i="1"/>
  <c r="H1964" i="1" s="1"/>
  <c r="G1963" i="1"/>
  <c r="F1965" i="1" l="1"/>
  <c r="G1964" i="1"/>
  <c r="F1966" i="1" l="1"/>
  <c r="H1965" i="1"/>
  <c r="G1965" i="1"/>
  <c r="H1966" i="1" l="1"/>
  <c r="F1967" i="1"/>
  <c r="G1966" i="1"/>
  <c r="G1967" i="1" l="1"/>
  <c r="F1968" i="1"/>
  <c r="H1967" i="1"/>
  <c r="H1968" i="1" l="1"/>
  <c r="F1969" i="1"/>
  <c r="G1968" i="1"/>
  <c r="F1970" i="1" l="1"/>
  <c r="H1969" i="1"/>
  <c r="G1969" i="1"/>
  <c r="F1971" i="1" l="1"/>
  <c r="H1970" i="1"/>
  <c r="H1971" i="1" s="1"/>
  <c r="G1970" i="1"/>
  <c r="G1971" i="1" s="1"/>
  <c r="F1972" i="1" l="1"/>
  <c r="H1972" i="1" s="1"/>
  <c r="F1973" i="1" l="1"/>
  <c r="G1972" i="1"/>
  <c r="F1974" i="1" l="1"/>
  <c r="H1973" i="1"/>
  <c r="G1973" i="1"/>
  <c r="H1974" i="1" l="1"/>
  <c r="F1975" i="1"/>
  <c r="G1974" i="1"/>
  <c r="F1976" i="1" l="1"/>
  <c r="G1975" i="1"/>
  <c r="H1975" i="1"/>
  <c r="H1976" i="1" l="1"/>
  <c r="G1976" i="1"/>
  <c r="F1977" i="1"/>
  <c r="F1978" i="1" l="1"/>
  <c r="H1977" i="1"/>
  <c r="G1977" i="1"/>
  <c r="G1978" i="1" s="1"/>
  <c r="F1979" i="1" l="1"/>
  <c r="H1978" i="1"/>
  <c r="F1980" i="1" l="1"/>
  <c r="H1979" i="1"/>
  <c r="G1979" i="1"/>
  <c r="G1980" i="1" s="1"/>
  <c r="F1981" i="1" l="1"/>
  <c r="H1980" i="1"/>
  <c r="H1981" i="1" l="1"/>
  <c r="F1982" i="1"/>
  <c r="G1981" i="1"/>
  <c r="F1983" i="1" l="1"/>
  <c r="H1982" i="1"/>
  <c r="G1982" i="1"/>
  <c r="G1983" i="1" l="1"/>
  <c r="F1984" i="1"/>
  <c r="H1983" i="1"/>
  <c r="H1984" i="1" l="1"/>
  <c r="F1985" i="1"/>
  <c r="G1984" i="1"/>
  <c r="G1985" i="1" l="1"/>
  <c r="F1986" i="1"/>
  <c r="H1985" i="1"/>
  <c r="H1986" i="1" l="1"/>
  <c r="F1987" i="1"/>
  <c r="G1986" i="1"/>
  <c r="F1988" i="1" l="1"/>
  <c r="H1987" i="1"/>
  <c r="G1987" i="1"/>
  <c r="F1989" i="1" l="1"/>
  <c r="H1988" i="1"/>
  <c r="G1988" i="1"/>
  <c r="G1989" i="1" s="1"/>
  <c r="F1990" i="1" l="1"/>
  <c r="H1989" i="1"/>
  <c r="H1990" i="1" s="1"/>
  <c r="F1991" i="1" l="1"/>
  <c r="G1990" i="1"/>
  <c r="F1992" i="1" l="1"/>
  <c r="H1991" i="1"/>
  <c r="H1992" i="1" s="1"/>
  <c r="G1991" i="1"/>
  <c r="F1993" i="1" l="1"/>
  <c r="G1992" i="1"/>
  <c r="G1993" i="1" l="1"/>
  <c r="F1994" i="1"/>
  <c r="H1993" i="1"/>
  <c r="F1995" i="1" l="1"/>
  <c r="H1994" i="1"/>
  <c r="G1994" i="1"/>
  <c r="G1995" i="1" l="1"/>
  <c r="H1995" i="1"/>
  <c r="F1996" i="1"/>
  <c r="F1997" i="1" l="1"/>
  <c r="H1996" i="1"/>
  <c r="H1997" i="1" s="1"/>
  <c r="G1996" i="1"/>
  <c r="G1997" i="1" s="1"/>
  <c r="F1998" i="1" l="1"/>
  <c r="F1999" i="1" l="1"/>
  <c r="G1998" i="1"/>
  <c r="H1998" i="1"/>
  <c r="F2000" i="1" l="1"/>
  <c r="H1999" i="1"/>
  <c r="G1999" i="1"/>
  <c r="H2000" i="1" l="1"/>
  <c r="G2000" i="1"/>
  <c r="F2001" i="1"/>
  <c r="F2002" i="1" l="1"/>
  <c r="H2001" i="1"/>
  <c r="H2002" i="1" s="1"/>
  <c r="G2001" i="1"/>
  <c r="G2002" i="1" s="1"/>
  <c r="F2003" i="1" l="1"/>
  <c r="F2004" i="1" l="1"/>
  <c r="H2003" i="1"/>
  <c r="G2003" i="1"/>
  <c r="F2005" i="1" l="1"/>
  <c r="H2004" i="1"/>
  <c r="H2005" i="1" s="1"/>
  <c r="G2004" i="1"/>
  <c r="F2006" i="1" l="1"/>
  <c r="G2005" i="1"/>
  <c r="F2007" i="1" l="1"/>
  <c r="G2006" i="1"/>
  <c r="H2006" i="1"/>
  <c r="G2007" i="1" l="1"/>
  <c r="H2007" i="1"/>
  <c r="F2008" i="1"/>
  <c r="F2009" i="1" l="1"/>
  <c r="H2008" i="1"/>
  <c r="G2008" i="1"/>
  <c r="G2009" i="1" s="1"/>
  <c r="F2010" i="1" l="1"/>
  <c r="H2009" i="1"/>
  <c r="F2011" i="1" l="1"/>
  <c r="H2010" i="1"/>
  <c r="G2010" i="1"/>
  <c r="G2011" i="1" l="1"/>
  <c r="H2011" i="1"/>
  <c r="F2012" i="1"/>
  <c r="F2013" i="1" l="1"/>
  <c r="H2012" i="1"/>
  <c r="G2012" i="1"/>
  <c r="F2014" i="1" l="1"/>
  <c r="H2013" i="1"/>
  <c r="G2013" i="1"/>
  <c r="G2014" i="1" l="1"/>
  <c r="H2014" i="1"/>
  <c r="F2015" i="1"/>
  <c r="F2016" i="1" l="1"/>
  <c r="H2015" i="1"/>
  <c r="H2016" i="1" s="1"/>
  <c r="G2015" i="1"/>
  <c r="G2016" i="1" s="1"/>
  <c r="F2017" i="1" l="1"/>
  <c r="F2018" i="1" l="1"/>
  <c r="G2017" i="1"/>
  <c r="H2017" i="1"/>
  <c r="F2019" i="1" l="1"/>
  <c r="H2018" i="1"/>
  <c r="G2018" i="1"/>
  <c r="G2019" i="1" s="1"/>
  <c r="F2020" i="1" l="1"/>
  <c r="H2019" i="1"/>
  <c r="F2021" i="1" l="1"/>
  <c r="H2020" i="1"/>
  <c r="G2020" i="1"/>
  <c r="G2021" i="1" l="1"/>
  <c r="H2021" i="1"/>
  <c r="F2022" i="1"/>
  <c r="F2023" i="1" l="1"/>
  <c r="H2022" i="1"/>
  <c r="G2022" i="1"/>
  <c r="F2024" i="1" l="1"/>
  <c r="H2023" i="1"/>
  <c r="G2023" i="1"/>
  <c r="G2024" i="1" s="1"/>
  <c r="H2024" i="1" l="1"/>
  <c r="F2025" i="1"/>
  <c r="F2026" i="1" l="1"/>
  <c r="H2025" i="1"/>
  <c r="H2026" i="1" s="1"/>
  <c r="G2025" i="1"/>
  <c r="F2027" i="1" l="1"/>
  <c r="G2026" i="1"/>
  <c r="F2028" i="1" l="1"/>
  <c r="H2027" i="1"/>
  <c r="G2027" i="1"/>
  <c r="G2028" i="1" s="1"/>
  <c r="F2029" i="1" l="1"/>
  <c r="H2028" i="1"/>
  <c r="F2030" i="1" l="1"/>
  <c r="H2029" i="1"/>
  <c r="H2030" i="1" s="1"/>
  <c r="G2029" i="1"/>
  <c r="G2030" i="1" s="1"/>
  <c r="F2031" i="1" l="1"/>
  <c r="F2032" i="1" l="1"/>
  <c r="H2031" i="1"/>
  <c r="G2031" i="1"/>
  <c r="F2033" i="1" l="1"/>
  <c r="H2032" i="1"/>
  <c r="G2032" i="1"/>
  <c r="F2034" i="1" l="1"/>
  <c r="H2033" i="1"/>
  <c r="G2033" i="1"/>
  <c r="G2034" i="1" l="1"/>
  <c r="F2035" i="1"/>
  <c r="H2034" i="1"/>
  <c r="H2035" i="1" l="1"/>
  <c r="F2036" i="1"/>
  <c r="G2035" i="1"/>
  <c r="G2036" i="1" l="1"/>
  <c r="F2037" i="1"/>
  <c r="H2036" i="1"/>
  <c r="F2038" i="1" l="1"/>
  <c r="H2037" i="1"/>
  <c r="H2038" i="1" s="1"/>
  <c r="G2037" i="1"/>
  <c r="G2038" i="1" l="1"/>
  <c r="F2039" i="1"/>
  <c r="F2040" i="1" l="1"/>
  <c r="H2039" i="1"/>
  <c r="H2040" i="1" s="1"/>
  <c r="G2039" i="1"/>
  <c r="G2040" i="1" s="1"/>
  <c r="F2041" i="1" l="1"/>
  <c r="F2042" i="1" l="1"/>
  <c r="H2041" i="1"/>
  <c r="G2041" i="1"/>
  <c r="F2043" i="1" l="1"/>
  <c r="H2042" i="1"/>
  <c r="G2042" i="1"/>
  <c r="G2043" i="1" l="1"/>
  <c r="F2044" i="1"/>
  <c r="H2043" i="1"/>
  <c r="F2045" i="1" l="1"/>
  <c r="H2044" i="1"/>
  <c r="H2045" i="1" s="1"/>
  <c r="G2044" i="1"/>
  <c r="G2045" i="1" s="1"/>
  <c r="F2046" i="1" l="1"/>
  <c r="F2047" i="1" l="1"/>
  <c r="H2046" i="1"/>
  <c r="G2046" i="1"/>
  <c r="F2048" i="1" l="1"/>
  <c r="H2047" i="1"/>
  <c r="H2048" i="1" s="1"/>
  <c r="G2047" i="1"/>
  <c r="F2049" i="1" l="1"/>
  <c r="G2048" i="1"/>
  <c r="G2049" i="1" l="1"/>
  <c r="F2050" i="1"/>
  <c r="H2049" i="1"/>
  <c r="F2051" i="1" l="1"/>
  <c r="H2050" i="1"/>
  <c r="G2050" i="1"/>
  <c r="G2051" i="1" s="1"/>
  <c r="F2052" i="1" l="1"/>
  <c r="H2051" i="1"/>
  <c r="F2053" i="1" l="1"/>
  <c r="H2052" i="1"/>
  <c r="G2052" i="1"/>
  <c r="F2054" i="1" l="1"/>
  <c r="H2053" i="1"/>
  <c r="G2053" i="1"/>
  <c r="F2055" i="1" l="1"/>
  <c r="H2054" i="1"/>
  <c r="G2054" i="1"/>
  <c r="G2055" i="1" s="1"/>
  <c r="H2055" i="1" l="1"/>
  <c r="F2056" i="1"/>
  <c r="F2057" i="1" l="1"/>
  <c r="H2056" i="1"/>
  <c r="G2056" i="1"/>
  <c r="F2058" i="1" l="1"/>
  <c r="H2057" i="1"/>
  <c r="G2057" i="1"/>
  <c r="F2059" i="1" l="1"/>
  <c r="H2058" i="1"/>
  <c r="G2058" i="1"/>
  <c r="G2059" i="1" s="1"/>
  <c r="F2060" i="1" l="1"/>
  <c r="H2059" i="1"/>
  <c r="F2061" i="1" l="1"/>
  <c r="H2060" i="1"/>
  <c r="H2061" i="1" s="1"/>
  <c r="G2060" i="1"/>
  <c r="G2061" i="1" s="1"/>
  <c r="F2062" i="1" l="1"/>
  <c r="F2063" i="1" l="1"/>
  <c r="H2062" i="1"/>
  <c r="G2062" i="1"/>
  <c r="G2063" i="1" s="1"/>
  <c r="F2064" i="1" l="1"/>
  <c r="H2063" i="1"/>
  <c r="H2064" i="1" s="1"/>
  <c r="F2065" i="1" l="1"/>
  <c r="G2064" i="1"/>
  <c r="G2065" i="1" l="1"/>
  <c r="F2066" i="1"/>
  <c r="H2065" i="1"/>
  <c r="H2066" i="1" l="1"/>
  <c r="F2067" i="1"/>
  <c r="G2066" i="1"/>
  <c r="F2068" i="1" l="1"/>
  <c r="H2067" i="1"/>
  <c r="G2067" i="1"/>
  <c r="G2068" i="1" s="1"/>
  <c r="F2069" i="1" l="1"/>
  <c r="H2068" i="1"/>
  <c r="F2070" i="1" l="1"/>
  <c r="H2069" i="1"/>
  <c r="G2069" i="1"/>
  <c r="H2070" i="1" l="1"/>
  <c r="G2070" i="1"/>
  <c r="F2071" i="1"/>
  <c r="F2072" i="1" l="1"/>
  <c r="H2071" i="1"/>
  <c r="H2072" i="1" s="1"/>
  <c r="G2071" i="1"/>
  <c r="G2072" i="1" s="1"/>
  <c r="F2073" i="1" l="1"/>
  <c r="F2074" i="1" l="1"/>
  <c r="H2073" i="1"/>
  <c r="H2074" i="1" s="1"/>
  <c r="G2073" i="1"/>
  <c r="G2074" i="1" s="1"/>
  <c r="F2075" i="1" l="1"/>
  <c r="F2076" i="1" l="1"/>
  <c r="H2075" i="1"/>
  <c r="G2075" i="1"/>
  <c r="F2077" i="1" l="1"/>
  <c r="H2076" i="1"/>
  <c r="G2076" i="1"/>
  <c r="F2078" i="1" l="1"/>
  <c r="H2077" i="1"/>
  <c r="G2077" i="1"/>
  <c r="F2079" i="1" l="1"/>
  <c r="H2078" i="1"/>
  <c r="G2078" i="1"/>
  <c r="G2079" i="1" l="1"/>
  <c r="H2079" i="1"/>
  <c r="F2080" i="1"/>
  <c r="F2081" i="1" l="1"/>
  <c r="H2080" i="1"/>
  <c r="G2080" i="1"/>
  <c r="F2082" i="1" l="1"/>
  <c r="H2081" i="1"/>
  <c r="G2081" i="1"/>
  <c r="G2082" i="1" s="1"/>
  <c r="F2083" i="1" l="1"/>
  <c r="H2082" i="1"/>
  <c r="H2083" i="1" s="1"/>
  <c r="F2084" i="1" l="1"/>
  <c r="G2083" i="1"/>
  <c r="G2084" i="1" l="1"/>
  <c r="F2085" i="1"/>
  <c r="H2084" i="1"/>
  <c r="H2085" i="1" l="1"/>
  <c r="F2086" i="1"/>
  <c r="G2085" i="1"/>
  <c r="F2087" i="1" l="1"/>
  <c r="H2086" i="1"/>
  <c r="G2086" i="1"/>
  <c r="G2087" i="1" s="1"/>
  <c r="F2088" i="1" l="1"/>
  <c r="H2087" i="1"/>
  <c r="H2088" i="1" s="1"/>
  <c r="F2089" i="1" l="1"/>
  <c r="G2088" i="1"/>
  <c r="G2089" i="1" s="1"/>
  <c r="F2090" i="1" l="1"/>
  <c r="H2089" i="1"/>
  <c r="H2090" i="1" s="1"/>
  <c r="F2091" i="1" l="1"/>
  <c r="G2090" i="1"/>
  <c r="F2092" i="1" l="1"/>
  <c r="H2091" i="1"/>
  <c r="H2092" i="1" s="1"/>
  <c r="G2091" i="1"/>
  <c r="G2092" i="1" s="1"/>
  <c r="F2093" i="1" l="1"/>
  <c r="F2094" i="1" l="1"/>
  <c r="H2093" i="1"/>
  <c r="H2094" i="1" s="1"/>
  <c r="G2093" i="1"/>
  <c r="G2094" i="1" l="1"/>
  <c r="F2095" i="1"/>
  <c r="F2096" i="1" l="1"/>
  <c r="H2095" i="1"/>
  <c r="H2096" i="1" s="1"/>
  <c r="G2095" i="1"/>
  <c r="G2096" i="1" s="1"/>
  <c r="F2097" i="1" l="1"/>
  <c r="F2098" i="1" l="1"/>
  <c r="H2097" i="1"/>
  <c r="H2098" i="1" s="1"/>
  <c r="G2097" i="1"/>
  <c r="G2098" i="1" l="1"/>
  <c r="F2099" i="1"/>
  <c r="F2100" i="1" l="1"/>
  <c r="H2099" i="1"/>
  <c r="G2099" i="1"/>
  <c r="F2101" i="1" l="1"/>
  <c r="H2100" i="1"/>
  <c r="G2100" i="1"/>
  <c r="H2101" i="1" l="1"/>
  <c r="G2101" i="1"/>
  <c r="F2102" i="1"/>
  <c r="G2102" i="1" s="1"/>
  <c r="F2103" i="1" l="1"/>
  <c r="H2102" i="1"/>
  <c r="H2103" i="1" l="1"/>
  <c r="F2104" i="1"/>
  <c r="G2103" i="1"/>
  <c r="G2104" i="1" l="1"/>
  <c r="F2105" i="1"/>
  <c r="H2104" i="1"/>
  <c r="F2106" i="1" l="1"/>
  <c r="H2105" i="1"/>
  <c r="G2105" i="1"/>
  <c r="F2107" i="1" l="1"/>
  <c r="H2106" i="1"/>
  <c r="H2107" i="1" s="1"/>
  <c r="G2106" i="1"/>
  <c r="G2107" i="1" s="1"/>
  <c r="F2108" i="1" l="1"/>
  <c r="F2109" i="1" l="1"/>
  <c r="H2108" i="1"/>
  <c r="G2108" i="1"/>
  <c r="G2109" i="1" s="1"/>
  <c r="H2109" i="1" l="1"/>
  <c r="F2110" i="1"/>
  <c r="F2111" i="1" l="1"/>
  <c r="H2110" i="1"/>
  <c r="G2110" i="1"/>
  <c r="G2111" i="1" s="1"/>
  <c r="F2112" i="1" l="1"/>
  <c r="H2111" i="1"/>
  <c r="H2112" i="1" s="1"/>
  <c r="F2113" i="1" l="1"/>
  <c r="G2112" i="1"/>
  <c r="G2113" i="1" l="1"/>
  <c r="F2114" i="1"/>
  <c r="H2113" i="1"/>
  <c r="F2115" i="1" l="1"/>
  <c r="H2114" i="1"/>
  <c r="G2114" i="1"/>
  <c r="F2116" i="1" l="1"/>
  <c r="H2115" i="1"/>
  <c r="G2115" i="1"/>
  <c r="G2116" i="1" s="1"/>
  <c r="H2116" i="1" l="1"/>
  <c r="F2117" i="1"/>
  <c r="F2118" i="1" l="1"/>
  <c r="H2117" i="1"/>
  <c r="H2118" i="1" s="1"/>
  <c r="G2117" i="1"/>
  <c r="G2118" i="1" l="1"/>
  <c r="F2119" i="1"/>
  <c r="G2119" i="1" s="1"/>
  <c r="F2120" i="1" l="1"/>
  <c r="H2119" i="1"/>
  <c r="F2121" i="1" l="1"/>
  <c r="H2120" i="1"/>
  <c r="G2120" i="1"/>
  <c r="G2121" i="1" s="1"/>
  <c r="F2122" i="1" l="1"/>
  <c r="H2121" i="1"/>
  <c r="F2123" i="1" l="1"/>
  <c r="H2122" i="1"/>
  <c r="G2122" i="1"/>
  <c r="G2123" i="1" s="1"/>
  <c r="F2124" i="1" l="1"/>
  <c r="H2123" i="1"/>
  <c r="F2125" i="1" l="1"/>
  <c r="H2124" i="1"/>
  <c r="G2124" i="1"/>
  <c r="F2126" i="1" l="1"/>
  <c r="H2125" i="1"/>
  <c r="G2125" i="1"/>
  <c r="F2127" i="1" l="1"/>
  <c r="H2126" i="1"/>
  <c r="G2126" i="1"/>
  <c r="G2127" i="1" s="1"/>
  <c r="H2127" i="1" l="1"/>
  <c r="F2128" i="1"/>
  <c r="F2129" i="1" l="1"/>
  <c r="H2128" i="1"/>
  <c r="G2128" i="1"/>
  <c r="G2129" i="1" l="1"/>
  <c r="F2130" i="1"/>
  <c r="H2129" i="1"/>
  <c r="F2131" i="1" l="1"/>
  <c r="H2130" i="1"/>
  <c r="G2130" i="1"/>
  <c r="F2132" i="1" l="1"/>
  <c r="H2131" i="1"/>
  <c r="G2131" i="1"/>
  <c r="G2132" i="1" s="1"/>
  <c r="F2133" i="1" l="1"/>
  <c r="H2132" i="1"/>
  <c r="H2133" i="1" s="1"/>
  <c r="F2134" i="1" l="1"/>
  <c r="G2133" i="1"/>
  <c r="F2135" i="1" l="1"/>
  <c r="H2134" i="1"/>
  <c r="G2134" i="1"/>
  <c r="G2135" i="1" s="1"/>
  <c r="F2136" i="1" l="1"/>
  <c r="H2135" i="1"/>
  <c r="H2136" i="1" s="1"/>
  <c r="F2137" i="1" l="1"/>
  <c r="G2136" i="1"/>
  <c r="G2137" i="1" l="1"/>
  <c r="F2138" i="1"/>
  <c r="H2137" i="1"/>
  <c r="H2138" i="1" s="1"/>
  <c r="F2139" i="1" l="1"/>
  <c r="G2138" i="1"/>
  <c r="F2140" i="1" l="1"/>
  <c r="H2139" i="1"/>
  <c r="G2139" i="1"/>
  <c r="F2141" i="1" l="1"/>
  <c r="H2140" i="1"/>
  <c r="G2140" i="1"/>
  <c r="G2141" i="1" l="1"/>
  <c r="F2142" i="1"/>
  <c r="H2141" i="1"/>
  <c r="H2142" i="1" l="1"/>
  <c r="F2143" i="1"/>
  <c r="G2142" i="1"/>
  <c r="G2143" i="1" s="1"/>
  <c r="F2144" i="1" l="1"/>
  <c r="H2143" i="1"/>
  <c r="F2145" i="1" l="1"/>
  <c r="H2144" i="1"/>
  <c r="G2144" i="1"/>
  <c r="F2146" i="1" l="1"/>
  <c r="H2145" i="1"/>
  <c r="G2145" i="1"/>
  <c r="G2146" i="1" l="1"/>
  <c r="F2147" i="1"/>
  <c r="H2146" i="1"/>
  <c r="F2148" i="1" l="1"/>
  <c r="H2147" i="1"/>
  <c r="G2147" i="1"/>
  <c r="G2148" i="1" l="1"/>
  <c r="F2149" i="1"/>
  <c r="H2148" i="1"/>
  <c r="F2150" i="1" l="1"/>
  <c r="H2149" i="1"/>
  <c r="G2149" i="1"/>
  <c r="G2150" i="1" l="1"/>
  <c r="H2150" i="1"/>
  <c r="F2151" i="1"/>
  <c r="F2152" i="1" l="1"/>
  <c r="H2151" i="1"/>
  <c r="H2152" i="1" s="1"/>
  <c r="G2151" i="1"/>
  <c r="G2152" i="1" s="1"/>
  <c r="F2153" i="1" l="1"/>
  <c r="F2154" i="1" l="1"/>
  <c r="H2153" i="1"/>
  <c r="G2153" i="1"/>
  <c r="G2154" i="1" s="1"/>
  <c r="F2155" i="1" l="1"/>
  <c r="H2154" i="1"/>
  <c r="F2156" i="1" l="1"/>
  <c r="H2155" i="1"/>
  <c r="G2155" i="1"/>
  <c r="G2156" i="1" s="1"/>
  <c r="F2157" i="1" l="1"/>
  <c r="H2156" i="1"/>
  <c r="F2158" i="1" l="1"/>
  <c r="H2157" i="1"/>
  <c r="G2157" i="1"/>
  <c r="G2158" i="1" s="1"/>
  <c r="F2159" i="1" l="1"/>
  <c r="H2158" i="1"/>
  <c r="F2160" i="1" l="1"/>
  <c r="H2159" i="1"/>
  <c r="H2160" i="1" s="1"/>
  <c r="G2159" i="1"/>
  <c r="G2160" i="1" s="1"/>
  <c r="F2161" i="1" l="1"/>
  <c r="F2162" i="1" l="1"/>
  <c r="H2161" i="1"/>
  <c r="G2161" i="1"/>
  <c r="G2162" i="1" l="1"/>
  <c r="F2163" i="1"/>
  <c r="H2162" i="1"/>
  <c r="F2164" i="1" l="1"/>
  <c r="H2163" i="1"/>
  <c r="G2163" i="1"/>
  <c r="G2164" i="1" s="1"/>
  <c r="F2165" i="1" l="1"/>
  <c r="H2164" i="1"/>
  <c r="F2166" i="1" l="1"/>
  <c r="H2165" i="1"/>
  <c r="G2165" i="1"/>
  <c r="G2166" i="1" s="1"/>
  <c r="F2167" i="1" l="1"/>
  <c r="H2166" i="1"/>
  <c r="F2168" i="1" l="1"/>
  <c r="H2167" i="1"/>
  <c r="G2167" i="1"/>
  <c r="F2169" i="1" l="1"/>
  <c r="H2168" i="1"/>
  <c r="G2168" i="1"/>
  <c r="G2169" i="1" s="1"/>
  <c r="F2170" i="1" l="1"/>
  <c r="H2169" i="1"/>
  <c r="F2171" i="1" l="1"/>
  <c r="H2170" i="1"/>
  <c r="G2170" i="1"/>
  <c r="G2171" i="1" s="1"/>
  <c r="H2171" i="1" l="1"/>
  <c r="F2172" i="1"/>
  <c r="F2173" i="1" l="1"/>
  <c r="H2172" i="1"/>
  <c r="G2172" i="1"/>
  <c r="F2174" i="1" l="1"/>
  <c r="H2173" i="1"/>
  <c r="G2173" i="1"/>
  <c r="F2175" i="1" l="1"/>
  <c r="H2174" i="1"/>
  <c r="G2174" i="1"/>
  <c r="G2175" i="1" l="1"/>
  <c r="F2176" i="1"/>
  <c r="H2175" i="1"/>
  <c r="H2176" i="1" l="1"/>
  <c r="F2177" i="1"/>
  <c r="G2176" i="1"/>
  <c r="G2177" i="1" l="1"/>
  <c r="F2178" i="1"/>
  <c r="H2177" i="1"/>
  <c r="F2179" i="1" l="1"/>
  <c r="H2178" i="1"/>
  <c r="G2178" i="1"/>
  <c r="G2179" i="1" l="1"/>
  <c r="F2180" i="1"/>
  <c r="H2179" i="1"/>
  <c r="H2180" i="1" s="1"/>
  <c r="F2181" i="1" l="1"/>
  <c r="G2180" i="1"/>
  <c r="G2181" i="1" l="1"/>
  <c r="F2182" i="1"/>
  <c r="H2181" i="1"/>
  <c r="H2182" i="1" s="1"/>
  <c r="G2182" i="1" l="1"/>
  <c r="F2183" i="1"/>
  <c r="F2184" i="1" l="1"/>
  <c r="H2183" i="1"/>
  <c r="H2184" i="1" s="1"/>
  <c r="G2183" i="1"/>
  <c r="G2184" i="1" s="1"/>
  <c r="F2185" i="1" l="1"/>
  <c r="F2186" i="1" l="1"/>
  <c r="H2185" i="1"/>
  <c r="G2185" i="1"/>
  <c r="G2186" i="1" s="1"/>
  <c r="H2186" i="1" l="1"/>
  <c r="F2187" i="1"/>
  <c r="F2188" i="1" l="1"/>
  <c r="H2187" i="1"/>
  <c r="G2187" i="1"/>
  <c r="F2189" i="1" l="1"/>
  <c r="H2188" i="1"/>
  <c r="G2188" i="1"/>
  <c r="G2189" i="1" s="1"/>
  <c r="H2189" i="1" l="1"/>
  <c r="F2190" i="1"/>
  <c r="F2191" i="1" l="1"/>
  <c r="G2190" i="1"/>
  <c r="H2190" i="1"/>
  <c r="H2191" i="1" s="1"/>
  <c r="G2191" i="1" l="1"/>
  <c r="F2192" i="1"/>
  <c r="F2193" i="1" l="1"/>
  <c r="H2192" i="1"/>
  <c r="G2192" i="1"/>
  <c r="F2194" i="1" l="1"/>
  <c r="H2193" i="1"/>
  <c r="H2194" i="1" s="1"/>
  <c r="G2193" i="1"/>
  <c r="G2194" i="1" s="1"/>
  <c r="F2195" i="1" l="1"/>
  <c r="F2196" i="1" l="1"/>
  <c r="G2195" i="1"/>
  <c r="G2196" i="1" s="1"/>
  <c r="H2195" i="1"/>
  <c r="H2196" i="1" s="1"/>
  <c r="F2197" i="1" l="1"/>
  <c r="F2198" i="1" l="1"/>
  <c r="H2197" i="1"/>
  <c r="G2197" i="1"/>
  <c r="G2198" i="1" s="1"/>
  <c r="F2199" i="1" l="1"/>
  <c r="H2198" i="1"/>
  <c r="F2200" i="1" l="1"/>
  <c r="H2199" i="1"/>
  <c r="G2199" i="1"/>
  <c r="G2200" i="1" s="1"/>
  <c r="F2201" i="1" l="1"/>
  <c r="H2200" i="1"/>
  <c r="F2202" i="1" l="1"/>
  <c r="H2201" i="1"/>
  <c r="G2201" i="1"/>
  <c r="F2203" i="1" l="1"/>
  <c r="H2202" i="1"/>
  <c r="G2202" i="1"/>
  <c r="G2203" i="1" l="1"/>
  <c r="F2204" i="1"/>
  <c r="H2203" i="1"/>
  <c r="F2205" i="1" l="1"/>
  <c r="H2204" i="1"/>
  <c r="H2205" i="1" s="1"/>
  <c r="G2204" i="1"/>
  <c r="G2205" i="1" s="1"/>
  <c r="F2206" i="1" l="1"/>
  <c r="F2207" i="1" l="1"/>
  <c r="H2206" i="1"/>
  <c r="G2206" i="1"/>
  <c r="F2208" i="1" l="1"/>
  <c r="H2207" i="1"/>
  <c r="G2207" i="1"/>
  <c r="G2208" i="1" s="1"/>
  <c r="F2209" i="1" l="1"/>
  <c r="H2208" i="1"/>
  <c r="F2210" i="1" l="1"/>
  <c r="H2209" i="1"/>
  <c r="H2210" i="1" s="1"/>
  <c r="G2209" i="1"/>
  <c r="G2210" i="1" s="1"/>
  <c r="F2211" i="1" l="1"/>
  <c r="F2212" i="1" l="1"/>
  <c r="H2211" i="1"/>
  <c r="G2211" i="1"/>
  <c r="G2212" i="1" s="1"/>
  <c r="F2213" i="1" l="1"/>
  <c r="H2212" i="1"/>
  <c r="H2213" i="1" s="1"/>
  <c r="F2214" i="1" l="1"/>
  <c r="G2213" i="1"/>
  <c r="G2214" i="1" l="1"/>
  <c r="F2215" i="1"/>
  <c r="H2214" i="1"/>
  <c r="H2215" i="1" l="1"/>
  <c r="F2216" i="1"/>
  <c r="G2215" i="1"/>
  <c r="F2217" i="1" l="1"/>
  <c r="H2216" i="1"/>
  <c r="G2216" i="1"/>
  <c r="F2218" i="1" l="1"/>
  <c r="H2217" i="1"/>
  <c r="H2218" i="1" s="1"/>
  <c r="G2217" i="1"/>
  <c r="F2219" i="1" l="1"/>
  <c r="G2218" i="1"/>
  <c r="G2219" i="1" s="1"/>
  <c r="F2220" i="1" l="1"/>
  <c r="H2219" i="1"/>
  <c r="H2220" i="1" s="1"/>
  <c r="F2221" i="1" l="1"/>
  <c r="G2220" i="1"/>
  <c r="F2222" i="1" l="1"/>
  <c r="H2221" i="1"/>
  <c r="G2221" i="1"/>
  <c r="F2223" i="1" l="1"/>
  <c r="H2222" i="1"/>
  <c r="G2222" i="1"/>
  <c r="G2223" i="1" s="1"/>
  <c r="F2224" i="1" l="1"/>
  <c r="H2223" i="1"/>
  <c r="F2225" i="1" l="1"/>
  <c r="H2224" i="1"/>
  <c r="G2224" i="1"/>
  <c r="F2226" i="1" l="1"/>
  <c r="H2225" i="1"/>
  <c r="G2225" i="1"/>
  <c r="H2226" i="1" l="1"/>
  <c r="F2227" i="1"/>
  <c r="G2226" i="1"/>
  <c r="F2228" i="1" l="1"/>
  <c r="G2227" i="1"/>
  <c r="H2227" i="1"/>
  <c r="H2228" i="1" s="1"/>
  <c r="G2228" i="1" l="1"/>
  <c r="F2229" i="1"/>
  <c r="F2230" i="1" l="1"/>
  <c r="G2229" i="1"/>
  <c r="G2230" i="1" s="1"/>
  <c r="H2229" i="1"/>
  <c r="F2231" i="1" l="1"/>
  <c r="H2230" i="1"/>
  <c r="F2232" i="1" l="1"/>
  <c r="H2231" i="1"/>
  <c r="G2231" i="1"/>
  <c r="G2232" i="1" s="1"/>
  <c r="F2233" i="1" l="1"/>
  <c r="H2232" i="1"/>
  <c r="F2234" i="1" l="1"/>
  <c r="H2233" i="1"/>
  <c r="H2234" i="1" s="1"/>
  <c r="G2233" i="1"/>
  <c r="G2234" i="1" s="1"/>
  <c r="F2235" i="1" l="1"/>
  <c r="F2236" i="1" l="1"/>
  <c r="H2235" i="1"/>
  <c r="G2235" i="1"/>
  <c r="F2237" i="1" l="1"/>
  <c r="H2236" i="1"/>
  <c r="H2237" i="1" s="1"/>
  <c r="G2236" i="1"/>
  <c r="F2238" i="1" l="1"/>
  <c r="G2237" i="1"/>
  <c r="F2239" i="1" l="1"/>
  <c r="G2238" i="1"/>
  <c r="G2239" i="1" s="1"/>
  <c r="H2238" i="1"/>
  <c r="H2239" i="1" s="1"/>
  <c r="F2240" i="1" l="1"/>
  <c r="F2241" i="1" l="1"/>
  <c r="H2240" i="1"/>
  <c r="G2240" i="1"/>
  <c r="F2242" i="1" l="1"/>
  <c r="H2241" i="1"/>
  <c r="H2242" i="1" s="1"/>
  <c r="G2241" i="1"/>
  <c r="F2243" i="1" l="1"/>
  <c r="G2242" i="1"/>
  <c r="G2243" i="1" l="1"/>
  <c r="H2243" i="1"/>
  <c r="F2244" i="1"/>
  <c r="F2245" i="1" l="1"/>
  <c r="G2244" i="1"/>
  <c r="H2244" i="1"/>
  <c r="G2245" i="1" l="1"/>
  <c r="H2245" i="1"/>
  <c r="F2246" i="1"/>
  <c r="G2246" i="1" l="1"/>
  <c r="H2246" i="1"/>
  <c r="F2247" i="1"/>
  <c r="H2247" i="1" l="1"/>
  <c r="F2248" i="1"/>
  <c r="G2247" i="1"/>
  <c r="F2249" i="1" l="1"/>
  <c r="H2248" i="1"/>
  <c r="G2248" i="1"/>
  <c r="G2249" i="1" l="1"/>
  <c r="F2250" i="1"/>
  <c r="H2249" i="1"/>
  <c r="G2250" i="1" l="1"/>
  <c r="H2250" i="1"/>
  <c r="F2251" i="1"/>
  <c r="H2251" i="1" l="1"/>
  <c r="G2251" i="1"/>
  <c r="F2252" i="1"/>
  <c r="G2252" i="1" l="1"/>
  <c r="H2252" i="1"/>
  <c r="F2253" i="1"/>
  <c r="F2254" i="1" l="1"/>
  <c r="G2253" i="1"/>
  <c r="H2253" i="1"/>
  <c r="G2254" i="1" l="1"/>
  <c r="F2255" i="1"/>
  <c r="H2254" i="1"/>
  <c r="H2255" i="1" l="1"/>
  <c r="F2256" i="1"/>
  <c r="G2255" i="1"/>
  <c r="G2256" i="1" l="1"/>
  <c r="F2257" i="1"/>
  <c r="H2256" i="1"/>
  <c r="H2257" i="1" l="1"/>
  <c r="G2257" i="1"/>
  <c r="F2258" i="1"/>
  <c r="H2258" i="1" l="1"/>
  <c r="G2258" i="1"/>
  <c r="F2259" i="1"/>
  <c r="H2259" i="1" l="1"/>
  <c r="G2259" i="1"/>
  <c r="F2260" i="1"/>
  <c r="G2260" i="1" l="1"/>
  <c r="H2260" i="1"/>
  <c r="F2261" i="1"/>
  <c r="G2261" i="1" l="1"/>
  <c r="F2262" i="1"/>
  <c r="H2261" i="1"/>
  <c r="G2262" i="1" l="1"/>
  <c r="F2263" i="1"/>
  <c r="H2262" i="1"/>
  <c r="H2263" i="1" l="1"/>
  <c r="F2264" i="1"/>
  <c r="G2263" i="1"/>
  <c r="F2265" i="1" l="1"/>
  <c r="H2264" i="1"/>
  <c r="G2264" i="1"/>
  <c r="H2265" i="1" l="1"/>
  <c r="G2265" i="1"/>
  <c r="F2266" i="1"/>
  <c r="H2266" i="1" l="1"/>
  <c r="G2266" i="1"/>
  <c r="F2267" i="1"/>
  <c r="H2267" i="1" l="1"/>
  <c r="G2267" i="1"/>
  <c r="F2268" i="1"/>
  <c r="G2268" i="1" l="1"/>
  <c r="H2268" i="1"/>
  <c r="F2269" i="1"/>
  <c r="G2269" i="1" l="1"/>
  <c r="H2269" i="1"/>
</calcChain>
</file>

<file path=xl/connections.xml><?xml version="1.0" encoding="utf-8"?>
<connections xmlns="http://schemas.openxmlformats.org/spreadsheetml/2006/main">
  <connection id="1" name="TBAPriceQuery" type="1" refreshedVersion="4" savePassword="1" saveData="1">
    <dbPr connection="DSN=Cello SQL Server;UID=report;PWD=gm4SJDw4;APP=Microsoft Office 2010;WSID=CELLO-PC4;DATABASE=Cello" command="select d.AsOfDate, m.TickerName, m.SeriesType, d.SeriesNumValue  from TimeSeriesMeta m,TimeSeries d where m.TimeSeriesMetaId = d.TimeSeriesMetaId and m.source = 'CITI' and (m.TickerName like 'FNMA%') and SeriesType = 'Price' and AsOfDate= '2015-03-06' order by TickerName,Source,SeriesType,AsOfDate"/>
  </connection>
  <connection id="2" name="TBASettleDateQuery" type="1" refreshedVersion="4" savePassword="1" saveData="1">
    <dbPr connection="ODBC;DSN=Cello SQL Server Dev;UID=dev;PWD=ufmg71dkiw;APP=Microsoft Office 2010;WSID=CELLO-PC4;DATABASE=Cello0217" command="select d.AsOfDate, m.TickerName, d.SeriesNumValue_x000d__x000a_ from TimeSeriesMeta as m,TimeSeries as d_x000d__x000a_               where m.TimeSeriesMetaId = d.TimeSeriesMetaId_x000d__x000a_               and d.AsOfDate &lt;= '20150305'_x000d__x000a__x0009__x0009__x0009__x0009_and m.source = 'CELLO' _x000d__x000a__x0009__x0009__x0009__x0009_--and *m.TickerName like'GN_CMM_30%'_x000d__x000a__x0009__x0009__x0009__x0009_and m.category = 'MTG' _x000d__x000a__x0009__x0009__x0009__x0009_order by d.AsOfDate"/>
  </connection>
</connections>
</file>

<file path=xl/sharedStrings.xml><?xml version="1.0" encoding="utf-8"?>
<sst xmlns="http://schemas.openxmlformats.org/spreadsheetml/2006/main" count="49609" uniqueCount="852">
  <si>
    <t>asOfDate</t>
  </si>
  <si>
    <t>Weekday</t>
  </si>
  <si>
    <t>Weight</t>
  </si>
  <si>
    <t>Counter</t>
  </si>
  <si>
    <t>accumulated Weighted CC</t>
  </si>
  <si>
    <t>accumulatedWeight</t>
  </si>
  <si>
    <t>WA CC</t>
  </si>
  <si>
    <t>MONDAY</t>
  </si>
  <si>
    <t>TUESDAY</t>
  </si>
  <si>
    <t>WEDNESDAY</t>
  </si>
  <si>
    <t>THURSDAY</t>
  </si>
  <si>
    <t>FRIDAY</t>
  </si>
  <si>
    <t>SATURDAY</t>
  </si>
  <si>
    <t>SUNDAY</t>
  </si>
  <si>
    <t>MortgageRate</t>
  </si>
  <si>
    <t>Coupon</t>
  </si>
  <si>
    <t>Database Env</t>
  </si>
  <si>
    <t>PROD</t>
  </si>
  <si>
    <t>Save Data to DB</t>
  </si>
  <si>
    <t>No</t>
  </si>
  <si>
    <t>As of Date</t>
  </si>
  <si>
    <t>Report Name</t>
  </si>
  <si>
    <t>Front Month</t>
  </si>
  <si>
    <t>TBA Prices</t>
  </si>
  <si>
    <t>Price Diff</t>
  </si>
  <si>
    <t>Gfee</t>
  </si>
  <si>
    <t>Base Servicing</t>
  </si>
  <si>
    <t>Max XS Servicing</t>
  </si>
  <si>
    <t>G-fee Buydown Multiple</t>
  </si>
  <si>
    <t>Base Servicing Multiple</t>
  </si>
  <si>
    <t>XS Servicing Multiple</t>
  </si>
  <si>
    <t>Mortgage Rate</t>
  </si>
  <si>
    <t>(1)</t>
  </si>
  <si>
    <t>(2)</t>
  </si>
  <si>
    <t>G-fee</t>
  </si>
  <si>
    <t>(3)</t>
  </si>
  <si>
    <t>(4)</t>
  </si>
  <si>
    <t>XS Servicing</t>
  </si>
  <si>
    <t>(5) = (1) - (2) - (3) - (4), if (5) &gt; 0</t>
  </si>
  <si>
    <t>G-fee Buydown</t>
  </si>
  <si>
    <t>(6) = (1) - (2) - (3) - (4), if (6) &lt; 0</t>
  </si>
  <si>
    <t>Px: Pass-through</t>
  </si>
  <si>
    <t>(7)</t>
  </si>
  <si>
    <t>Px: Base Servicing</t>
  </si>
  <si>
    <t>Px: XS Servicing</t>
  </si>
  <si>
    <t>Best Execution</t>
  </si>
  <si>
    <t>max (10)</t>
  </si>
  <si>
    <t>TBA Price Query</t>
  </si>
  <si>
    <t>TBA Settle Date Query</t>
  </si>
  <si>
    <t>TBA Combine</t>
  </si>
  <si>
    <t>choose TBA between 30 to 60 days</t>
  </si>
  <si>
    <t>Front Month TBA</t>
  </si>
  <si>
    <t>TickerName</t>
  </si>
  <si>
    <t>SeriesType</t>
  </si>
  <si>
    <t>AsOfDate</t>
  </si>
  <si>
    <t>SeriesNumValue</t>
  </si>
  <si>
    <t>SeriesCharValue</t>
  </si>
  <si>
    <t>TBA Gap</t>
  </si>
  <si>
    <t>Month</t>
  </si>
  <si>
    <t>FNMA2-TBA-APR</t>
  </si>
  <si>
    <t>Price</t>
  </si>
  <si>
    <t>2015-03-06</t>
  </si>
  <si>
    <t>FNMA2.0-TBA-APR</t>
  </si>
  <si>
    <t>FNMA2-TBA-GEN</t>
  </si>
  <si>
    <t>FNMA2.0-TBA-JUN</t>
  </si>
  <si>
    <t>FNMA2-TBA-MAY</t>
  </si>
  <si>
    <t>FNMA2.0-TBA-MAR</t>
  </si>
  <si>
    <t>FNMA2.0-TBA-MAY</t>
  </si>
  <si>
    <t>FNMA2.5-TBA-APR</t>
  </si>
  <si>
    <t>FNMA2.5-TBA-JUN</t>
  </si>
  <si>
    <t>FNMA2.5-TBA-MAR</t>
  </si>
  <si>
    <t>FNMA2.5-TBA-MAY</t>
  </si>
  <si>
    <t>FNMA2.5-TBA-GEN</t>
  </si>
  <si>
    <t>FNMA3.0-TBA-APR</t>
  </si>
  <si>
    <t>FNMA3.0-TBA-JUN</t>
  </si>
  <si>
    <t>FNMA3.0-TBA-MAR</t>
  </si>
  <si>
    <t>FNMA3.0-TBA-MAY</t>
  </si>
  <si>
    <t>FNMA3.5-TBA-APR</t>
  </si>
  <si>
    <t>FNMA3.0-TBA-GEN</t>
  </si>
  <si>
    <t>FNMA3.5-TBA-JUN</t>
  </si>
  <si>
    <t>FNMA3.5-TBA-MAR</t>
  </si>
  <si>
    <t>FNMA3.5-TBA-MAY</t>
  </si>
  <si>
    <t>FNMA4.0-TBA-APR</t>
  </si>
  <si>
    <t>FNMA4.0-TBA-JUN</t>
  </si>
  <si>
    <t>FNMA3.5-TBA-GEN</t>
  </si>
  <si>
    <t>FNMA4.0-TBA-MAR</t>
  </si>
  <si>
    <t>FNMA4.0-TBA-MAY</t>
  </si>
  <si>
    <t>FNMA4.5-TBA-APR</t>
  </si>
  <si>
    <t>FNMA4.5-TBA-JUN</t>
  </si>
  <si>
    <t>FNMA4.5-TBA-MAR</t>
  </si>
  <si>
    <t>FNMA4.0-TBA-GEN</t>
  </si>
  <si>
    <t>FNMA4.5-TBA-MAY</t>
  </si>
  <si>
    <t>FNMA5.0-TBA-APR</t>
  </si>
  <si>
    <t>FNMA5.0-TBA-JUN</t>
  </si>
  <si>
    <t>FNMA5.0-TBA-MAR</t>
  </si>
  <si>
    <t>FNMA5.0-TBA-MAY</t>
  </si>
  <si>
    <t>FNMA4.5-TBA-GEN</t>
  </si>
  <si>
    <t>FNMA5.5-TBA-APR</t>
  </si>
  <si>
    <t>FNMA5.5-TBA-JUN</t>
  </si>
  <si>
    <t>FNMA5.5-TBA-MAR</t>
  </si>
  <si>
    <t>FNMA5.5-TBA-MAY</t>
  </si>
  <si>
    <t>FNMA6.0-TBA-APR</t>
  </si>
  <si>
    <t>FNMA5.0-TBA-GEN</t>
  </si>
  <si>
    <t>FNMA6.0-TBA-JUN</t>
  </si>
  <si>
    <t>FNMA6.0-TBA-MAR</t>
  </si>
  <si>
    <t>FNMA6.0-TBA-MAY</t>
  </si>
  <si>
    <t>FNMA6.5-TBA-APR</t>
  </si>
  <si>
    <t>FNMA6.5-TBA-JUN</t>
  </si>
  <si>
    <t>FNMA5.5-TBA-GEN</t>
  </si>
  <si>
    <t>FNMA6.5-TBA-MAR</t>
  </si>
  <si>
    <t>FNMA6.5-TBA-MAY</t>
  </si>
  <si>
    <t>FNMA7.0-TBA-APR</t>
  </si>
  <si>
    <t>FNMA7.0-TBA-JUN</t>
  </si>
  <si>
    <t>FNMA7.0-TBA-MAR</t>
  </si>
  <si>
    <t>FNMA6.0-TBA-GEN</t>
  </si>
  <si>
    <t>FNMA7.0-TBA-MAY</t>
  </si>
  <si>
    <t>FNMA6.5-TBA-GEN</t>
  </si>
  <si>
    <t>FNMA7.0-TBA-GEN</t>
  </si>
  <si>
    <t>2012-06-01</t>
  </si>
  <si>
    <t>FN30.400.10(IOX)</t>
  </si>
  <si>
    <t>FN30.500.05(IOX)</t>
  </si>
  <si>
    <t>GII30.450.10(IOX)</t>
  </si>
  <si>
    <t>FN30.400.11(IOX)</t>
  </si>
  <si>
    <t>FN30.500.08(IOX)</t>
  </si>
  <si>
    <t>GII30.400.10(IOX)</t>
  </si>
  <si>
    <t>FN30.350.10(IOX)</t>
  </si>
  <si>
    <t>FN30.500.09(IOX)</t>
  </si>
  <si>
    <t>FN30.650.67(IOX)</t>
  </si>
  <si>
    <t>FN30.500.10(IOX)</t>
  </si>
  <si>
    <t>FN30.600.08(IOX)</t>
  </si>
  <si>
    <t>FN30.450.09(IOX)</t>
  </si>
  <si>
    <t>FN30.550.03(IOX)</t>
  </si>
  <si>
    <t>FN30.450.10(IOX)</t>
  </si>
  <si>
    <t>FN30.550.05(IOX)</t>
  </si>
  <si>
    <t>FN30.450.11(IOX)</t>
  </si>
  <si>
    <t>FN30.550.08(IOX)</t>
  </si>
  <si>
    <t>FN30.400.09(IOX)</t>
  </si>
  <si>
    <t>FN30.500.03(IOX)</t>
  </si>
  <si>
    <t>GII30.500.10(IOX)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</si>
  <si>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</si>
  <si>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</si>
  <si>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</si>
  <si>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</si>
  <si>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</si>
  <si>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</si>
  <si>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</si>
  <si>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</si>
  <si>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</si>
  <si>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</si>
  <si>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</si>
  <si>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</si>
  <si>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</si>
  <si>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</si>
  <si>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</si>
  <si>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</si>
  <si>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</si>
  <si>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</si>
  <si>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</si>
  <si>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</si>
  <si>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</si>
  <si>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</si>
  <si>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</si>
  <si>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</si>
  <si>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</si>
  <si>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</si>
  <si>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</si>
  <si>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</si>
  <si>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</si>
  <si>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</si>
  <si>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</si>
  <si>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</si>
  <si>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</si>
  <si>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</si>
  <si>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</si>
  <si>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</si>
  <si>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</si>
  <si>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</si>
  <si>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</si>
  <si>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</si>
  <si>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</si>
  <si>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</si>
  <si>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</si>
  <si>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</si>
  <si>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</si>
  <si>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</si>
  <si>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</si>
  <si>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</si>
  <si>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</si>
  <si>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</si>
  <si>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</si>
  <si>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</si>
  <si>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</si>
  <si>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</si>
  <si>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</si>
  <si>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</si>
  <si>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</si>
  <si>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</si>
  <si>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</si>
  <si>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</si>
  <si>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</si>
  <si>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</si>
  <si>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</si>
  <si>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</si>
  <si>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</si>
  <si>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</si>
  <si>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</si>
  <si>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</si>
  <si>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</si>
  <si>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</si>
  <si>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</si>
  <si>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</si>
  <si>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</si>
  <si>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</si>
  <si>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</si>
  <si>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</si>
  <si>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</si>
  <si>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</si>
  <si>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</si>
  <si>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</si>
  <si>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</si>
  <si>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</si>
  <si>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</si>
  <si>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</si>
  <si>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</si>
  <si>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</si>
  <si>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</si>
  <si>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</si>
  <si>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</si>
  <si>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</si>
  <si>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</si>
  <si>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</si>
  <si>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</si>
  <si>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</si>
  <si>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</si>
  <si>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</si>
  <si>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</si>
  <si>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</si>
  <si>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</si>
  <si>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2012-10-23</t>
  </si>
  <si>
    <t>2012-10-24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</si>
  <si>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</si>
  <si>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</si>
  <si>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</si>
  <si>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</si>
  <si>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</si>
  <si>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</si>
  <si>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</si>
  <si>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</si>
  <si>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</si>
  <si>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</si>
  <si>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2012-11-14</t>
  </si>
  <si>
    <t>FNMA5.5-TBA</t>
  </si>
  <si>
    <t>FNMA5.0-TBA</t>
  </si>
  <si>
    <t>FNMA4.5-TBA</t>
  </si>
  <si>
    <t>FNMA4.0-TBA</t>
  </si>
  <si>
    <t>FNMA3.5-TBA</t>
  </si>
  <si>
    <t>FNMA3.0-TBA</t>
  </si>
  <si>
    <t>FNMA2.5-TBA</t>
  </si>
  <si>
    <t>FNMA6.5-TBA</t>
  </si>
  <si>
    <t>FNMA6.0-TBA</t>
  </si>
  <si>
    <t>2012-11-15</t>
  </si>
  <si>
    <t>2012-11-16</t>
  </si>
  <si>
    <t>2012-11-19</t>
  </si>
  <si>
    <t>2012-11-20</t>
  </si>
  <si>
    <t>2012-11-21</t>
  </si>
  <si>
    <t>2012-11-26</t>
  </si>
  <si>
    <t>2012-11-27</t>
  </si>
  <si>
    <t>2012-11-29</t>
  </si>
  <si>
    <t>2012-11-30</t>
  </si>
  <si>
    <t>2012-12-03</t>
  </si>
  <si>
    <t>2012-12-04</t>
  </si>
  <si>
    <t>2012-12-07</t>
  </si>
  <si>
    <t>2012-12-10</t>
  </si>
  <si>
    <t>2012-12-12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</si>
  <si>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</si>
  <si>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</si>
  <si>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</si>
  <si>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</si>
  <si>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</si>
  <si>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</si>
  <si>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</si>
  <si>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</si>
  <si>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</si>
  <si>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</si>
  <si>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</si>
  <si>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</si>
  <si>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</si>
  <si>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</si>
  <si>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</si>
  <si>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</si>
  <si>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</si>
  <si>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</si>
  <si>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</si>
  <si>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</si>
  <si>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</si>
  <si>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</si>
  <si>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</si>
  <si>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</si>
  <si>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</si>
  <si>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</si>
  <si>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</si>
  <si>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</si>
  <si>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</si>
  <si>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G10.26(QS)</t>
  </si>
  <si>
    <t>G10.20(SE)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</si>
  <si>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</si>
  <si>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</si>
  <si>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</si>
  <si>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</si>
  <si>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</si>
  <si>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</si>
  <si>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</si>
  <si>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</si>
  <si>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2013-02-12</t>
  </si>
  <si>
    <t>FN30.350.12(IOX)</t>
  </si>
  <si>
    <t>FN30.300.12(IOX)</t>
  </si>
  <si>
    <t>2013-02-13</t>
  </si>
  <si>
    <t>2013-02-14</t>
  </si>
  <si>
    <t>2013-02-15</t>
  </si>
  <si>
    <t>2013-02-20</t>
  </si>
  <si>
    <t>2013-02-21</t>
  </si>
  <si>
    <t>2013-02-22</t>
  </si>
  <si>
    <t>2013-02-25</t>
  </si>
  <si>
    <t>2013-02-27</t>
  </si>
  <si>
    <t>2013-02-28</t>
  </si>
  <si>
    <t>2013-03-01</t>
  </si>
  <si>
    <t>2013-03-05</t>
  </si>
  <si>
    <t>2013-03-06</t>
  </si>
  <si>
    <t>2013-03-07</t>
  </si>
  <si>
    <t>2013-03-08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</si>
  <si>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</si>
  <si>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</si>
  <si>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</si>
  <si>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</si>
  <si>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</si>
  <si>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</si>
  <si>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</si>
  <si>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</si>
  <si>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</si>
  <si>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</si>
  <si>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</si>
  <si>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</si>
  <si>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</si>
  <si>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</si>
  <si>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</si>
  <si>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</si>
  <si>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</si>
  <si>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</si>
  <si>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</si>
  <si>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</si>
  <si>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</si>
  <si>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</si>
  <si>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</si>
  <si>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</si>
  <si>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</si>
  <si>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</si>
  <si>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</si>
  <si>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</si>
  <si>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</si>
  <si>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</si>
  <si>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</si>
  <si>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</si>
  <si>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</si>
  <si>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</si>
  <si>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</si>
  <si>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</si>
  <si>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</si>
  <si>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</si>
  <si>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</si>
  <si>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</si>
  <si>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</si>
  <si>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</si>
  <si>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</si>
  <si>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</si>
  <si>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</si>
  <si>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</si>
  <si>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</si>
  <si>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</si>
  <si>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</si>
  <si>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</si>
  <si>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</si>
  <si>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</si>
  <si>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</si>
  <si>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</si>
  <si>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</si>
  <si>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</si>
  <si>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</si>
  <si>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</si>
  <si>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</si>
  <si>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</si>
  <si>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</si>
  <si>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</si>
  <si>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</si>
  <si>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</si>
  <si>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</si>
  <si>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</si>
  <si>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</si>
  <si>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</si>
  <si>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</si>
  <si>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</si>
  <si>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</si>
  <si>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</si>
  <si>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</si>
  <si>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</si>
  <si>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</si>
  <si>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</si>
  <si>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</si>
  <si>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</si>
  <si>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</si>
  <si>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</si>
  <si>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</si>
  <si>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</si>
  <si>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</si>
  <si>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</si>
  <si>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</si>
  <si>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</si>
  <si>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</si>
  <si>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</si>
  <si>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</si>
  <si>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</si>
  <si>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FN_CMM_30Yr</t>
  </si>
  <si>
    <t>G2_CMM_15Yr</t>
  </si>
  <si>
    <t>GN_CMM_15Yr</t>
  </si>
  <si>
    <t>FN_CMM_15Yr</t>
  </si>
  <si>
    <t>G2_CMM_30Yr</t>
  </si>
  <si>
    <t>GN_CMM_30Yr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</si>
  <si>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</si>
  <si>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</si>
  <si>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</si>
  <si>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</si>
  <si>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</si>
  <si>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</si>
  <si>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</si>
  <si>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</si>
  <si>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</si>
  <si>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</si>
  <si>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</si>
  <si>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</si>
  <si>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</si>
  <si>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</si>
  <si>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</si>
  <si>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</si>
  <si>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</si>
  <si>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FNMA2-TBA-SEP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</si>
  <si>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</si>
  <si>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</si>
  <si>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</si>
  <si>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</si>
  <si>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</si>
  <si>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</si>
  <si>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</si>
  <si>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</si>
  <si>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</si>
  <si>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</si>
  <si>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</si>
  <si>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</si>
  <si>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</si>
  <si>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</si>
  <si>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</si>
  <si>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</si>
  <si>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</si>
  <si>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</si>
  <si>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</si>
  <si>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</si>
  <si>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</si>
  <si>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</si>
  <si>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</si>
  <si>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</si>
  <si>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</si>
  <si>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</si>
  <si>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</si>
  <si>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</si>
  <si>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</si>
  <si>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</si>
  <si>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</si>
  <si>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</si>
  <si>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</si>
  <si>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</si>
  <si>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</si>
  <si>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</si>
  <si>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</si>
  <si>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</si>
  <si>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</si>
  <si>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</si>
  <si>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</si>
  <si>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</si>
  <si>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</si>
  <si>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</si>
  <si>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</si>
  <si>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</si>
  <si>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</si>
  <si>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</si>
  <si>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</si>
  <si>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</si>
  <si>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</si>
  <si>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</si>
  <si>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</si>
  <si>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</si>
  <si>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</si>
  <si>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</si>
  <si>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</si>
  <si>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</si>
  <si>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</si>
  <si>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</si>
  <si>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</si>
  <si>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</si>
  <si>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</si>
  <si>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</si>
  <si>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</si>
  <si>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</si>
  <si>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</si>
  <si>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</si>
  <si>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</si>
  <si>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</si>
  <si>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</si>
  <si>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</si>
  <si>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</si>
  <si>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</si>
  <si>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</si>
  <si>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</si>
  <si>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</si>
  <si>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</si>
  <si>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</si>
  <si>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</si>
  <si>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</si>
  <si>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</si>
  <si>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</si>
  <si>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</si>
  <si>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</si>
  <si>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</si>
  <si>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</si>
  <si>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</si>
  <si>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</si>
  <si>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</si>
  <si>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</si>
  <si>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</si>
  <si>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</si>
  <si>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</si>
  <si>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</si>
  <si>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</si>
  <si>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</si>
  <si>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</si>
  <si>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</si>
  <si>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</si>
  <si>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</si>
  <si>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</si>
  <si>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</si>
  <si>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</si>
  <si>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</si>
  <si>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</si>
  <si>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</si>
  <si>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</si>
  <si>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</si>
  <si>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</si>
  <si>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</si>
  <si>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</si>
  <si>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</si>
  <si>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</si>
  <si>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</si>
  <si>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</si>
  <si>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</si>
  <si>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</si>
  <si>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</si>
  <si>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</si>
  <si>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</si>
  <si>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</si>
  <si>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</si>
  <si>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FN30.400.13(IOX)</t>
  </si>
  <si>
    <t>FN30.350.13(IOX)</t>
  </si>
  <si>
    <t>FN30.300.13(IOX)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</si>
  <si>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</si>
  <si>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</si>
  <si>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</si>
  <si>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</si>
  <si>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</si>
  <si>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</si>
  <si>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</si>
  <si>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</si>
  <si>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</si>
  <si>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</si>
  <si>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</si>
  <si>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</si>
  <si>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</si>
  <si>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</si>
  <si>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</si>
  <si>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</si>
  <si>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</si>
  <si>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</si>
  <si>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</si>
  <si>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</si>
  <si>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</si>
  <si>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</si>
  <si>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</si>
  <si>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</si>
  <si>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</si>
  <si>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</si>
  <si>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</si>
  <si>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</si>
  <si>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</si>
  <si>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</si>
  <si>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</si>
  <si>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</si>
  <si>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</si>
  <si>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</si>
  <si>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</si>
  <si>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</si>
  <si>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</si>
  <si>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</si>
  <si>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</si>
  <si>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</si>
  <si>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</si>
  <si>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</si>
  <si>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</si>
  <si>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</si>
  <si>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</si>
  <si>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</si>
  <si>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</si>
  <si>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</si>
  <si>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</si>
  <si>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</si>
  <si>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</si>
  <si>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</si>
  <si>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</si>
  <si>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</si>
  <si>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</si>
  <si>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</si>
  <si>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</si>
  <si>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</si>
  <si>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</si>
  <si>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</si>
  <si>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</si>
  <si>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</si>
  <si>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</si>
  <si>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</si>
  <si>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</si>
  <si>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</si>
  <si>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</si>
  <si>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</si>
  <si>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</si>
  <si>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</si>
  <si>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</si>
  <si>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</si>
  <si>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</si>
  <si>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</si>
  <si>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</si>
  <si>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</si>
  <si>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</si>
  <si>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</si>
  <si>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</si>
  <si>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</si>
  <si>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</si>
  <si>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</si>
  <si>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</si>
  <si>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</si>
  <si>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</si>
  <si>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</si>
  <si>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</si>
  <si>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</si>
  <si>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</si>
  <si>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2014-06-21</t>
  </si>
  <si>
    <t>2014-06-23</t>
  </si>
  <si>
    <t>2014-06-24</t>
  </si>
  <si>
    <t>NMA1905</t>
  </si>
  <si>
    <t>NMA1767</t>
  </si>
  <si>
    <t>NMA1797</t>
  </si>
  <si>
    <t>NMA1973</t>
  </si>
  <si>
    <t>NAS1345</t>
  </si>
  <si>
    <t>NMA1724</t>
  </si>
  <si>
    <t>NMA1681</t>
  </si>
  <si>
    <t>NMA1843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</si>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</sst>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\£\ #,##0_);[Red]\(\£\ #,##0\)"/>
    <numFmt numFmtId="166" formatCode="\¥\ #,##0_);[Red]\(\¥\ #,##0\)"/>
    <numFmt numFmtId="167" formatCode="\•\ \ @"/>
    <numFmt numFmtId="168" formatCode="_(&quot;$&quot;* #,##0_);_(&quot;$&quot;* \(#,##0.0\);_(&quot;$&quot;* &quot;-&quot;??_);_(@_)"/>
    <numFmt numFmtId="169" formatCode="&quot;$&quot;#,##0.000"/>
    <numFmt numFmtId="170" formatCode="&quot;$&quot;#,##0.000000_);\(&quot;$&quot;#,##0.000000\)"/>
    <numFmt numFmtId="171" formatCode="#,##0.0_);[Red]\(&quot;$&quot;#,##0.0\)"/>
    <numFmt numFmtId="172" formatCode="0.000_)"/>
    <numFmt numFmtId="173" formatCode="\ \ _•\–\ \ \ \ @"/>
    <numFmt numFmtId="174" formatCode="0.00&quot;%&quot;"/>
    <numFmt numFmtId="175" formatCode="0&quot;%&quot;"/>
    <numFmt numFmtId="176" formatCode="mmmm\ d\,\ yyyy"/>
    <numFmt numFmtId="177" formatCode="0.000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"/>
    <numFmt numFmtId="186" formatCode="0.0000_)"/>
    <numFmt numFmtId="187" formatCode="0.000;\-0.000"/>
    <numFmt numFmtId="188" formatCode="0.00;\-0.00"/>
    <numFmt numFmtId="189" formatCode="#,##0.0_);\(#,##0.0\)"/>
    <numFmt numFmtId="190" formatCode="mm/dd/yy"/>
    <numFmt numFmtId="191" formatCode="#,###\ &quot;Months&quot;"/>
    <numFmt numFmtId="192" formatCode="##########.###"/>
    <numFmt numFmtId="193" formatCode="0.0#%"/>
    <numFmt numFmtId="194" formatCode="0.0;\-0.0"/>
  </numFmts>
  <fonts count="1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scheme val="minor"/>
    </font>
    <font>
      <sz val="10"/>
      <color theme="1"/>
      <name val="Calibri"/>
      <scheme val="minor"/>
    </font>
  </fonts>
  <fills count="8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5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33" borderId="11" applyNumberFormat="0"/>
    <xf numFmtId="0" fontId="20" fillId="0" borderId="0" applyNumberFormat="0" applyFill="0" applyBorder="0" applyAlignment="0" applyProtection="0">
      <alignment horizontal="left" wrapText="1"/>
    </xf>
    <xf numFmtId="0" fontId="20" fillId="0" borderId="0" applyNumberFormat="0" applyFill="0" applyBorder="0" applyAlignment="0" applyProtection="0">
      <alignment horizontal="left" wrapText="1"/>
    </xf>
    <xf numFmtId="0" fontId="20" fillId="0" borderId="0" applyNumberFormat="0" applyFill="0" applyBorder="0" applyAlignment="0" applyProtection="0">
      <alignment horizontal="left" wrapText="1"/>
    </xf>
    <xf numFmtId="0" fontId="20" fillId="0" borderId="0" applyNumberFormat="0" applyFill="0" applyBorder="0" applyAlignment="0" applyProtection="0">
      <alignment horizontal="left" wrapText="1"/>
    </xf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37" borderId="0" applyNumberFormat="0" applyBorder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  <xf numFmtId="0" fontId="23" fillId="39" borderId="0" applyNumberFormat="0" applyBorder="0" applyAlignment="0" applyProtection="0"/>
    <xf numFmtId="0" fontId="24" fillId="39" borderId="0" applyNumberFormat="0" applyBorder="0" applyAlignment="0" applyProtection="0"/>
    <xf numFmtId="0" fontId="25" fillId="40" borderId="0" applyNumberFormat="0" applyBorder="0" applyAlignment="0" applyProtection="0"/>
    <xf numFmtId="0" fontId="23" fillId="41" borderId="0" applyNumberFormat="0" applyBorder="0" applyAlignment="0" applyProtection="0"/>
    <xf numFmtId="0" fontId="24" fillId="40" borderId="0" applyNumberFormat="0" applyBorder="0" applyAlignment="0" applyProtection="0"/>
    <xf numFmtId="0" fontId="25" fillId="42" borderId="0" applyNumberFormat="0" applyBorder="0" applyAlignment="0" applyProtection="0"/>
    <xf numFmtId="0" fontId="23" fillId="43" borderId="0" applyNumberFormat="0" applyBorder="0" applyAlignment="0" applyProtection="0"/>
    <xf numFmtId="0" fontId="24" fillId="44" borderId="0" applyNumberFormat="0" applyBorder="0" applyAlignment="0" applyProtection="0"/>
    <xf numFmtId="0" fontId="25" fillId="43" borderId="0" applyNumberFormat="0" applyBorder="0" applyAlignment="0" applyProtection="0"/>
    <xf numFmtId="0" fontId="23" fillId="37" borderId="0" applyNumberFormat="0" applyBorder="0" applyAlignment="0" applyProtection="0"/>
    <xf numFmtId="0" fontId="24" fillId="37" borderId="0" applyNumberFormat="0" applyBorder="0" applyAlignment="0" applyProtection="0"/>
    <xf numFmtId="0" fontId="25" fillId="37" borderId="0" applyNumberFormat="0" applyBorder="0" applyAlignment="0" applyProtection="0"/>
    <xf numFmtId="0" fontId="23" fillId="45" borderId="0" applyNumberFormat="0" applyBorder="0" applyAlignment="0" applyProtection="0"/>
    <xf numFmtId="0" fontId="24" fillId="46" borderId="0" applyNumberFormat="0" applyBorder="0" applyAlignment="0" applyProtection="0"/>
    <xf numFmtId="0" fontId="25" fillId="47" borderId="0" applyNumberFormat="0" applyBorder="0" applyAlignment="0" applyProtection="0"/>
    <xf numFmtId="0" fontId="23" fillId="48" borderId="0" applyNumberFormat="0" applyBorder="0" applyAlignment="0" applyProtection="0"/>
    <xf numFmtId="0" fontId="24" fillId="48" borderId="0" applyNumberFormat="0" applyBorder="0" applyAlignment="0" applyProtection="0"/>
    <xf numFmtId="0" fontId="25" fillId="48" borderId="0" applyNumberFormat="0" applyBorder="0" applyAlignment="0" applyProtection="0"/>
    <xf numFmtId="0" fontId="23" fillId="39" borderId="0" applyNumberFormat="0" applyBorder="0" applyAlignment="0" applyProtection="0"/>
    <xf numFmtId="0" fontId="24" fillId="42" borderId="0" applyNumberFormat="0" applyBorder="0" applyAlignment="0" applyProtection="0"/>
    <xf numFmtId="0" fontId="25" fillId="49" borderId="0" applyNumberFormat="0" applyBorder="0" applyAlignment="0" applyProtection="0"/>
    <xf numFmtId="0" fontId="23" fillId="45" borderId="0" applyNumberFormat="0" applyBorder="0" applyAlignment="0" applyProtection="0"/>
    <xf numFmtId="0" fontId="24" fillId="50" borderId="0" applyNumberFormat="0" applyBorder="0" applyAlignment="0" applyProtection="0"/>
    <xf numFmtId="0" fontId="25" fillId="42" borderId="0" applyNumberFormat="0" applyBorder="0" applyAlignment="0" applyProtection="0"/>
    <xf numFmtId="0" fontId="23" fillId="47" borderId="0" applyNumberFormat="0" applyBorder="0" applyAlignment="0" applyProtection="0"/>
    <xf numFmtId="0" fontId="24" fillId="44" borderId="0" applyNumberFormat="0" applyBorder="0" applyAlignment="0" applyProtection="0"/>
    <xf numFmtId="0" fontId="25" fillId="47" borderId="0" applyNumberFormat="0" applyBorder="0" applyAlignment="0" applyProtection="0"/>
    <xf numFmtId="0" fontId="23" fillId="37" borderId="0" applyNumberFormat="0" applyBorder="0" applyAlignment="0" applyProtection="0"/>
    <xf numFmtId="0" fontId="24" fillId="37" borderId="0" applyNumberFormat="0" applyBorder="0" applyAlignment="0" applyProtection="0"/>
    <xf numFmtId="0" fontId="25" fillId="51" borderId="0" applyNumberFormat="0" applyBorder="0" applyAlignment="0" applyProtection="0"/>
    <xf numFmtId="0" fontId="26" fillId="52" borderId="0" applyNumberFormat="0" applyBorder="0" applyAlignment="0" applyProtection="0"/>
    <xf numFmtId="0" fontId="27" fillId="53" borderId="0" applyNumberFormat="0" applyBorder="0" applyAlignment="0" applyProtection="0"/>
    <xf numFmtId="0" fontId="28" fillId="54" borderId="0" applyNumberFormat="0" applyBorder="0" applyAlignment="0" applyProtection="0"/>
    <xf numFmtId="0" fontId="26" fillId="48" borderId="0" applyNumberFormat="0" applyBorder="0" applyAlignment="0" applyProtection="0"/>
    <xf numFmtId="0" fontId="27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39" borderId="0" applyNumberFormat="0" applyBorder="0" applyAlignment="0" applyProtection="0"/>
    <xf numFmtId="0" fontId="27" fillId="42" borderId="0" applyNumberFormat="0" applyBorder="0" applyAlignment="0" applyProtection="0"/>
    <xf numFmtId="0" fontId="28" fillId="49" borderId="0" applyNumberFormat="0" applyBorder="0" applyAlignment="0" applyProtection="0"/>
    <xf numFmtId="0" fontId="26" fillId="45" borderId="0" applyNumberFormat="0" applyBorder="0" applyAlignment="0" applyProtection="0"/>
    <xf numFmtId="0" fontId="27" fillId="55" borderId="0" applyNumberFormat="0" applyBorder="0" applyAlignment="0" applyProtection="0"/>
    <xf numFmtId="0" fontId="28" fillId="56" borderId="0" applyNumberFormat="0" applyBorder="0" applyAlignment="0" applyProtection="0"/>
    <xf numFmtId="0" fontId="26" fillId="52" borderId="0" applyNumberFormat="0" applyBorder="0" applyAlignment="0" applyProtection="0"/>
    <xf numFmtId="0" fontId="27" fillId="53" borderId="0" applyNumberFormat="0" applyBorder="0" applyAlignment="0" applyProtection="0"/>
    <xf numFmtId="0" fontId="28" fillId="52" borderId="0" applyNumberFormat="0" applyBorder="0" applyAlignment="0" applyProtection="0"/>
    <xf numFmtId="0" fontId="26" fillId="37" borderId="0" applyNumberFormat="0" applyBorder="0" applyAlignment="0" applyProtection="0"/>
    <xf numFmtId="0" fontId="27" fillId="37" borderId="0" applyNumberFormat="0" applyBorder="0" applyAlignment="0" applyProtection="0"/>
    <xf numFmtId="0" fontId="28" fillId="57" borderId="0" applyNumberFormat="0" applyBorder="0" applyAlignment="0" applyProtection="0"/>
    <xf numFmtId="0" fontId="26" fillId="52" borderId="0" applyNumberFormat="0" applyBorder="0" applyAlignment="0" applyProtection="0"/>
    <xf numFmtId="0" fontId="27" fillId="58" borderId="0" applyNumberFormat="0" applyBorder="0" applyAlignment="0" applyProtection="0"/>
    <xf numFmtId="0" fontId="28" fillId="59" borderId="0" applyNumberFormat="0" applyBorder="0" applyAlignment="0" applyProtection="0"/>
    <xf numFmtId="0" fontId="26" fillId="60" borderId="0" applyNumberFormat="0" applyBorder="0" applyAlignment="0" applyProtection="0"/>
    <xf numFmtId="0" fontId="27" fillId="61" borderId="0" applyNumberFormat="0" applyBorder="0" applyAlignment="0" applyProtection="0"/>
    <xf numFmtId="0" fontId="28" fillId="60" borderId="0" applyNumberFormat="0" applyBorder="0" applyAlignment="0" applyProtection="0"/>
    <xf numFmtId="0" fontId="26" fillId="62" borderId="0" applyNumberFormat="0" applyBorder="0" applyAlignment="0" applyProtection="0"/>
    <xf numFmtId="0" fontId="27" fillId="61" borderId="0" applyNumberFormat="0" applyBorder="0" applyAlignment="0" applyProtection="0"/>
    <xf numFmtId="0" fontId="28" fillId="62" borderId="0" applyNumberFormat="0" applyBorder="0" applyAlignment="0" applyProtection="0"/>
    <xf numFmtId="0" fontId="26" fillId="58" borderId="0" applyNumberFormat="0" applyBorder="0" applyAlignment="0" applyProtection="0"/>
    <xf numFmtId="0" fontId="27" fillId="58" borderId="0" applyNumberFormat="0" applyBorder="0" applyAlignment="0" applyProtection="0"/>
    <xf numFmtId="0" fontId="28" fillId="56" borderId="0" applyNumberFormat="0" applyBorder="0" applyAlignment="0" applyProtection="0"/>
    <xf numFmtId="0" fontId="26" fillId="52" borderId="0" applyNumberFormat="0" applyBorder="0" applyAlignment="0" applyProtection="0"/>
    <xf numFmtId="0" fontId="27" fillId="62" borderId="0" applyNumberFormat="0" applyBorder="0" applyAlignment="0" applyProtection="0"/>
    <xf numFmtId="0" fontId="28" fillId="52" borderId="0" applyNumberFormat="0" applyBorder="0" applyAlignment="0" applyProtection="0"/>
    <xf numFmtId="0" fontId="26" fillId="63" borderId="0" applyNumberFormat="0" applyBorder="0" applyAlignment="0" applyProtection="0"/>
    <xf numFmtId="0" fontId="27" fillId="63" borderId="0" applyNumberFormat="0" applyBorder="0" applyAlignment="0" applyProtection="0"/>
    <xf numFmtId="0" fontId="28" fillId="63" borderId="0" applyNumberFormat="0" applyBorder="0" applyAlignment="0" applyProtection="0"/>
    <xf numFmtId="0" fontId="20" fillId="0" borderId="0"/>
    <xf numFmtId="17" fontId="20" fillId="0" borderId="0" applyFont="0" applyFill="0" applyBorder="0" applyProtection="0">
      <alignment horizontal="left"/>
    </xf>
    <xf numFmtId="0" fontId="20" fillId="0" borderId="0" applyFont="0" applyFill="0" applyBorder="0" applyProtection="0">
      <alignment horizontal="left"/>
    </xf>
    <xf numFmtId="0" fontId="29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38" borderId="0" applyNumberFormat="0" applyBorder="0" applyAlignment="0" applyProtection="0"/>
    <xf numFmtId="38" fontId="32" fillId="41" borderId="0"/>
    <xf numFmtId="0" fontId="33" fillId="0" borderId="0" applyNumberFormat="0" applyFill="0" applyBorder="0" applyAlignment="0" applyProtection="0"/>
    <xf numFmtId="0" fontId="34" fillId="64" borderId="0">
      <alignment horizontal="left"/>
    </xf>
    <xf numFmtId="2" fontId="35" fillId="65" borderId="41" applyProtection="0">
      <alignment horizontal="left"/>
      <protection locked="0"/>
    </xf>
    <xf numFmtId="0" fontId="36" fillId="0" borderId="0" applyNumberFormat="0" applyFill="0" applyBorder="0" applyAlignment="0" applyProtection="0"/>
    <xf numFmtId="0" fontId="37" fillId="0" borderId="32" applyNumberFormat="0" applyFill="0" applyAlignment="0" applyProtection="0"/>
    <xf numFmtId="0" fontId="20" fillId="66" borderId="0"/>
    <xf numFmtId="167" fontId="21" fillId="0" borderId="0" applyFont="0" applyFill="0" applyBorder="0" applyAlignment="0" applyProtection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0" fontId="20" fillId="0" borderId="0" applyFill="0" applyBorder="0" applyAlignment="0"/>
    <xf numFmtId="170" fontId="20" fillId="0" borderId="0" applyFill="0" applyBorder="0" applyAlignment="0"/>
    <xf numFmtId="0" fontId="20" fillId="0" borderId="0" applyFill="0" applyBorder="0" applyAlignment="0"/>
    <xf numFmtId="168" fontId="39" fillId="0" borderId="0" applyFill="0" applyBorder="0" applyAlignment="0"/>
    <xf numFmtId="0" fontId="20" fillId="0" borderId="0" applyFill="0" applyBorder="0" applyAlignment="0"/>
    <xf numFmtId="171" fontId="20" fillId="0" borderId="0" applyFill="0" applyBorder="0" applyAlignment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0" fontId="40" fillId="41" borderId="42" applyNumberFormat="0" applyAlignment="0" applyProtection="0"/>
    <xf numFmtId="0" fontId="41" fillId="43" borderId="42" applyNumberFormat="0" applyAlignment="0" applyProtection="0"/>
    <xf numFmtId="0" fontId="42" fillId="45" borderId="42" applyNumberFormat="0" applyAlignment="0" applyProtection="0"/>
    <xf numFmtId="0" fontId="43" fillId="67" borderId="43" applyNumberFormat="0"/>
    <xf numFmtId="0" fontId="44" fillId="68" borderId="44" applyBorder="0">
      <alignment horizontal="center" wrapText="1"/>
    </xf>
    <xf numFmtId="0" fontId="44" fillId="36" borderId="44" applyBorder="0">
      <alignment horizontal="center" wrapText="1"/>
    </xf>
    <xf numFmtId="0" fontId="45" fillId="69" borderId="43" applyNumberFormat="0"/>
    <xf numFmtId="0" fontId="46" fillId="70" borderId="43" applyNumberFormat="0"/>
    <xf numFmtId="0" fontId="12" fillId="70" borderId="43" applyNumberFormat="0"/>
    <xf numFmtId="0" fontId="45" fillId="69" borderId="43" applyNumberFormat="0"/>
    <xf numFmtId="0" fontId="46" fillId="69" borderId="43" applyNumberFormat="0"/>
    <xf numFmtId="0" fontId="45" fillId="67" borderId="43" applyNumberFormat="0"/>
    <xf numFmtId="0" fontId="43" fillId="67" borderId="43" applyNumberFormat="0"/>
    <xf numFmtId="0" fontId="19" fillId="33" borderId="11" applyNumberFormat="0" applyBorder="0"/>
    <xf numFmtId="0" fontId="19" fillId="33" borderId="11" applyNumberFormat="0" applyBorder="0"/>
    <xf numFmtId="0" fontId="19" fillId="33" borderId="11" applyNumberFormat="0"/>
    <xf numFmtId="0" fontId="19" fillId="33" borderId="11" applyNumberFormat="0" applyBorder="0"/>
    <xf numFmtId="14" fontId="47" fillId="69" borderId="45" applyNumberFormat="0" applyAlignment="0"/>
    <xf numFmtId="14" fontId="47" fillId="70" borderId="45" applyNumberFormat="0" applyAlignment="0"/>
    <xf numFmtId="14" fontId="48" fillId="70" borderId="45" applyNumberFormat="0" applyAlignment="0"/>
    <xf numFmtId="0" fontId="49" fillId="71" borderId="46" applyNumberFormat="0" applyAlignment="0" applyProtection="0"/>
    <xf numFmtId="0" fontId="50" fillId="71" borderId="46" applyNumberFormat="0" applyAlignment="0" applyProtection="0"/>
    <xf numFmtId="0" fontId="51" fillId="71" borderId="46" applyNumberFormat="0" applyAlignment="0" applyProtection="0"/>
    <xf numFmtId="0" fontId="52" fillId="0" borderId="0" applyNumberFormat="0" applyFill="0" applyBorder="0" applyAlignment="0" applyProtection="0"/>
    <xf numFmtId="172" fontId="53" fillId="0" borderId="0"/>
    <xf numFmtId="172" fontId="54" fillId="0" borderId="0"/>
    <xf numFmtId="172" fontId="53" fillId="0" borderId="0"/>
    <xf numFmtId="172" fontId="54" fillId="0" borderId="0"/>
    <xf numFmtId="172" fontId="53" fillId="0" borderId="0"/>
    <xf numFmtId="172" fontId="54" fillId="0" borderId="0"/>
    <xf numFmtId="172" fontId="53" fillId="0" borderId="0"/>
    <xf numFmtId="172" fontId="54" fillId="0" borderId="0"/>
    <xf numFmtId="172" fontId="53" fillId="0" borderId="0"/>
    <xf numFmtId="172" fontId="54" fillId="0" borderId="0"/>
    <xf numFmtId="172" fontId="53" fillId="0" borderId="0"/>
    <xf numFmtId="172" fontId="54" fillId="0" borderId="0"/>
    <xf numFmtId="172" fontId="53" fillId="0" borderId="0"/>
    <xf numFmtId="172" fontId="54" fillId="0" borderId="0"/>
    <xf numFmtId="172" fontId="53" fillId="0" borderId="0"/>
    <xf numFmtId="172" fontId="54" fillId="0" borderId="0"/>
    <xf numFmtId="0" fontId="38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20" fillId="0" borderId="0" applyFill="0" applyBorder="0" applyAlignment="0" applyProtection="0"/>
    <xf numFmtId="0" fontId="55" fillId="0" borderId="0"/>
    <xf numFmtId="0" fontId="56" fillId="0" borderId="0" applyNumberFormat="0" applyAlignment="0">
      <alignment horizontal="left"/>
    </xf>
    <xf numFmtId="0" fontId="57" fillId="0" borderId="0">
      <alignment horizontal="center"/>
    </xf>
    <xf numFmtId="0" fontId="55" fillId="0" borderId="0"/>
    <xf numFmtId="0" fontId="38" fillId="0" borderId="0" applyFont="0" applyFill="0" applyBorder="0" applyAlignment="0" applyProtection="0"/>
    <xf numFmtId="169" fontId="20" fillId="0" borderId="0" applyFont="0" applyFill="0" applyBorder="0" applyAlignment="0" applyProtection="0"/>
    <xf numFmtId="8" fontId="58" fillId="0" borderId="47">
      <protection locked="0"/>
    </xf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5" fontId="20" fillId="0" borderId="0" applyFill="0" applyBorder="0" applyAlignment="0" applyProtection="0"/>
    <xf numFmtId="173" fontId="21" fillId="0" borderId="0" applyFont="0" applyFill="0" applyBorder="0" applyAlignment="0" applyProtection="0"/>
    <xf numFmtId="10" fontId="20" fillId="0" borderId="0" applyFont="0" applyFill="0" applyBorder="0" applyProtection="0">
      <alignment horizontal="center"/>
    </xf>
    <xf numFmtId="174" fontId="20" fillId="0" borderId="0" applyFont="0" applyFill="0" applyBorder="0" applyProtection="0"/>
    <xf numFmtId="175" fontId="20" fillId="0" borderId="0" applyFont="0" applyFill="0" applyBorder="0" applyProtection="0"/>
    <xf numFmtId="15" fontId="59" fillId="0" borderId="0" applyFont="0" applyFill="0" applyBorder="0" applyAlignment="0" applyProtection="0"/>
    <xf numFmtId="0" fontId="55" fillId="0" borderId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5" fontId="24" fillId="41" borderId="0"/>
    <xf numFmtId="14" fontId="24" fillId="0" borderId="0" applyFill="0" applyBorder="0" applyAlignment="0"/>
    <xf numFmtId="0" fontId="57" fillId="65" borderId="0">
      <alignment horizontal="left"/>
    </xf>
    <xf numFmtId="176" fontId="20" fillId="0" borderId="0" applyFill="0" applyBorder="0" applyAlignment="0" applyProtection="0"/>
    <xf numFmtId="14" fontId="20" fillId="0" borderId="0"/>
    <xf numFmtId="0" fontId="60" fillId="48" borderId="0">
      <alignment horizontal="left"/>
    </xf>
    <xf numFmtId="0" fontId="61" fillId="0" borderId="0">
      <alignment horizontal="left"/>
    </xf>
    <xf numFmtId="38" fontId="62" fillId="0" borderId="48">
      <alignment vertical="center"/>
    </xf>
    <xf numFmtId="177" fontId="20" fillId="0" borderId="0">
      <alignment horizontal="right"/>
    </xf>
    <xf numFmtId="1" fontId="20" fillId="0" borderId="0">
      <alignment horizontal="right"/>
    </xf>
    <xf numFmtId="1" fontId="20" fillId="0" borderId="0">
      <alignment horizontal="right"/>
    </xf>
    <xf numFmtId="178" fontId="20" fillId="0" borderId="0">
      <alignment horizontal="right"/>
    </xf>
    <xf numFmtId="49" fontId="20" fillId="0" borderId="0">
      <alignment horizontal="left"/>
    </xf>
    <xf numFmtId="49" fontId="20" fillId="0" borderId="0">
      <alignment horizontal="left"/>
    </xf>
    <xf numFmtId="49" fontId="20" fillId="0" borderId="0">
      <alignment horizontal="right"/>
    </xf>
    <xf numFmtId="14" fontId="20" fillId="0" borderId="0">
      <alignment horizontal="left"/>
    </xf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0" fontId="63" fillId="0" borderId="0" applyNumberFormat="0" applyAlignment="0">
      <alignment horizontal="left"/>
    </xf>
    <xf numFmtId="9" fontId="64" fillId="0" borderId="10" applyNumberFormat="0" applyBorder="0" applyAlignment="0">
      <protection locked="0"/>
    </xf>
    <xf numFmtId="179" fontId="20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" fontId="20" fillId="0" borderId="0" applyFill="0" applyBorder="0" applyAlignment="0" applyProtection="0"/>
    <xf numFmtId="180" fontId="20" fillId="0" borderId="0" applyFont="0" applyFill="0" applyBorder="0" applyAlignment="0" applyProtection="0"/>
    <xf numFmtId="0" fontId="24" fillId="41" borderId="0"/>
    <xf numFmtId="0" fontId="68" fillId="40" borderId="0" applyNumberFormat="0" applyBorder="0" applyAlignment="0" applyProtection="0"/>
    <xf numFmtId="0" fontId="69" fillId="44" borderId="0" applyNumberFormat="0" applyBorder="0" applyAlignment="0" applyProtection="0"/>
    <xf numFmtId="0" fontId="70" fillId="40" borderId="0" applyNumberFormat="0" applyBorder="0" applyAlignment="0" applyProtection="0"/>
    <xf numFmtId="2" fontId="71" fillId="65" borderId="41" applyProtection="0">
      <alignment horizontal="left"/>
      <protection locked="0"/>
    </xf>
    <xf numFmtId="38" fontId="52" fillId="72" borderId="0" applyNumberFormat="0" applyBorder="0" applyAlignment="0" applyProtection="0"/>
    <xf numFmtId="0" fontId="72" fillId="0" borderId="49" applyNumberFormat="0" applyAlignment="0" applyProtection="0">
      <alignment horizontal="left" vertical="center"/>
    </xf>
    <xf numFmtId="0" fontId="72" fillId="0" borderId="29">
      <alignment horizontal="left" vertical="center"/>
    </xf>
    <xf numFmtId="0" fontId="73" fillId="45" borderId="10">
      <alignment horizontal="centerContinuous"/>
    </xf>
    <xf numFmtId="0" fontId="74" fillId="0" borderId="50" applyNumberFormat="0" applyFill="0" applyAlignment="0" applyProtection="0"/>
    <xf numFmtId="0" fontId="75" fillId="0" borderId="51" applyNumberFormat="0" applyFill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52" applyNumberFormat="0" applyFill="0" applyAlignment="0" applyProtection="0"/>
    <xf numFmtId="0" fontId="79" fillId="0" borderId="53" applyNumberFormat="0" applyFill="0" applyAlignment="0" applyProtection="0"/>
    <xf numFmtId="0" fontId="80" fillId="0" borderId="54" applyNumberFormat="0" applyFill="0" applyAlignment="0" applyProtection="0"/>
    <xf numFmtId="0" fontId="6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81" fillId="0" borderId="53" applyNumberFormat="0" applyFill="0" applyAlignment="0" applyProtection="0"/>
    <xf numFmtId="0" fontId="82" fillId="0" borderId="55" applyNumberFormat="0" applyFill="0" applyAlignment="0" applyProtection="0"/>
    <xf numFmtId="0" fontId="83" fillId="0" borderId="56" applyNumberFormat="0" applyFill="0" applyAlignment="0" applyProtection="0"/>
    <xf numFmtId="0" fontId="84" fillId="0" borderId="57" applyNumberFormat="0" applyFill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41" borderId="0"/>
    <xf numFmtId="0" fontId="77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10" fontId="52" fillId="73" borderId="10" applyNumberFormat="0" applyBorder="0" applyAlignment="0" applyProtection="0"/>
    <xf numFmtId="2" fontId="87" fillId="0" borderId="58" applyNumberFormat="0" applyFill="0" applyBorder="0" applyAlignment="0">
      <alignment horizontal="center"/>
      <protection locked="0"/>
    </xf>
    <xf numFmtId="2" fontId="87" fillId="0" borderId="58" applyNumberFormat="0" applyFill="0" applyBorder="0" applyAlignment="0">
      <alignment horizontal="center"/>
      <protection locked="0"/>
    </xf>
    <xf numFmtId="0" fontId="9" fillId="5" borderId="4" applyNumberFormat="0" applyAlignment="0" applyProtection="0"/>
    <xf numFmtId="0" fontId="88" fillId="37" borderId="42" applyNumberFormat="0" applyAlignment="0" applyProtection="0"/>
    <xf numFmtId="0" fontId="88" fillId="37" borderId="42" applyNumberFormat="0" applyAlignment="0" applyProtection="0"/>
    <xf numFmtId="0" fontId="88" fillId="37" borderId="42" applyNumberFormat="0" applyAlignment="0" applyProtection="0"/>
    <xf numFmtId="0" fontId="88" fillId="37" borderId="42" applyNumberFormat="0" applyAlignment="0" applyProtection="0"/>
    <xf numFmtId="37" fontId="89" fillId="0" borderId="0" applyNumberFormat="0" applyAlignment="0">
      <protection locked="0"/>
    </xf>
    <xf numFmtId="0" fontId="90" fillId="0" borderId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0" fontId="91" fillId="0" borderId="59" applyNumberFormat="0" applyFill="0" applyAlignment="0" applyProtection="0"/>
    <xf numFmtId="0" fontId="92" fillId="0" borderId="59" applyNumberFormat="0" applyFill="0" applyAlignment="0" applyProtection="0"/>
    <xf numFmtId="0" fontId="93" fillId="0" borderId="59" applyNumberFormat="0" applyFill="0" applyAlignment="0" applyProtection="0"/>
    <xf numFmtId="0" fontId="20" fillId="72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38" fontId="24" fillId="41" borderId="0"/>
    <xf numFmtId="0" fontId="94" fillId="37" borderId="0" applyNumberFormat="0" applyBorder="0" applyAlignment="0" applyProtection="0"/>
    <xf numFmtId="0" fontId="95" fillId="42" borderId="0" applyNumberFormat="0" applyBorder="0" applyAlignment="0" applyProtection="0"/>
    <xf numFmtId="0" fontId="96" fillId="66" borderId="0" applyNumberFormat="0" applyBorder="0" applyAlignment="0" applyProtection="0"/>
    <xf numFmtId="37" fontId="97" fillId="0" borderId="0"/>
    <xf numFmtId="0" fontId="60" fillId="41" borderId="0" applyNumberFormat="0" applyFont="0" applyFill="0" applyBorder="0" applyAlignment="0"/>
    <xf numFmtId="10" fontId="24" fillId="41" borderId="0"/>
    <xf numFmtId="181" fontId="98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69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70" borderId="0"/>
    <xf numFmtId="0" fontId="20" fillId="70" borderId="0"/>
    <xf numFmtId="0" fontId="20" fillId="0" borderId="0"/>
    <xf numFmtId="0" fontId="20" fillId="0" borderId="0"/>
    <xf numFmtId="0" fontId="45" fillId="69" borderId="0"/>
    <xf numFmtId="0" fontId="45" fillId="69" borderId="0"/>
    <xf numFmtId="0" fontId="45" fillId="69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69" borderId="0"/>
    <xf numFmtId="0" fontId="20" fillId="0" borderId="0"/>
    <xf numFmtId="0" fontId="20" fillId="0" borderId="0"/>
    <xf numFmtId="0" fontId="45" fillId="69" borderId="0"/>
    <xf numFmtId="0" fontId="1" fillId="0" borderId="0"/>
    <xf numFmtId="0" fontId="1" fillId="0" borderId="0"/>
    <xf numFmtId="0" fontId="20" fillId="0" borderId="0">
      <alignment vertical="top"/>
    </xf>
    <xf numFmtId="0" fontId="20" fillId="0" borderId="0">
      <alignment vertical="top"/>
    </xf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9" fillId="0" borderId="0"/>
    <xf numFmtId="0" fontId="20" fillId="0" borderId="0"/>
    <xf numFmtId="0" fontId="20" fillId="0" borderId="0"/>
    <xf numFmtId="0" fontId="45" fillId="8" borderId="8" applyNumberFormat="0" applyFont="0" applyAlignment="0" applyProtection="0"/>
    <xf numFmtId="0" fontId="24" fillId="39" borderId="60" applyNumberFormat="0" applyFont="0" applyAlignment="0" applyProtection="0"/>
    <xf numFmtId="0" fontId="100" fillId="39" borderId="60" applyNumberFormat="0" applyFont="0" applyAlignment="0" applyProtection="0"/>
    <xf numFmtId="0" fontId="45" fillId="8" borderId="8" applyNumberFormat="0" applyFont="0" applyAlignment="0" applyProtection="0"/>
    <xf numFmtId="0" fontId="101" fillId="0" borderId="0"/>
    <xf numFmtId="0" fontId="25" fillId="39" borderId="60" applyNumberFormat="0" applyFont="0" applyAlignment="0" applyProtection="0"/>
    <xf numFmtId="0" fontId="45" fillId="8" borderId="8" applyNumberFormat="0" applyFont="0" applyAlignment="0" applyProtection="0"/>
    <xf numFmtId="0" fontId="45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82" fontId="38" fillId="0" borderId="0">
      <alignment horizontal="center"/>
    </xf>
    <xf numFmtId="37" fontId="20" fillId="0" borderId="0"/>
    <xf numFmtId="183" fontId="5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84" fontId="102" fillId="0" borderId="0" applyNumberFormat="0" applyFill="0" applyBorder="0" applyAlignment="0" applyProtection="0"/>
    <xf numFmtId="185" fontId="38" fillId="0" borderId="0">
      <alignment horizontal="center"/>
    </xf>
    <xf numFmtId="0" fontId="45" fillId="74" borderId="0" applyNumberFormat="0" applyFont="0" applyBorder="0" applyAlignment="0" applyProtection="0"/>
    <xf numFmtId="0" fontId="102" fillId="0" borderId="61"/>
    <xf numFmtId="2" fontId="103" fillId="65" borderId="41">
      <alignment horizontal="left"/>
    </xf>
    <xf numFmtId="0" fontId="104" fillId="41" borderId="62" applyNumberFormat="0" applyAlignment="0" applyProtection="0"/>
    <xf numFmtId="0" fontId="105" fillId="43" borderId="62" applyNumberFormat="0" applyAlignment="0" applyProtection="0"/>
    <xf numFmtId="0" fontId="106" fillId="45" borderId="62" applyNumberFormat="0" applyAlignment="0" applyProtection="0"/>
    <xf numFmtId="40" fontId="24" fillId="65" borderId="0">
      <alignment horizontal="right"/>
    </xf>
    <xf numFmtId="0" fontId="107" fillId="73" borderId="0">
      <alignment horizontal="center"/>
    </xf>
    <xf numFmtId="0" fontId="50" fillId="75" borderId="41"/>
    <xf numFmtId="0" fontId="108" fillId="0" borderId="0" applyBorder="0">
      <alignment horizontal="centerContinuous"/>
    </xf>
    <xf numFmtId="0" fontId="109" fillId="0" borderId="0" applyBorder="0">
      <alignment horizontal="centerContinuous"/>
    </xf>
    <xf numFmtId="0" fontId="72" fillId="0" borderId="0"/>
    <xf numFmtId="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10" fillId="0" borderId="0" applyFont="0" applyFill="0" applyBorder="0" applyAlignment="0" applyProtection="0"/>
    <xf numFmtId="186" fontId="39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2" fillId="0" borderId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8" fontId="20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187" fontId="38" fillId="0" borderId="0">
      <alignment horizontal="center"/>
    </xf>
    <xf numFmtId="188" fontId="38" fillId="0" borderId="10">
      <alignment horizontal="center"/>
    </xf>
    <xf numFmtId="0" fontId="111" fillId="0" borderId="63" applyAlignment="0">
      <alignment horizontal="center"/>
    </xf>
    <xf numFmtId="0" fontId="112" fillId="72" borderId="0"/>
    <xf numFmtId="0" fontId="62" fillId="0" borderId="0" applyNumberFormat="0" applyFont="0" applyFill="0" applyBorder="0" applyAlignment="0" applyProtection="0">
      <alignment horizontal="left"/>
    </xf>
    <xf numFmtId="0" fontId="113" fillId="0" borderId="20">
      <alignment horizontal="center"/>
    </xf>
    <xf numFmtId="0" fontId="59" fillId="0" borderId="0">
      <alignment vertical="top"/>
    </xf>
    <xf numFmtId="189" fontId="59" fillId="0" borderId="0">
      <alignment vertical="top"/>
    </xf>
    <xf numFmtId="0" fontId="111" fillId="0" borderId="0">
      <alignment horizontal="left"/>
    </xf>
    <xf numFmtId="0" fontId="111" fillId="0" borderId="0">
      <alignment horizontal="right"/>
    </xf>
    <xf numFmtId="0" fontId="24" fillId="0" borderId="41" applyNumberFormat="0" applyBorder="0" applyAlignment="0"/>
    <xf numFmtId="190" fontId="114" fillId="0" borderId="0" applyNumberFormat="0" applyFill="0" applyBorder="0" applyAlignment="0" applyProtection="0">
      <alignment horizontal="left"/>
    </xf>
    <xf numFmtId="0" fontId="60" fillId="62" borderId="0">
      <alignment horizontal="left"/>
    </xf>
    <xf numFmtId="0" fontId="115" fillId="0" borderId="64"/>
    <xf numFmtId="188" fontId="35" fillId="39" borderId="0">
      <alignment horizontal="center"/>
    </xf>
    <xf numFmtId="188" fontId="116" fillId="39" borderId="0">
      <alignment horizontal="center"/>
    </xf>
    <xf numFmtId="188" fontId="35" fillId="40" borderId="0">
      <alignment horizontal="center"/>
    </xf>
    <xf numFmtId="0" fontId="35" fillId="39" borderId="0">
      <alignment horizontal="left"/>
    </xf>
    <xf numFmtId="0" fontId="117" fillId="0" borderId="0" applyFont="0" applyFill="0" applyBorder="0" applyAlignment="0" applyProtection="0"/>
    <xf numFmtId="191" fontId="39" fillId="0" borderId="0" applyFont="0" applyFill="0" applyBorder="0" applyAlignment="0" applyProtection="0"/>
    <xf numFmtId="192" fontId="20" fillId="0" borderId="0"/>
    <xf numFmtId="0" fontId="20" fillId="0" borderId="0"/>
    <xf numFmtId="0" fontId="20" fillId="0" borderId="0">
      <alignment horizontal="left" wrapText="1"/>
    </xf>
    <xf numFmtId="0" fontId="35" fillId="39" borderId="0">
      <alignment horizontal="center"/>
    </xf>
    <xf numFmtId="0" fontId="111" fillId="0" borderId="0"/>
    <xf numFmtId="0" fontId="118" fillId="0" borderId="0"/>
    <xf numFmtId="40" fontId="119" fillId="0" borderId="0" applyBorder="0">
      <alignment horizontal="right"/>
    </xf>
    <xf numFmtId="0" fontId="20" fillId="65" borderId="60"/>
    <xf numFmtId="0" fontId="38" fillId="0" borderId="0">
      <alignment horizontal="center"/>
    </xf>
    <xf numFmtId="15" fontId="38" fillId="0" borderId="0">
      <alignment horizontal="center"/>
    </xf>
    <xf numFmtId="0" fontId="120" fillId="0" borderId="0">
      <alignment horizontal="center"/>
    </xf>
    <xf numFmtId="3" fontId="38" fillId="0" borderId="0">
      <alignment horizontal="center"/>
    </xf>
    <xf numFmtId="193" fontId="38" fillId="0" borderId="0">
      <alignment horizontal="center"/>
    </xf>
    <xf numFmtId="188" fontId="38" fillId="0" borderId="0">
      <alignment horizontal="center"/>
    </xf>
    <xf numFmtId="0" fontId="121" fillId="76" borderId="0"/>
    <xf numFmtId="194" fontId="38" fillId="0" borderId="0">
      <alignment horizontal="center"/>
    </xf>
    <xf numFmtId="194" fontId="38" fillId="0" borderId="65">
      <alignment horizontal="center"/>
    </xf>
    <xf numFmtId="0" fontId="38" fillId="0" borderId="0">
      <alignment horizontal="left"/>
    </xf>
    <xf numFmtId="0" fontId="122" fillId="0" borderId="0">
      <alignment horizontal="center"/>
    </xf>
    <xf numFmtId="0" fontId="123" fillId="0" borderId="0" applyNumberFormat="0" applyFill="0" applyBorder="0"/>
    <xf numFmtId="0" fontId="24" fillId="41" borderId="0"/>
    <xf numFmtId="49" fontId="24" fillId="0" borderId="0" applyFill="0" applyBorder="0" applyAlignment="0"/>
    <xf numFmtId="0" fontId="38" fillId="0" borderId="0" applyFill="0" applyBorder="0" applyAlignment="0"/>
    <xf numFmtId="169" fontId="20" fillId="0" borderId="0" applyFill="0" applyBorder="0" applyAlignment="0"/>
    <xf numFmtId="0" fontId="20" fillId="0" borderId="0" applyFill="0" applyBorder="0" applyAlignment="0"/>
    <xf numFmtId="171" fontId="20" fillId="0" borderId="0" applyFill="0" applyBorder="0" applyAlignment="0"/>
    <xf numFmtId="49" fontId="20" fillId="0" borderId="0"/>
    <xf numFmtId="0" fontId="124" fillId="0" borderId="0">
      <alignment horizontal="right"/>
    </xf>
    <xf numFmtId="0" fontId="125" fillId="0" borderId="0">
      <alignment horizontal="right"/>
      <protection locked="0"/>
    </xf>
    <xf numFmtId="0" fontId="126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2" fillId="41" borderId="0"/>
    <xf numFmtId="0" fontId="45" fillId="77" borderId="66" applyBorder="0">
      <alignment horizontal="center" wrapText="1"/>
    </xf>
    <xf numFmtId="0" fontId="44" fillId="68" borderId="44" applyBorder="0">
      <alignment horizontal="center" wrapText="1"/>
    </xf>
    <xf numFmtId="0" fontId="45" fillId="78" borderId="44" applyBorder="0">
      <alignment horizontal="center" wrapText="1"/>
    </xf>
    <xf numFmtId="0" fontId="44" fillId="36" borderId="44" applyBorder="0">
      <alignment horizontal="center" wrapText="1"/>
    </xf>
    <xf numFmtId="0" fontId="22" fillId="79" borderId="44" applyBorder="0">
      <alignment horizontal="center" wrapText="1"/>
    </xf>
    <xf numFmtId="0" fontId="44" fillId="80" borderId="44" applyBorder="0">
      <alignment horizontal="center" wrapText="1"/>
    </xf>
    <xf numFmtId="0" fontId="44" fillId="80" borderId="44" applyBorder="0">
      <alignment horizontal="center" wrapText="1"/>
    </xf>
    <xf numFmtId="0" fontId="22" fillId="79" borderId="44" applyBorder="0">
      <alignment horizontal="center" wrapText="1"/>
    </xf>
    <xf numFmtId="0" fontId="22" fillId="79" borderId="44" applyBorder="0">
      <alignment horizontal="center" wrapText="1"/>
    </xf>
    <xf numFmtId="0" fontId="22" fillId="79" borderId="44" applyBorder="0">
      <alignment horizontal="center" wrapText="1"/>
    </xf>
    <xf numFmtId="0" fontId="22" fillId="79" borderId="44" applyBorder="0">
      <alignment horizontal="center" wrapText="1"/>
    </xf>
    <xf numFmtId="0" fontId="111" fillId="0" borderId="0" applyNumberFormat="0" applyFill="0" applyBorder="0" applyAlignment="0" applyProtection="0"/>
    <xf numFmtId="0" fontId="129" fillId="0" borderId="67" applyNumberFormat="0" applyFill="0" applyAlignment="0" applyProtection="0"/>
    <xf numFmtId="0" fontId="32" fillId="0" borderId="68" applyNumberFormat="0" applyFill="0" applyAlignment="0" applyProtection="0"/>
    <xf numFmtId="0" fontId="20" fillId="0" borderId="69" applyNumberFormat="0" applyFill="0" applyAlignment="0" applyProtection="0"/>
    <xf numFmtId="0" fontId="130" fillId="0" borderId="70" applyNumberFormat="0" applyFill="0" applyAlignment="0" applyProtection="0"/>
    <xf numFmtId="0" fontId="131" fillId="41" borderId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1" fontId="135" fillId="69" borderId="45"/>
    <xf numFmtId="1" fontId="135" fillId="70" borderId="45"/>
    <xf numFmtId="2" fontId="136" fillId="70" borderId="45"/>
    <xf numFmtId="0" fontId="137" fillId="69" borderId="11" applyNumberFormat="0" applyAlignment="0"/>
    <xf numFmtId="0" fontId="138" fillId="70" borderId="11" applyNumberFormat="0" applyAlignment="0"/>
    <xf numFmtId="1" fontId="139" fillId="70" borderId="45" applyNumberFormat="0"/>
    <xf numFmtId="177" fontId="140" fillId="70" borderId="45" applyNumberFormat="0"/>
    <xf numFmtId="0" fontId="20" fillId="0" borderId="0"/>
  </cellStyleXfs>
  <cellXfs count="70">
    <xf numFmtId="0" fontId="0" fillId="0" borderId="0" xfId="0"/>
    <xf numFmtId="14" fontId="0" fillId="0" borderId="0" xfId="0" applyNumberFormat="1"/>
    <xf numFmtId="0" fontId="18" fillId="0" borderId="10" xfId="0" applyFont="1" applyBorder="1"/>
    <xf numFmtId="0" fontId="19" fillId="33" borderId="10" xfId="44" applyFont="1" applyBorder="1" applyAlignment="1">
      <alignment horizontal="center"/>
    </xf>
    <xf numFmtId="14" fontId="19" fillId="33" borderId="10" xfId="44" applyNumberFormat="1" applyFont="1" applyBorder="1"/>
    <xf numFmtId="0" fontId="19" fillId="33" borderId="10" xfId="44" applyFont="1" applyBorder="1" applyAlignment="1">
      <alignment horizontal="left"/>
    </xf>
    <xf numFmtId="0" fontId="16" fillId="0" borderId="12" xfId="0" applyFont="1" applyBorder="1"/>
    <xf numFmtId="10" fontId="16" fillId="0" borderId="13" xfId="0" applyNumberFormat="1" applyFont="1" applyBorder="1"/>
    <xf numFmtId="10" fontId="16" fillId="0" borderId="14" xfId="0" applyNumberFormat="1" applyFont="1" applyBorder="1"/>
    <xf numFmtId="10" fontId="16" fillId="0" borderId="15" xfId="0" applyNumberFormat="1" applyFont="1" applyBorder="1" applyAlignment="1">
      <alignment horizontal="center"/>
    </xf>
    <xf numFmtId="0" fontId="16" fillId="0" borderId="16" xfId="0" applyFont="1" applyBorder="1"/>
    <xf numFmtId="2" fontId="0" fillId="0" borderId="0" xfId="0" applyNumberFormat="1" applyFill="1" applyBorder="1"/>
    <xf numFmtId="2" fontId="0" fillId="0" borderId="17" xfId="0" applyNumberFormat="1" applyFill="1" applyBorder="1"/>
    <xf numFmtId="0" fontId="0" fillId="0" borderId="18" xfId="0" applyBorder="1" applyAlignment="1">
      <alignment horizontal="center"/>
    </xf>
    <xf numFmtId="0" fontId="16" fillId="0" borderId="19" xfId="0" applyFont="1" applyBorder="1"/>
    <xf numFmtId="0" fontId="0" fillId="0" borderId="20" xfId="0" applyBorder="1"/>
    <xf numFmtId="2" fontId="0" fillId="0" borderId="20" xfId="0" applyNumberFormat="1" applyBorder="1"/>
    <xf numFmtId="2" fontId="0" fillId="0" borderId="21" xfId="0" applyNumberFormat="1" applyBorder="1"/>
    <xf numFmtId="0" fontId="16" fillId="0" borderId="22" xfId="0" applyFont="1" applyBorder="1"/>
    <xf numFmtId="164" fontId="0" fillId="34" borderId="23" xfId="0" applyNumberFormat="1" applyFill="1" applyBorder="1"/>
    <xf numFmtId="164" fontId="0" fillId="34" borderId="24" xfId="0" applyNumberFormat="1" applyFill="1" applyBorder="1"/>
    <xf numFmtId="43" fontId="0" fillId="34" borderId="24" xfId="42" applyFont="1" applyFill="1" applyBorder="1"/>
    <xf numFmtId="10" fontId="0" fillId="0" borderId="0" xfId="0" applyNumberFormat="1"/>
    <xf numFmtId="43" fontId="0" fillId="34" borderId="25" xfId="42" applyFont="1" applyFill="1" applyBorder="1"/>
    <xf numFmtId="0" fontId="16" fillId="0" borderId="26" xfId="0" applyFont="1" applyBorder="1"/>
    <xf numFmtId="10" fontId="16" fillId="35" borderId="13" xfId="0" applyNumberFormat="1" applyFont="1" applyFill="1" applyBorder="1"/>
    <xf numFmtId="49" fontId="16" fillId="0" borderId="14" xfId="0" applyNumberFormat="1" applyFont="1" applyBorder="1" applyAlignment="1">
      <alignment horizontal="center"/>
    </xf>
    <xf numFmtId="0" fontId="0" fillId="0" borderId="27" xfId="0" applyBorder="1"/>
    <xf numFmtId="0" fontId="0" fillId="0" borderId="0" xfId="0" applyBorder="1"/>
    <xf numFmtId="0" fontId="0" fillId="0" borderId="17" xfId="0" applyBorder="1" applyAlignment="1">
      <alignment horizontal="center"/>
    </xf>
    <xf numFmtId="0" fontId="0" fillId="36" borderId="28" xfId="0" applyFill="1" applyBorder="1"/>
    <xf numFmtId="10" fontId="0" fillId="36" borderId="29" xfId="0" applyNumberFormat="1" applyFill="1" applyBorder="1"/>
    <xf numFmtId="49" fontId="0" fillId="36" borderId="30" xfId="0" applyNumberFormat="1" applyFill="1" applyBorder="1" applyAlignment="1">
      <alignment horizontal="center"/>
    </xf>
    <xf numFmtId="10" fontId="0" fillId="0" borderId="0" xfId="0" applyNumberFormat="1" applyBorder="1"/>
    <xf numFmtId="49" fontId="0" fillId="0" borderId="17" xfId="0" applyNumberFormat="1" applyBorder="1" applyAlignment="1">
      <alignment horizontal="center"/>
    </xf>
    <xf numFmtId="0" fontId="0" fillId="0" borderId="31" xfId="0" applyBorder="1"/>
    <xf numFmtId="10" fontId="0" fillId="0" borderId="32" xfId="0" applyNumberFormat="1" applyBorder="1"/>
    <xf numFmtId="49" fontId="0" fillId="0" borderId="33" xfId="0" applyNumberFormat="1" applyBorder="1" applyAlignment="1">
      <alignment horizontal="center"/>
    </xf>
    <xf numFmtId="10" fontId="0" fillId="0" borderId="32" xfId="43" applyNumberFormat="1" applyFont="1" applyBorder="1"/>
    <xf numFmtId="49" fontId="0" fillId="0" borderId="33" xfId="43" applyNumberFormat="1" applyFont="1" applyBorder="1" applyAlignment="1">
      <alignment horizontal="center"/>
    </xf>
    <xf numFmtId="0" fontId="0" fillId="0" borderId="27" xfId="0" applyFill="1" applyBorder="1"/>
    <xf numFmtId="2" fontId="0" fillId="0" borderId="0" xfId="0" applyNumberFormat="1" applyBorder="1"/>
    <xf numFmtId="0" fontId="0" fillId="0" borderId="17" xfId="0" applyNumberFormat="1" applyBorder="1" applyAlignment="1">
      <alignment horizontal="center"/>
    </xf>
    <xf numFmtId="0" fontId="0" fillId="0" borderId="34" xfId="0" applyNumberFormat="1" applyBorder="1"/>
    <xf numFmtId="2" fontId="0" fillId="0" borderId="35" xfId="0" applyNumberFormat="1" applyBorder="1"/>
    <xf numFmtId="0" fontId="0" fillId="0" borderId="36" xfId="0" applyNumberFormat="1" applyBorder="1" applyAlignment="1">
      <alignment horizontal="center"/>
    </xf>
    <xf numFmtId="0" fontId="0" fillId="0" borderId="37" xfId="0" applyBorder="1"/>
    <xf numFmtId="2" fontId="0" fillId="0" borderId="38" xfId="0" applyNumberFormat="1" applyBorder="1"/>
    <xf numFmtId="49" fontId="0" fillId="0" borderId="39" xfId="0" applyNumberFormat="1" applyBorder="1" applyAlignment="1">
      <alignment horizontal="center"/>
    </xf>
    <xf numFmtId="0" fontId="0" fillId="0" borderId="40" xfId="0" applyBorder="1"/>
    <xf numFmtId="10" fontId="0" fillId="0" borderId="20" xfId="43" applyNumberFormat="1" applyFont="1" applyBorder="1"/>
    <xf numFmtId="49" fontId="0" fillId="0" borderId="21" xfId="43" applyNumberFormat="1" applyFont="1" applyBorder="1" applyAlignment="1">
      <alignment horizontal="center"/>
    </xf>
    <xf numFmtId="0" fontId="141" fillId="69" borderId="0" xfId="392" applyFont="1"/>
    <xf numFmtId="0" fontId="45" fillId="69" borderId="0" xfId="392"/>
    <xf numFmtId="0" fontId="45" fillId="69" borderId="0" xfId="392" applyFont="1"/>
    <xf numFmtId="0" fontId="142" fillId="69" borderId="71" xfId="392" applyNumberFormat="1" applyFont="1" applyFill="1" applyBorder="1" applyAlignment="1">
      <alignment horizontal="center"/>
    </xf>
    <xf numFmtId="0" fontId="142" fillId="69" borderId="72" xfId="392" applyNumberFormat="1" applyFont="1" applyFill="1" applyBorder="1" applyAlignment="1">
      <alignment horizontal="center"/>
    </xf>
    <xf numFmtId="0" fontId="142" fillId="69" borderId="73" xfId="392" applyNumberFormat="1" applyFont="1" applyFill="1" applyBorder="1" applyAlignment="1">
      <alignment horizontal="center"/>
    </xf>
    <xf numFmtId="14" fontId="45" fillId="69" borderId="0" xfId="392" applyNumberFormat="1" applyFont="1"/>
    <xf numFmtId="0" fontId="45" fillId="69" borderId="71" xfId="392" applyNumberFormat="1" applyFont="1" applyFill="1" applyBorder="1" applyAlignment="1"/>
    <xf numFmtId="0" fontId="45" fillId="69" borderId="72" xfId="392" applyNumberFormat="1" applyFont="1" applyFill="1" applyBorder="1" applyAlignment="1"/>
    <xf numFmtId="14" fontId="45" fillId="69" borderId="72" xfId="392" applyNumberFormat="1" applyFont="1" applyFill="1" applyBorder="1" applyAlignment="1"/>
    <xf numFmtId="0" fontId="45" fillId="69" borderId="73" xfId="392" applyNumberFormat="1" applyFont="1" applyFill="1" applyBorder="1" applyAlignment="1"/>
    <xf numFmtId="0" fontId="45" fillId="69" borderId="74" xfId="392" applyNumberFormat="1" applyFont="1" applyFill="1" applyBorder="1" applyAlignment="1"/>
    <xf numFmtId="0" fontId="45" fillId="69" borderId="75" xfId="392" applyNumberFormat="1" applyFont="1" applyFill="1" applyBorder="1" applyAlignment="1"/>
    <xf numFmtId="0" fontId="45" fillId="69" borderId="76" xfId="392" applyNumberFormat="1" applyFont="1" applyFill="1" applyBorder="1" applyAlignment="1"/>
    <xf numFmtId="0" fontId="143" fillId="69" borderId="0" xfId="392" applyFont="1"/>
    <xf numFmtId="14" fontId="144" fillId="69" borderId="0" xfId="392" applyNumberFormat="1" applyFont="1"/>
    <xf numFmtId="0" fontId="144" fillId="69" borderId="0" xfId="392" applyFont="1"/>
    <xf numFmtId="14" fontId="145" fillId="0" borderId="0" xfId="0" applyNumberFormat="1" applyFont="1"/>
  </cellXfs>
  <cellStyles count="568">
    <cellStyle name="_Bonds" xfId="45"/>
    <cellStyle name="_Bonds 2" xfId="46"/>
    <cellStyle name="_Offering" xfId="47"/>
    <cellStyle name="_Offering 2" xfId="48"/>
    <cellStyle name="£ BP" xfId="49"/>
    <cellStyle name="¥ JY" xfId="50"/>
    <cellStyle name="20% - Accent1" xfId="19" builtinId="30" customBuiltin="1"/>
    <cellStyle name="20% - Accent1 2" xfId="51"/>
    <cellStyle name="20% - Accent1 2 2" xfId="52"/>
    <cellStyle name="20% - Accent1 2 3" xfId="53"/>
    <cellStyle name="20% - Accent1 3" xfId="54"/>
    <cellStyle name="20% - Accent1 3 2" xfId="55"/>
    <cellStyle name="20% - Accent1 3 3" xfId="56"/>
    <cellStyle name="20% - Accent1 4" xfId="57"/>
    <cellStyle name="20% - Accent1 5" xfId="58"/>
    <cellStyle name="20% - Accent2" xfId="23" builtinId="34" customBuiltin="1"/>
    <cellStyle name="20% - Accent2 2" xfId="59"/>
    <cellStyle name="20% - Accent2 3" xfId="60"/>
    <cellStyle name="20% - Accent2 4" xfId="61"/>
    <cellStyle name="20% - Accent3" xfId="27" builtinId="38" customBuiltin="1"/>
    <cellStyle name="20% - Accent3 2" xfId="62"/>
    <cellStyle name="20% - Accent3 3" xfId="63"/>
    <cellStyle name="20% - Accent3 4" xfId="64"/>
    <cellStyle name="20% - Accent4" xfId="31" builtinId="42" customBuiltin="1"/>
    <cellStyle name="20% - Accent4 2" xfId="65"/>
    <cellStyle name="20% - Accent4 3" xfId="66"/>
    <cellStyle name="20% - Accent4 4" xfId="67"/>
    <cellStyle name="20% - Accent5" xfId="35" builtinId="46" customBuiltin="1"/>
    <cellStyle name="20% - Accent5 2" xfId="68"/>
    <cellStyle name="20% - Accent5 3" xfId="69"/>
    <cellStyle name="20% - Accent5 4" xfId="70"/>
    <cellStyle name="20% - Accent6" xfId="39" builtinId="50" customBuiltin="1"/>
    <cellStyle name="20% - Accent6 2" xfId="71"/>
    <cellStyle name="20% - Accent6 3" xfId="72"/>
    <cellStyle name="20% - Accent6 4" xfId="73"/>
    <cellStyle name="40% - Accent1" xfId="20" builtinId="31" customBuiltin="1"/>
    <cellStyle name="40% - Accent1 2" xfId="74"/>
    <cellStyle name="40% - Accent1 3" xfId="75"/>
    <cellStyle name="40% - Accent1 4" xfId="76"/>
    <cellStyle name="40% - Accent2" xfId="24" builtinId="35" customBuiltin="1"/>
    <cellStyle name="40% - Accent2 2" xfId="77"/>
    <cellStyle name="40% - Accent2 3" xfId="78"/>
    <cellStyle name="40% - Accent2 4" xfId="79"/>
    <cellStyle name="40% - Accent3" xfId="28" builtinId="39" customBuiltin="1"/>
    <cellStyle name="40% - Accent3 2" xfId="80"/>
    <cellStyle name="40% - Accent3 3" xfId="81"/>
    <cellStyle name="40% - Accent3 4" xfId="82"/>
    <cellStyle name="40% - Accent4" xfId="32" builtinId="43" customBuiltin="1"/>
    <cellStyle name="40% - Accent4 2" xfId="83"/>
    <cellStyle name="40% - Accent4 3" xfId="84"/>
    <cellStyle name="40% - Accent4 4" xfId="85"/>
    <cellStyle name="40% - Accent5" xfId="36" builtinId="47" customBuiltin="1"/>
    <cellStyle name="40% - Accent5 2" xfId="86"/>
    <cellStyle name="40% - Accent5 3" xfId="87"/>
    <cellStyle name="40% - Accent5 4" xfId="88"/>
    <cellStyle name="40% - Accent6" xfId="40" builtinId="51" customBuiltin="1"/>
    <cellStyle name="40% - Accent6 2" xfId="89"/>
    <cellStyle name="40% - Accent6 3" xfId="90"/>
    <cellStyle name="40% - Accent6 4" xfId="91"/>
    <cellStyle name="60% - Accent1" xfId="21" builtinId="32" customBuiltin="1"/>
    <cellStyle name="60% - Accent1 2" xfId="92"/>
    <cellStyle name="60% - Accent1 3" xfId="93"/>
    <cellStyle name="60% - Accent1 4" xfId="94"/>
    <cellStyle name="60% - Accent2" xfId="25" builtinId="36" customBuiltin="1"/>
    <cellStyle name="60% - Accent2 2" xfId="95"/>
    <cellStyle name="60% - Accent2 3" xfId="96"/>
    <cellStyle name="60% - Accent2 4" xfId="97"/>
    <cellStyle name="60% - Accent3" xfId="29" builtinId="40" customBuiltin="1"/>
    <cellStyle name="60% - Accent3 2" xfId="98"/>
    <cellStyle name="60% - Accent3 3" xfId="99"/>
    <cellStyle name="60% - Accent3 4" xfId="100"/>
    <cellStyle name="60% - Accent4" xfId="33" builtinId="44" customBuiltin="1"/>
    <cellStyle name="60% - Accent4 2" xfId="101"/>
    <cellStyle name="60% - Accent4 3" xfId="102"/>
    <cellStyle name="60% - Accent4 4" xfId="103"/>
    <cellStyle name="60% - Accent5" xfId="37" builtinId="48" customBuiltin="1"/>
    <cellStyle name="60% - Accent5 2" xfId="104"/>
    <cellStyle name="60% - Accent5 3" xfId="105"/>
    <cellStyle name="60% - Accent5 4" xfId="106"/>
    <cellStyle name="60% - Accent6" xfId="41" builtinId="52" customBuiltin="1"/>
    <cellStyle name="60% - Accent6 2" xfId="107"/>
    <cellStyle name="60% - Accent6 3" xfId="108"/>
    <cellStyle name="60% - Accent6 4" xfId="109"/>
    <cellStyle name="Accent1" xfId="18" builtinId="29" customBuiltin="1"/>
    <cellStyle name="Accent1 2" xfId="110"/>
    <cellStyle name="Accent1 3" xfId="111"/>
    <cellStyle name="Accent1 4" xfId="112"/>
    <cellStyle name="Accent2" xfId="22" builtinId="33" customBuiltin="1"/>
    <cellStyle name="Accent2 2" xfId="113"/>
    <cellStyle name="Accent2 3" xfId="114"/>
    <cellStyle name="Accent2 4" xfId="115"/>
    <cellStyle name="Accent3" xfId="26" builtinId="37" customBuiltin="1"/>
    <cellStyle name="Accent3 2" xfId="116"/>
    <cellStyle name="Accent3 3" xfId="117"/>
    <cellStyle name="Accent3 4" xfId="118"/>
    <cellStyle name="Accent4" xfId="30" builtinId="41" customBuiltin="1"/>
    <cellStyle name="Accent4 2" xfId="119"/>
    <cellStyle name="Accent4 3" xfId="120"/>
    <cellStyle name="Accent4 4" xfId="121"/>
    <cellStyle name="Accent5" xfId="34" builtinId="45" customBuiltin="1"/>
    <cellStyle name="Accent5 2" xfId="122"/>
    <cellStyle name="Accent5 3" xfId="123"/>
    <cellStyle name="Accent5 4" xfId="124"/>
    <cellStyle name="Accent6" xfId="38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7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1" builtinId="22" customBuiltin="1"/>
    <cellStyle name="Calculation 2" xfId="158"/>
    <cellStyle name="Calculation 3" xfId="159"/>
    <cellStyle name="Calculation 4" xfId="160"/>
    <cellStyle name="CCM Input" xfId="161"/>
    <cellStyle name="CCM Title Calculations" xfId="162"/>
    <cellStyle name="CCM Title Indicative" xfId="163"/>
    <cellStyle name="Cello Calculation" xfId="164"/>
    <cellStyle name="Cello Calculation 2" xfId="165"/>
    <cellStyle name="Cello Calculation 2 2" xfId="166"/>
    <cellStyle name="Cello Calculation 3" xfId="167"/>
    <cellStyle name="Cello Calculation 4" xfId="168"/>
    <cellStyle name="Cello Input" xfId="44"/>
    <cellStyle name="Cello Input 2" xfId="169"/>
    <cellStyle name="Cello Input 2 2" xfId="170"/>
    <cellStyle name="Cello Input 2 3" xfId="171"/>
    <cellStyle name="Cello Input 2 5" xfId="172"/>
    <cellStyle name="Cello Input 3" xfId="173"/>
    <cellStyle name="Cello Input 4" xfId="174"/>
    <cellStyle name="Cello Linked Cell" xfId="175"/>
    <cellStyle name="Cello Linked Cell 2" xfId="176"/>
    <cellStyle name="Cello Linked Cell 2 2" xfId="177"/>
    <cellStyle name="Check Cell" xfId="13" builtinId="23" customBuiltin="1"/>
    <cellStyle name="Check Cell 2" xfId="178"/>
    <cellStyle name="Check Cell 3" xfId="179"/>
    <cellStyle name="Check Cell 4" xfId="180"/>
    <cellStyle name="Co. Names" xfId="181"/>
    <cellStyle name="Comma" xfId="42" builtinId="3"/>
    <cellStyle name="Comma  - Style1" xfId="182"/>
    <cellStyle name="Comma  - Style1 2" xfId="183"/>
    <cellStyle name="Comma  - Style2" xfId="184"/>
    <cellStyle name="Comma  - Style2 2" xfId="185"/>
    <cellStyle name="Comma  - Style3" xfId="186"/>
    <cellStyle name="Comma  - Style3 2" xfId="187"/>
    <cellStyle name="Comma  - Style4" xfId="188"/>
    <cellStyle name="Comma  - Style4 2" xfId="189"/>
    <cellStyle name="Comma  - Style5" xfId="190"/>
    <cellStyle name="Comma  - Style5 2" xfId="191"/>
    <cellStyle name="Comma  - Style6" xfId="192"/>
    <cellStyle name="Comma  - Style6 2" xfId="193"/>
    <cellStyle name="Comma  - Style7" xfId="194"/>
    <cellStyle name="Comma  - Style7 2" xfId="195"/>
    <cellStyle name="Comma  - Style8" xfId="196"/>
    <cellStyle name="Comma  - Style8 2" xfId="197"/>
    <cellStyle name="Comma [00]" xfId="198"/>
    <cellStyle name="Comma [00] 2" xfId="199"/>
    <cellStyle name="Comma 10" xfId="200"/>
    <cellStyle name="Comma 11" xfId="201"/>
    <cellStyle name="Comma 12" xfId="202"/>
    <cellStyle name="Comma 13" xfId="203"/>
    <cellStyle name="Comma 14" xfId="204"/>
    <cellStyle name="Comma 15" xfId="205"/>
    <cellStyle name="Comma 16" xfId="206"/>
    <cellStyle name="Comma 16 2" xfId="207"/>
    <cellStyle name="Comma 17" xfId="208"/>
    <cellStyle name="Comma 18" xfId="209"/>
    <cellStyle name="Comma 19" xfId="210"/>
    <cellStyle name="Comma 2" xfId="211"/>
    <cellStyle name="Comma 20" xfId="212"/>
    <cellStyle name="Comma 21" xfId="213"/>
    <cellStyle name="Comma 22" xfId="214"/>
    <cellStyle name="Comma 23" xfId="215"/>
    <cellStyle name="Comma 24" xfId="216"/>
    <cellStyle name="Comma 25" xfId="217"/>
    <cellStyle name="Comma 26" xfId="218"/>
    <cellStyle name="Comma 27" xfId="219"/>
    <cellStyle name="Comma 28" xfId="220"/>
    <cellStyle name="Comma 29" xfId="221"/>
    <cellStyle name="Comma 29 2" xfId="222"/>
    <cellStyle name="Comma 3" xfId="223"/>
    <cellStyle name="Comma 30" xfId="224"/>
    <cellStyle name="Comma 4" xfId="225"/>
    <cellStyle name="Comma 4 2" xfId="226"/>
    <cellStyle name="Comma 5" xfId="227"/>
    <cellStyle name="Comma 6" xfId="228"/>
    <cellStyle name="Comma 7" xfId="229"/>
    <cellStyle name="Comma 8" xfId="230"/>
    <cellStyle name="Comma 9" xfId="231"/>
    <cellStyle name="Comma0" xfId="232"/>
    <cellStyle name="Comma1 - Style1" xfId="233"/>
    <cellStyle name="Copied" xfId="234"/>
    <cellStyle name="CTDSwitchAnalysisHeader" xfId="235"/>
    <cellStyle name="Curren - Style2" xfId="236"/>
    <cellStyle name="Currency [00]" xfId="237"/>
    <cellStyle name="Currency [00] 2" xfId="238"/>
    <cellStyle name="Currency [2]" xfId="239"/>
    <cellStyle name="Currency 10" xfId="240"/>
    <cellStyle name="Currency 11" xfId="241"/>
    <cellStyle name="Currency 12" xfId="242"/>
    <cellStyle name="Currency 13" xfId="243"/>
    <cellStyle name="Currency 14" xfId="244"/>
    <cellStyle name="Currency 15" xfId="245"/>
    <cellStyle name="Currency 2" xfId="246"/>
    <cellStyle name="Currency 3" xfId="247"/>
    <cellStyle name="Currency 4" xfId="248"/>
    <cellStyle name="Currency 5" xfId="249"/>
    <cellStyle name="Currency 6" xfId="250"/>
    <cellStyle name="Currency 7" xfId="251"/>
    <cellStyle name="Currency 8" xfId="252"/>
    <cellStyle name="Currency 9" xfId="253"/>
    <cellStyle name="Currency0" xfId="254"/>
    <cellStyle name="Dash" xfId="255"/>
    <cellStyle name="Data.LongPercent" xfId="256"/>
    <cellStyle name="Data.NumPercent" xfId="257"/>
    <cellStyle name="Data.NumShortPercent" xfId="258"/>
    <cellStyle name="date" xfId="259"/>
    <cellStyle name="Date - Style3" xfId="260"/>
    <cellStyle name="Date 2" xfId="261"/>
    <cellStyle name="Date 3" xfId="262"/>
    <cellStyle name="Date 4" xfId="263"/>
    <cellStyle name="Date 5" xfId="264"/>
    <cellStyle name="Date 6" xfId="265"/>
    <cellStyle name="Date 7" xfId="266"/>
    <cellStyle name="Date Short" xfId="267"/>
    <cellStyle name="date title" xfId="268"/>
    <cellStyle name="Date_DV01" xfId="269"/>
    <cellStyle name="DateFormat" xfId="270"/>
    <cellStyle name="DBAHandle" xfId="271"/>
    <cellStyle name="DBAParameter" xfId="272"/>
    <cellStyle name="DELTA" xfId="273"/>
    <cellStyle name="DS 0" xfId="274"/>
    <cellStyle name="DS 1" xfId="275"/>
    <cellStyle name="DS 2" xfId="276"/>
    <cellStyle name="DS 3" xfId="277"/>
    <cellStyle name="DS 4" xfId="278"/>
    <cellStyle name="DS 5" xfId="279"/>
    <cellStyle name="DS 5 2" xfId="280"/>
    <cellStyle name="DS 6" xfId="281"/>
    <cellStyle name="Enter Currency (0)" xfId="282"/>
    <cellStyle name="Enter Currency (0) 2" xfId="283"/>
    <cellStyle name="Enter Currency (2)" xfId="284"/>
    <cellStyle name="Enter Currency (2) 2" xfId="285"/>
    <cellStyle name="Enter Units (0)" xfId="286"/>
    <cellStyle name="Enter Units (0) 2" xfId="287"/>
    <cellStyle name="Enter Units (1)" xfId="288"/>
    <cellStyle name="Enter Units (1) 2" xfId="289"/>
    <cellStyle name="Enter Units (2)" xfId="290"/>
    <cellStyle name="Enter Units (2) 2" xfId="291"/>
    <cellStyle name="Entered" xfId="292"/>
    <cellStyle name="Entries" xfId="293"/>
    <cellStyle name="Euro" xfId="294"/>
    <cellStyle name="Explanatory Text" xfId="16" builtinId="53" customBuiltin="1"/>
    <cellStyle name="Explanatory Text 2" xfId="295"/>
    <cellStyle name="Explanatory Text 3" xfId="296"/>
    <cellStyle name="Explanatory Text 4" xfId="297"/>
    <cellStyle name="Fixed" xfId="298"/>
    <cellStyle name="FullTime" xfId="299"/>
    <cellStyle name="General" xfId="300"/>
    <cellStyle name="Good" xfId="6" builtinId="26" customBuiltin="1"/>
    <cellStyle name="Good 2" xfId="301"/>
    <cellStyle name="Good 3" xfId="302"/>
    <cellStyle name="Good 4" xfId="303"/>
    <cellStyle name="gray text cells" xfId="304"/>
    <cellStyle name="Grey" xfId="305"/>
    <cellStyle name="Header1" xfId="306"/>
    <cellStyle name="Header2" xfId="307"/>
    <cellStyle name="Heading" xfId="308"/>
    <cellStyle name="Heading 1" xfId="2" builtinId="16" customBuiltin="1"/>
    <cellStyle name="Heading 1 2" xfId="309"/>
    <cellStyle name="Heading 1 2 2" xfId="310"/>
    <cellStyle name="Heading 1 3" xfId="311"/>
    <cellStyle name="Heading 1 4" xfId="312"/>
    <cellStyle name="Heading 1 5" xfId="313"/>
    <cellStyle name="Heading 2" xfId="3" builtinId="17" customBuiltin="1"/>
    <cellStyle name="Heading 2 2" xfId="314"/>
    <cellStyle name="Heading 2 2 2" xfId="315"/>
    <cellStyle name="Heading 2 3" xfId="316"/>
    <cellStyle name="Heading 2 4" xfId="317"/>
    <cellStyle name="Heading 2 5" xfId="318"/>
    <cellStyle name="Heading 3" xfId="4" builtinId="18" customBuiltin="1"/>
    <cellStyle name="Heading 3 2" xfId="319"/>
    <cellStyle name="Heading 3 3" xfId="320"/>
    <cellStyle name="Heading 3 4" xfId="321"/>
    <cellStyle name="Heading 4" xfId="5" builtinId="19" customBuiltin="1"/>
    <cellStyle name="Heading 4 2" xfId="322"/>
    <cellStyle name="Heading 4 3" xfId="323"/>
    <cellStyle name="Heading 4 4" xfId="324"/>
    <cellStyle name="Heading 5" xfId="325"/>
    <cellStyle name="HEADING1" xfId="326"/>
    <cellStyle name="HEADING2" xfId="327"/>
    <cellStyle name="Hyperlink 2" xfId="328"/>
    <cellStyle name="Input" xfId="9" builtinId="20" customBuiltin="1"/>
    <cellStyle name="Input [yellow]" xfId="329"/>
    <cellStyle name="Input 2" xfId="330"/>
    <cellStyle name="Input 2 2" xfId="331"/>
    <cellStyle name="Input 2 3" xfId="332"/>
    <cellStyle name="Input 3" xfId="333"/>
    <cellStyle name="Input 4" xfId="334"/>
    <cellStyle name="Input 5" xfId="335"/>
    <cellStyle name="Input 6" xfId="336"/>
    <cellStyle name="Input 7" xfId="337"/>
    <cellStyle name="Item" xfId="338"/>
    <cellStyle name="Link Currency (0)" xfId="339"/>
    <cellStyle name="Link Currency (0) 2" xfId="340"/>
    <cellStyle name="Link Currency (2)" xfId="341"/>
    <cellStyle name="Link Currency (2) 2" xfId="342"/>
    <cellStyle name="Link Units (0)" xfId="343"/>
    <cellStyle name="Link Units (0) 2" xfId="344"/>
    <cellStyle name="Link Units (1)" xfId="345"/>
    <cellStyle name="Link Units (1) 2" xfId="346"/>
    <cellStyle name="Link Units (2)" xfId="347"/>
    <cellStyle name="Link Units (2) 2" xfId="348"/>
    <cellStyle name="Linked Cell" xfId="12" builtinId="24" customBuiltin="1"/>
    <cellStyle name="Linked Cell 2" xfId="349"/>
    <cellStyle name="Linked Cell 3" xfId="350"/>
    <cellStyle name="Linked Cell 4" xfId="351"/>
    <cellStyle name="Lookup" xfId="352"/>
    <cellStyle name="Milliers [0]_Basis" xfId="353"/>
    <cellStyle name="Milliers_Basis" xfId="354"/>
    <cellStyle name="Monétaire [0]_Basis" xfId="355"/>
    <cellStyle name="Monétaire_Basis" xfId="356"/>
    <cellStyle name="Money" xfId="357"/>
    <cellStyle name="Neutral" xfId="8" builtinId="28" customBuiltin="1"/>
    <cellStyle name="Neutral 2" xfId="358"/>
    <cellStyle name="Neutral 3" xfId="359"/>
    <cellStyle name="Neutral 4" xfId="360"/>
    <cellStyle name="no dec" xfId="361"/>
    <cellStyle name="NoChange" xfId="362"/>
    <cellStyle name="Non Zero" xfId="363"/>
    <cellStyle name="Normal" xfId="0" builtinId="0"/>
    <cellStyle name="Normal - Style1" xfId="364"/>
    <cellStyle name="Normal 10" xfId="365"/>
    <cellStyle name="Normal 10 2" xfId="366"/>
    <cellStyle name="Normal 107" xfId="367"/>
    <cellStyle name="Normal 11" xfId="368"/>
    <cellStyle name="Normal 11 2" xfId="369"/>
    <cellStyle name="Normal 12" xfId="370"/>
    <cellStyle name="Normal 13" xfId="371"/>
    <cellStyle name="Normal 14" xfId="372"/>
    <cellStyle name="Normal 15" xfId="373"/>
    <cellStyle name="Normal 16" xfId="374"/>
    <cellStyle name="Normal 17" xfId="375"/>
    <cellStyle name="Normal 18" xfId="376"/>
    <cellStyle name="Normal 19" xfId="377"/>
    <cellStyle name="Normal 2" xfId="378"/>
    <cellStyle name="Normal 2 2" xfId="379"/>
    <cellStyle name="Normal 2 2 2" xfId="380"/>
    <cellStyle name="Normal 2 3" xfId="381"/>
    <cellStyle name="Normal 2 3 2" xfId="382"/>
    <cellStyle name="Normal 2 3 2 2" xfId="383"/>
    <cellStyle name="Normal 2 3 3" xfId="384"/>
    <cellStyle name="Normal 2 4" xfId="385"/>
    <cellStyle name="Normal 2 4 2" xfId="386"/>
    <cellStyle name="Normal 2 4 2 2" xfId="387"/>
    <cellStyle name="Normal 2 4 3" xfId="388"/>
    <cellStyle name="Normal 2 5" xfId="389"/>
    <cellStyle name="Normal 2 5 2" xfId="390"/>
    <cellStyle name="Normal 2 6" xfId="391"/>
    <cellStyle name="Normal 2 7" xfId="392"/>
    <cellStyle name="Normal 20" xfId="393"/>
    <cellStyle name="Normal 21" xfId="394"/>
    <cellStyle name="Normal 22" xfId="395"/>
    <cellStyle name="Normal 23" xfId="396"/>
    <cellStyle name="Normal 24" xfId="397"/>
    <cellStyle name="Normal 25" xfId="398"/>
    <cellStyle name="Normal 26" xfId="399"/>
    <cellStyle name="Normal 27" xfId="400"/>
    <cellStyle name="Normal 28" xfId="401"/>
    <cellStyle name="Normal 28 2" xfId="402"/>
    <cellStyle name="Normal 29" xfId="403"/>
    <cellStyle name="Normal 3" xfId="404"/>
    <cellStyle name="Normal 3 2" xfId="405"/>
    <cellStyle name="Normal 30" xfId="406"/>
    <cellStyle name="Normal 31" xfId="407"/>
    <cellStyle name="Normal 32" xfId="408"/>
    <cellStyle name="Normal 33" xfId="409"/>
    <cellStyle name="Normal 34" xfId="410"/>
    <cellStyle name="Normal 35" xfId="411"/>
    <cellStyle name="Normal 36" xfId="412"/>
    <cellStyle name="Normal 37" xfId="413"/>
    <cellStyle name="Normal 38" xfId="414"/>
    <cellStyle name="Normal 38 2" xfId="415"/>
    <cellStyle name="Normal 38 2 2" xfId="416"/>
    <cellStyle name="Normal 38 3" xfId="417"/>
    <cellStyle name="Normal 39" xfId="418"/>
    <cellStyle name="Normal 4" xfId="419"/>
    <cellStyle name="Normal 4 2" xfId="420"/>
    <cellStyle name="Normal 4 3" xfId="421"/>
    <cellStyle name="Normal 4 4" xfId="422"/>
    <cellStyle name="Normal 40" xfId="423"/>
    <cellStyle name="Normal 41" xfId="424"/>
    <cellStyle name="Normal 42" xfId="425"/>
    <cellStyle name="Normal 42 2" xfId="426"/>
    <cellStyle name="Normal 5" xfId="427"/>
    <cellStyle name="Normal 6" xfId="428"/>
    <cellStyle name="Normal 6 2" xfId="429"/>
    <cellStyle name="Normal 7" xfId="430"/>
    <cellStyle name="Normal 7 2" xfId="431"/>
    <cellStyle name="Normal 8" xfId="432"/>
    <cellStyle name="Normal 88" xfId="433"/>
    <cellStyle name="Normal 9" xfId="434"/>
    <cellStyle name="Normal 9 2" xfId="435"/>
    <cellStyle name="Note" xfId="15" builtinId="10" customBuiltin="1"/>
    <cellStyle name="Note 2" xfId="436"/>
    <cellStyle name="Note 2 2" xfId="437"/>
    <cellStyle name="Note 2 3" xfId="438"/>
    <cellStyle name="Note 2 4" xfId="439"/>
    <cellStyle name="Note 3" xfId="440"/>
    <cellStyle name="Note 4" xfId="441"/>
    <cellStyle name="Note 5" xfId="442"/>
    <cellStyle name="Note 6" xfId="443"/>
    <cellStyle name="Note 7" xfId="444"/>
    <cellStyle name="Note 7 2" xfId="445"/>
    <cellStyle name="Note 8" xfId="446"/>
    <cellStyle name="NumberAsPercent" xfId="447"/>
    <cellStyle name="NumberFormat" xfId="448"/>
    <cellStyle name="Numbers" xfId="449"/>
    <cellStyle name="Numbers - Bold" xfId="450"/>
    <cellStyle name="Numbers_increm pf" xfId="451"/>
    <cellStyle name="NumberTo1DecPlace" xfId="452"/>
    <cellStyle name="OffWhite" xfId="453"/>
    <cellStyle name="Option" xfId="454"/>
    <cellStyle name="orange text cell" xfId="455"/>
    <cellStyle name="Output" xfId="10" builtinId="21" customBuiltin="1"/>
    <cellStyle name="Output 2" xfId="456"/>
    <cellStyle name="Output 3" xfId="457"/>
    <cellStyle name="Output 4" xfId="458"/>
    <cellStyle name="Output Amounts" xfId="459"/>
    <cellStyle name="Output Column Headings" xfId="460"/>
    <cellStyle name="Output Line Items" xfId="461"/>
    <cellStyle name="Output Report Heading" xfId="462"/>
    <cellStyle name="Output Report Title" xfId="463"/>
    <cellStyle name="Pageheading" xfId="464"/>
    <cellStyle name="Percent" xfId="43" builtinId="5"/>
    <cellStyle name="Percent [0]" xfId="465"/>
    <cellStyle name="Percent [0] 2" xfId="466"/>
    <cellStyle name="Percent [00]" xfId="467"/>
    <cellStyle name="Percent [00] 2" xfId="468"/>
    <cellStyle name="Percent [2]" xfId="469"/>
    <cellStyle name="Percent 2" xfId="470"/>
    <cellStyle name="Percent 2 2" xfId="471"/>
    <cellStyle name="Percent 3" xfId="472"/>
    <cellStyle name="Percentage" xfId="473"/>
    <cellStyle name="PrePop Currency (0)" xfId="474"/>
    <cellStyle name="PrePop Currency (0) 2" xfId="475"/>
    <cellStyle name="PrePop Currency (2)" xfId="476"/>
    <cellStyle name="PrePop Currency (2) 2" xfId="477"/>
    <cellStyle name="PrePop Units (0)" xfId="478"/>
    <cellStyle name="PrePop Units (0) 2" xfId="479"/>
    <cellStyle name="PrePop Units (1)" xfId="480"/>
    <cellStyle name="PrePop Units (1) 2" xfId="481"/>
    <cellStyle name="PrePop Units (2)" xfId="482"/>
    <cellStyle name="PrePop Units (2) 2" xfId="483"/>
    <cellStyle name="PriceTo3DecPlaces" xfId="484"/>
    <cellStyle name="PriceWithBorderAround" xfId="485"/>
    <cellStyle name="PRICING" xfId="486"/>
    <cellStyle name="Product Header" xfId="487"/>
    <cellStyle name="PSChar" xfId="488"/>
    <cellStyle name="PSHeading" xfId="489"/>
    <cellStyle name="r" xfId="490"/>
    <cellStyle name="r_pldt" xfId="491"/>
    <cellStyle name="ReportLeftHeader" xfId="492"/>
    <cellStyle name="ReportRightHeader" xfId="493"/>
    <cellStyle name="results" xfId="494"/>
    <cellStyle name="RevList" xfId="495"/>
    <cellStyle name="RVRQueryHandle" xfId="496"/>
    <cellStyle name="Section" xfId="497"/>
    <cellStyle name="SecuritiesPricingTable" xfId="498"/>
    <cellStyle name="SecuritiesPricingTableFinalData" xfId="499"/>
    <cellStyle name="SecuritiesPricingTableManualData" xfId="500"/>
    <cellStyle name="SecuritiesPricingTableText" xfId="501"/>
    <cellStyle name="Short $" xfId="502"/>
    <cellStyle name="Short $ 2" xfId="503"/>
    <cellStyle name="SIZE" xfId="504"/>
    <cellStyle name="Standard_Swaps-Bonds-Blending" xfId="505"/>
    <cellStyle name="Style 1" xfId="506"/>
    <cellStyle name="StyleSecuritiesPricingTableInteger" xfId="507"/>
    <cellStyle name="Subheading" xfId="508"/>
    <cellStyle name="subtitle" xfId="509"/>
    <cellStyle name="Subtotal" xfId="510"/>
    <cellStyle name="Table" xfId="511"/>
    <cellStyle name="Tablebody" xfId="512"/>
    <cellStyle name="TablebodyDate" xfId="513"/>
    <cellStyle name="TablebodyHeading" xfId="514"/>
    <cellStyle name="TablebodyOutstandingAmount" xfId="515"/>
    <cellStyle name="TablebodyPercent" xfId="516"/>
    <cellStyle name="TablebodyPrice" xfId="517"/>
    <cellStyle name="TablebodyReverse" xfId="518"/>
    <cellStyle name="TablebodySpread" xfId="519"/>
    <cellStyle name="TablebodySpreadBorder" xfId="520"/>
    <cellStyle name="TablebodyText" xfId="521"/>
    <cellStyle name="Tableheading" xfId="522"/>
    <cellStyle name="Text" xfId="523"/>
    <cellStyle name="Text 2" xfId="524"/>
    <cellStyle name="Text Indent A" xfId="525"/>
    <cellStyle name="Text Indent B" xfId="526"/>
    <cellStyle name="Text Indent B 2" xfId="527"/>
    <cellStyle name="Text Indent C" xfId="528"/>
    <cellStyle name="Text Indent C 2" xfId="529"/>
    <cellStyle name="TextStyle" xfId="530"/>
    <cellStyle name="tic display" xfId="531"/>
    <cellStyle name="tic input" xfId="532"/>
    <cellStyle name="Title" xfId="1" builtinId="15" customBuiltin="1"/>
    <cellStyle name="Title - Underline" xfId="533"/>
    <cellStyle name="Title 2" xfId="534"/>
    <cellStyle name="Title 3" xfId="535"/>
    <cellStyle name="Title 4" xfId="536"/>
    <cellStyle name="Title 5" xfId="537"/>
    <cellStyle name="Title 6" xfId="538"/>
    <cellStyle name="Title 7" xfId="539"/>
    <cellStyle name="Title Calculations" xfId="540"/>
    <cellStyle name="Title Calculations 2" xfId="541"/>
    <cellStyle name="Title Indicative" xfId="542"/>
    <cellStyle name="Title Indicative 2" xfId="543"/>
    <cellStyle name="Title Pricing Assumptions" xfId="544"/>
    <cellStyle name="Title Pricing Assumptions 2" xfId="545"/>
    <cellStyle name="Title Pricing Assumptions 2 2" xfId="546"/>
    <cellStyle name="Title Pricing Assumptions 2 3" xfId="547"/>
    <cellStyle name="Title Pricing Assumptions 3" xfId="548"/>
    <cellStyle name="Title Pricing Assumptions 3 12 8" xfId="549"/>
    <cellStyle name="Title Pricing Assumptions 3 6 4 2 8" xfId="550"/>
    <cellStyle name="Titles - Other" xfId="551"/>
    <cellStyle name="Total" xfId="17" builtinId="25" customBuiltin="1"/>
    <cellStyle name="Total 2" xfId="552"/>
    <cellStyle name="Total 2 2" xfId="553"/>
    <cellStyle name="Total 3" xfId="554"/>
    <cellStyle name="Total 4" xfId="555"/>
    <cellStyle name="Warning" xfId="556"/>
    <cellStyle name="Warning Text" xfId="14" builtinId="11" customBuiltin="1"/>
    <cellStyle name="Warning Text 2" xfId="557"/>
    <cellStyle name="Warning Text 3" xfId="558"/>
    <cellStyle name="Warning Text 4" xfId="559"/>
    <cellStyle name="YB Calculations" xfId="560"/>
    <cellStyle name="YB Calculations 2" xfId="561"/>
    <cellStyle name="YB Curve" xfId="562"/>
    <cellStyle name="YB Indicative" xfId="563"/>
    <cellStyle name="YBINDIC" xfId="564"/>
    <cellStyle name="YBIOPOBE" xfId="565"/>
    <cellStyle name="YBPRICE" xfId="566"/>
    <cellStyle name="一般_原始檔案" xfId="567"/>
  </cellStyles>
  <dxfs count="14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color auto="1"/>
      </font>
      <fill>
        <patternFill>
          <bgColor theme="3" tint="0.79998168889431442"/>
        </patternFill>
      </fill>
    </dxf>
    <dxf>
      <font>
        <color theme="0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Origination Best Execution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602407017553962"/>
          <c:y val="8.9368301892724586E-2"/>
          <c:w val="0.87064396093375218"/>
          <c:h val="0.78260700875195099"/>
        </c:manualLayout>
      </c:layout>
      <c:lineChart>
        <c:grouping val="standard"/>
        <c:varyColors val="0"/>
        <c:ser>
          <c:idx val="0"/>
          <c:order val="0"/>
          <c:tx>
            <c:strRef>
              <c:f>Report!$B$84</c:f>
              <c:strCache>
                <c:ptCount val="1"/>
                <c:pt idx="0">
                  <c:v>Best Execution</c:v>
                </c:pt>
              </c:strCache>
            </c:strRef>
          </c:tx>
          <c:spPr>
            <a:ln>
              <a:noFill/>
            </a:ln>
          </c:spPr>
          <c:marker>
            <c:spPr>
              <a:solidFill>
                <a:srgbClr val="2E398A"/>
              </a:solidFill>
              <a:ln>
                <a:solidFill>
                  <a:srgbClr val="2E398A"/>
                </a:solidFill>
              </a:ln>
            </c:spPr>
          </c:marker>
          <c:cat>
            <c:numRef>
              <c:f>Report!$C$32:$Q$32</c:f>
              <c:numCache>
                <c:formatCode>0.00%</c:formatCode>
                <c:ptCount val="15"/>
                <c:pt idx="0">
                  <c:v>0.03</c:v>
                </c:pt>
                <c:pt idx="1">
                  <c:v>3.2500000000000001E-2</c:v>
                </c:pt>
                <c:pt idx="2">
                  <c:v>3.5000000000000003E-2</c:v>
                </c:pt>
                <c:pt idx="3">
                  <c:v>3.7500000000000006E-2</c:v>
                </c:pt>
                <c:pt idx="4">
                  <c:v>4.0000000000000008E-2</c:v>
                </c:pt>
                <c:pt idx="5">
                  <c:v>4.250000000000001E-2</c:v>
                </c:pt>
                <c:pt idx="6">
                  <c:v>4.5000000000000012E-2</c:v>
                </c:pt>
                <c:pt idx="7">
                  <c:v>4.7500000000000014E-2</c:v>
                </c:pt>
                <c:pt idx="8">
                  <c:v>5.0000000000000017E-2</c:v>
                </c:pt>
                <c:pt idx="9">
                  <c:v>5.2500000000000019E-2</c:v>
                </c:pt>
                <c:pt idx="10">
                  <c:v>5.5000000000000021E-2</c:v>
                </c:pt>
                <c:pt idx="11">
                  <c:v>5.7500000000000023E-2</c:v>
                </c:pt>
                <c:pt idx="12">
                  <c:v>6.0000000000000026E-2</c:v>
                </c:pt>
                <c:pt idx="13">
                  <c:v>6.2500000000000028E-2</c:v>
                </c:pt>
                <c:pt idx="14">
                  <c:v>6.500000000000003E-2</c:v>
                </c:pt>
              </c:numCache>
            </c:numRef>
          </c:cat>
          <c:val>
            <c:numRef>
              <c:f>Report!$C$84:$Q$84</c:f>
              <c:numCache>
                <c:formatCode>0.00</c:formatCode>
                <c:ptCount val="15"/>
                <c:pt idx="0">
                  <c:v>96.072749999999999</c:v>
                </c:pt>
                <c:pt idx="1">
                  <c:v>97.956344000000001</c:v>
                </c:pt>
                <c:pt idx="2">
                  <c:v>99.881343999999999</c:v>
                </c:pt>
                <c:pt idx="3">
                  <c:v>101.732344</c:v>
                </c:pt>
                <c:pt idx="4">
                  <c:v>103.1665</c:v>
                </c:pt>
                <c:pt idx="5">
                  <c:v>105.0175</c:v>
                </c:pt>
                <c:pt idx="6">
                  <c:v>106.0175</c:v>
                </c:pt>
                <c:pt idx="7">
                  <c:v>107.53312500000001</c:v>
                </c:pt>
                <c:pt idx="8">
                  <c:v>108.53312500000001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Report!$B$42</c:f>
              <c:strCache>
                <c:ptCount val="1"/>
                <c:pt idx="0">
                  <c:v>Execution Price (2.5%)</c:v>
                </c:pt>
              </c:strCache>
            </c:strRef>
          </c:tx>
          <c:spPr>
            <a:ln>
              <a:solidFill>
                <a:srgbClr val="C8C42D"/>
              </a:solidFill>
              <a:prstDash val="sysDash"/>
            </a:ln>
          </c:spPr>
          <c:marker>
            <c:symbol val="none"/>
          </c:marker>
          <c:cat>
            <c:numRef>
              <c:f>Report!$C$32:$Q$32</c:f>
              <c:numCache>
                <c:formatCode>0.00%</c:formatCode>
                <c:ptCount val="15"/>
                <c:pt idx="0">
                  <c:v>0.03</c:v>
                </c:pt>
                <c:pt idx="1">
                  <c:v>3.2500000000000001E-2</c:v>
                </c:pt>
                <c:pt idx="2">
                  <c:v>3.5000000000000003E-2</c:v>
                </c:pt>
                <c:pt idx="3">
                  <c:v>3.7500000000000006E-2</c:v>
                </c:pt>
                <c:pt idx="4">
                  <c:v>4.0000000000000008E-2</c:v>
                </c:pt>
                <c:pt idx="5">
                  <c:v>4.250000000000001E-2</c:v>
                </c:pt>
                <c:pt idx="6">
                  <c:v>4.5000000000000012E-2</c:v>
                </c:pt>
                <c:pt idx="7">
                  <c:v>4.7500000000000014E-2</c:v>
                </c:pt>
                <c:pt idx="8">
                  <c:v>5.0000000000000017E-2</c:v>
                </c:pt>
                <c:pt idx="9">
                  <c:v>5.2500000000000019E-2</c:v>
                </c:pt>
                <c:pt idx="10">
                  <c:v>5.5000000000000021E-2</c:v>
                </c:pt>
                <c:pt idx="11">
                  <c:v>5.7500000000000023E-2</c:v>
                </c:pt>
                <c:pt idx="12">
                  <c:v>6.0000000000000026E-2</c:v>
                </c:pt>
                <c:pt idx="13">
                  <c:v>6.2500000000000028E-2</c:v>
                </c:pt>
                <c:pt idx="14">
                  <c:v>6.500000000000003E-2</c:v>
                </c:pt>
              </c:numCache>
            </c:numRef>
          </c:cat>
          <c:val>
            <c:numRef>
              <c:f>Report!$C$42:$Q$42</c:f>
              <c:numCache>
                <c:formatCode>0.00</c:formatCode>
                <c:ptCount val="15"/>
                <c:pt idx="0">
                  <c:v>96.072749999999999</c:v>
                </c:pt>
                <c:pt idx="1">
                  <c:v>97.923749999999998</c:v>
                </c:pt>
                <c:pt idx="2">
                  <c:v>98.923749999999998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Report!$B$55</c:f>
              <c:strCache>
                <c:ptCount val="1"/>
                <c:pt idx="0">
                  <c:v>Execution Price (3.0%)</c:v>
                </c:pt>
              </c:strCache>
            </c:strRef>
          </c:tx>
          <c:spPr>
            <a:ln>
              <a:solidFill>
                <a:srgbClr val="AD275C"/>
              </a:solidFill>
              <a:prstDash val="dashDot"/>
            </a:ln>
          </c:spPr>
          <c:marker>
            <c:symbol val="none"/>
          </c:marker>
          <c:cat>
            <c:numRef>
              <c:f>Report!$C$32:$Q$32</c:f>
              <c:numCache>
                <c:formatCode>0.00%</c:formatCode>
                <c:ptCount val="15"/>
                <c:pt idx="0">
                  <c:v>0.03</c:v>
                </c:pt>
                <c:pt idx="1">
                  <c:v>3.2500000000000001E-2</c:v>
                </c:pt>
                <c:pt idx="2">
                  <c:v>3.5000000000000003E-2</c:v>
                </c:pt>
                <c:pt idx="3">
                  <c:v>3.7500000000000006E-2</c:v>
                </c:pt>
                <c:pt idx="4">
                  <c:v>4.0000000000000008E-2</c:v>
                </c:pt>
                <c:pt idx="5">
                  <c:v>4.250000000000001E-2</c:v>
                </c:pt>
                <c:pt idx="6">
                  <c:v>4.5000000000000012E-2</c:v>
                </c:pt>
                <c:pt idx="7">
                  <c:v>4.7500000000000014E-2</c:v>
                </c:pt>
                <c:pt idx="8">
                  <c:v>5.0000000000000017E-2</c:v>
                </c:pt>
                <c:pt idx="9">
                  <c:v>5.2500000000000019E-2</c:v>
                </c:pt>
                <c:pt idx="10">
                  <c:v>5.5000000000000021E-2</c:v>
                </c:pt>
                <c:pt idx="11">
                  <c:v>5.7500000000000023E-2</c:v>
                </c:pt>
                <c:pt idx="12">
                  <c:v>6.0000000000000026E-2</c:v>
                </c:pt>
                <c:pt idx="13">
                  <c:v>6.2500000000000028E-2</c:v>
                </c:pt>
                <c:pt idx="14">
                  <c:v>6.500000000000003E-2</c:v>
                </c:pt>
              </c:numCache>
            </c:numRef>
          </c:cat>
          <c:val>
            <c:numRef>
              <c:f>Report!$C$55:$Q$55</c:f>
              <c:numCache>
                <c:formatCode>0.00</c:formatCode>
                <c:ptCount val="15"/>
                <c:pt idx="0">
                  <c:v>96.03134399999999</c:v>
                </c:pt>
                <c:pt idx="1">
                  <c:v>97.956344000000001</c:v>
                </c:pt>
                <c:pt idx="2">
                  <c:v>99.881343999999999</c:v>
                </c:pt>
                <c:pt idx="3">
                  <c:v>101.732344</c:v>
                </c:pt>
                <c:pt idx="4">
                  <c:v>102.732344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Report!$B$68</c:f>
              <c:strCache>
                <c:ptCount val="1"/>
                <c:pt idx="0">
                  <c:v>Execution Price (3.5%)</c:v>
                </c:pt>
              </c:strCache>
            </c:strRef>
          </c:tx>
          <c:spPr>
            <a:ln>
              <a:solidFill>
                <a:srgbClr val="74B629"/>
              </a:solidFill>
              <a:prstDash val="lgDash"/>
            </a:ln>
          </c:spPr>
          <c:marker>
            <c:symbol val="none"/>
          </c:marker>
          <c:cat>
            <c:numRef>
              <c:f>Report!$C$32:$Q$32</c:f>
              <c:numCache>
                <c:formatCode>0.00%</c:formatCode>
                <c:ptCount val="15"/>
                <c:pt idx="0">
                  <c:v>0.03</c:v>
                </c:pt>
                <c:pt idx="1">
                  <c:v>3.2500000000000001E-2</c:v>
                </c:pt>
                <c:pt idx="2">
                  <c:v>3.5000000000000003E-2</c:v>
                </c:pt>
                <c:pt idx="3">
                  <c:v>3.7500000000000006E-2</c:v>
                </c:pt>
                <c:pt idx="4">
                  <c:v>4.0000000000000008E-2</c:v>
                </c:pt>
                <c:pt idx="5">
                  <c:v>4.250000000000001E-2</c:v>
                </c:pt>
                <c:pt idx="6">
                  <c:v>4.5000000000000012E-2</c:v>
                </c:pt>
                <c:pt idx="7">
                  <c:v>4.7500000000000014E-2</c:v>
                </c:pt>
                <c:pt idx="8">
                  <c:v>5.0000000000000017E-2</c:v>
                </c:pt>
                <c:pt idx="9">
                  <c:v>5.2500000000000019E-2</c:v>
                </c:pt>
                <c:pt idx="10">
                  <c:v>5.5000000000000021E-2</c:v>
                </c:pt>
                <c:pt idx="11">
                  <c:v>5.7500000000000023E-2</c:v>
                </c:pt>
                <c:pt idx="12">
                  <c:v>6.0000000000000026E-2</c:v>
                </c:pt>
                <c:pt idx="13">
                  <c:v>6.2500000000000028E-2</c:v>
                </c:pt>
                <c:pt idx="14">
                  <c:v>6.500000000000003E-2</c:v>
                </c:pt>
              </c:numCache>
            </c:numRef>
          </c:cat>
          <c:val>
            <c:numRef>
              <c:f>Report!$C$68:$Q$68</c:f>
              <c:numCache>
                <c:formatCode>0.00</c:formatCode>
                <c:ptCount val="15"/>
                <c:pt idx="0">
                  <c:v>95.466499999999996</c:v>
                </c:pt>
                <c:pt idx="1">
                  <c:v>97.391499999999994</c:v>
                </c:pt>
                <c:pt idx="2">
                  <c:v>99.316500000000005</c:v>
                </c:pt>
                <c:pt idx="3">
                  <c:v>101.2415</c:v>
                </c:pt>
                <c:pt idx="4">
                  <c:v>103.1665</c:v>
                </c:pt>
                <c:pt idx="5">
                  <c:v>105.0175</c:v>
                </c:pt>
                <c:pt idx="6">
                  <c:v>106.0175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ser>
          <c:idx val="2"/>
          <c:order val="4"/>
          <c:tx>
            <c:strRef>
              <c:f>Report!$B$81</c:f>
              <c:strCache>
                <c:ptCount val="1"/>
                <c:pt idx="0">
                  <c:v>Execution Price (4.0%)</c:v>
                </c:pt>
              </c:strCache>
            </c:strRef>
          </c:tx>
          <c:spPr>
            <a:ln w="28575">
              <a:solidFill>
                <a:srgbClr val="C7732D"/>
              </a:solidFill>
              <a:prstDash val="lgDashDotDot"/>
            </a:ln>
          </c:spPr>
          <c:marker>
            <c:symbol val="none"/>
          </c:marker>
          <c:cat>
            <c:numRef>
              <c:f>Report!$C$32:$Q$32</c:f>
              <c:numCache>
                <c:formatCode>0.00%</c:formatCode>
                <c:ptCount val="15"/>
                <c:pt idx="0">
                  <c:v>0.03</c:v>
                </c:pt>
                <c:pt idx="1">
                  <c:v>3.2500000000000001E-2</c:v>
                </c:pt>
                <c:pt idx="2">
                  <c:v>3.5000000000000003E-2</c:v>
                </c:pt>
                <c:pt idx="3">
                  <c:v>3.7500000000000006E-2</c:v>
                </c:pt>
                <c:pt idx="4">
                  <c:v>4.0000000000000008E-2</c:v>
                </c:pt>
                <c:pt idx="5">
                  <c:v>4.250000000000001E-2</c:v>
                </c:pt>
                <c:pt idx="6">
                  <c:v>4.5000000000000012E-2</c:v>
                </c:pt>
                <c:pt idx="7">
                  <c:v>4.7500000000000014E-2</c:v>
                </c:pt>
                <c:pt idx="8">
                  <c:v>5.0000000000000017E-2</c:v>
                </c:pt>
                <c:pt idx="9">
                  <c:v>5.2500000000000019E-2</c:v>
                </c:pt>
                <c:pt idx="10">
                  <c:v>5.5000000000000021E-2</c:v>
                </c:pt>
                <c:pt idx="11">
                  <c:v>5.7500000000000023E-2</c:v>
                </c:pt>
                <c:pt idx="12">
                  <c:v>6.0000000000000026E-2</c:v>
                </c:pt>
                <c:pt idx="13">
                  <c:v>6.2500000000000028E-2</c:v>
                </c:pt>
                <c:pt idx="14">
                  <c:v>6.500000000000003E-2</c:v>
                </c:pt>
              </c:numCache>
            </c:numRef>
          </c:cat>
          <c:val>
            <c:numRef>
              <c:f>Report!$C$81:$Q$81</c:f>
              <c:numCache>
                <c:formatCode>0.00</c:formatCode>
                <c:ptCount val="15"/>
                <c:pt idx="0">
                  <c:v>94.132125000000002</c:v>
                </c:pt>
                <c:pt idx="1">
                  <c:v>96.057124999999999</c:v>
                </c:pt>
                <c:pt idx="2">
                  <c:v>97.982124999999996</c:v>
                </c:pt>
                <c:pt idx="3">
                  <c:v>99.907125000000008</c:v>
                </c:pt>
                <c:pt idx="4">
                  <c:v>101.832125</c:v>
                </c:pt>
                <c:pt idx="5">
                  <c:v>103.757125</c:v>
                </c:pt>
                <c:pt idx="6">
                  <c:v>105.68212500000001</c:v>
                </c:pt>
                <c:pt idx="7">
                  <c:v>107.53312500000001</c:v>
                </c:pt>
                <c:pt idx="8">
                  <c:v>108.53312500000001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881344"/>
        <c:axId val="339895808"/>
      </c:lineChart>
      <c:catAx>
        <c:axId val="339881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Primary Mortgage Rate</a:t>
                </a:r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339895808"/>
        <c:crosses val="autoZero"/>
        <c:auto val="1"/>
        <c:lblAlgn val="ctr"/>
        <c:lblOffset val="100"/>
        <c:noMultiLvlLbl val="0"/>
      </c:catAx>
      <c:valAx>
        <c:axId val="339895808"/>
        <c:scaling>
          <c:orientation val="minMax"/>
          <c:max val="110"/>
          <c:min val="9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Execution</a:t>
                </a:r>
                <a:r>
                  <a:rPr lang="en-US" baseline="0"/>
                  <a:t> Price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3398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523802805569162"/>
          <c:y val="0.4156393232234834"/>
          <c:w val="0.24476200051721525"/>
          <c:h val="0.1920909899670676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Best Execution Coupon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Report!$B$86</c:f>
              <c:strCache>
                <c:ptCount val="1"/>
                <c:pt idx="0">
                  <c:v>Coupon</c:v>
                </c:pt>
              </c:strCache>
            </c:strRef>
          </c:tx>
          <c:spPr>
            <a:solidFill>
              <a:srgbClr val="2E398A"/>
            </a:solidFill>
            <a:ln>
              <a:solidFill>
                <a:srgbClr val="2E398A"/>
              </a:solidFill>
            </a:ln>
          </c:spPr>
          <c:invertIfNegative val="0"/>
          <c:cat>
            <c:numRef>
              <c:f>Report!$C$32:$Q$32</c:f>
              <c:numCache>
                <c:formatCode>0.00%</c:formatCode>
                <c:ptCount val="15"/>
                <c:pt idx="0">
                  <c:v>0.03</c:v>
                </c:pt>
                <c:pt idx="1">
                  <c:v>3.2500000000000001E-2</c:v>
                </c:pt>
                <c:pt idx="2">
                  <c:v>3.5000000000000003E-2</c:v>
                </c:pt>
                <c:pt idx="3">
                  <c:v>3.7500000000000006E-2</c:v>
                </c:pt>
                <c:pt idx="4">
                  <c:v>4.0000000000000008E-2</c:v>
                </c:pt>
                <c:pt idx="5">
                  <c:v>4.250000000000001E-2</c:v>
                </c:pt>
                <c:pt idx="6">
                  <c:v>4.5000000000000012E-2</c:v>
                </c:pt>
                <c:pt idx="7">
                  <c:v>4.7500000000000014E-2</c:v>
                </c:pt>
                <c:pt idx="8">
                  <c:v>5.0000000000000017E-2</c:v>
                </c:pt>
                <c:pt idx="9">
                  <c:v>5.2500000000000019E-2</c:v>
                </c:pt>
                <c:pt idx="10">
                  <c:v>5.5000000000000021E-2</c:v>
                </c:pt>
                <c:pt idx="11">
                  <c:v>5.7500000000000023E-2</c:v>
                </c:pt>
                <c:pt idx="12">
                  <c:v>6.0000000000000026E-2</c:v>
                </c:pt>
                <c:pt idx="13">
                  <c:v>6.2500000000000028E-2</c:v>
                </c:pt>
                <c:pt idx="14">
                  <c:v>6.500000000000003E-2</c:v>
                </c:pt>
              </c:numCache>
            </c:numRef>
          </c:cat>
          <c:val>
            <c:numRef>
              <c:f>Report!$C$86:$Q$86</c:f>
              <c:numCache>
                <c:formatCode>0.00%</c:formatCode>
                <c:ptCount val="15"/>
                <c:pt idx="0">
                  <c:v>2.5000000000000001E-2</c:v>
                </c:pt>
                <c:pt idx="1">
                  <c:v>3.0000000000000002E-2</c:v>
                </c:pt>
                <c:pt idx="2">
                  <c:v>3.0000000000000002E-2</c:v>
                </c:pt>
                <c:pt idx="3">
                  <c:v>3.0000000000000002E-2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585280"/>
        <c:axId val="339931520"/>
      </c:barChart>
      <c:catAx>
        <c:axId val="33958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Primary</a:t>
                </a:r>
                <a:r>
                  <a:rPr lang="en-US" baseline="0"/>
                  <a:t> Mortgage Rate</a:t>
                </a:r>
                <a:endParaRPr lang="en-US"/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339931520"/>
        <c:crosses val="autoZero"/>
        <c:auto val="1"/>
        <c:lblAlgn val="ctr"/>
        <c:lblOffset val="100"/>
        <c:noMultiLvlLbl val="0"/>
      </c:catAx>
      <c:valAx>
        <c:axId val="339931520"/>
        <c:scaling>
          <c:orientation val="minMax"/>
          <c:max val="4.0000000000000008E-2"/>
          <c:min val="2.0000000000000004E-2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Execution</a:t>
                </a:r>
                <a:r>
                  <a:rPr lang="en-US" baseline="0"/>
                  <a:t> Coupon</a:t>
                </a:r>
                <a:endParaRPr lang="en-US"/>
              </a:p>
            </c:rich>
          </c:tx>
          <c:layout/>
          <c:overlay val="0"/>
        </c:title>
        <c:numFmt formatCode="0.00%" sourceLinked="1"/>
        <c:majorTickMark val="out"/>
        <c:minorTickMark val="none"/>
        <c:tickLblPos val="nextTo"/>
        <c:crossAx val="339585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10583</xdr:colOff>
      <xdr:row>31</xdr:row>
      <xdr:rowOff>0</xdr:rowOff>
    </xdr:from>
    <xdr:to>
      <xdr:col>26</xdr:col>
      <xdr:colOff>134470</xdr:colOff>
      <xdr:row>60</xdr:row>
      <xdr:rowOff>105831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604494</xdr:colOff>
      <xdr:row>62</xdr:row>
      <xdr:rowOff>102286</xdr:rowOff>
    </xdr:from>
    <xdr:to>
      <xdr:col>26</xdr:col>
      <xdr:colOff>96807</xdr:colOff>
      <xdr:row>86</xdr:row>
      <xdr:rowOff>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1053354</xdr:colOff>
      <xdr:row>3</xdr:row>
      <xdr:rowOff>169022</xdr:rowOff>
    </xdr:from>
    <xdr:to>
      <xdr:col>20</xdr:col>
      <xdr:colOff>1580030</xdr:colOff>
      <xdr:row>5</xdr:row>
      <xdr:rowOff>112993</xdr:rowOff>
    </xdr:to>
    <xdr:sp macro="[1]!RunBestExecutionDailyReport" textlink="">
      <xdr:nvSpPr>
        <xdr:cNvPr id="4" name="Rounded Rectangle 3"/>
        <xdr:cNvSpPr/>
      </xdr:nvSpPr>
      <xdr:spPr>
        <a:xfrm>
          <a:off x="18007854" y="740522"/>
          <a:ext cx="1593476" cy="32497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Run</a:t>
          </a:r>
          <a:r>
            <a:rPr lang="en-US" sz="1100" b="1" baseline="0"/>
            <a:t> The Report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en%20Workspace/12.Primary%20Market%20Package/2.Servicer%20Best%20Execution/2015-03-10%20Servicer%20Execu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</sheetNames>
    <definedNames>
      <definedName name="RunBestExecutionDailyReport"/>
    </definedNames>
    <sheetDataSet>
      <sheetData sheetId="0">
        <row r="2">
          <cell r="U2">
            <v>42069</v>
          </cell>
        </row>
        <row r="32">
          <cell r="C32">
            <v>0.03</v>
          </cell>
          <cell r="D32">
            <v>3.2500000000000001E-2</v>
          </cell>
          <cell r="E32">
            <v>3.5000000000000003E-2</v>
          </cell>
          <cell r="F32">
            <v>3.7500000000000006E-2</v>
          </cell>
          <cell r="G32">
            <v>4.0000000000000008E-2</v>
          </cell>
          <cell r="H32">
            <v>4.250000000000001E-2</v>
          </cell>
          <cell r="I32">
            <v>4.5000000000000012E-2</v>
          </cell>
          <cell r="J32">
            <v>4.7500000000000014E-2</v>
          </cell>
          <cell r="K32">
            <v>5.0000000000000017E-2</v>
          </cell>
          <cell r="L32">
            <v>5.2500000000000019E-2</v>
          </cell>
          <cell r="M32">
            <v>5.5000000000000021E-2</v>
          </cell>
          <cell r="N32">
            <v>5.7500000000000023E-2</v>
          </cell>
          <cell r="O32">
            <v>6.0000000000000026E-2</v>
          </cell>
          <cell r="P32">
            <v>6.2500000000000028E-2</v>
          </cell>
          <cell r="Q32">
            <v>6.500000000000003E-2</v>
          </cell>
        </row>
        <row r="42">
          <cell r="B42" t="str">
            <v>Execution Price (2.5%)</v>
          </cell>
          <cell r="C42">
            <v>96.072749999999999</v>
          </cell>
          <cell r="D42">
            <v>97.923749999999998</v>
          </cell>
          <cell r="E42">
            <v>98.923749999999998</v>
          </cell>
          <cell r="F42" t="str">
            <v>NA</v>
          </cell>
          <cell r="G42" t="str">
            <v>NA</v>
          </cell>
          <cell r="H42" t="str">
            <v>NA</v>
          </cell>
          <cell r="I42" t="str">
            <v>NA</v>
          </cell>
          <cell r="J42" t="str">
            <v>NA</v>
          </cell>
          <cell r="K42" t="str">
            <v>NA</v>
          </cell>
          <cell r="L42" t="str">
            <v>NA</v>
          </cell>
          <cell r="M42" t="str">
            <v>NA</v>
          </cell>
          <cell r="N42" t="str">
            <v>NA</v>
          </cell>
          <cell r="O42" t="str">
            <v>NA</v>
          </cell>
          <cell r="P42" t="str">
            <v>NA</v>
          </cell>
          <cell r="Q42" t="str">
            <v>NA</v>
          </cell>
        </row>
        <row r="55">
          <cell r="B55" t="str">
            <v>Execution Price (3.0%)</v>
          </cell>
          <cell r="C55">
            <v>96.03134399999999</v>
          </cell>
          <cell r="D55">
            <v>97.956344000000001</v>
          </cell>
          <cell r="E55">
            <v>99.881343999999999</v>
          </cell>
          <cell r="F55">
            <v>101.732344</v>
          </cell>
          <cell r="G55">
            <v>102.732344</v>
          </cell>
          <cell r="H55" t="str">
            <v>NA</v>
          </cell>
          <cell r="I55" t="str">
            <v>NA</v>
          </cell>
          <cell r="J55" t="str">
            <v>NA</v>
          </cell>
          <cell r="K55" t="str">
            <v>NA</v>
          </cell>
          <cell r="L55" t="str">
            <v>NA</v>
          </cell>
          <cell r="M55" t="str">
            <v>NA</v>
          </cell>
          <cell r="N55" t="str">
            <v>NA</v>
          </cell>
          <cell r="O55" t="str">
            <v>NA</v>
          </cell>
          <cell r="P55" t="str">
            <v>NA</v>
          </cell>
          <cell r="Q55" t="str">
            <v>NA</v>
          </cell>
        </row>
        <row r="68">
          <cell r="B68" t="str">
            <v>Execution Price (3.5%)</v>
          </cell>
          <cell r="C68">
            <v>95.466499999999996</v>
          </cell>
          <cell r="D68">
            <v>97.391499999999994</v>
          </cell>
          <cell r="E68">
            <v>99.316500000000005</v>
          </cell>
          <cell r="F68">
            <v>101.2415</v>
          </cell>
          <cell r="G68">
            <v>103.1665</v>
          </cell>
          <cell r="H68">
            <v>105.0175</v>
          </cell>
          <cell r="I68">
            <v>106.0175</v>
          </cell>
          <cell r="J68" t="str">
            <v>NA</v>
          </cell>
          <cell r="K68" t="str">
            <v>NA</v>
          </cell>
          <cell r="L68" t="str">
            <v>NA</v>
          </cell>
          <cell r="M68" t="str">
            <v>NA</v>
          </cell>
          <cell r="N68" t="str">
            <v>NA</v>
          </cell>
          <cell r="O68" t="str">
            <v>NA</v>
          </cell>
          <cell r="P68" t="str">
            <v>NA</v>
          </cell>
          <cell r="Q68" t="str">
            <v>NA</v>
          </cell>
        </row>
        <row r="81">
          <cell r="B81" t="str">
            <v>Execution Price (4.0%)</v>
          </cell>
          <cell r="C81">
            <v>94.132125000000002</v>
          </cell>
          <cell r="D81">
            <v>96.057124999999999</v>
          </cell>
          <cell r="E81">
            <v>97.982124999999996</v>
          </cell>
          <cell r="F81">
            <v>99.907125000000008</v>
          </cell>
          <cell r="G81">
            <v>101.832125</v>
          </cell>
          <cell r="H81">
            <v>103.757125</v>
          </cell>
          <cell r="I81">
            <v>105.68212500000001</v>
          </cell>
          <cell r="J81">
            <v>107.53312500000001</v>
          </cell>
          <cell r="K81">
            <v>108.53312500000001</v>
          </cell>
          <cell r="L81" t="str">
            <v>NA</v>
          </cell>
          <cell r="M81" t="str">
            <v>NA</v>
          </cell>
          <cell r="N81" t="str">
            <v>NA</v>
          </cell>
          <cell r="O81" t="str">
            <v>NA</v>
          </cell>
          <cell r="P81" t="str">
            <v>NA</v>
          </cell>
          <cell r="Q81" t="str">
            <v>NA</v>
          </cell>
        </row>
        <row r="84">
          <cell r="B84" t="str">
            <v>Best Execution</v>
          </cell>
          <cell r="C84">
            <v>96.072749999999999</v>
          </cell>
          <cell r="D84">
            <v>97.956344000000001</v>
          </cell>
          <cell r="E84">
            <v>99.881343999999999</v>
          </cell>
          <cell r="F84">
            <v>101.732344</v>
          </cell>
          <cell r="G84">
            <v>103.1665</v>
          </cell>
          <cell r="H84">
            <v>105.0175</v>
          </cell>
          <cell r="I84">
            <v>106.0175</v>
          </cell>
          <cell r="J84">
            <v>107.53312500000001</v>
          </cell>
          <cell r="K84">
            <v>108.53312500000001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6">
          <cell r="B86" t="str">
            <v>Coupon</v>
          </cell>
          <cell r="C86">
            <v>2.5000000000000001E-2</v>
          </cell>
          <cell r="D86">
            <v>3.0000000000000002E-2</v>
          </cell>
          <cell r="E86">
            <v>3.0000000000000002E-2</v>
          </cell>
          <cell r="F86">
            <v>3.0000000000000002E-2</v>
          </cell>
          <cell r="G86">
            <v>3.5000000000000003E-2</v>
          </cell>
          <cell r="H86">
            <v>3.5000000000000003E-2</v>
          </cell>
          <cell r="I86">
            <v>3.5000000000000003E-2</v>
          </cell>
          <cell r="J86">
            <v>0.04</v>
          </cell>
          <cell r="K86">
            <v>0.04</v>
          </cell>
          <cell r="L86">
            <v>0.04</v>
          </cell>
          <cell r="M86">
            <v>0.04</v>
          </cell>
          <cell r="N86">
            <v>0.04</v>
          </cell>
          <cell r="O86">
            <v>0.04</v>
          </cell>
          <cell r="P86">
            <v>0.04</v>
          </cell>
          <cell r="Q86">
            <v>0.04</v>
          </cell>
        </row>
      </sheetData>
      <sheetData sheetId="1">
        <row r="3">
          <cell r="P3" t="str">
            <v>Front Month TBA</v>
          </cell>
        </row>
        <row r="4">
          <cell r="P4" t="str">
            <v>TickerName</v>
          </cell>
          <cell r="Q4" t="str">
            <v>SeriesNumValue</v>
          </cell>
          <cell r="R4" t="str">
            <v>Month</v>
          </cell>
        </row>
        <row r="5">
          <cell r="P5" t="str">
            <v>FNMA2.0-TBA-APR</v>
          </cell>
          <cell r="Q5">
            <v>92.71875</v>
          </cell>
          <cell r="R5" t="str">
            <v>Apr</v>
          </cell>
        </row>
        <row r="6">
          <cell r="P6" t="str">
            <v/>
          </cell>
          <cell r="Q6" t="str">
            <v/>
          </cell>
          <cell r="R6" t="str">
            <v/>
          </cell>
        </row>
        <row r="7">
          <cell r="P7" t="str">
            <v/>
          </cell>
          <cell r="Q7" t="str">
            <v/>
          </cell>
          <cell r="R7" t="str">
            <v/>
          </cell>
        </row>
        <row r="8">
          <cell r="P8" t="str">
            <v/>
          </cell>
          <cell r="Q8" t="str">
            <v/>
          </cell>
          <cell r="R8" t="str">
            <v/>
          </cell>
        </row>
        <row r="9">
          <cell r="P9" t="str">
            <v>FNMA2.5-TBA-APR</v>
          </cell>
          <cell r="Q9">
            <v>96.59375</v>
          </cell>
          <cell r="R9" t="str">
            <v>Apr</v>
          </cell>
        </row>
        <row r="10">
          <cell r="P10" t="str">
            <v/>
          </cell>
          <cell r="Q10" t="str">
            <v/>
          </cell>
          <cell r="R10" t="str">
            <v/>
          </cell>
        </row>
        <row r="11">
          <cell r="P11" t="str">
            <v/>
          </cell>
          <cell r="Q11" t="str">
            <v/>
          </cell>
          <cell r="R11" t="str">
            <v/>
          </cell>
        </row>
        <row r="12">
          <cell r="P12" t="str">
            <v/>
          </cell>
          <cell r="Q12" t="str">
            <v/>
          </cell>
          <cell r="R12" t="str">
            <v/>
          </cell>
        </row>
        <row r="13">
          <cell r="P13" t="str">
            <v>FNMA3.0-TBA-APR</v>
          </cell>
          <cell r="Q13">
            <v>100.402344</v>
          </cell>
          <cell r="R13" t="str">
            <v>Apr</v>
          </cell>
        </row>
        <row r="14">
          <cell r="P14" t="str">
            <v/>
          </cell>
          <cell r="Q14" t="str">
            <v/>
          </cell>
          <cell r="R14" t="str">
            <v/>
          </cell>
        </row>
        <row r="15">
          <cell r="P15" t="str">
            <v/>
          </cell>
          <cell r="Q15" t="str">
            <v/>
          </cell>
          <cell r="R15" t="str">
            <v/>
          </cell>
        </row>
        <row r="16">
          <cell r="P16" t="str">
            <v/>
          </cell>
          <cell r="Q16" t="str">
            <v/>
          </cell>
          <cell r="R16" t="str">
            <v/>
          </cell>
        </row>
        <row r="17">
          <cell r="P17" t="str">
            <v>FNMA3.5-TBA-APR</v>
          </cell>
          <cell r="Q17">
            <v>103.6875</v>
          </cell>
          <cell r="R17" t="str">
            <v>Apr</v>
          </cell>
        </row>
        <row r="18">
          <cell r="P18" t="str">
            <v/>
          </cell>
          <cell r="Q18" t="str">
            <v/>
          </cell>
          <cell r="R18" t="str">
            <v/>
          </cell>
        </row>
        <row r="19">
          <cell r="P19" t="str">
            <v/>
          </cell>
          <cell r="Q19" t="str">
            <v/>
          </cell>
          <cell r="R19" t="str">
            <v/>
          </cell>
        </row>
        <row r="20">
          <cell r="P20" t="str">
            <v/>
          </cell>
          <cell r="Q20" t="str">
            <v/>
          </cell>
          <cell r="R20" t="str">
            <v/>
          </cell>
        </row>
        <row r="21">
          <cell r="P21" t="str">
            <v>FNMA4.0-TBA-APR</v>
          </cell>
          <cell r="Q21">
            <v>106.203125</v>
          </cell>
          <cell r="R21" t="str">
            <v>Apr</v>
          </cell>
        </row>
        <row r="22">
          <cell r="P22" t="str">
            <v/>
          </cell>
          <cell r="Q22" t="str">
            <v/>
          </cell>
          <cell r="R22" t="str">
            <v/>
          </cell>
        </row>
        <row r="23">
          <cell r="P23" t="str">
            <v/>
          </cell>
          <cell r="Q23" t="str">
            <v/>
          </cell>
          <cell r="R23" t="str">
            <v/>
          </cell>
        </row>
        <row r="24">
          <cell r="P24" t="str">
            <v/>
          </cell>
          <cell r="Q24" t="str">
            <v/>
          </cell>
          <cell r="R24" t="str">
            <v/>
          </cell>
        </row>
        <row r="25">
          <cell r="P25" t="str">
            <v>FNMA4.5-TBA-APR</v>
          </cell>
          <cell r="Q25">
            <v>108.386719</v>
          </cell>
          <cell r="R25" t="str">
            <v>Apr</v>
          </cell>
        </row>
        <row r="26">
          <cell r="P26" t="str">
            <v/>
          </cell>
          <cell r="Q26" t="str">
            <v/>
          </cell>
          <cell r="R26" t="str">
            <v/>
          </cell>
        </row>
        <row r="27">
          <cell r="P27" t="str">
            <v/>
          </cell>
          <cell r="Q27" t="str">
            <v/>
          </cell>
          <cell r="R27" t="str">
            <v/>
          </cell>
        </row>
        <row r="28">
          <cell r="P28" t="str">
            <v/>
          </cell>
          <cell r="Q28" t="str">
            <v/>
          </cell>
          <cell r="R28" t="str">
            <v/>
          </cell>
        </row>
        <row r="29">
          <cell r="P29" t="str">
            <v>FNMA5.0-TBA-APR</v>
          </cell>
          <cell r="Q29">
            <v>110.734375</v>
          </cell>
          <cell r="R29" t="str">
            <v>Apr</v>
          </cell>
        </row>
        <row r="30">
          <cell r="P30" t="str">
            <v/>
          </cell>
          <cell r="Q30" t="str">
            <v/>
          </cell>
          <cell r="R30" t="str">
            <v/>
          </cell>
        </row>
        <row r="31">
          <cell r="P31" t="str">
            <v/>
          </cell>
          <cell r="Q31" t="str">
            <v/>
          </cell>
          <cell r="R31" t="str">
            <v/>
          </cell>
        </row>
        <row r="32">
          <cell r="P32" t="str">
            <v/>
          </cell>
          <cell r="Q32" t="str">
            <v/>
          </cell>
          <cell r="R32" t="str">
            <v/>
          </cell>
        </row>
        <row r="33">
          <cell r="P33" t="str">
            <v>FNMA5.5-TBA-APR</v>
          </cell>
          <cell r="Q33">
            <v>112.203125</v>
          </cell>
          <cell r="R33" t="str">
            <v>Apr</v>
          </cell>
        </row>
        <row r="34">
          <cell r="P34" t="str">
            <v/>
          </cell>
          <cell r="Q34" t="str">
            <v/>
          </cell>
          <cell r="R34" t="str">
            <v/>
          </cell>
        </row>
        <row r="35">
          <cell r="P35" t="str">
            <v/>
          </cell>
          <cell r="Q35" t="str">
            <v/>
          </cell>
          <cell r="R35" t="str">
            <v/>
          </cell>
        </row>
        <row r="36">
          <cell r="P36" t="str">
            <v/>
          </cell>
          <cell r="Q36" t="str">
            <v/>
          </cell>
          <cell r="R36" t="str">
            <v/>
          </cell>
        </row>
        <row r="37">
          <cell r="P37" t="str">
            <v>FNMA6.0-TBA-APR</v>
          </cell>
          <cell r="Q37">
            <v>113.65625</v>
          </cell>
          <cell r="R37" t="str">
            <v>Apr</v>
          </cell>
        </row>
        <row r="38">
          <cell r="P38" t="str">
            <v/>
          </cell>
          <cell r="Q38" t="str">
            <v/>
          </cell>
          <cell r="R38" t="str">
            <v/>
          </cell>
        </row>
        <row r="39">
          <cell r="P39" t="str">
            <v/>
          </cell>
          <cell r="Q39" t="str">
            <v/>
          </cell>
          <cell r="R39" t="str">
            <v/>
          </cell>
        </row>
        <row r="40">
          <cell r="P40" t="str">
            <v/>
          </cell>
          <cell r="Q40" t="str">
            <v/>
          </cell>
          <cell r="R40" t="str">
            <v/>
          </cell>
        </row>
        <row r="41">
          <cell r="P41" t="str">
            <v>FNMA6.5-TBA-APR</v>
          </cell>
          <cell r="Q41">
            <v>114.546875</v>
          </cell>
          <cell r="R41" t="str">
            <v>Apr</v>
          </cell>
        </row>
        <row r="42">
          <cell r="P42" t="str">
            <v/>
          </cell>
          <cell r="Q42" t="str">
            <v/>
          </cell>
          <cell r="R42" t="str">
            <v/>
          </cell>
        </row>
        <row r="43">
          <cell r="P43" t="str">
            <v/>
          </cell>
          <cell r="Q43" t="str">
            <v/>
          </cell>
          <cell r="R43" t="str">
            <v/>
          </cell>
        </row>
        <row r="44">
          <cell r="P44" t="str">
            <v/>
          </cell>
          <cell r="Q44" t="str">
            <v/>
          </cell>
          <cell r="R44" t="str">
            <v/>
          </cell>
        </row>
        <row r="45">
          <cell r="P45" t="str">
            <v>FNMA7.0-TBA-APR</v>
          </cell>
          <cell r="Q45">
            <v>114.65625</v>
          </cell>
          <cell r="R45" t="str">
            <v>Apr</v>
          </cell>
        </row>
        <row r="46">
          <cell r="P46" t="str">
            <v/>
          </cell>
          <cell r="Q46" t="str">
            <v/>
          </cell>
          <cell r="R46" t="str">
            <v/>
          </cell>
        </row>
        <row r="47">
          <cell r="P47" t="str">
            <v/>
          </cell>
          <cell r="Q47" t="str">
            <v/>
          </cell>
          <cell r="R47" t="str">
            <v/>
          </cell>
        </row>
        <row r="48">
          <cell r="P48" t="str">
            <v/>
          </cell>
          <cell r="Q48" t="str">
            <v/>
          </cell>
          <cell r="R48" t="str">
            <v/>
          </cell>
        </row>
      </sheetData>
    </sheetDataSet>
  </externalBook>
</externalLink>
</file>

<file path=xl/queryTables/queryTable1.xml><?xml version="1.0" encoding="utf-8"?>
<queryTable xmlns="http://schemas.openxmlformats.org/spreadsheetml/2006/main" name="Query from Agency" backgroundRefresh="0" adjustColumnWidth="0" connectionId="1" autoFormatId="16" applyNumberFormats="0" applyBorderFormats="0" applyFontFormats="0" applyPatternFormats="0" applyAlignmentFormats="0" applyWidthHeightFormats="0">
  <queryTableRefresh nextId="59">
    <queryTableFields count="4">
      <queryTableField id="45" name="TickerName" tableColumnId="4"/>
      <queryTableField id="46" name="SeriesType" tableColumnId="5"/>
      <queryTableField id="51" name="AsOfDate" tableColumnId="10"/>
      <queryTableField id="52" name="SeriesNumValue" tableColumnId="11"/>
    </queryTableFields>
  </queryTableRefresh>
</queryTable>
</file>

<file path=xl/queryTables/queryTable2.xml><?xml version="1.0" encoding="utf-8"?>
<queryTable xmlns="http://schemas.openxmlformats.org/spreadsheetml/2006/main" name="Query from Agency_6" backgroundRefresh="0" adjustColumnWidth="0" connectionId="2" autoFormatId="16" applyNumberFormats="0" applyBorderFormats="0" applyFontFormats="0" applyPatternFormats="0" applyAlignmentFormats="0" applyWidthHeightFormats="0">
  <queryTableRefresh nextId="66">
    <queryTableFields count="3">
      <queryTableField id="45" name="TickerName" tableColumnId="4"/>
      <queryTableField id="51" name="AsOfDate" tableColumnId="10"/>
      <queryTableField id="65" name="SeriesNumValu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CurrentMtgRatesDataTable" displayName="CurrentMtgRatesDataTable" ref="A4:D61" tableType="queryTable" totalsRowShown="0" headerRowDxfId="13" dataDxfId="12">
  <tableColumns count="4">
    <tableColumn id="4" uniqueName="4" name="TickerName" queryTableFieldId="45" dataDxfId="11" dataCellStyle="Normal 2 7"/>
    <tableColumn id="5" uniqueName="5" name="SeriesType" queryTableFieldId="46" dataDxfId="10" dataCellStyle="Normal 2 7"/>
    <tableColumn id="10" uniqueName="10" name="AsOfDate" queryTableFieldId="51" dataDxfId="9" dataCellStyle="Normal 2 7"/>
    <tableColumn id="11" uniqueName="11" name="SeriesNumValue" queryTableFieldId="52" dataDxfId="8" dataCellStyle="Normal 2 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CurrentMtgRatesDataTable8" displayName="CurrentMtgRatesDataTable8" ref="F4:H24673" tableType="queryTable" totalsRowShown="0" headerRowDxfId="7" dataDxfId="6">
  <tableColumns count="3">
    <tableColumn id="4" uniqueName="4" name="TickerName" queryTableFieldId="45" dataDxfId="2" dataCellStyle="Normal 2 7"/>
    <tableColumn id="10" uniqueName="10" name="AsOfDate" queryTableFieldId="51" dataDxfId="1" dataCellStyle="Normal 2 7"/>
    <tableColumn id="1" uniqueName="1" name="SeriesNumValue" queryTableFieldId="65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59999389629810485"/>
    <pageSetUpPr fitToPage="1"/>
  </sheetPr>
  <dimension ref="B1:W86"/>
  <sheetViews>
    <sheetView zoomScale="85" zoomScaleNormal="85" workbookViewId="0">
      <selection activeCell="J28" sqref="J28"/>
    </sheetView>
  </sheetViews>
  <sheetFormatPr defaultRowHeight="15"/>
  <cols>
    <col min="2" max="2" width="22.140625" customWidth="1"/>
    <col min="3" max="17" width="12.140625" bestFit="1" customWidth="1"/>
    <col min="18" max="18" width="31.7109375" bestFit="1" customWidth="1"/>
    <col min="20" max="20" width="16" bestFit="1" customWidth="1"/>
    <col min="21" max="21" width="24.140625" customWidth="1"/>
    <col min="22" max="22" width="15.7109375" bestFit="1" customWidth="1"/>
  </cols>
  <sheetData>
    <row r="1" spans="20:23">
      <c r="T1" s="2" t="s">
        <v>16</v>
      </c>
      <c r="U1" s="3" t="s">
        <v>17</v>
      </c>
      <c r="V1" t="s">
        <v>18</v>
      </c>
      <c r="W1" s="3" t="s">
        <v>19</v>
      </c>
    </row>
    <row r="2" spans="20:23">
      <c r="T2" s="2" t="s">
        <v>20</v>
      </c>
      <c r="U2" s="4">
        <v>42069</v>
      </c>
    </row>
    <row r="3" spans="20:23">
      <c r="T3" s="2" t="s">
        <v>21</v>
      </c>
      <c r="U3" s="5" t="str">
        <f>"S:\Users\Lien\Daily Report\Servicer Best Execution\Servicer Execution Report " &amp; TEXT(CurrentCloseDate, "yyyy-mm-dd") &amp; ".pdf"</f>
        <v>S:\Users\Lien\Daily Report\Servicer Best Execution\Servicer Execution Report 2015-03-06.pdf</v>
      </c>
    </row>
    <row r="20" spans="2:18" ht="15.75" thickBot="1"/>
    <row r="21" spans="2:18">
      <c r="B21" s="6" t="s">
        <v>15</v>
      </c>
      <c r="C21" s="7">
        <v>2.5000000000000001E-2</v>
      </c>
      <c r="D21" s="7">
        <f>C21+0.5%</f>
        <v>3.0000000000000002E-2</v>
      </c>
      <c r="E21" s="7">
        <f t="shared" ref="E21:F21" si="0">D21+0.5%</f>
        <v>3.5000000000000003E-2</v>
      </c>
      <c r="F21" s="8">
        <f t="shared" si="0"/>
        <v>0.04</v>
      </c>
      <c r="H21" s="9" t="s">
        <v>22</v>
      </c>
    </row>
    <row r="22" spans="2:18" ht="15.75" thickBot="1">
      <c r="B22" s="10" t="s">
        <v>23</v>
      </c>
      <c r="C22" s="11">
        <f>VLOOKUP("FNMA"&amp;TEXT(C21*100,"0.0")&amp;"-TBA-"&amp;$H$22,'[1]Time Series Query'!$P:$R,2,0)</f>
        <v>96.59375</v>
      </c>
      <c r="D22" s="11">
        <f>VLOOKUP("FNMA"&amp;TEXT(D21*100,"0.0")&amp;"-TBA-"&amp;$H$22,'[1]Time Series Query'!$P:$R,2,0)</f>
        <v>100.402344</v>
      </c>
      <c r="E22" s="11">
        <f>VLOOKUP("FNMA"&amp;TEXT(E21*100,"0.0")&amp;"-TBA-"&amp;$H$22,'[1]Time Series Query'!$P:$R,2,0)</f>
        <v>103.6875</v>
      </c>
      <c r="F22" s="12">
        <f>VLOOKUP("FNMA"&amp;TEXT(F21*100,"0.0")&amp;"-TBA-"&amp;$H$22,'[1]Time Series Query'!$P:$R,2,0)</f>
        <v>106.203125</v>
      </c>
      <c r="H22" s="13" t="str">
        <f>IF(COUNTA('[1]Time Series Query'!R5:R48),INDEX('[1]Time Series Query'!R5:R48,MATCH(TRUE,INDEX('[1]Time Series Query'!R5:R48&lt;&gt;"",0),0)),"")</f>
        <v>Apr</v>
      </c>
    </row>
    <row r="23" spans="2:18" ht="15.75" thickBot="1">
      <c r="B23" s="14" t="s">
        <v>24</v>
      </c>
      <c r="C23" s="15"/>
      <c r="D23" s="16">
        <f>D22-C22</f>
        <v>3.8085939999999994</v>
      </c>
      <c r="E23" s="16">
        <f>E22-D22</f>
        <v>3.2851560000000006</v>
      </c>
      <c r="F23" s="17">
        <f>F22-E22</f>
        <v>2.515625</v>
      </c>
    </row>
    <row r="24" spans="2:18">
      <c r="B24" s="18" t="s">
        <v>25</v>
      </c>
      <c r="C24" s="19">
        <v>4.7999999999999996E-3</v>
      </c>
    </row>
    <row r="25" spans="2:18">
      <c r="B25" s="10" t="s">
        <v>26</v>
      </c>
      <c r="C25" s="20">
        <v>2.5000000000000001E-3</v>
      </c>
    </row>
    <row r="26" spans="2:18">
      <c r="B26" s="10" t="s">
        <v>27</v>
      </c>
      <c r="C26" s="20">
        <v>3.7499999999999999E-3</v>
      </c>
    </row>
    <row r="27" spans="2:18">
      <c r="B27" s="10" t="s">
        <v>28</v>
      </c>
      <c r="C27" s="21">
        <v>7.7</v>
      </c>
    </row>
    <row r="28" spans="2:18">
      <c r="B28" s="10" t="s">
        <v>29</v>
      </c>
      <c r="C28" s="21">
        <v>5</v>
      </c>
      <c r="H28" s="22"/>
    </row>
    <row r="29" spans="2:18" ht="15.75" thickBot="1">
      <c r="B29" s="14" t="s">
        <v>30</v>
      </c>
      <c r="C29" s="23">
        <v>4</v>
      </c>
    </row>
    <row r="31" spans="2:18" ht="15.75" thickBot="1"/>
    <row r="32" spans="2:18">
      <c r="B32" s="24" t="s">
        <v>31</v>
      </c>
      <c r="C32" s="25">
        <v>0.03</v>
      </c>
      <c r="D32" s="7">
        <f>C32+0.25%</f>
        <v>3.2500000000000001E-2</v>
      </c>
      <c r="E32" s="7">
        <f t="shared" ref="E32:Q32" si="1">D32+0.25%</f>
        <v>3.5000000000000003E-2</v>
      </c>
      <c r="F32" s="7">
        <f t="shared" si="1"/>
        <v>3.7500000000000006E-2</v>
      </c>
      <c r="G32" s="7">
        <f t="shared" si="1"/>
        <v>4.0000000000000008E-2</v>
      </c>
      <c r="H32" s="7">
        <f t="shared" si="1"/>
        <v>4.250000000000001E-2</v>
      </c>
      <c r="I32" s="7">
        <f t="shared" si="1"/>
        <v>4.5000000000000012E-2</v>
      </c>
      <c r="J32" s="7">
        <f t="shared" si="1"/>
        <v>4.7500000000000014E-2</v>
      </c>
      <c r="K32" s="7">
        <f t="shared" si="1"/>
        <v>5.0000000000000017E-2</v>
      </c>
      <c r="L32" s="7">
        <f t="shared" si="1"/>
        <v>5.2500000000000019E-2</v>
      </c>
      <c r="M32" s="7">
        <f t="shared" si="1"/>
        <v>5.5000000000000021E-2</v>
      </c>
      <c r="N32" s="7">
        <f t="shared" si="1"/>
        <v>5.7500000000000023E-2</v>
      </c>
      <c r="O32" s="7">
        <f t="shared" si="1"/>
        <v>6.0000000000000026E-2</v>
      </c>
      <c r="P32" s="7">
        <f t="shared" si="1"/>
        <v>6.2500000000000028E-2</v>
      </c>
      <c r="Q32" s="7">
        <f t="shared" si="1"/>
        <v>6.500000000000003E-2</v>
      </c>
      <c r="R32" s="26" t="s">
        <v>32</v>
      </c>
    </row>
    <row r="33" spans="2:18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9"/>
    </row>
    <row r="34" spans="2:18">
      <c r="B34" s="30" t="s">
        <v>15</v>
      </c>
      <c r="C34" s="31">
        <f>$C$21</f>
        <v>2.5000000000000001E-2</v>
      </c>
      <c r="D34" s="31">
        <f t="shared" ref="D34:Q34" si="2">$C$21</f>
        <v>2.5000000000000001E-2</v>
      </c>
      <c r="E34" s="31">
        <f t="shared" si="2"/>
        <v>2.5000000000000001E-2</v>
      </c>
      <c r="F34" s="31">
        <f t="shared" si="2"/>
        <v>2.5000000000000001E-2</v>
      </c>
      <c r="G34" s="31">
        <f t="shared" si="2"/>
        <v>2.5000000000000001E-2</v>
      </c>
      <c r="H34" s="31">
        <f t="shared" si="2"/>
        <v>2.5000000000000001E-2</v>
      </c>
      <c r="I34" s="31">
        <f t="shared" si="2"/>
        <v>2.5000000000000001E-2</v>
      </c>
      <c r="J34" s="31">
        <f t="shared" si="2"/>
        <v>2.5000000000000001E-2</v>
      </c>
      <c r="K34" s="31">
        <f t="shared" si="2"/>
        <v>2.5000000000000001E-2</v>
      </c>
      <c r="L34" s="31">
        <f t="shared" si="2"/>
        <v>2.5000000000000001E-2</v>
      </c>
      <c r="M34" s="31">
        <f t="shared" si="2"/>
        <v>2.5000000000000001E-2</v>
      </c>
      <c r="N34" s="31">
        <f t="shared" si="2"/>
        <v>2.5000000000000001E-2</v>
      </c>
      <c r="O34" s="31">
        <f t="shared" si="2"/>
        <v>2.5000000000000001E-2</v>
      </c>
      <c r="P34" s="31">
        <f t="shared" si="2"/>
        <v>2.5000000000000001E-2</v>
      </c>
      <c r="Q34" s="31">
        <f t="shared" si="2"/>
        <v>2.5000000000000001E-2</v>
      </c>
      <c r="R34" s="32" t="s">
        <v>33</v>
      </c>
    </row>
    <row r="35" spans="2:18" ht="18" customHeight="1">
      <c r="B35" s="27" t="s">
        <v>34</v>
      </c>
      <c r="C35" s="33">
        <f>$C$24</f>
        <v>4.7999999999999996E-3</v>
      </c>
      <c r="D35" s="33">
        <f t="shared" ref="D35:Q35" si="3">$C$24</f>
        <v>4.7999999999999996E-3</v>
      </c>
      <c r="E35" s="33">
        <f t="shared" si="3"/>
        <v>4.7999999999999996E-3</v>
      </c>
      <c r="F35" s="33">
        <f t="shared" si="3"/>
        <v>4.7999999999999996E-3</v>
      </c>
      <c r="G35" s="33">
        <f t="shared" si="3"/>
        <v>4.7999999999999996E-3</v>
      </c>
      <c r="H35" s="33">
        <f t="shared" si="3"/>
        <v>4.7999999999999996E-3</v>
      </c>
      <c r="I35" s="33">
        <f t="shared" si="3"/>
        <v>4.7999999999999996E-3</v>
      </c>
      <c r="J35" s="33">
        <f t="shared" si="3"/>
        <v>4.7999999999999996E-3</v>
      </c>
      <c r="K35" s="33">
        <f t="shared" si="3"/>
        <v>4.7999999999999996E-3</v>
      </c>
      <c r="L35" s="33">
        <f t="shared" si="3"/>
        <v>4.7999999999999996E-3</v>
      </c>
      <c r="M35" s="33">
        <f t="shared" si="3"/>
        <v>4.7999999999999996E-3</v>
      </c>
      <c r="N35" s="33">
        <f t="shared" si="3"/>
        <v>4.7999999999999996E-3</v>
      </c>
      <c r="O35" s="33">
        <f t="shared" si="3"/>
        <v>4.7999999999999996E-3</v>
      </c>
      <c r="P35" s="33">
        <f t="shared" si="3"/>
        <v>4.7999999999999996E-3</v>
      </c>
      <c r="Q35" s="33">
        <f t="shared" si="3"/>
        <v>4.7999999999999996E-3</v>
      </c>
      <c r="R35" s="34" t="s">
        <v>35</v>
      </c>
    </row>
    <row r="36" spans="2:18" ht="18" customHeight="1">
      <c r="B36" s="35" t="s">
        <v>26</v>
      </c>
      <c r="C36" s="36">
        <f>$C$25</f>
        <v>2.5000000000000001E-3</v>
      </c>
      <c r="D36" s="36">
        <f t="shared" ref="D36:Q36" si="4">$C$25</f>
        <v>2.5000000000000001E-3</v>
      </c>
      <c r="E36" s="36">
        <f t="shared" si="4"/>
        <v>2.5000000000000001E-3</v>
      </c>
      <c r="F36" s="36">
        <f t="shared" si="4"/>
        <v>2.5000000000000001E-3</v>
      </c>
      <c r="G36" s="36">
        <f t="shared" si="4"/>
        <v>2.5000000000000001E-3</v>
      </c>
      <c r="H36" s="36">
        <f t="shared" si="4"/>
        <v>2.5000000000000001E-3</v>
      </c>
      <c r="I36" s="36">
        <f t="shared" si="4"/>
        <v>2.5000000000000001E-3</v>
      </c>
      <c r="J36" s="36">
        <f t="shared" si="4"/>
        <v>2.5000000000000001E-3</v>
      </c>
      <c r="K36" s="36">
        <f t="shared" si="4"/>
        <v>2.5000000000000001E-3</v>
      </c>
      <c r="L36" s="36">
        <f t="shared" si="4"/>
        <v>2.5000000000000001E-3</v>
      </c>
      <c r="M36" s="36">
        <f t="shared" si="4"/>
        <v>2.5000000000000001E-3</v>
      </c>
      <c r="N36" s="36">
        <f t="shared" si="4"/>
        <v>2.5000000000000001E-3</v>
      </c>
      <c r="O36" s="36">
        <f t="shared" si="4"/>
        <v>2.5000000000000001E-3</v>
      </c>
      <c r="P36" s="36">
        <f t="shared" si="4"/>
        <v>2.5000000000000001E-3</v>
      </c>
      <c r="Q36" s="36">
        <f t="shared" si="4"/>
        <v>2.5000000000000001E-3</v>
      </c>
      <c r="R36" s="37" t="s">
        <v>36</v>
      </c>
    </row>
    <row r="37" spans="2:18" ht="18" customHeight="1">
      <c r="B37" s="27" t="s">
        <v>37</v>
      </c>
      <c r="C37" s="33">
        <f>IF((C32-C34-C35-C36)&lt;0,0,C32-C34-C35-C36)</f>
        <v>0</v>
      </c>
      <c r="D37" s="33">
        <f t="shared" ref="D37:Q37" si="5">IF((D32-D34-D35-D36)&lt;0,0,D32-D34-D35-D36)</f>
        <v>2.0000000000000009E-4</v>
      </c>
      <c r="E37" s="33">
        <f t="shared" si="5"/>
        <v>2.7000000000000023E-3</v>
      </c>
      <c r="F37" s="33">
        <f t="shared" si="5"/>
        <v>5.200000000000005E-3</v>
      </c>
      <c r="G37" s="33">
        <f t="shared" si="5"/>
        <v>7.7000000000000072E-3</v>
      </c>
      <c r="H37" s="33">
        <f t="shared" si="5"/>
        <v>1.0200000000000009E-2</v>
      </c>
      <c r="I37" s="33">
        <f t="shared" si="5"/>
        <v>1.2700000000000012E-2</v>
      </c>
      <c r="J37" s="33">
        <f t="shared" si="5"/>
        <v>1.5200000000000014E-2</v>
      </c>
      <c r="K37" s="33">
        <f t="shared" si="5"/>
        <v>1.7700000000000018E-2</v>
      </c>
      <c r="L37" s="33">
        <f t="shared" si="5"/>
        <v>2.020000000000002E-2</v>
      </c>
      <c r="M37" s="33">
        <f t="shared" si="5"/>
        <v>2.2700000000000022E-2</v>
      </c>
      <c r="N37" s="33">
        <f t="shared" si="5"/>
        <v>2.5200000000000024E-2</v>
      </c>
      <c r="O37" s="33">
        <f t="shared" si="5"/>
        <v>2.7700000000000027E-2</v>
      </c>
      <c r="P37" s="33">
        <f t="shared" si="5"/>
        <v>3.0200000000000029E-2</v>
      </c>
      <c r="Q37" s="33">
        <f t="shared" si="5"/>
        <v>3.2700000000000028E-2</v>
      </c>
      <c r="R37" s="34" t="s">
        <v>38</v>
      </c>
    </row>
    <row r="38" spans="2:18" ht="18" customHeight="1">
      <c r="B38" s="35" t="s">
        <v>39</v>
      </c>
      <c r="C38" s="38">
        <f>IF((C32-C34-C36-C35)&gt;0,0,C32-C34-C35-C36)</f>
        <v>-2.3000000000000021E-3</v>
      </c>
      <c r="D38" s="38">
        <f t="shared" ref="D38:Q38" si="6">IF((D32-D34-D36-D35)&gt;0,0,D32-D34-D35-D36)</f>
        <v>0</v>
      </c>
      <c r="E38" s="38">
        <f t="shared" si="6"/>
        <v>0</v>
      </c>
      <c r="F38" s="38">
        <f t="shared" si="6"/>
        <v>0</v>
      </c>
      <c r="G38" s="38">
        <f t="shared" si="6"/>
        <v>0</v>
      </c>
      <c r="H38" s="38">
        <f t="shared" si="6"/>
        <v>0</v>
      </c>
      <c r="I38" s="38">
        <f t="shared" si="6"/>
        <v>0</v>
      </c>
      <c r="J38" s="38">
        <f t="shared" si="6"/>
        <v>0</v>
      </c>
      <c r="K38" s="38">
        <f t="shared" si="6"/>
        <v>0</v>
      </c>
      <c r="L38" s="38">
        <f t="shared" si="6"/>
        <v>0</v>
      </c>
      <c r="M38" s="38">
        <f t="shared" si="6"/>
        <v>0</v>
      </c>
      <c r="N38" s="38">
        <f t="shared" si="6"/>
        <v>0</v>
      </c>
      <c r="O38" s="38">
        <f t="shared" si="6"/>
        <v>0</v>
      </c>
      <c r="P38" s="38">
        <f t="shared" si="6"/>
        <v>0</v>
      </c>
      <c r="Q38" s="38">
        <f t="shared" si="6"/>
        <v>0</v>
      </c>
      <c r="R38" s="39" t="s">
        <v>40</v>
      </c>
    </row>
    <row r="39" spans="2:18" ht="18" customHeight="1">
      <c r="B39" s="40" t="s">
        <v>41</v>
      </c>
      <c r="C39" s="41">
        <f>$C$22</f>
        <v>96.59375</v>
      </c>
      <c r="D39" s="41">
        <f t="shared" ref="D39:Q39" si="7">$C$22</f>
        <v>96.59375</v>
      </c>
      <c r="E39" s="41">
        <f t="shared" si="7"/>
        <v>96.59375</v>
      </c>
      <c r="F39" s="41">
        <f t="shared" si="7"/>
        <v>96.59375</v>
      </c>
      <c r="G39" s="41">
        <f t="shared" si="7"/>
        <v>96.59375</v>
      </c>
      <c r="H39" s="41">
        <f t="shared" si="7"/>
        <v>96.59375</v>
      </c>
      <c r="I39" s="41">
        <f t="shared" si="7"/>
        <v>96.59375</v>
      </c>
      <c r="J39" s="41">
        <f t="shared" si="7"/>
        <v>96.59375</v>
      </c>
      <c r="K39" s="41">
        <f t="shared" si="7"/>
        <v>96.59375</v>
      </c>
      <c r="L39" s="41">
        <f t="shared" si="7"/>
        <v>96.59375</v>
      </c>
      <c r="M39" s="41">
        <f t="shared" si="7"/>
        <v>96.59375</v>
      </c>
      <c r="N39" s="41">
        <f t="shared" si="7"/>
        <v>96.59375</v>
      </c>
      <c r="O39" s="41">
        <f t="shared" si="7"/>
        <v>96.59375</v>
      </c>
      <c r="P39" s="41">
        <f t="shared" si="7"/>
        <v>96.59375</v>
      </c>
      <c r="Q39" s="41">
        <f t="shared" si="7"/>
        <v>96.59375</v>
      </c>
      <c r="R39" s="34" t="s">
        <v>42</v>
      </c>
    </row>
    <row r="40" spans="2:18" ht="18" customHeight="1">
      <c r="B40" s="40" t="s">
        <v>43</v>
      </c>
      <c r="C40" s="41">
        <f t="shared" ref="C40:Q40" si="8">100*C36*$C$28</f>
        <v>1.25</v>
      </c>
      <c r="D40" s="41">
        <f t="shared" si="8"/>
        <v>1.25</v>
      </c>
      <c r="E40" s="41">
        <f t="shared" si="8"/>
        <v>1.25</v>
      </c>
      <c r="F40" s="41">
        <f t="shared" si="8"/>
        <v>1.25</v>
      </c>
      <c r="G40" s="41">
        <f t="shared" si="8"/>
        <v>1.25</v>
      </c>
      <c r="H40" s="41">
        <f t="shared" si="8"/>
        <v>1.25</v>
      </c>
      <c r="I40" s="41">
        <f t="shared" si="8"/>
        <v>1.25</v>
      </c>
      <c r="J40" s="41">
        <f t="shared" si="8"/>
        <v>1.25</v>
      </c>
      <c r="K40" s="41">
        <f t="shared" si="8"/>
        <v>1.25</v>
      </c>
      <c r="L40" s="41">
        <f t="shared" si="8"/>
        <v>1.25</v>
      </c>
      <c r="M40" s="41">
        <f t="shared" si="8"/>
        <v>1.25</v>
      </c>
      <c r="N40" s="41">
        <f t="shared" si="8"/>
        <v>1.25</v>
      </c>
      <c r="O40" s="41">
        <f t="shared" si="8"/>
        <v>1.25</v>
      </c>
      <c r="P40" s="41">
        <f t="shared" si="8"/>
        <v>1.25</v>
      </c>
      <c r="Q40" s="41">
        <f t="shared" si="8"/>
        <v>1.25</v>
      </c>
      <c r="R40" s="42" t="str">
        <f>"(8) = (4) × "&amp;TEXT($C$28,"0.0")</f>
        <v>(8) = (4) × 5.0</v>
      </c>
    </row>
    <row r="41" spans="2:18">
      <c r="B41" s="40" t="s">
        <v>44</v>
      </c>
      <c r="C41" s="41">
        <f t="shared" ref="C41:Q41" si="9">100*(C37*$C$29 +C38*$C$27)</f>
        <v>-1.7710000000000017</v>
      </c>
      <c r="D41" s="41">
        <f t="shared" si="9"/>
        <v>8.0000000000000043E-2</v>
      </c>
      <c r="E41" s="41">
        <f t="shared" si="9"/>
        <v>1.080000000000001</v>
      </c>
      <c r="F41" s="41">
        <f t="shared" si="9"/>
        <v>2.0800000000000018</v>
      </c>
      <c r="G41" s="41">
        <f t="shared" si="9"/>
        <v>3.0800000000000027</v>
      </c>
      <c r="H41" s="41">
        <f t="shared" si="9"/>
        <v>4.0800000000000036</v>
      </c>
      <c r="I41" s="41">
        <f t="shared" si="9"/>
        <v>5.0800000000000045</v>
      </c>
      <c r="J41" s="41">
        <f t="shared" si="9"/>
        <v>6.0800000000000054</v>
      </c>
      <c r="K41" s="41">
        <f t="shared" si="9"/>
        <v>7.0800000000000072</v>
      </c>
      <c r="L41" s="41">
        <f t="shared" si="9"/>
        <v>8.0800000000000072</v>
      </c>
      <c r="M41" s="41">
        <f t="shared" si="9"/>
        <v>9.080000000000009</v>
      </c>
      <c r="N41" s="41">
        <f t="shared" si="9"/>
        <v>10.080000000000009</v>
      </c>
      <c r="O41" s="41">
        <f t="shared" si="9"/>
        <v>11.080000000000011</v>
      </c>
      <c r="P41" s="41">
        <f t="shared" si="9"/>
        <v>12.080000000000011</v>
      </c>
      <c r="Q41" s="41">
        <f t="shared" si="9"/>
        <v>13.080000000000011</v>
      </c>
      <c r="R41" s="42" t="str">
        <f>"(9) = (5) × "&amp;TEXT($C$29,"0.0") &amp;" + (5) × "&amp;TEXT($C$27,"0.0")</f>
        <v>(9) = (5) × 4.0 + (5) × 7.7</v>
      </c>
    </row>
    <row r="42" spans="2:18" ht="15.75" thickBot="1">
      <c r="B42" s="43" t="str">
        <f>"Execution Price ("&amp;TEXT(C34,"0.0%")&amp;")"</f>
        <v>Execution Price (2.5%)</v>
      </c>
      <c r="C42" s="44">
        <f>IF(C37&gt;$C$26," ",SUM(C39:C41))</f>
        <v>96.072749999999999</v>
      </c>
      <c r="D42" s="44">
        <f t="shared" ref="D42:P42" si="10">IF(D37&gt;$C$26,"NA",SUM(D39:D41))</f>
        <v>97.923749999999998</v>
      </c>
      <c r="E42" s="44">
        <f t="shared" si="10"/>
        <v>98.923749999999998</v>
      </c>
      <c r="F42" s="44" t="str">
        <f t="shared" si="10"/>
        <v>NA</v>
      </c>
      <c r="G42" s="44" t="str">
        <f t="shared" si="10"/>
        <v>NA</v>
      </c>
      <c r="H42" s="44" t="str">
        <f t="shared" si="10"/>
        <v>NA</v>
      </c>
      <c r="I42" s="44" t="str">
        <f t="shared" si="10"/>
        <v>NA</v>
      </c>
      <c r="J42" s="44" t="str">
        <f t="shared" si="10"/>
        <v>NA</v>
      </c>
      <c r="K42" s="44" t="str">
        <f t="shared" si="10"/>
        <v>NA</v>
      </c>
      <c r="L42" s="44" t="str">
        <f t="shared" si="10"/>
        <v>NA</v>
      </c>
      <c r="M42" s="44" t="str">
        <f t="shared" si="10"/>
        <v>NA</v>
      </c>
      <c r="N42" s="44" t="str">
        <f t="shared" si="10"/>
        <v>NA</v>
      </c>
      <c r="O42" s="44" t="str">
        <f t="shared" si="10"/>
        <v>NA</v>
      </c>
      <c r="P42" s="44" t="str">
        <f t="shared" si="10"/>
        <v>NA</v>
      </c>
      <c r="Q42" s="44" t="str">
        <f>IF(Q37&gt;$C$26,"NA",SUM(Q39:Q41))</f>
        <v>NA</v>
      </c>
      <c r="R42" s="45" t="str">
        <f>"(10) = (7) + (8) + (9), if (5) &lt; "&amp;TEXT($C$26,"0.000%")</f>
        <v>(10) = (7) + (8) + (9), if (5) &lt; 0.375%</v>
      </c>
    </row>
    <row r="44" spans="2:18" ht="15.75" thickBot="1"/>
    <row r="45" spans="2:18" ht="18" customHeight="1">
      <c r="B45" s="24" t="s">
        <v>31</v>
      </c>
      <c r="C45" s="7">
        <f>C32</f>
        <v>0.03</v>
      </c>
      <c r="D45" s="7">
        <f t="shared" ref="D45:Q45" si="11">D32</f>
        <v>3.2500000000000001E-2</v>
      </c>
      <c r="E45" s="7">
        <f t="shared" si="11"/>
        <v>3.5000000000000003E-2</v>
      </c>
      <c r="F45" s="7">
        <f t="shared" si="11"/>
        <v>3.7500000000000006E-2</v>
      </c>
      <c r="G45" s="7">
        <f t="shared" si="11"/>
        <v>4.0000000000000008E-2</v>
      </c>
      <c r="H45" s="7">
        <f t="shared" si="11"/>
        <v>4.250000000000001E-2</v>
      </c>
      <c r="I45" s="7">
        <f t="shared" si="11"/>
        <v>4.5000000000000012E-2</v>
      </c>
      <c r="J45" s="7">
        <f t="shared" si="11"/>
        <v>4.7500000000000014E-2</v>
      </c>
      <c r="K45" s="7">
        <f t="shared" si="11"/>
        <v>5.0000000000000017E-2</v>
      </c>
      <c r="L45" s="7">
        <f t="shared" si="11"/>
        <v>5.2500000000000019E-2</v>
      </c>
      <c r="M45" s="7">
        <f t="shared" si="11"/>
        <v>5.5000000000000021E-2</v>
      </c>
      <c r="N45" s="7">
        <f t="shared" si="11"/>
        <v>5.7500000000000023E-2</v>
      </c>
      <c r="O45" s="7">
        <f t="shared" si="11"/>
        <v>6.0000000000000026E-2</v>
      </c>
      <c r="P45" s="7">
        <f t="shared" si="11"/>
        <v>6.2500000000000028E-2</v>
      </c>
      <c r="Q45" s="7">
        <f t="shared" si="11"/>
        <v>6.500000000000003E-2</v>
      </c>
      <c r="R45" s="26" t="str">
        <f>$R$32</f>
        <v>(1)</v>
      </c>
    </row>
    <row r="46" spans="2:18" ht="18" customHeight="1"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9"/>
    </row>
    <row r="47" spans="2:18" ht="18" customHeight="1">
      <c r="B47" s="30" t="s">
        <v>15</v>
      </c>
      <c r="C47" s="31">
        <f>$D$21</f>
        <v>3.0000000000000002E-2</v>
      </c>
      <c r="D47" s="31">
        <f t="shared" ref="D47:Q47" si="12">$D$21</f>
        <v>3.0000000000000002E-2</v>
      </c>
      <c r="E47" s="31">
        <f t="shared" si="12"/>
        <v>3.0000000000000002E-2</v>
      </c>
      <c r="F47" s="31">
        <f t="shared" si="12"/>
        <v>3.0000000000000002E-2</v>
      </c>
      <c r="G47" s="31">
        <f t="shared" si="12"/>
        <v>3.0000000000000002E-2</v>
      </c>
      <c r="H47" s="31">
        <f t="shared" si="12"/>
        <v>3.0000000000000002E-2</v>
      </c>
      <c r="I47" s="31">
        <f t="shared" si="12"/>
        <v>3.0000000000000002E-2</v>
      </c>
      <c r="J47" s="31">
        <f t="shared" si="12"/>
        <v>3.0000000000000002E-2</v>
      </c>
      <c r="K47" s="31">
        <f t="shared" si="12"/>
        <v>3.0000000000000002E-2</v>
      </c>
      <c r="L47" s="31">
        <f t="shared" si="12"/>
        <v>3.0000000000000002E-2</v>
      </c>
      <c r="M47" s="31">
        <f t="shared" si="12"/>
        <v>3.0000000000000002E-2</v>
      </c>
      <c r="N47" s="31">
        <f t="shared" si="12"/>
        <v>3.0000000000000002E-2</v>
      </c>
      <c r="O47" s="31">
        <f t="shared" si="12"/>
        <v>3.0000000000000002E-2</v>
      </c>
      <c r="P47" s="31">
        <f t="shared" si="12"/>
        <v>3.0000000000000002E-2</v>
      </c>
      <c r="Q47" s="31">
        <f t="shared" si="12"/>
        <v>3.0000000000000002E-2</v>
      </c>
      <c r="R47" s="32" t="str">
        <f>$R$34</f>
        <v>(2)</v>
      </c>
    </row>
    <row r="48" spans="2:18">
      <c r="B48" s="27" t="s">
        <v>34</v>
      </c>
      <c r="C48" s="33">
        <f>$C$24</f>
        <v>4.7999999999999996E-3</v>
      </c>
      <c r="D48" s="33">
        <f t="shared" ref="D48:Q48" si="13">$C$24</f>
        <v>4.7999999999999996E-3</v>
      </c>
      <c r="E48" s="33">
        <f t="shared" si="13"/>
        <v>4.7999999999999996E-3</v>
      </c>
      <c r="F48" s="33">
        <f t="shared" si="13"/>
        <v>4.7999999999999996E-3</v>
      </c>
      <c r="G48" s="33">
        <f t="shared" si="13"/>
        <v>4.7999999999999996E-3</v>
      </c>
      <c r="H48" s="33">
        <f t="shared" si="13"/>
        <v>4.7999999999999996E-3</v>
      </c>
      <c r="I48" s="33">
        <f t="shared" si="13"/>
        <v>4.7999999999999996E-3</v>
      </c>
      <c r="J48" s="33">
        <f t="shared" si="13"/>
        <v>4.7999999999999996E-3</v>
      </c>
      <c r="K48" s="33">
        <f t="shared" si="13"/>
        <v>4.7999999999999996E-3</v>
      </c>
      <c r="L48" s="33">
        <f t="shared" si="13"/>
        <v>4.7999999999999996E-3</v>
      </c>
      <c r="M48" s="33">
        <f t="shared" si="13"/>
        <v>4.7999999999999996E-3</v>
      </c>
      <c r="N48" s="33">
        <f t="shared" si="13"/>
        <v>4.7999999999999996E-3</v>
      </c>
      <c r="O48" s="33">
        <f t="shared" si="13"/>
        <v>4.7999999999999996E-3</v>
      </c>
      <c r="P48" s="33">
        <f t="shared" si="13"/>
        <v>4.7999999999999996E-3</v>
      </c>
      <c r="Q48" s="33">
        <f t="shared" si="13"/>
        <v>4.7999999999999996E-3</v>
      </c>
      <c r="R48" s="34" t="str">
        <f>$R$35</f>
        <v>(3)</v>
      </c>
    </row>
    <row r="49" spans="2:18">
      <c r="B49" s="35" t="s">
        <v>26</v>
      </c>
      <c r="C49" s="36">
        <f>$C$25</f>
        <v>2.5000000000000001E-3</v>
      </c>
      <c r="D49" s="36">
        <f t="shared" ref="D49:Q49" si="14">$C$25</f>
        <v>2.5000000000000001E-3</v>
      </c>
      <c r="E49" s="36">
        <f t="shared" si="14"/>
        <v>2.5000000000000001E-3</v>
      </c>
      <c r="F49" s="36">
        <f t="shared" si="14"/>
        <v>2.5000000000000001E-3</v>
      </c>
      <c r="G49" s="36">
        <f t="shared" si="14"/>
        <v>2.5000000000000001E-3</v>
      </c>
      <c r="H49" s="36">
        <f t="shared" si="14"/>
        <v>2.5000000000000001E-3</v>
      </c>
      <c r="I49" s="36">
        <f t="shared" si="14"/>
        <v>2.5000000000000001E-3</v>
      </c>
      <c r="J49" s="36">
        <f t="shared" si="14"/>
        <v>2.5000000000000001E-3</v>
      </c>
      <c r="K49" s="36">
        <f t="shared" si="14"/>
        <v>2.5000000000000001E-3</v>
      </c>
      <c r="L49" s="36">
        <f t="shared" si="14"/>
        <v>2.5000000000000001E-3</v>
      </c>
      <c r="M49" s="36">
        <f t="shared" si="14"/>
        <v>2.5000000000000001E-3</v>
      </c>
      <c r="N49" s="36">
        <f t="shared" si="14"/>
        <v>2.5000000000000001E-3</v>
      </c>
      <c r="O49" s="36">
        <f t="shared" si="14"/>
        <v>2.5000000000000001E-3</v>
      </c>
      <c r="P49" s="36">
        <f t="shared" si="14"/>
        <v>2.5000000000000001E-3</v>
      </c>
      <c r="Q49" s="36">
        <f t="shared" si="14"/>
        <v>2.5000000000000001E-3</v>
      </c>
      <c r="R49" s="37" t="str">
        <f>$R$36</f>
        <v>(4)</v>
      </c>
    </row>
    <row r="50" spans="2:18">
      <c r="B50" s="27" t="s">
        <v>37</v>
      </c>
      <c r="C50" s="33">
        <f>IF((C45-C47-C48-C49)&lt;0,0,C45-C47-C48-C49)</f>
        <v>0</v>
      </c>
      <c r="D50" s="33">
        <f t="shared" ref="D50:Q50" si="15">IF((D45-D47-D48-D49)&lt;0,0,D45-D47-D48-D49)</f>
        <v>0</v>
      </c>
      <c r="E50" s="33">
        <f t="shared" si="15"/>
        <v>0</v>
      </c>
      <c r="F50" s="33">
        <f t="shared" si="15"/>
        <v>2.0000000000000356E-4</v>
      </c>
      <c r="G50" s="33">
        <f t="shared" si="15"/>
        <v>2.7000000000000058E-3</v>
      </c>
      <c r="H50" s="33">
        <f t="shared" si="15"/>
        <v>5.2000000000000084E-3</v>
      </c>
      <c r="I50" s="33">
        <f t="shared" si="15"/>
        <v>7.7000000000000107E-3</v>
      </c>
      <c r="J50" s="33">
        <f t="shared" si="15"/>
        <v>1.0200000000000013E-2</v>
      </c>
      <c r="K50" s="33">
        <f t="shared" si="15"/>
        <v>1.2700000000000015E-2</v>
      </c>
      <c r="L50" s="33">
        <f t="shared" si="15"/>
        <v>1.5200000000000017E-2</v>
      </c>
      <c r="M50" s="33">
        <f t="shared" si="15"/>
        <v>1.7700000000000021E-2</v>
      </c>
      <c r="N50" s="33">
        <f t="shared" si="15"/>
        <v>2.0200000000000023E-2</v>
      </c>
      <c r="O50" s="33">
        <f t="shared" si="15"/>
        <v>2.2700000000000026E-2</v>
      </c>
      <c r="P50" s="33">
        <f t="shared" si="15"/>
        <v>2.5200000000000031E-2</v>
      </c>
      <c r="Q50" s="33">
        <f t="shared" si="15"/>
        <v>2.7700000000000034E-2</v>
      </c>
      <c r="R50" s="34" t="str">
        <f>$R$37</f>
        <v>(5) = (1) - (2) - (3) - (4), if (5) &gt; 0</v>
      </c>
    </row>
    <row r="51" spans="2:18">
      <c r="B51" s="35" t="s">
        <v>39</v>
      </c>
      <c r="C51" s="38">
        <f>IF((C45-C47-C49-C48)&gt;0,0,C45-C47-C48-C49)</f>
        <v>-7.3000000000000027E-3</v>
      </c>
      <c r="D51" s="38">
        <f t="shared" ref="D51:Q51" si="16">IF((D45-D47-D49-D48)&gt;0,0,D45-D47-D48-D49)</f>
        <v>-4.8000000000000004E-3</v>
      </c>
      <c r="E51" s="38">
        <f t="shared" si="16"/>
        <v>-2.2999999999999987E-3</v>
      </c>
      <c r="F51" s="38">
        <f t="shared" si="16"/>
        <v>0</v>
      </c>
      <c r="G51" s="38">
        <f t="shared" si="16"/>
        <v>0</v>
      </c>
      <c r="H51" s="38">
        <f t="shared" si="16"/>
        <v>0</v>
      </c>
      <c r="I51" s="38">
        <f t="shared" si="16"/>
        <v>0</v>
      </c>
      <c r="J51" s="38">
        <f t="shared" si="16"/>
        <v>0</v>
      </c>
      <c r="K51" s="38">
        <f t="shared" si="16"/>
        <v>0</v>
      </c>
      <c r="L51" s="38">
        <f t="shared" si="16"/>
        <v>0</v>
      </c>
      <c r="M51" s="38">
        <f t="shared" si="16"/>
        <v>0</v>
      </c>
      <c r="N51" s="38">
        <f t="shared" si="16"/>
        <v>0</v>
      </c>
      <c r="O51" s="38">
        <f t="shared" si="16"/>
        <v>0</v>
      </c>
      <c r="P51" s="38">
        <f t="shared" si="16"/>
        <v>0</v>
      </c>
      <c r="Q51" s="38">
        <f t="shared" si="16"/>
        <v>0</v>
      </c>
      <c r="R51" s="39" t="str">
        <f>$R$38</f>
        <v>(6) = (1) - (2) - (3) - (4), if (6) &lt; 0</v>
      </c>
    </row>
    <row r="52" spans="2:18">
      <c r="B52" s="40" t="s">
        <v>41</v>
      </c>
      <c r="C52" s="41">
        <f>$D$22</f>
        <v>100.402344</v>
      </c>
      <c r="D52" s="41">
        <f t="shared" ref="D52:Q52" si="17">$D$22</f>
        <v>100.402344</v>
      </c>
      <c r="E52" s="41">
        <f t="shared" si="17"/>
        <v>100.402344</v>
      </c>
      <c r="F52" s="41">
        <f t="shared" si="17"/>
        <v>100.402344</v>
      </c>
      <c r="G52" s="41">
        <f t="shared" si="17"/>
        <v>100.402344</v>
      </c>
      <c r="H52" s="41">
        <f t="shared" si="17"/>
        <v>100.402344</v>
      </c>
      <c r="I52" s="41">
        <f t="shared" si="17"/>
        <v>100.402344</v>
      </c>
      <c r="J52" s="41">
        <f t="shared" si="17"/>
        <v>100.402344</v>
      </c>
      <c r="K52" s="41">
        <f t="shared" si="17"/>
        <v>100.402344</v>
      </c>
      <c r="L52" s="41">
        <f t="shared" si="17"/>
        <v>100.402344</v>
      </c>
      <c r="M52" s="41">
        <f t="shared" si="17"/>
        <v>100.402344</v>
      </c>
      <c r="N52" s="41">
        <f t="shared" si="17"/>
        <v>100.402344</v>
      </c>
      <c r="O52" s="41">
        <f t="shared" si="17"/>
        <v>100.402344</v>
      </c>
      <c r="P52" s="41">
        <f t="shared" si="17"/>
        <v>100.402344</v>
      </c>
      <c r="Q52" s="41">
        <f t="shared" si="17"/>
        <v>100.402344</v>
      </c>
      <c r="R52" s="34" t="str">
        <f>$R$39</f>
        <v>(7)</v>
      </c>
    </row>
    <row r="53" spans="2:18">
      <c r="B53" s="40" t="s">
        <v>43</v>
      </c>
      <c r="C53" s="41">
        <f t="shared" ref="C53:Q53" si="18">100*C49*$C$28</f>
        <v>1.25</v>
      </c>
      <c r="D53" s="41">
        <f t="shared" si="18"/>
        <v>1.25</v>
      </c>
      <c r="E53" s="41">
        <f t="shared" si="18"/>
        <v>1.25</v>
      </c>
      <c r="F53" s="41">
        <f t="shared" si="18"/>
        <v>1.25</v>
      </c>
      <c r="G53" s="41">
        <f t="shared" si="18"/>
        <v>1.25</v>
      </c>
      <c r="H53" s="41">
        <f t="shared" si="18"/>
        <v>1.25</v>
      </c>
      <c r="I53" s="41">
        <f t="shared" si="18"/>
        <v>1.25</v>
      </c>
      <c r="J53" s="41">
        <f t="shared" si="18"/>
        <v>1.25</v>
      </c>
      <c r="K53" s="41">
        <f t="shared" si="18"/>
        <v>1.25</v>
      </c>
      <c r="L53" s="41">
        <f t="shared" si="18"/>
        <v>1.25</v>
      </c>
      <c r="M53" s="41">
        <f t="shared" si="18"/>
        <v>1.25</v>
      </c>
      <c r="N53" s="41">
        <f t="shared" si="18"/>
        <v>1.25</v>
      </c>
      <c r="O53" s="41">
        <f t="shared" si="18"/>
        <v>1.25</v>
      </c>
      <c r="P53" s="41">
        <f t="shared" si="18"/>
        <v>1.25</v>
      </c>
      <c r="Q53" s="41">
        <f t="shared" si="18"/>
        <v>1.25</v>
      </c>
      <c r="R53" s="42" t="str">
        <f>$R$40</f>
        <v>(8) = (4) × 5.0</v>
      </c>
    </row>
    <row r="54" spans="2:18">
      <c r="B54" s="40" t="s">
        <v>44</v>
      </c>
      <c r="C54" s="41">
        <f t="shared" ref="C54:Q54" si="19">100*(C50*$C$29 +C51*$C$27)</f>
        <v>-5.6210000000000022</v>
      </c>
      <c r="D54" s="41">
        <f t="shared" si="19"/>
        <v>-3.6960000000000006</v>
      </c>
      <c r="E54" s="41">
        <f t="shared" si="19"/>
        <v>-1.770999999999999</v>
      </c>
      <c r="F54" s="41">
        <f t="shared" si="19"/>
        <v>8.0000000000001431E-2</v>
      </c>
      <c r="G54" s="41">
        <f t="shared" si="19"/>
        <v>1.0800000000000023</v>
      </c>
      <c r="H54" s="41">
        <f t="shared" si="19"/>
        <v>2.0800000000000032</v>
      </c>
      <c r="I54" s="41">
        <f t="shared" si="19"/>
        <v>3.0800000000000041</v>
      </c>
      <c r="J54" s="41">
        <f t="shared" si="19"/>
        <v>4.0800000000000054</v>
      </c>
      <c r="K54" s="41">
        <f t="shared" si="19"/>
        <v>5.0800000000000063</v>
      </c>
      <c r="L54" s="41">
        <f t="shared" si="19"/>
        <v>6.0800000000000072</v>
      </c>
      <c r="M54" s="41">
        <f t="shared" si="19"/>
        <v>7.080000000000009</v>
      </c>
      <c r="N54" s="41">
        <f t="shared" si="19"/>
        <v>8.080000000000009</v>
      </c>
      <c r="O54" s="41">
        <f t="shared" si="19"/>
        <v>9.0800000000000107</v>
      </c>
      <c r="P54" s="41">
        <f t="shared" si="19"/>
        <v>10.080000000000013</v>
      </c>
      <c r="Q54" s="41">
        <f t="shared" si="19"/>
        <v>11.080000000000014</v>
      </c>
      <c r="R54" s="42" t="str">
        <f>$R$41</f>
        <v>(9) = (5) × 4.0 + (5) × 7.7</v>
      </c>
    </row>
    <row r="55" spans="2:18" ht="15.75" thickBot="1">
      <c r="B55" s="43" t="str">
        <f>"Execution Price ("&amp;TEXT(C47,"0.0%")&amp;")"</f>
        <v>Execution Price (3.0%)</v>
      </c>
      <c r="C55" s="44">
        <f>IF(C50&gt;$C$26,"NA",SUM(C52:C54))</f>
        <v>96.03134399999999</v>
      </c>
      <c r="D55" s="44">
        <f t="shared" ref="D55:Q55" si="20">IF(D50&gt;$C$26,"NA",SUM(D52:D54))</f>
        <v>97.956344000000001</v>
      </c>
      <c r="E55" s="44">
        <f t="shared" si="20"/>
        <v>99.881343999999999</v>
      </c>
      <c r="F55" s="44">
        <f t="shared" si="20"/>
        <v>101.732344</v>
      </c>
      <c r="G55" s="44">
        <f t="shared" si="20"/>
        <v>102.732344</v>
      </c>
      <c r="H55" s="44" t="str">
        <f t="shared" si="20"/>
        <v>NA</v>
      </c>
      <c r="I55" s="44" t="str">
        <f t="shared" si="20"/>
        <v>NA</v>
      </c>
      <c r="J55" s="44" t="str">
        <f t="shared" si="20"/>
        <v>NA</v>
      </c>
      <c r="K55" s="44" t="str">
        <f t="shared" si="20"/>
        <v>NA</v>
      </c>
      <c r="L55" s="44" t="str">
        <f t="shared" si="20"/>
        <v>NA</v>
      </c>
      <c r="M55" s="44" t="str">
        <f t="shared" si="20"/>
        <v>NA</v>
      </c>
      <c r="N55" s="44" t="str">
        <f t="shared" si="20"/>
        <v>NA</v>
      </c>
      <c r="O55" s="44" t="str">
        <f t="shared" si="20"/>
        <v>NA</v>
      </c>
      <c r="P55" s="44" t="str">
        <f t="shared" si="20"/>
        <v>NA</v>
      </c>
      <c r="Q55" s="44" t="str">
        <f t="shared" si="20"/>
        <v>NA</v>
      </c>
      <c r="R55" s="45" t="str">
        <f>$R$42</f>
        <v>(10) = (7) + (8) + (9), if (5) &lt; 0.375%</v>
      </c>
    </row>
    <row r="57" spans="2:18" ht="15.75" thickBot="1"/>
    <row r="58" spans="2:18">
      <c r="B58" s="24" t="s">
        <v>31</v>
      </c>
      <c r="C58" s="7">
        <f>C45</f>
        <v>0.03</v>
      </c>
      <c r="D58" s="7">
        <f t="shared" ref="D58:Q58" si="21">D45</f>
        <v>3.2500000000000001E-2</v>
      </c>
      <c r="E58" s="7">
        <f t="shared" si="21"/>
        <v>3.5000000000000003E-2</v>
      </c>
      <c r="F58" s="7">
        <f t="shared" si="21"/>
        <v>3.7500000000000006E-2</v>
      </c>
      <c r="G58" s="7">
        <f t="shared" si="21"/>
        <v>4.0000000000000008E-2</v>
      </c>
      <c r="H58" s="7">
        <f t="shared" si="21"/>
        <v>4.250000000000001E-2</v>
      </c>
      <c r="I58" s="7">
        <f t="shared" si="21"/>
        <v>4.5000000000000012E-2</v>
      </c>
      <c r="J58" s="7">
        <f t="shared" si="21"/>
        <v>4.7500000000000014E-2</v>
      </c>
      <c r="K58" s="7">
        <f t="shared" si="21"/>
        <v>5.0000000000000017E-2</v>
      </c>
      <c r="L58" s="7">
        <f t="shared" si="21"/>
        <v>5.2500000000000019E-2</v>
      </c>
      <c r="M58" s="7">
        <f t="shared" si="21"/>
        <v>5.5000000000000021E-2</v>
      </c>
      <c r="N58" s="7">
        <f t="shared" si="21"/>
        <v>5.7500000000000023E-2</v>
      </c>
      <c r="O58" s="7">
        <f t="shared" si="21"/>
        <v>6.0000000000000026E-2</v>
      </c>
      <c r="P58" s="7">
        <f t="shared" si="21"/>
        <v>6.2500000000000028E-2</v>
      </c>
      <c r="Q58" s="7">
        <f t="shared" si="21"/>
        <v>6.500000000000003E-2</v>
      </c>
      <c r="R58" s="26" t="str">
        <f>$R$32</f>
        <v>(1)</v>
      </c>
    </row>
    <row r="59" spans="2:18">
      <c r="B59" s="27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9"/>
    </row>
    <row r="60" spans="2:18">
      <c r="B60" s="30" t="s">
        <v>15</v>
      </c>
      <c r="C60" s="31">
        <f>$E$21</f>
        <v>3.5000000000000003E-2</v>
      </c>
      <c r="D60" s="31">
        <f t="shared" ref="D60:Q60" si="22">$E$21</f>
        <v>3.5000000000000003E-2</v>
      </c>
      <c r="E60" s="31">
        <f t="shared" si="22"/>
        <v>3.5000000000000003E-2</v>
      </c>
      <c r="F60" s="31">
        <f t="shared" si="22"/>
        <v>3.5000000000000003E-2</v>
      </c>
      <c r="G60" s="31">
        <f t="shared" si="22"/>
        <v>3.5000000000000003E-2</v>
      </c>
      <c r="H60" s="31">
        <f t="shared" si="22"/>
        <v>3.5000000000000003E-2</v>
      </c>
      <c r="I60" s="31">
        <f t="shared" si="22"/>
        <v>3.5000000000000003E-2</v>
      </c>
      <c r="J60" s="31">
        <f t="shared" si="22"/>
        <v>3.5000000000000003E-2</v>
      </c>
      <c r="K60" s="31">
        <f t="shared" si="22"/>
        <v>3.5000000000000003E-2</v>
      </c>
      <c r="L60" s="31">
        <f t="shared" si="22"/>
        <v>3.5000000000000003E-2</v>
      </c>
      <c r="M60" s="31">
        <f t="shared" si="22"/>
        <v>3.5000000000000003E-2</v>
      </c>
      <c r="N60" s="31">
        <f t="shared" si="22"/>
        <v>3.5000000000000003E-2</v>
      </c>
      <c r="O60" s="31">
        <f t="shared" si="22"/>
        <v>3.5000000000000003E-2</v>
      </c>
      <c r="P60" s="31">
        <f t="shared" si="22"/>
        <v>3.5000000000000003E-2</v>
      </c>
      <c r="Q60" s="31">
        <f t="shared" si="22"/>
        <v>3.5000000000000003E-2</v>
      </c>
      <c r="R60" s="32" t="str">
        <f>$R$34</f>
        <v>(2)</v>
      </c>
    </row>
    <row r="61" spans="2:18">
      <c r="B61" s="27" t="s">
        <v>34</v>
      </c>
      <c r="C61" s="33">
        <f>$C$24</f>
        <v>4.7999999999999996E-3</v>
      </c>
      <c r="D61" s="33">
        <f t="shared" ref="D61:Q61" si="23">$C$24</f>
        <v>4.7999999999999996E-3</v>
      </c>
      <c r="E61" s="33">
        <f t="shared" si="23"/>
        <v>4.7999999999999996E-3</v>
      </c>
      <c r="F61" s="33">
        <f t="shared" si="23"/>
        <v>4.7999999999999996E-3</v>
      </c>
      <c r="G61" s="33">
        <f t="shared" si="23"/>
        <v>4.7999999999999996E-3</v>
      </c>
      <c r="H61" s="33">
        <f t="shared" si="23"/>
        <v>4.7999999999999996E-3</v>
      </c>
      <c r="I61" s="33">
        <f t="shared" si="23"/>
        <v>4.7999999999999996E-3</v>
      </c>
      <c r="J61" s="33">
        <f t="shared" si="23"/>
        <v>4.7999999999999996E-3</v>
      </c>
      <c r="K61" s="33">
        <f t="shared" si="23"/>
        <v>4.7999999999999996E-3</v>
      </c>
      <c r="L61" s="33">
        <f t="shared" si="23"/>
        <v>4.7999999999999996E-3</v>
      </c>
      <c r="M61" s="33">
        <f t="shared" si="23"/>
        <v>4.7999999999999996E-3</v>
      </c>
      <c r="N61" s="33">
        <f t="shared" si="23"/>
        <v>4.7999999999999996E-3</v>
      </c>
      <c r="O61" s="33">
        <f t="shared" si="23"/>
        <v>4.7999999999999996E-3</v>
      </c>
      <c r="P61" s="33">
        <f t="shared" si="23"/>
        <v>4.7999999999999996E-3</v>
      </c>
      <c r="Q61" s="33">
        <f t="shared" si="23"/>
        <v>4.7999999999999996E-3</v>
      </c>
      <c r="R61" s="34" t="str">
        <f>$R$35</f>
        <v>(3)</v>
      </c>
    </row>
    <row r="62" spans="2:18">
      <c r="B62" s="35" t="s">
        <v>26</v>
      </c>
      <c r="C62" s="36">
        <f>$C$25</f>
        <v>2.5000000000000001E-3</v>
      </c>
      <c r="D62" s="36">
        <f t="shared" ref="D62:Q62" si="24">$C$25</f>
        <v>2.5000000000000001E-3</v>
      </c>
      <c r="E62" s="36">
        <f t="shared" si="24"/>
        <v>2.5000000000000001E-3</v>
      </c>
      <c r="F62" s="36">
        <f t="shared" si="24"/>
        <v>2.5000000000000001E-3</v>
      </c>
      <c r="G62" s="36">
        <f t="shared" si="24"/>
        <v>2.5000000000000001E-3</v>
      </c>
      <c r="H62" s="36">
        <f t="shared" si="24"/>
        <v>2.5000000000000001E-3</v>
      </c>
      <c r="I62" s="36">
        <f t="shared" si="24"/>
        <v>2.5000000000000001E-3</v>
      </c>
      <c r="J62" s="36">
        <f t="shared" si="24"/>
        <v>2.5000000000000001E-3</v>
      </c>
      <c r="K62" s="36">
        <f t="shared" si="24"/>
        <v>2.5000000000000001E-3</v>
      </c>
      <c r="L62" s="36">
        <f t="shared" si="24"/>
        <v>2.5000000000000001E-3</v>
      </c>
      <c r="M62" s="36">
        <f t="shared" si="24"/>
        <v>2.5000000000000001E-3</v>
      </c>
      <c r="N62" s="36">
        <f t="shared" si="24"/>
        <v>2.5000000000000001E-3</v>
      </c>
      <c r="O62" s="36">
        <f t="shared" si="24"/>
        <v>2.5000000000000001E-3</v>
      </c>
      <c r="P62" s="36">
        <f t="shared" si="24"/>
        <v>2.5000000000000001E-3</v>
      </c>
      <c r="Q62" s="36">
        <f t="shared" si="24"/>
        <v>2.5000000000000001E-3</v>
      </c>
      <c r="R62" s="37" t="str">
        <f>$R$36</f>
        <v>(4)</v>
      </c>
    </row>
    <row r="63" spans="2:18">
      <c r="B63" s="27" t="s">
        <v>37</v>
      </c>
      <c r="C63" s="33">
        <f>IF((C58-C60-C61-C62)&lt;0,0,C58-C60-C61-C62)</f>
        <v>0</v>
      </c>
      <c r="D63" s="33">
        <f t="shared" ref="D63:Q63" si="25">IF((D58-D60-D61-D62)&lt;0,0,D58-D60-D61-D62)</f>
        <v>0</v>
      </c>
      <c r="E63" s="33">
        <f t="shared" si="25"/>
        <v>0</v>
      </c>
      <c r="F63" s="33">
        <f t="shared" si="25"/>
        <v>0</v>
      </c>
      <c r="G63" s="33">
        <f t="shared" si="25"/>
        <v>0</v>
      </c>
      <c r="H63" s="33">
        <f t="shared" si="25"/>
        <v>2.0000000000000703E-4</v>
      </c>
      <c r="I63" s="33">
        <f t="shared" si="25"/>
        <v>2.7000000000000093E-3</v>
      </c>
      <c r="J63" s="33">
        <f t="shared" si="25"/>
        <v>5.2000000000000119E-3</v>
      </c>
      <c r="K63" s="33">
        <f t="shared" si="25"/>
        <v>7.7000000000000141E-3</v>
      </c>
      <c r="L63" s="33">
        <f t="shared" si="25"/>
        <v>1.0200000000000016E-2</v>
      </c>
      <c r="M63" s="33">
        <f t="shared" si="25"/>
        <v>1.2700000000000019E-2</v>
      </c>
      <c r="N63" s="33">
        <f t="shared" si="25"/>
        <v>1.5200000000000021E-2</v>
      </c>
      <c r="O63" s="33">
        <f t="shared" si="25"/>
        <v>1.7700000000000025E-2</v>
      </c>
      <c r="P63" s="33">
        <f t="shared" si="25"/>
        <v>2.0200000000000027E-2</v>
      </c>
      <c r="Q63" s="33">
        <f t="shared" si="25"/>
        <v>2.2700000000000029E-2</v>
      </c>
      <c r="R63" s="34" t="str">
        <f>$R$37</f>
        <v>(5) = (1) - (2) - (3) - (4), if (5) &gt; 0</v>
      </c>
    </row>
    <row r="64" spans="2:18">
      <c r="B64" s="35" t="s">
        <v>39</v>
      </c>
      <c r="C64" s="38">
        <f>IF((C58-C60-C62-C61)&gt;0,0,C58-C60-C61-C62)</f>
        <v>-1.2300000000000004E-2</v>
      </c>
      <c r="D64" s="38">
        <f t="shared" ref="D64:Q64" si="26">IF((D58-D60-D62-D61)&gt;0,0,D58-D60-D61-D62)</f>
        <v>-9.8000000000000014E-3</v>
      </c>
      <c r="E64" s="38">
        <f t="shared" si="26"/>
        <v>-7.2999999999999992E-3</v>
      </c>
      <c r="F64" s="38">
        <f t="shared" si="26"/>
        <v>-4.799999999999997E-3</v>
      </c>
      <c r="G64" s="38">
        <f t="shared" si="26"/>
        <v>-2.2999999999999952E-3</v>
      </c>
      <c r="H64" s="38">
        <f t="shared" si="26"/>
        <v>0</v>
      </c>
      <c r="I64" s="38">
        <f t="shared" si="26"/>
        <v>0</v>
      </c>
      <c r="J64" s="38">
        <f t="shared" si="26"/>
        <v>0</v>
      </c>
      <c r="K64" s="38">
        <f t="shared" si="26"/>
        <v>0</v>
      </c>
      <c r="L64" s="38">
        <f t="shared" si="26"/>
        <v>0</v>
      </c>
      <c r="M64" s="38">
        <f t="shared" si="26"/>
        <v>0</v>
      </c>
      <c r="N64" s="38">
        <f t="shared" si="26"/>
        <v>0</v>
      </c>
      <c r="O64" s="38">
        <f t="shared" si="26"/>
        <v>0</v>
      </c>
      <c r="P64" s="38">
        <f t="shared" si="26"/>
        <v>0</v>
      </c>
      <c r="Q64" s="38">
        <f t="shared" si="26"/>
        <v>0</v>
      </c>
      <c r="R64" s="39" t="str">
        <f>$R$38</f>
        <v>(6) = (1) - (2) - (3) - (4), if (6) &lt; 0</v>
      </c>
    </row>
    <row r="65" spans="2:18">
      <c r="B65" s="40" t="s">
        <v>41</v>
      </c>
      <c r="C65" s="41">
        <f>$E$22</f>
        <v>103.6875</v>
      </c>
      <c r="D65" s="41">
        <f t="shared" ref="D65:Q65" si="27">$E$22</f>
        <v>103.6875</v>
      </c>
      <c r="E65" s="41">
        <f t="shared" si="27"/>
        <v>103.6875</v>
      </c>
      <c r="F65" s="41">
        <f t="shared" si="27"/>
        <v>103.6875</v>
      </c>
      <c r="G65" s="41">
        <f t="shared" si="27"/>
        <v>103.6875</v>
      </c>
      <c r="H65" s="41">
        <f t="shared" si="27"/>
        <v>103.6875</v>
      </c>
      <c r="I65" s="41">
        <f t="shared" si="27"/>
        <v>103.6875</v>
      </c>
      <c r="J65" s="41">
        <f t="shared" si="27"/>
        <v>103.6875</v>
      </c>
      <c r="K65" s="41">
        <f t="shared" si="27"/>
        <v>103.6875</v>
      </c>
      <c r="L65" s="41">
        <f t="shared" si="27"/>
        <v>103.6875</v>
      </c>
      <c r="M65" s="41">
        <f t="shared" si="27"/>
        <v>103.6875</v>
      </c>
      <c r="N65" s="41">
        <f t="shared" si="27"/>
        <v>103.6875</v>
      </c>
      <c r="O65" s="41">
        <f t="shared" si="27"/>
        <v>103.6875</v>
      </c>
      <c r="P65" s="41">
        <f t="shared" si="27"/>
        <v>103.6875</v>
      </c>
      <c r="Q65" s="41">
        <f t="shared" si="27"/>
        <v>103.6875</v>
      </c>
      <c r="R65" s="34" t="str">
        <f>$R$39</f>
        <v>(7)</v>
      </c>
    </row>
    <row r="66" spans="2:18">
      <c r="B66" s="40" t="s">
        <v>43</v>
      </c>
      <c r="C66" s="41">
        <f t="shared" ref="C66:Q66" si="28">100*C62*$C$28</f>
        <v>1.25</v>
      </c>
      <c r="D66" s="41">
        <f t="shared" si="28"/>
        <v>1.25</v>
      </c>
      <c r="E66" s="41">
        <f t="shared" si="28"/>
        <v>1.25</v>
      </c>
      <c r="F66" s="41">
        <f t="shared" si="28"/>
        <v>1.25</v>
      </c>
      <c r="G66" s="41">
        <f t="shared" si="28"/>
        <v>1.25</v>
      </c>
      <c r="H66" s="41">
        <f t="shared" si="28"/>
        <v>1.25</v>
      </c>
      <c r="I66" s="41">
        <f t="shared" si="28"/>
        <v>1.25</v>
      </c>
      <c r="J66" s="41">
        <f t="shared" si="28"/>
        <v>1.25</v>
      </c>
      <c r="K66" s="41">
        <f t="shared" si="28"/>
        <v>1.25</v>
      </c>
      <c r="L66" s="41">
        <f t="shared" si="28"/>
        <v>1.25</v>
      </c>
      <c r="M66" s="41">
        <f t="shared" si="28"/>
        <v>1.25</v>
      </c>
      <c r="N66" s="41">
        <f t="shared" si="28"/>
        <v>1.25</v>
      </c>
      <c r="O66" s="41">
        <f t="shared" si="28"/>
        <v>1.25</v>
      </c>
      <c r="P66" s="41">
        <f t="shared" si="28"/>
        <v>1.25</v>
      </c>
      <c r="Q66" s="41">
        <f t="shared" si="28"/>
        <v>1.25</v>
      </c>
      <c r="R66" s="42" t="str">
        <f>$R$40</f>
        <v>(8) = (4) × 5.0</v>
      </c>
    </row>
    <row r="67" spans="2:18">
      <c r="B67" s="40" t="s">
        <v>44</v>
      </c>
      <c r="C67" s="41">
        <f t="shared" ref="C67:Q67" si="29">100*(C63*$C$29 +C64*$C$27)</f>
        <v>-9.4710000000000036</v>
      </c>
      <c r="D67" s="41">
        <f t="shared" si="29"/>
        <v>-7.5460000000000012</v>
      </c>
      <c r="E67" s="41">
        <f t="shared" si="29"/>
        <v>-5.6209999999999996</v>
      </c>
      <c r="F67" s="41">
        <f t="shared" si="29"/>
        <v>-3.695999999999998</v>
      </c>
      <c r="G67" s="41">
        <f t="shared" si="29"/>
        <v>-1.7709999999999961</v>
      </c>
      <c r="H67" s="41">
        <f t="shared" si="29"/>
        <v>8.0000000000002819E-2</v>
      </c>
      <c r="I67" s="41">
        <f t="shared" si="29"/>
        <v>1.0800000000000036</v>
      </c>
      <c r="J67" s="41">
        <f t="shared" si="29"/>
        <v>2.080000000000005</v>
      </c>
      <c r="K67" s="41">
        <f t="shared" si="29"/>
        <v>3.0800000000000058</v>
      </c>
      <c r="L67" s="41">
        <f t="shared" si="29"/>
        <v>4.0800000000000063</v>
      </c>
      <c r="M67" s="41">
        <f t="shared" si="29"/>
        <v>5.0800000000000072</v>
      </c>
      <c r="N67" s="41">
        <f t="shared" si="29"/>
        <v>6.0800000000000081</v>
      </c>
      <c r="O67" s="41">
        <f t="shared" si="29"/>
        <v>7.0800000000000098</v>
      </c>
      <c r="P67" s="41">
        <f t="shared" si="29"/>
        <v>8.0800000000000107</v>
      </c>
      <c r="Q67" s="41">
        <f t="shared" si="29"/>
        <v>9.0800000000000125</v>
      </c>
      <c r="R67" s="42" t="str">
        <f>$R$41</f>
        <v>(9) = (5) × 4.0 + (5) × 7.7</v>
      </c>
    </row>
    <row r="68" spans="2:18" ht="15.75" thickBot="1">
      <c r="B68" s="43" t="str">
        <f>"Execution Price ("&amp;TEXT(C60,"0.0%")&amp;")"</f>
        <v>Execution Price (3.5%)</v>
      </c>
      <c r="C68" s="44">
        <f>IF(C63&gt;$C$26,"NA",SUM(C65:C67))</f>
        <v>95.466499999999996</v>
      </c>
      <c r="D68" s="44">
        <f t="shared" ref="D68:Q68" si="30">IF(D63&gt;$C$26,"NA",SUM(D65:D67))</f>
        <v>97.391499999999994</v>
      </c>
      <c r="E68" s="44">
        <f t="shared" si="30"/>
        <v>99.316500000000005</v>
      </c>
      <c r="F68" s="44">
        <f t="shared" si="30"/>
        <v>101.2415</v>
      </c>
      <c r="G68" s="44">
        <f t="shared" si="30"/>
        <v>103.1665</v>
      </c>
      <c r="H68" s="44">
        <f t="shared" si="30"/>
        <v>105.0175</v>
      </c>
      <c r="I68" s="44">
        <f t="shared" si="30"/>
        <v>106.0175</v>
      </c>
      <c r="J68" s="44" t="str">
        <f t="shared" si="30"/>
        <v>NA</v>
      </c>
      <c r="K68" s="44" t="str">
        <f t="shared" si="30"/>
        <v>NA</v>
      </c>
      <c r="L68" s="44" t="str">
        <f t="shared" si="30"/>
        <v>NA</v>
      </c>
      <c r="M68" s="44" t="str">
        <f t="shared" si="30"/>
        <v>NA</v>
      </c>
      <c r="N68" s="44" t="str">
        <f t="shared" si="30"/>
        <v>NA</v>
      </c>
      <c r="O68" s="44" t="str">
        <f t="shared" si="30"/>
        <v>NA</v>
      </c>
      <c r="P68" s="44" t="str">
        <f t="shared" si="30"/>
        <v>NA</v>
      </c>
      <c r="Q68" s="44" t="str">
        <f t="shared" si="30"/>
        <v>NA</v>
      </c>
      <c r="R68" s="45" t="str">
        <f>$R$42</f>
        <v>(10) = (7) + (8) + (9), if (5) &lt; 0.375%</v>
      </c>
    </row>
    <row r="70" spans="2:18" ht="15.75" thickBot="1"/>
    <row r="71" spans="2:18">
      <c r="B71" s="24" t="s">
        <v>31</v>
      </c>
      <c r="C71" s="7">
        <f>C58</f>
        <v>0.03</v>
      </c>
      <c r="D71" s="7">
        <f t="shared" ref="D71:Q71" si="31">D58</f>
        <v>3.2500000000000001E-2</v>
      </c>
      <c r="E71" s="7">
        <f t="shared" si="31"/>
        <v>3.5000000000000003E-2</v>
      </c>
      <c r="F71" s="7">
        <f t="shared" si="31"/>
        <v>3.7500000000000006E-2</v>
      </c>
      <c r="G71" s="7">
        <f t="shared" si="31"/>
        <v>4.0000000000000008E-2</v>
      </c>
      <c r="H71" s="7">
        <f t="shared" si="31"/>
        <v>4.250000000000001E-2</v>
      </c>
      <c r="I71" s="7">
        <f t="shared" si="31"/>
        <v>4.5000000000000012E-2</v>
      </c>
      <c r="J71" s="7">
        <f t="shared" si="31"/>
        <v>4.7500000000000014E-2</v>
      </c>
      <c r="K71" s="7">
        <f t="shared" si="31"/>
        <v>5.0000000000000017E-2</v>
      </c>
      <c r="L71" s="7">
        <f t="shared" si="31"/>
        <v>5.2500000000000019E-2</v>
      </c>
      <c r="M71" s="7">
        <f t="shared" si="31"/>
        <v>5.5000000000000021E-2</v>
      </c>
      <c r="N71" s="7">
        <f t="shared" si="31"/>
        <v>5.7500000000000023E-2</v>
      </c>
      <c r="O71" s="7">
        <f t="shared" si="31"/>
        <v>6.0000000000000026E-2</v>
      </c>
      <c r="P71" s="7">
        <f t="shared" si="31"/>
        <v>6.2500000000000028E-2</v>
      </c>
      <c r="Q71" s="7">
        <f t="shared" si="31"/>
        <v>6.500000000000003E-2</v>
      </c>
      <c r="R71" s="26" t="str">
        <f>$R$32</f>
        <v>(1)</v>
      </c>
    </row>
    <row r="72" spans="2:18">
      <c r="B72" s="27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9"/>
    </row>
    <row r="73" spans="2:18">
      <c r="B73" s="30" t="s">
        <v>15</v>
      </c>
      <c r="C73" s="31">
        <f>$F$21</f>
        <v>0.04</v>
      </c>
      <c r="D73" s="31">
        <f t="shared" ref="D73:Q73" si="32">$F$21</f>
        <v>0.04</v>
      </c>
      <c r="E73" s="31">
        <f t="shared" si="32"/>
        <v>0.04</v>
      </c>
      <c r="F73" s="31">
        <f t="shared" si="32"/>
        <v>0.04</v>
      </c>
      <c r="G73" s="31">
        <f t="shared" si="32"/>
        <v>0.04</v>
      </c>
      <c r="H73" s="31">
        <f t="shared" si="32"/>
        <v>0.04</v>
      </c>
      <c r="I73" s="31">
        <f t="shared" si="32"/>
        <v>0.04</v>
      </c>
      <c r="J73" s="31">
        <f t="shared" si="32"/>
        <v>0.04</v>
      </c>
      <c r="K73" s="31">
        <f t="shared" si="32"/>
        <v>0.04</v>
      </c>
      <c r="L73" s="31">
        <f t="shared" si="32"/>
        <v>0.04</v>
      </c>
      <c r="M73" s="31">
        <f t="shared" si="32"/>
        <v>0.04</v>
      </c>
      <c r="N73" s="31">
        <f t="shared" si="32"/>
        <v>0.04</v>
      </c>
      <c r="O73" s="31">
        <f t="shared" si="32"/>
        <v>0.04</v>
      </c>
      <c r="P73" s="31">
        <f t="shared" si="32"/>
        <v>0.04</v>
      </c>
      <c r="Q73" s="31">
        <f t="shared" si="32"/>
        <v>0.04</v>
      </c>
      <c r="R73" s="32" t="str">
        <f>$R$34</f>
        <v>(2)</v>
      </c>
    </row>
    <row r="74" spans="2:18">
      <c r="B74" s="27" t="s">
        <v>34</v>
      </c>
      <c r="C74" s="33">
        <f>$C$24</f>
        <v>4.7999999999999996E-3</v>
      </c>
      <c r="D74" s="33">
        <f t="shared" ref="D74:Q74" si="33">$C$24</f>
        <v>4.7999999999999996E-3</v>
      </c>
      <c r="E74" s="33">
        <f t="shared" si="33"/>
        <v>4.7999999999999996E-3</v>
      </c>
      <c r="F74" s="33">
        <f t="shared" si="33"/>
        <v>4.7999999999999996E-3</v>
      </c>
      <c r="G74" s="33">
        <f t="shared" si="33"/>
        <v>4.7999999999999996E-3</v>
      </c>
      <c r="H74" s="33">
        <f t="shared" si="33"/>
        <v>4.7999999999999996E-3</v>
      </c>
      <c r="I74" s="33">
        <f t="shared" si="33"/>
        <v>4.7999999999999996E-3</v>
      </c>
      <c r="J74" s="33">
        <f t="shared" si="33"/>
        <v>4.7999999999999996E-3</v>
      </c>
      <c r="K74" s="33">
        <f t="shared" si="33"/>
        <v>4.7999999999999996E-3</v>
      </c>
      <c r="L74" s="33">
        <f t="shared" si="33"/>
        <v>4.7999999999999996E-3</v>
      </c>
      <c r="M74" s="33">
        <f t="shared" si="33"/>
        <v>4.7999999999999996E-3</v>
      </c>
      <c r="N74" s="33">
        <f t="shared" si="33"/>
        <v>4.7999999999999996E-3</v>
      </c>
      <c r="O74" s="33">
        <f t="shared" si="33"/>
        <v>4.7999999999999996E-3</v>
      </c>
      <c r="P74" s="33">
        <f t="shared" si="33"/>
        <v>4.7999999999999996E-3</v>
      </c>
      <c r="Q74" s="33">
        <f t="shared" si="33"/>
        <v>4.7999999999999996E-3</v>
      </c>
      <c r="R74" s="34" t="str">
        <f>$R$35</f>
        <v>(3)</v>
      </c>
    </row>
    <row r="75" spans="2:18">
      <c r="B75" s="35" t="s">
        <v>26</v>
      </c>
      <c r="C75" s="36">
        <f>$C$25</f>
        <v>2.5000000000000001E-3</v>
      </c>
      <c r="D75" s="36">
        <f t="shared" ref="D75:Q75" si="34">$C$25</f>
        <v>2.5000000000000001E-3</v>
      </c>
      <c r="E75" s="36">
        <f t="shared" si="34"/>
        <v>2.5000000000000001E-3</v>
      </c>
      <c r="F75" s="36">
        <f t="shared" si="34"/>
        <v>2.5000000000000001E-3</v>
      </c>
      <c r="G75" s="36">
        <f t="shared" si="34"/>
        <v>2.5000000000000001E-3</v>
      </c>
      <c r="H75" s="36">
        <f t="shared" si="34"/>
        <v>2.5000000000000001E-3</v>
      </c>
      <c r="I75" s="36">
        <f t="shared" si="34"/>
        <v>2.5000000000000001E-3</v>
      </c>
      <c r="J75" s="36">
        <f t="shared" si="34"/>
        <v>2.5000000000000001E-3</v>
      </c>
      <c r="K75" s="36">
        <f t="shared" si="34"/>
        <v>2.5000000000000001E-3</v>
      </c>
      <c r="L75" s="36">
        <f t="shared" si="34"/>
        <v>2.5000000000000001E-3</v>
      </c>
      <c r="M75" s="36">
        <f t="shared" si="34"/>
        <v>2.5000000000000001E-3</v>
      </c>
      <c r="N75" s="36">
        <f t="shared" si="34"/>
        <v>2.5000000000000001E-3</v>
      </c>
      <c r="O75" s="36">
        <f t="shared" si="34"/>
        <v>2.5000000000000001E-3</v>
      </c>
      <c r="P75" s="36">
        <f t="shared" si="34"/>
        <v>2.5000000000000001E-3</v>
      </c>
      <c r="Q75" s="36">
        <f t="shared" si="34"/>
        <v>2.5000000000000001E-3</v>
      </c>
      <c r="R75" s="37" t="str">
        <f>$R$36</f>
        <v>(4)</v>
      </c>
    </row>
    <row r="76" spans="2:18">
      <c r="B76" s="27" t="s">
        <v>37</v>
      </c>
      <c r="C76" s="33">
        <f>IF((C71-C73-C74-C75)&lt;0,0,C71-C73-C74-C75)</f>
        <v>0</v>
      </c>
      <c r="D76" s="33">
        <f t="shared" ref="D76:Q76" si="35">IF((D71-D73-D74-D75)&lt;0,0,D71-D73-D74-D75)</f>
        <v>0</v>
      </c>
      <c r="E76" s="33">
        <f t="shared" si="35"/>
        <v>0</v>
      </c>
      <c r="F76" s="33">
        <f t="shared" si="35"/>
        <v>0</v>
      </c>
      <c r="G76" s="33">
        <f t="shared" si="35"/>
        <v>0</v>
      </c>
      <c r="H76" s="33">
        <f t="shared" si="35"/>
        <v>0</v>
      </c>
      <c r="I76" s="33">
        <f t="shared" si="35"/>
        <v>0</v>
      </c>
      <c r="J76" s="33">
        <f t="shared" si="35"/>
        <v>2.0000000000001397E-4</v>
      </c>
      <c r="K76" s="33">
        <f t="shared" si="35"/>
        <v>2.7000000000000162E-3</v>
      </c>
      <c r="L76" s="33">
        <f t="shared" si="35"/>
        <v>5.2000000000000188E-3</v>
      </c>
      <c r="M76" s="33">
        <f t="shared" si="35"/>
        <v>7.7000000000000211E-3</v>
      </c>
      <c r="N76" s="33">
        <f t="shared" si="35"/>
        <v>1.0200000000000023E-2</v>
      </c>
      <c r="O76" s="33">
        <f t="shared" si="35"/>
        <v>1.2700000000000026E-2</v>
      </c>
      <c r="P76" s="33">
        <f t="shared" si="35"/>
        <v>1.5200000000000028E-2</v>
      </c>
      <c r="Q76" s="33">
        <f t="shared" si="35"/>
        <v>1.7700000000000032E-2</v>
      </c>
      <c r="R76" s="34" t="str">
        <f>$R$37</f>
        <v>(5) = (1) - (2) - (3) - (4), if (5) &gt; 0</v>
      </c>
    </row>
    <row r="77" spans="2:18">
      <c r="B77" s="35" t="s">
        <v>39</v>
      </c>
      <c r="C77" s="38">
        <f>IF((C71-C73-C75-C74)&gt;0,0,C71-C73-C74-C75)</f>
        <v>-1.7299999999999999E-2</v>
      </c>
      <c r="D77" s="38">
        <f t="shared" ref="D77:Q77" si="36">IF((D71-D73-D75-D74)&gt;0,0,D71-D73-D74-D75)</f>
        <v>-1.4799999999999999E-2</v>
      </c>
      <c r="E77" s="38">
        <f t="shared" si="36"/>
        <v>-1.2299999999999997E-2</v>
      </c>
      <c r="F77" s="38">
        <f t="shared" si="36"/>
        <v>-9.7999999999999945E-3</v>
      </c>
      <c r="G77" s="38">
        <f t="shared" si="36"/>
        <v>-7.2999999999999923E-3</v>
      </c>
      <c r="H77" s="38">
        <f t="shared" si="36"/>
        <v>-4.79999999999999E-3</v>
      </c>
      <c r="I77" s="38">
        <f t="shared" si="36"/>
        <v>-2.2999999999999883E-3</v>
      </c>
      <c r="J77" s="38">
        <f t="shared" si="36"/>
        <v>0</v>
      </c>
      <c r="K77" s="38">
        <f t="shared" si="36"/>
        <v>0</v>
      </c>
      <c r="L77" s="38">
        <f t="shared" si="36"/>
        <v>0</v>
      </c>
      <c r="M77" s="38">
        <f t="shared" si="36"/>
        <v>0</v>
      </c>
      <c r="N77" s="38">
        <f t="shared" si="36"/>
        <v>0</v>
      </c>
      <c r="O77" s="38">
        <f t="shared" si="36"/>
        <v>0</v>
      </c>
      <c r="P77" s="38">
        <f t="shared" si="36"/>
        <v>0</v>
      </c>
      <c r="Q77" s="38">
        <f t="shared" si="36"/>
        <v>0</v>
      </c>
      <c r="R77" s="39" t="str">
        <f>$R$38</f>
        <v>(6) = (1) - (2) - (3) - (4), if (6) &lt; 0</v>
      </c>
    </row>
    <row r="78" spans="2:18">
      <c r="B78" s="40" t="s">
        <v>41</v>
      </c>
      <c r="C78" s="41">
        <f>$F$22</f>
        <v>106.203125</v>
      </c>
      <c r="D78" s="41">
        <f t="shared" ref="D78:Q78" si="37">$F$22</f>
        <v>106.203125</v>
      </c>
      <c r="E78" s="41">
        <f t="shared" si="37"/>
        <v>106.203125</v>
      </c>
      <c r="F78" s="41">
        <f t="shared" si="37"/>
        <v>106.203125</v>
      </c>
      <c r="G78" s="41">
        <f t="shared" si="37"/>
        <v>106.203125</v>
      </c>
      <c r="H78" s="41">
        <f t="shared" si="37"/>
        <v>106.203125</v>
      </c>
      <c r="I78" s="41">
        <f t="shared" si="37"/>
        <v>106.203125</v>
      </c>
      <c r="J78" s="41">
        <f t="shared" si="37"/>
        <v>106.203125</v>
      </c>
      <c r="K78" s="41">
        <f t="shared" si="37"/>
        <v>106.203125</v>
      </c>
      <c r="L78" s="41">
        <f t="shared" si="37"/>
        <v>106.203125</v>
      </c>
      <c r="M78" s="41">
        <f t="shared" si="37"/>
        <v>106.203125</v>
      </c>
      <c r="N78" s="41">
        <f t="shared" si="37"/>
        <v>106.203125</v>
      </c>
      <c r="O78" s="41">
        <f t="shared" si="37"/>
        <v>106.203125</v>
      </c>
      <c r="P78" s="41">
        <f t="shared" si="37"/>
        <v>106.203125</v>
      </c>
      <c r="Q78" s="41">
        <f t="shared" si="37"/>
        <v>106.203125</v>
      </c>
      <c r="R78" s="34" t="str">
        <f>$R$39</f>
        <v>(7)</v>
      </c>
    </row>
    <row r="79" spans="2:18">
      <c r="B79" s="40" t="s">
        <v>43</v>
      </c>
      <c r="C79" s="41">
        <f t="shared" ref="C79:Q79" si="38">100*C75*$C$28</f>
        <v>1.25</v>
      </c>
      <c r="D79" s="41">
        <f t="shared" si="38"/>
        <v>1.25</v>
      </c>
      <c r="E79" s="41">
        <f t="shared" si="38"/>
        <v>1.25</v>
      </c>
      <c r="F79" s="41">
        <f t="shared" si="38"/>
        <v>1.25</v>
      </c>
      <c r="G79" s="41">
        <f t="shared" si="38"/>
        <v>1.25</v>
      </c>
      <c r="H79" s="41">
        <f t="shared" si="38"/>
        <v>1.25</v>
      </c>
      <c r="I79" s="41">
        <f t="shared" si="38"/>
        <v>1.25</v>
      </c>
      <c r="J79" s="41">
        <f t="shared" si="38"/>
        <v>1.25</v>
      </c>
      <c r="K79" s="41">
        <f t="shared" si="38"/>
        <v>1.25</v>
      </c>
      <c r="L79" s="41">
        <f t="shared" si="38"/>
        <v>1.25</v>
      </c>
      <c r="M79" s="41">
        <f t="shared" si="38"/>
        <v>1.25</v>
      </c>
      <c r="N79" s="41">
        <f t="shared" si="38"/>
        <v>1.25</v>
      </c>
      <c r="O79" s="41">
        <f t="shared" si="38"/>
        <v>1.25</v>
      </c>
      <c r="P79" s="41">
        <f t="shared" si="38"/>
        <v>1.25</v>
      </c>
      <c r="Q79" s="41">
        <f t="shared" si="38"/>
        <v>1.25</v>
      </c>
      <c r="R79" s="42" t="str">
        <f>$R$40</f>
        <v>(8) = (4) × 5.0</v>
      </c>
    </row>
    <row r="80" spans="2:18">
      <c r="B80" s="40" t="s">
        <v>44</v>
      </c>
      <c r="C80" s="41">
        <f t="shared" ref="C80:Q80" si="39">100*(C76*$C$29 +C77*$C$27)</f>
        <v>-13.321</v>
      </c>
      <c r="D80" s="41">
        <f t="shared" si="39"/>
        <v>-11.395999999999999</v>
      </c>
      <c r="E80" s="41">
        <f t="shared" si="39"/>
        <v>-9.4709999999999983</v>
      </c>
      <c r="F80" s="41">
        <f t="shared" si="39"/>
        <v>-7.5459999999999958</v>
      </c>
      <c r="G80" s="41">
        <f t="shared" si="39"/>
        <v>-5.6209999999999942</v>
      </c>
      <c r="H80" s="41">
        <f t="shared" si="39"/>
        <v>-3.6959999999999922</v>
      </c>
      <c r="I80" s="41">
        <f t="shared" si="39"/>
        <v>-1.770999999999991</v>
      </c>
      <c r="J80" s="41">
        <f t="shared" si="39"/>
        <v>8.0000000000005594E-2</v>
      </c>
      <c r="K80" s="41">
        <f t="shared" si="39"/>
        <v>1.0800000000000065</v>
      </c>
      <c r="L80" s="41">
        <f t="shared" si="39"/>
        <v>2.0800000000000076</v>
      </c>
      <c r="M80" s="41">
        <f t="shared" si="39"/>
        <v>3.0800000000000085</v>
      </c>
      <c r="N80" s="41">
        <f t="shared" si="39"/>
        <v>4.080000000000009</v>
      </c>
      <c r="O80" s="41">
        <f t="shared" si="39"/>
        <v>5.0800000000000098</v>
      </c>
      <c r="P80" s="41">
        <f t="shared" si="39"/>
        <v>6.0800000000000107</v>
      </c>
      <c r="Q80" s="41">
        <f t="shared" si="39"/>
        <v>7.0800000000000125</v>
      </c>
      <c r="R80" s="42" t="str">
        <f>$R$41</f>
        <v>(9) = (5) × 4.0 + (5) × 7.7</v>
      </c>
    </row>
    <row r="81" spans="2:18" ht="15.75" thickBot="1">
      <c r="B81" s="43" t="str">
        <f>"Execution Price ("&amp;TEXT(C73,"0.0%")&amp;")"</f>
        <v>Execution Price (4.0%)</v>
      </c>
      <c r="C81" s="44">
        <f>IF(C76&gt;$C$26,"NA",SUM(C78:C80))</f>
        <v>94.132125000000002</v>
      </c>
      <c r="D81" s="44">
        <f t="shared" ref="D81:Q81" si="40">IF(D76&gt;$C$26,"NA",SUM(D78:D80))</f>
        <v>96.057124999999999</v>
      </c>
      <c r="E81" s="44">
        <f t="shared" si="40"/>
        <v>97.982124999999996</v>
      </c>
      <c r="F81" s="44">
        <f t="shared" si="40"/>
        <v>99.907125000000008</v>
      </c>
      <c r="G81" s="44">
        <f t="shared" si="40"/>
        <v>101.832125</v>
      </c>
      <c r="H81" s="44">
        <f t="shared" si="40"/>
        <v>103.757125</v>
      </c>
      <c r="I81" s="44">
        <f t="shared" si="40"/>
        <v>105.68212500000001</v>
      </c>
      <c r="J81" s="44">
        <f t="shared" si="40"/>
        <v>107.53312500000001</v>
      </c>
      <c r="K81" s="44">
        <f t="shared" si="40"/>
        <v>108.53312500000001</v>
      </c>
      <c r="L81" s="44" t="str">
        <f t="shared" si="40"/>
        <v>NA</v>
      </c>
      <c r="M81" s="44" t="str">
        <f t="shared" si="40"/>
        <v>NA</v>
      </c>
      <c r="N81" s="44" t="str">
        <f t="shared" si="40"/>
        <v>NA</v>
      </c>
      <c r="O81" s="44" t="str">
        <f t="shared" si="40"/>
        <v>NA</v>
      </c>
      <c r="P81" s="44" t="str">
        <f t="shared" si="40"/>
        <v>NA</v>
      </c>
      <c r="Q81" s="44" t="str">
        <f t="shared" si="40"/>
        <v>NA</v>
      </c>
      <c r="R81" s="45" t="str">
        <f>$R$42</f>
        <v>(10) = (7) + (8) + (9), if (5) &lt; 0.375%</v>
      </c>
    </row>
    <row r="83" spans="2:18" ht="15.75" thickBot="1"/>
    <row r="84" spans="2:18">
      <c r="B84" s="46" t="s">
        <v>45</v>
      </c>
      <c r="C84" s="47">
        <f>MAX(C42,C55,C68,C81)</f>
        <v>96.072749999999999</v>
      </c>
      <c r="D84" s="47">
        <f t="shared" ref="D84:Q84" si="41">MAX(D42,D55,D68,D81)</f>
        <v>97.956344000000001</v>
      </c>
      <c r="E84" s="47">
        <f t="shared" si="41"/>
        <v>99.881343999999999</v>
      </c>
      <c r="F84" s="47">
        <f t="shared" si="41"/>
        <v>101.732344</v>
      </c>
      <c r="G84" s="47">
        <f t="shared" si="41"/>
        <v>103.1665</v>
      </c>
      <c r="H84" s="47">
        <f t="shared" si="41"/>
        <v>105.0175</v>
      </c>
      <c r="I84" s="47">
        <f t="shared" si="41"/>
        <v>106.0175</v>
      </c>
      <c r="J84" s="47">
        <f t="shared" si="41"/>
        <v>107.53312500000001</v>
      </c>
      <c r="K84" s="47">
        <f t="shared" si="41"/>
        <v>108.53312500000001</v>
      </c>
      <c r="L84" s="47">
        <f t="shared" si="41"/>
        <v>0</v>
      </c>
      <c r="M84" s="47">
        <f t="shared" si="41"/>
        <v>0</v>
      </c>
      <c r="N84" s="47">
        <f t="shared" si="41"/>
        <v>0</v>
      </c>
      <c r="O84" s="47">
        <f t="shared" si="41"/>
        <v>0</v>
      </c>
      <c r="P84" s="47">
        <f t="shared" si="41"/>
        <v>0</v>
      </c>
      <c r="Q84" s="47">
        <f t="shared" si="41"/>
        <v>0</v>
      </c>
      <c r="R84" s="48" t="s">
        <v>46</v>
      </c>
    </row>
    <row r="85" spans="2:18">
      <c r="B85" s="27" t="s">
        <v>31</v>
      </c>
      <c r="C85" s="33">
        <f>C71</f>
        <v>0.03</v>
      </c>
      <c r="D85" s="33">
        <f t="shared" ref="D85:Q85" si="42">D71</f>
        <v>3.2500000000000001E-2</v>
      </c>
      <c r="E85" s="33">
        <f t="shared" si="42"/>
        <v>3.5000000000000003E-2</v>
      </c>
      <c r="F85" s="33">
        <f t="shared" si="42"/>
        <v>3.7500000000000006E-2</v>
      </c>
      <c r="G85" s="33">
        <f t="shared" si="42"/>
        <v>4.0000000000000008E-2</v>
      </c>
      <c r="H85" s="33">
        <f t="shared" si="42"/>
        <v>4.250000000000001E-2</v>
      </c>
      <c r="I85" s="33">
        <f t="shared" si="42"/>
        <v>4.5000000000000012E-2</v>
      </c>
      <c r="J85" s="33">
        <f t="shared" si="42"/>
        <v>4.7500000000000014E-2</v>
      </c>
      <c r="K85" s="33">
        <f t="shared" si="42"/>
        <v>5.0000000000000017E-2</v>
      </c>
      <c r="L85" s="33">
        <f t="shared" si="42"/>
        <v>5.2500000000000019E-2</v>
      </c>
      <c r="M85" s="33">
        <f t="shared" si="42"/>
        <v>5.5000000000000021E-2</v>
      </c>
      <c r="N85" s="33">
        <f t="shared" si="42"/>
        <v>5.7500000000000023E-2</v>
      </c>
      <c r="O85" s="33">
        <f t="shared" si="42"/>
        <v>6.0000000000000026E-2</v>
      </c>
      <c r="P85" s="33">
        <f t="shared" si="42"/>
        <v>6.2500000000000028E-2</v>
      </c>
      <c r="Q85" s="33">
        <f t="shared" si="42"/>
        <v>6.500000000000003E-2</v>
      </c>
      <c r="R85" s="34" t="s">
        <v>32</v>
      </c>
    </row>
    <row r="86" spans="2:18" ht="15.75" thickBot="1">
      <c r="B86" s="49" t="s">
        <v>15</v>
      </c>
      <c r="C86" s="50">
        <f>IF(C84=C42,$C$21, IF(C84=C55,$D$21,IF(C84=C68,$E$21,$F$21)))</f>
        <v>2.5000000000000001E-2</v>
      </c>
      <c r="D86" s="50">
        <f t="shared" ref="D86:Q86" si="43">IF(D84=D42,$C$21, IF(D84=D55,$D$21,IF(D84=D68,$E$21,$F$21)))</f>
        <v>3.0000000000000002E-2</v>
      </c>
      <c r="E86" s="50">
        <f t="shared" si="43"/>
        <v>3.0000000000000002E-2</v>
      </c>
      <c r="F86" s="50">
        <f t="shared" si="43"/>
        <v>3.0000000000000002E-2</v>
      </c>
      <c r="G86" s="50">
        <f t="shared" si="43"/>
        <v>3.5000000000000003E-2</v>
      </c>
      <c r="H86" s="50">
        <f t="shared" si="43"/>
        <v>3.5000000000000003E-2</v>
      </c>
      <c r="I86" s="50">
        <f t="shared" si="43"/>
        <v>3.5000000000000003E-2</v>
      </c>
      <c r="J86" s="50">
        <f t="shared" si="43"/>
        <v>0.04</v>
      </c>
      <c r="K86" s="50">
        <f t="shared" si="43"/>
        <v>0.04</v>
      </c>
      <c r="L86" s="50">
        <f t="shared" si="43"/>
        <v>0.04</v>
      </c>
      <c r="M86" s="50">
        <f t="shared" si="43"/>
        <v>0.04</v>
      </c>
      <c r="N86" s="50">
        <f t="shared" si="43"/>
        <v>0.04</v>
      </c>
      <c r="O86" s="50">
        <f t="shared" si="43"/>
        <v>0.04</v>
      </c>
      <c r="P86" s="50">
        <f t="shared" si="43"/>
        <v>0.04</v>
      </c>
      <c r="Q86" s="50">
        <f t="shared" si="43"/>
        <v>0.04</v>
      </c>
      <c r="R86" s="51" t="s">
        <v>33</v>
      </c>
    </row>
  </sheetData>
  <conditionalFormatting sqref="C32:Q86">
    <cfRule type="cellIs" dxfId="5" priority="3" operator="equal">
      <formula>0</formula>
    </cfRule>
  </conditionalFormatting>
  <conditionalFormatting sqref="C32:R86">
    <cfRule type="containsText" dxfId="4" priority="1" operator="containsText" text="NA">
      <formula>NOT(ISERROR(SEARCH("NA",C32)))</formula>
    </cfRule>
    <cfRule type="containsErrors" priority="2">
      <formula>ISERROR(C32)</formula>
    </cfRule>
  </conditionalFormatting>
  <dataValidations count="2">
    <dataValidation type="list" allowBlank="1" showInputMessage="1" showErrorMessage="1" sqref="U1">
      <formula1>"PROD, DEV"</formula1>
    </dataValidation>
    <dataValidation type="list" allowBlank="1" showInputMessage="1" showErrorMessage="1" sqref="W1">
      <formula1>"Yes, No"</formula1>
    </dataValidation>
  </dataValidations>
  <pageMargins left="0.25" right="0.25" top="0.255" bottom="0.25" header="0.1" footer="0.1"/>
  <pageSetup scale="38" orientation="landscape" horizontalDpi="1200" verticalDpi="1200" r:id="rId1"/>
  <headerFooter scaleWithDoc="0">
    <oddHeader>&amp;L&amp;G&amp;C&amp;"-,Bold"&amp;10&amp;K2E398A
&amp;15Best Execution Matrix&amp;R&amp;"-,Bold"&amp;10&amp;K2E398A
As of 3/6/2015</oddHeader>
    <oddFooter>&amp;L&amp;10&amp;K2E398AReport created on &amp;D &amp;T&amp;C&amp;G
&amp;8&amp;K2E398APage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3" tint="0.79998168889431442"/>
  </sheetPr>
  <dimension ref="A3:T24789"/>
  <sheetViews>
    <sheetView tabSelected="1" topLeftCell="F1" workbookViewId="0">
      <selection activeCell="F4" sqref="F4"/>
    </sheetView>
  </sheetViews>
  <sheetFormatPr defaultRowHeight="12.75"/>
  <cols>
    <col min="1" max="1" width="15.7109375" style="53" bestFit="1" customWidth="1"/>
    <col min="2" max="2" width="9.42578125" style="53" bestFit="1" customWidth="1"/>
    <col min="3" max="3" width="10.140625" style="53" bestFit="1" customWidth="1"/>
    <col min="4" max="4" width="14.140625" style="53" bestFit="1" customWidth="1"/>
    <col min="5" max="5" width="13.85546875" style="53" bestFit="1" customWidth="1"/>
    <col min="6" max="6" width="13.85546875" style="53" customWidth="1"/>
    <col min="7" max="8" width="20.140625" style="53" customWidth="1"/>
    <col min="9" max="9" width="14.140625" style="53" bestFit="1" customWidth="1"/>
    <col min="10" max="15" width="14.140625" style="53" customWidth="1"/>
    <col min="16" max="16" width="9.7109375" style="53" bestFit="1" customWidth="1"/>
    <col min="17" max="17" width="14.140625" style="53" bestFit="1" customWidth="1"/>
    <col min="18" max="18" width="14.140625" style="53" customWidth="1"/>
    <col min="19" max="19" width="12.28515625" style="53" customWidth="1"/>
    <col min="20" max="20" width="15.7109375" style="53" bestFit="1" customWidth="1"/>
    <col min="21" max="21" width="14.140625" style="53" bestFit="1" customWidth="1"/>
    <col min="22" max="22" width="13.85546875" style="53" bestFit="1" customWidth="1"/>
    <col min="23" max="23" width="12.5703125" style="53" bestFit="1" customWidth="1"/>
    <col min="24" max="24" width="12" style="53" bestFit="1" customWidth="1"/>
    <col min="25" max="25" width="15.140625" style="53" bestFit="1" customWidth="1"/>
    <col min="26" max="26" width="14.140625" style="53" bestFit="1" customWidth="1"/>
    <col min="27" max="27" width="14.140625" style="53" customWidth="1"/>
    <col min="28" max="30" width="12" style="53" bestFit="1" customWidth="1"/>
    <col min="31" max="31" width="8" style="53" bestFit="1" customWidth="1"/>
    <col min="32" max="32" width="12" style="53" bestFit="1" customWidth="1"/>
    <col min="33" max="33" width="5.7109375" style="53" bestFit="1" customWidth="1"/>
    <col min="34" max="35" width="12" style="53" bestFit="1" customWidth="1"/>
    <col min="36" max="36" width="17.5703125" style="53" bestFit="1" customWidth="1"/>
    <col min="37" max="37" width="8.85546875" style="53" bestFit="1" customWidth="1"/>
    <col min="38" max="39" width="16" style="53" bestFit="1" customWidth="1"/>
    <col min="40" max="40" width="14.7109375" style="53" bestFit="1" customWidth="1"/>
    <col min="41" max="41" width="16" style="53" bestFit="1" customWidth="1"/>
    <col min="42" max="42" width="17.5703125" style="53" bestFit="1" customWidth="1"/>
    <col min="43" max="43" width="12.140625" style="53" bestFit="1" customWidth="1"/>
    <col min="44" max="44" width="8.5703125" style="53" bestFit="1" customWidth="1"/>
    <col min="45" max="45" width="15.28515625" style="53" customWidth="1"/>
    <col min="46" max="46" width="11.7109375" style="53" bestFit="1" customWidth="1"/>
    <col min="47" max="47" width="10.28515625" style="53" bestFit="1" customWidth="1"/>
    <col min="48" max="48" width="12" style="53" bestFit="1" customWidth="1"/>
    <col min="49" max="49" width="14.42578125" style="53" customWidth="1"/>
    <col min="50" max="50" width="18.5703125" style="53" bestFit="1" customWidth="1"/>
    <col min="51" max="51" width="10.7109375" style="53" bestFit="1" customWidth="1"/>
    <col min="52" max="52" width="16.42578125" style="53" bestFit="1" customWidth="1"/>
    <col min="53" max="53" width="16.140625" style="53" bestFit="1" customWidth="1"/>
    <col min="54" max="54" width="14.42578125" style="53" customWidth="1"/>
    <col min="55" max="55" width="12.28515625" style="53" customWidth="1"/>
    <col min="56" max="16384" width="9.140625" style="53"/>
  </cols>
  <sheetData>
    <row r="3" spans="1:17" ht="23.25">
      <c r="A3" s="52" t="s">
        <v>47</v>
      </c>
      <c r="F3" s="52" t="s">
        <v>48</v>
      </c>
      <c r="L3" s="52" t="s">
        <v>49</v>
      </c>
      <c r="O3" s="53" t="s">
        <v>50</v>
      </c>
      <c r="Q3" s="52" t="s">
        <v>51</v>
      </c>
    </row>
    <row r="4" spans="1:17" s="54" customFormat="1">
      <c r="A4" s="54" t="s">
        <v>52</v>
      </c>
      <c r="B4" s="54" t="s">
        <v>53</v>
      </c>
      <c r="C4" s="54" t="s">
        <v>54</v>
      </c>
      <c r="D4" s="54" t="s">
        <v>55</v>
      </c>
      <c r="F4" s="54" t="s">
        <v>52</v>
      </c>
      <c r="G4" s="54" t="s">
        <v>54</v>
      </c>
      <c r="H4" s="54" t="s">
        <v>55</v>
      </c>
      <c r="J4" s="55" t="s">
        <v>52</v>
      </c>
      <c r="K4" s="56" t="s">
        <v>55</v>
      </c>
      <c r="L4" s="56" t="s">
        <v>56</v>
      </c>
      <c r="M4" s="57" t="s">
        <v>57</v>
      </c>
      <c r="O4" s="55" t="s">
        <v>52</v>
      </c>
      <c r="P4" s="57" t="s">
        <v>55</v>
      </c>
      <c r="Q4" s="57" t="s">
        <v>58</v>
      </c>
    </row>
    <row r="5" spans="1:17" s="54" customFormat="1">
      <c r="A5" s="54" t="s">
        <v>59</v>
      </c>
      <c r="B5" s="54" t="s">
        <v>60</v>
      </c>
      <c r="C5" s="58" t="s">
        <v>61</v>
      </c>
      <c r="D5" s="54">
        <v>92.71875</v>
      </c>
      <c r="F5" s="54" t="s">
        <v>119</v>
      </c>
      <c r="G5" s="58" t="s">
        <v>118</v>
      </c>
      <c r="H5" s="67">
        <v>-1</v>
      </c>
      <c r="J5" s="59" t="str">
        <f>CurrentMtgRatesDataTable8[[#This Row],[TickerName]]</f>
        <v>FN30.400.10(IOX)</v>
      </c>
      <c r="K5" s="60" t="e">
        <f>VLOOKUP(J5,CurrentMtgRatesDataTable[[TickerName]:[SeriesNumValue]],4,0)</f>
        <v>#N/A</v>
      </c>
      <c r="L5" s="61" t="e">
        <f>#REF!</f>
        <v>#REF!</v>
      </c>
      <c r="M5" s="62" t="e">
        <f t="shared" ref="M5:M48" si="0">L5-CurrentCloseDate</f>
        <v>#REF!</v>
      </c>
      <c r="O5" s="59" t="e">
        <f>IF(AND($M5&gt;30,$M5&lt;60),J5,"")</f>
        <v>#REF!</v>
      </c>
      <c r="P5" s="62" t="e">
        <f>IF(AND($M5&gt;30,$M5&lt;60),K5,"")</f>
        <v>#REF!</v>
      </c>
      <c r="Q5" s="62" t="e">
        <f>IF(AND($M5&gt;30,$M5&lt;60),TEXT(L5,"mmm"),"")</f>
        <v>#REF!</v>
      </c>
    </row>
    <row r="6" spans="1:17" s="54" customFormat="1">
      <c r="A6" s="54" t="s">
        <v>63</v>
      </c>
      <c r="B6" s="54" t="s">
        <v>60</v>
      </c>
      <c r="C6" s="58" t="s">
        <v>61</v>
      </c>
      <c r="D6" s="54">
        <v>92.71875</v>
      </c>
      <c r="F6" s="54" t="s">
        <v>120</v>
      </c>
      <c r="G6" s="58" t="s">
        <v>118</v>
      </c>
      <c r="H6" s="67">
        <v>-0.5</v>
      </c>
      <c r="J6" s="59" t="str">
        <f>CurrentMtgRatesDataTable8[[#This Row],[TickerName]]</f>
        <v>FN30.500.05(IOX)</v>
      </c>
      <c r="K6" s="60" t="e">
        <f>VLOOKUP(J6,CurrentMtgRatesDataTable[[TickerName]:[SeriesNumValue]],4,0)</f>
        <v>#N/A</v>
      </c>
      <c r="L6" s="61" t="e">
        <f>#REF!</f>
        <v>#REF!</v>
      </c>
      <c r="M6" s="62" t="e">
        <f t="shared" si="0"/>
        <v>#REF!</v>
      </c>
      <c r="O6" s="59" t="e">
        <f t="shared" ref="O6:P48" si="1">IF(AND($M6&gt;30,$M6&lt;60),J6,"")</f>
        <v>#REF!</v>
      </c>
      <c r="P6" s="62" t="e">
        <f t="shared" si="1"/>
        <v>#REF!</v>
      </c>
      <c r="Q6" s="62" t="e">
        <f t="shared" ref="Q6:Q48" si="2">IF(AND($M6&gt;30,$M6&lt;60),TEXT(L6,"mmm"),"")</f>
        <v>#REF!</v>
      </c>
    </row>
    <row r="7" spans="1:17" s="54" customFormat="1">
      <c r="A7" s="54" t="s">
        <v>65</v>
      </c>
      <c r="B7" s="54" t="s">
        <v>60</v>
      </c>
      <c r="C7" s="58" t="s">
        <v>61</v>
      </c>
      <c r="D7" s="54">
        <v>92.5625</v>
      </c>
      <c r="F7" s="54" t="s">
        <v>121</v>
      </c>
      <c r="G7" s="58" t="s">
        <v>118</v>
      </c>
      <c r="H7" s="67">
        <v>-0.75</v>
      </c>
      <c r="J7" s="59" t="str">
        <f>CurrentMtgRatesDataTable8[[#This Row],[TickerName]]</f>
        <v>GII30.450.10(IOX)</v>
      </c>
      <c r="K7" s="60" t="e">
        <f>VLOOKUP(J7,CurrentMtgRatesDataTable[[TickerName]:[SeriesNumValue]],4,0)</f>
        <v>#N/A</v>
      </c>
      <c r="L7" s="61" t="e">
        <f>#REF!</f>
        <v>#REF!</v>
      </c>
      <c r="M7" s="62" t="e">
        <f t="shared" si="0"/>
        <v>#REF!</v>
      </c>
      <c r="O7" s="59" t="e">
        <f t="shared" si="1"/>
        <v>#REF!</v>
      </c>
      <c r="P7" s="62" t="e">
        <f t="shared" si="1"/>
        <v>#REF!</v>
      </c>
      <c r="Q7" s="62" t="e">
        <f t="shared" si="2"/>
        <v>#REF!</v>
      </c>
    </row>
    <row r="8" spans="1:17" s="54" customFormat="1">
      <c r="A8" s="54" t="s">
        <v>62</v>
      </c>
      <c r="B8" s="54" t="s">
        <v>60</v>
      </c>
      <c r="C8" s="58" t="s">
        <v>61</v>
      </c>
      <c r="D8" s="54">
        <v>92.71875</v>
      </c>
      <c r="F8" s="54" t="s">
        <v>122</v>
      </c>
      <c r="G8" s="58" t="s">
        <v>118</v>
      </c>
      <c r="H8" s="67">
        <v>-1.05</v>
      </c>
      <c r="J8" s="59" t="str">
        <f>CurrentMtgRatesDataTable8[[#This Row],[TickerName]]</f>
        <v>FN30.400.11(IOX)</v>
      </c>
      <c r="K8" s="60" t="e">
        <f>VLOOKUP(J8,CurrentMtgRatesDataTable[[TickerName]:[SeriesNumValue]],4,0)</f>
        <v>#N/A</v>
      </c>
      <c r="L8" s="61" t="e">
        <f>#REF!</f>
        <v>#REF!</v>
      </c>
      <c r="M8" s="62" t="e">
        <f t="shared" si="0"/>
        <v>#REF!</v>
      </c>
      <c r="O8" s="59" t="e">
        <f t="shared" si="1"/>
        <v>#REF!</v>
      </c>
      <c r="P8" s="62" t="e">
        <f t="shared" si="1"/>
        <v>#REF!</v>
      </c>
      <c r="Q8" s="62" t="e">
        <f t="shared" si="2"/>
        <v>#REF!</v>
      </c>
    </row>
    <row r="9" spans="1:17" s="54" customFormat="1">
      <c r="A9" s="54" t="s">
        <v>64</v>
      </c>
      <c r="B9" s="54" t="s">
        <v>60</v>
      </c>
      <c r="C9" s="58" t="s">
        <v>61</v>
      </c>
      <c r="D9" s="54">
        <v>92.40625</v>
      </c>
      <c r="F9" s="54" t="s">
        <v>123</v>
      </c>
      <c r="G9" s="58" t="s">
        <v>118</v>
      </c>
      <c r="H9" s="67">
        <v>-0.6</v>
      </c>
      <c r="J9" s="59" t="str">
        <f>CurrentMtgRatesDataTable8[[#This Row],[TickerName]]</f>
        <v>FN30.500.08(IOX)</v>
      </c>
      <c r="K9" s="60" t="e">
        <f>VLOOKUP(J9,CurrentMtgRatesDataTable[[TickerName]:[SeriesNumValue]],4,0)</f>
        <v>#N/A</v>
      </c>
      <c r="L9" s="61" t="e">
        <f>#REF!</f>
        <v>#REF!</v>
      </c>
      <c r="M9" s="62" t="e">
        <f t="shared" si="0"/>
        <v>#REF!</v>
      </c>
      <c r="O9" s="59" t="e">
        <f t="shared" si="1"/>
        <v>#REF!</v>
      </c>
      <c r="P9" s="62" t="e">
        <f t="shared" si="1"/>
        <v>#REF!</v>
      </c>
      <c r="Q9" s="62" t="e">
        <f t="shared" si="2"/>
        <v>#REF!</v>
      </c>
    </row>
    <row r="10" spans="1:17" s="54" customFormat="1">
      <c r="A10" s="54" t="s">
        <v>66</v>
      </c>
      <c r="B10" s="54" t="s">
        <v>60</v>
      </c>
      <c r="C10" s="58" t="s">
        <v>61</v>
      </c>
      <c r="D10" s="54">
        <v>92.875</v>
      </c>
      <c r="F10" s="54" t="s">
        <v>124</v>
      </c>
      <c r="G10" s="58" t="s">
        <v>118</v>
      </c>
      <c r="H10" s="67">
        <v>-0.7</v>
      </c>
      <c r="J10" s="59" t="str">
        <f>CurrentMtgRatesDataTable8[[#This Row],[TickerName]]</f>
        <v>GII30.400.10(IOX)</v>
      </c>
      <c r="K10" s="60" t="e">
        <f>VLOOKUP(J10,CurrentMtgRatesDataTable[[TickerName]:[SeriesNumValue]],4,0)</f>
        <v>#N/A</v>
      </c>
      <c r="L10" s="61" t="e">
        <f>#REF!</f>
        <v>#REF!</v>
      </c>
      <c r="M10" s="62" t="e">
        <f t="shared" si="0"/>
        <v>#REF!</v>
      </c>
      <c r="O10" s="59" t="e">
        <f t="shared" si="1"/>
        <v>#REF!</v>
      </c>
      <c r="P10" s="62" t="e">
        <f t="shared" si="1"/>
        <v>#REF!</v>
      </c>
      <c r="Q10" s="62" t="e">
        <f t="shared" si="2"/>
        <v>#REF!</v>
      </c>
    </row>
    <row r="11" spans="1:17" s="54" customFormat="1">
      <c r="A11" s="54" t="s">
        <v>67</v>
      </c>
      <c r="B11" s="54" t="s">
        <v>60</v>
      </c>
      <c r="C11" s="58" t="s">
        <v>61</v>
      </c>
      <c r="D11" s="54">
        <v>92.5625</v>
      </c>
      <c r="F11" s="54" t="s">
        <v>125</v>
      </c>
      <c r="G11" s="58" t="s">
        <v>118</v>
      </c>
      <c r="H11" s="67">
        <v>-1.1000000000000001</v>
      </c>
      <c r="J11" s="59" t="str">
        <f>CurrentMtgRatesDataTable8[[#This Row],[TickerName]]</f>
        <v>FN30.350.10(IOX)</v>
      </c>
      <c r="K11" s="60" t="e">
        <f>VLOOKUP(J11,CurrentMtgRatesDataTable[[TickerName]:[SeriesNumValue]],4,0)</f>
        <v>#N/A</v>
      </c>
      <c r="L11" s="61" t="e">
        <f>#REF!</f>
        <v>#REF!</v>
      </c>
      <c r="M11" s="62" t="e">
        <f t="shared" si="0"/>
        <v>#REF!</v>
      </c>
      <c r="O11" s="59" t="e">
        <f t="shared" si="1"/>
        <v>#REF!</v>
      </c>
      <c r="P11" s="62" t="e">
        <f t="shared" si="1"/>
        <v>#REF!</v>
      </c>
      <c r="Q11" s="62" t="e">
        <f t="shared" si="2"/>
        <v>#REF!</v>
      </c>
    </row>
    <row r="12" spans="1:17" s="54" customFormat="1">
      <c r="A12" s="54" t="s">
        <v>68</v>
      </c>
      <c r="B12" s="54" t="s">
        <v>60</v>
      </c>
      <c r="C12" s="58" t="s">
        <v>61</v>
      </c>
      <c r="D12" s="54">
        <v>96.59375</v>
      </c>
      <c r="F12" s="54" t="s">
        <v>126</v>
      </c>
      <c r="G12" s="58" t="s">
        <v>118</v>
      </c>
      <c r="H12" s="67">
        <v>-0.55000000000000004</v>
      </c>
      <c r="J12" s="59" t="str">
        <f>CurrentMtgRatesDataTable8[[#This Row],[TickerName]]</f>
        <v>FN30.500.09(IOX)</v>
      </c>
      <c r="K12" s="60" t="e">
        <f>VLOOKUP(J12,CurrentMtgRatesDataTable[[TickerName]:[SeriesNumValue]],4,0)</f>
        <v>#N/A</v>
      </c>
      <c r="L12" s="61" t="e">
        <f>#REF!</f>
        <v>#REF!</v>
      </c>
      <c r="M12" s="62" t="e">
        <f t="shared" si="0"/>
        <v>#REF!</v>
      </c>
      <c r="O12" s="59" t="e">
        <f t="shared" si="1"/>
        <v>#REF!</v>
      </c>
      <c r="P12" s="62" t="e">
        <f t="shared" si="1"/>
        <v>#REF!</v>
      </c>
      <c r="Q12" s="62" t="e">
        <f t="shared" si="2"/>
        <v>#REF!</v>
      </c>
    </row>
    <row r="13" spans="1:17" s="54" customFormat="1">
      <c r="A13" s="54" t="s">
        <v>72</v>
      </c>
      <c r="B13" s="54" t="s">
        <v>60</v>
      </c>
      <c r="C13" s="58" t="s">
        <v>61</v>
      </c>
      <c r="D13" s="54">
        <v>96.59375</v>
      </c>
      <c r="F13" s="54" t="s">
        <v>127</v>
      </c>
      <c r="G13" s="58" t="s">
        <v>118</v>
      </c>
      <c r="H13" s="67">
        <v>-0.15</v>
      </c>
      <c r="J13" s="59" t="str">
        <f>CurrentMtgRatesDataTable8[[#This Row],[TickerName]]</f>
        <v>FN30.650.67(IOX)</v>
      </c>
      <c r="K13" s="60" t="e">
        <f>VLOOKUP(J13,CurrentMtgRatesDataTable[[TickerName]:[SeriesNumValue]],4,0)</f>
        <v>#N/A</v>
      </c>
      <c r="L13" s="61" t="e">
        <f>#REF!</f>
        <v>#REF!</v>
      </c>
      <c r="M13" s="62" t="e">
        <f t="shared" si="0"/>
        <v>#REF!</v>
      </c>
      <c r="O13" s="59" t="e">
        <f t="shared" si="1"/>
        <v>#REF!</v>
      </c>
      <c r="P13" s="62" t="e">
        <f t="shared" si="1"/>
        <v>#REF!</v>
      </c>
      <c r="Q13" s="62" t="e">
        <f t="shared" si="2"/>
        <v>#REF!</v>
      </c>
    </row>
    <row r="14" spans="1:17" s="54" customFormat="1">
      <c r="A14" s="54" t="s">
        <v>69</v>
      </c>
      <c r="B14" s="54" t="s">
        <v>60</v>
      </c>
      <c r="C14" s="58" t="s">
        <v>61</v>
      </c>
      <c r="D14" s="54">
        <v>96.109375</v>
      </c>
      <c r="F14" s="54" t="s">
        <v>128</v>
      </c>
      <c r="G14" s="58" t="s">
        <v>118</v>
      </c>
      <c r="H14" s="67">
        <v>-0.55000000000000004</v>
      </c>
      <c r="J14" s="59" t="str">
        <f>CurrentMtgRatesDataTable8[[#This Row],[TickerName]]</f>
        <v>FN30.500.10(IOX)</v>
      </c>
      <c r="K14" s="60" t="e">
        <f>VLOOKUP(J14,CurrentMtgRatesDataTable[[TickerName]:[SeriesNumValue]],4,0)</f>
        <v>#N/A</v>
      </c>
      <c r="L14" s="61" t="e">
        <f>#REF!</f>
        <v>#REF!</v>
      </c>
      <c r="M14" s="62" t="e">
        <f t="shared" si="0"/>
        <v>#REF!</v>
      </c>
      <c r="O14" s="59" t="e">
        <f t="shared" si="1"/>
        <v>#REF!</v>
      </c>
      <c r="P14" s="62" t="e">
        <f t="shared" si="1"/>
        <v>#REF!</v>
      </c>
      <c r="Q14" s="62" t="e">
        <f t="shared" si="2"/>
        <v>#REF!</v>
      </c>
    </row>
    <row r="15" spans="1:17" s="54" customFormat="1">
      <c r="A15" s="54" t="s">
        <v>70</v>
      </c>
      <c r="B15" s="54" t="s">
        <v>60</v>
      </c>
      <c r="C15" s="58" t="s">
        <v>61</v>
      </c>
      <c r="D15" s="54">
        <v>96.8125</v>
      </c>
      <c r="F15" s="54" t="s">
        <v>129</v>
      </c>
      <c r="G15" s="58" t="s">
        <v>118</v>
      </c>
      <c r="H15" s="67">
        <v>-0.25</v>
      </c>
      <c r="J15" s="59" t="str">
        <f>CurrentMtgRatesDataTable8[[#This Row],[TickerName]]</f>
        <v>FN30.600.08(IOX)</v>
      </c>
      <c r="K15" s="60" t="e">
        <f>VLOOKUP(J15,CurrentMtgRatesDataTable[[TickerName]:[SeriesNumValue]],4,0)</f>
        <v>#N/A</v>
      </c>
      <c r="L15" s="61" t="e">
        <f>#REF!</f>
        <v>#REF!</v>
      </c>
      <c r="M15" s="62" t="e">
        <f t="shared" si="0"/>
        <v>#REF!</v>
      </c>
      <c r="O15" s="59" t="e">
        <f t="shared" si="1"/>
        <v>#REF!</v>
      </c>
      <c r="P15" s="62" t="e">
        <f t="shared" si="1"/>
        <v>#REF!</v>
      </c>
      <c r="Q15" s="62" t="e">
        <f t="shared" si="2"/>
        <v>#REF!</v>
      </c>
    </row>
    <row r="16" spans="1:17" s="54" customFormat="1">
      <c r="A16" s="54" t="s">
        <v>71</v>
      </c>
      <c r="B16" s="54" t="s">
        <v>60</v>
      </c>
      <c r="C16" s="58" t="s">
        <v>61</v>
      </c>
      <c r="D16" s="54">
        <v>96.359375</v>
      </c>
      <c r="F16" s="54" t="s">
        <v>130</v>
      </c>
      <c r="G16" s="58" t="s">
        <v>118</v>
      </c>
      <c r="H16" s="67">
        <v>-0.95</v>
      </c>
      <c r="J16" s="59" t="str">
        <f>CurrentMtgRatesDataTable8[[#This Row],[TickerName]]</f>
        <v>FN30.450.09(IOX)</v>
      </c>
      <c r="K16" s="60" t="e">
        <f>VLOOKUP(J16,CurrentMtgRatesDataTable[[TickerName]:[SeriesNumValue]],4,0)</f>
        <v>#N/A</v>
      </c>
      <c r="L16" s="61" t="e">
        <f>#REF!</f>
        <v>#REF!</v>
      </c>
      <c r="M16" s="62" t="e">
        <f t="shared" si="0"/>
        <v>#REF!</v>
      </c>
      <c r="O16" s="59" t="e">
        <f t="shared" si="1"/>
        <v>#REF!</v>
      </c>
      <c r="P16" s="62" t="e">
        <f t="shared" si="1"/>
        <v>#REF!</v>
      </c>
      <c r="Q16" s="62" t="e">
        <f t="shared" si="2"/>
        <v>#REF!</v>
      </c>
    </row>
    <row r="17" spans="1:17" s="54" customFormat="1">
      <c r="A17" s="54" t="s">
        <v>73</v>
      </c>
      <c r="B17" s="54" t="s">
        <v>60</v>
      </c>
      <c r="C17" s="58" t="s">
        <v>61</v>
      </c>
      <c r="D17" s="54">
        <v>100.402344</v>
      </c>
      <c r="F17" s="54" t="s">
        <v>131</v>
      </c>
      <c r="G17" s="58" t="s">
        <v>118</v>
      </c>
      <c r="H17" s="67">
        <v>-0.35</v>
      </c>
      <c r="J17" s="59" t="str">
        <f>CurrentMtgRatesDataTable8[[#This Row],[TickerName]]</f>
        <v>FN30.550.03(IOX)</v>
      </c>
      <c r="K17" s="60" t="e">
        <f>VLOOKUP(J17,CurrentMtgRatesDataTable[[TickerName]:[SeriesNumValue]],4,0)</f>
        <v>#N/A</v>
      </c>
      <c r="L17" s="61" t="e">
        <f>#REF!</f>
        <v>#REF!</v>
      </c>
      <c r="M17" s="62" t="e">
        <f t="shared" si="0"/>
        <v>#REF!</v>
      </c>
      <c r="O17" s="59" t="e">
        <f t="shared" si="1"/>
        <v>#REF!</v>
      </c>
      <c r="P17" s="62" t="e">
        <f t="shared" si="1"/>
        <v>#REF!</v>
      </c>
      <c r="Q17" s="62" t="e">
        <f t="shared" si="2"/>
        <v>#REF!</v>
      </c>
    </row>
    <row r="18" spans="1:17" s="54" customFormat="1">
      <c r="A18" s="54" t="s">
        <v>78</v>
      </c>
      <c r="B18" s="54" t="s">
        <v>60</v>
      </c>
      <c r="C18" s="58" t="s">
        <v>61</v>
      </c>
      <c r="D18" s="54">
        <v>100.402344</v>
      </c>
      <c r="F18" s="54" t="s">
        <v>132</v>
      </c>
      <c r="G18" s="58" t="s">
        <v>118</v>
      </c>
      <c r="H18" s="67">
        <v>-0.95</v>
      </c>
      <c r="J18" s="59" t="str">
        <f>CurrentMtgRatesDataTable8[[#This Row],[TickerName]]</f>
        <v>FN30.450.10(IOX)</v>
      </c>
      <c r="K18" s="60" t="e">
        <f>VLOOKUP(J18,CurrentMtgRatesDataTable[[TickerName]:[SeriesNumValue]],4,0)</f>
        <v>#N/A</v>
      </c>
      <c r="L18" s="61" t="e">
        <f>#REF!</f>
        <v>#REF!</v>
      </c>
      <c r="M18" s="62" t="e">
        <f t="shared" si="0"/>
        <v>#REF!</v>
      </c>
      <c r="O18" s="59" t="e">
        <f t="shared" si="1"/>
        <v>#REF!</v>
      </c>
      <c r="P18" s="62" t="e">
        <f t="shared" si="1"/>
        <v>#REF!</v>
      </c>
      <c r="Q18" s="62" t="e">
        <f t="shared" si="2"/>
        <v>#REF!</v>
      </c>
    </row>
    <row r="19" spans="1:17" s="54" customFormat="1">
      <c r="A19" s="54" t="s">
        <v>74</v>
      </c>
      <c r="B19" s="54" t="s">
        <v>60</v>
      </c>
      <c r="C19" s="58" t="s">
        <v>61</v>
      </c>
      <c r="D19" s="54">
        <v>99.886718999999999</v>
      </c>
      <c r="F19" s="54" t="s">
        <v>133</v>
      </c>
      <c r="G19" s="58" t="s">
        <v>118</v>
      </c>
      <c r="H19" s="67">
        <v>-0.35</v>
      </c>
      <c r="J19" s="59" t="str">
        <f>CurrentMtgRatesDataTable8[[#This Row],[TickerName]]</f>
        <v>FN30.550.05(IOX)</v>
      </c>
      <c r="K19" s="60" t="e">
        <f>VLOOKUP(J19,CurrentMtgRatesDataTable[[TickerName]:[SeriesNumValue]],4,0)</f>
        <v>#N/A</v>
      </c>
      <c r="L19" s="61" t="e">
        <f>#REF!</f>
        <v>#REF!</v>
      </c>
      <c r="M19" s="62" t="e">
        <f t="shared" si="0"/>
        <v>#REF!</v>
      </c>
      <c r="O19" s="59" t="e">
        <f t="shared" si="1"/>
        <v>#REF!</v>
      </c>
      <c r="P19" s="62" t="e">
        <f t="shared" si="1"/>
        <v>#REF!</v>
      </c>
      <c r="Q19" s="62" t="e">
        <f t="shared" si="2"/>
        <v>#REF!</v>
      </c>
    </row>
    <row r="20" spans="1:17" s="54" customFormat="1">
      <c r="A20" s="54" t="s">
        <v>75</v>
      </c>
      <c r="B20" s="54" t="s">
        <v>60</v>
      </c>
      <c r="C20" s="58" t="s">
        <v>61</v>
      </c>
      <c r="D20" s="54">
        <v>100.664062</v>
      </c>
      <c r="F20" s="54" t="s">
        <v>134</v>
      </c>
      <c r="G20" s="58" t="s">
        <v>118</v>
      </c>
      <c r="H20" s="67">
        <v>-1</v>
      </c>
      <c r="J20" s="59" t="str">
        <f>CurrentMtgRatesDataTable8[[#This Row],[TickerName]]</f>
        <v>FN30.450.11(IOX)</v>
      </c>
      <c r="K20" s="60" t="e">
        <f>VLOOKUP(J20,CurrentMtgRatesDataTable[[TickerName]:[SeriesNumValue]],4,0)</f>
        <v>#N/A</v>
      </c>
      <c r="L20" s="61" t="e">
        <f>#REF!</f>
        <v>#REF!</v>
      </c>
      <c r="M20" s="62" t="e">
        <f t="shared" si="0"/>
        <v>#REF!</v>
      </c>
      <c r="O20" s="59" t="e">
        <f t="shared" si="1"/>
        <v>#REF!</v>
      </c>
      <c r="P20" s="62" t="e">
        <f t="shared" si="1"/>
        <v>#REF!</v>
      </c>
      <c r="Q20" s="62" t="e">
        <f t="shared" si="2"/>
        <v>#REF!</v>
      </c>
    </row>
    <row r="21" spans="1:17" s="54" customFormat="1">
      <c r="A21" s="54" t="s">
        <v>76</v>
      </c>
      <c r="B21" s="54" t="s">
        <v>60</v>
      </c>
      <c r="C21" s="58" t="s">
        <v>61</v>
      </c>
      <c r="D21" s="54">
        <v>100.152344</v>
      </c>
      <c r="F21" s="54" t="s">
        <v>135</v>
      </c>
      <c r="G21" s="58" t="s">
        <v>118</v>
      </c>
      <c r="H21" s="67">
        <v>-0.35</v>
      </c>
      <c r="J21" s="59" t="str">
        <f>CurrentMtgRatesDataTable8[[#This Row],[TickerName]]</f>
        <v>FN30.550.08(IOX)</v>
      </c>
      <c r="K21" s="60" t="e">
        <f>VLOOKUP(J21,CurrentMtgRatesDataTable[[TickerName]:[SeriesNumValue]],4,0)</f>
        <v>#N/A</v>
      </c>
      <c r="L21" s="61" t="e">
        <f>#REF!</f>
        <v>#REF!</v>
      </c>
      <c r="M21" s="62" t="e">
        <f t="shared" si="0"/>
        <v>#REF!</v>
      </c>
      <c r="O21" s="59" t="e">
        <f t="shared" si="1"/>
        <v>#REF!</v>
      </c>
      <c r="P21" s="62" t="e">
        <f t="shared" si="1"/>
        <v>#REF!</v>
      </c>
      <c r="Q21" s="62" t="e">
        <f t="shared" si="2"/>
        <v>#REF!</v>
      </c>
    </row>
    <row r="22" spans="1:17" s="54" customFormat="1">
      <c r="A22" s="54" t="s">
        <v>77</v>
      </c>
      <c r="B22" s="54" t="s">
        <v>60</v>
      </c>
      <c r="C22" s="58" t="s">
        <v>61</v>
      </c>
      <c r="D22" s="54">
        <v>103.6875</v>
      </c>
      <c r="F22" s="54" t="s">
        <v>136</v>
      </c>
      <c r="G22" s="58" t="s">
        <v>118</v>
      </c>
      <c r="H22" s="67">
        <v>-0.95</v>
      </c>
      <c r="J22" s="59" t="str">
        <f>CurrentMtgRatesDataTable8[[#This Row],[TickerName]]</f>
        <v>FN30.400.09(IOX)</v>
      </c>
      <c r="K22" s="60" t="e">
        <f>VLOOKUP(J22,CurrentMtgRatesDataTable[[TickerName]:[SeriesNumValue]],4,0)</f>
        <v>#N/A</v>
      </c>
      <c r="L22" s="61" t="e">
        <f>#REF!</f>
        <v>#REF!</v>
      </c>
      <c r="M22" s="62" t="e">
        <f t="shared" si="0"/>
        <v>#REF!</v>
      </c>
      <c r="O22" s="59" t="e">
        <f t="shared" si="1"/>
        <v>#REF!</v>
      </c>
      <c r="P22" s="62" t="e">
        <f t="shared" si="1"/>
        <v>#REF!</v>
      </c>
      <c r="Q22" s="62" t="e">
        <f t="shared" si="2"/>
        <v>#REF!</v>
      </c>
    </row>
    <row r="23" spans="1:17" s="54" customFormat="1">
      <c r="A23" s="54" t="s">
        <v>84</v>
      </c>
      <c r="B23" s="54" t="s">
        <v>60</v>
      </c>
      <c r="C23" s="58" t="s">
        <v>61</v>
      </c>
      <c r="D23" s="54">
        <v>103.6875</v>
      </c>
      <c r="F23" s="54" t="s">
        <v>137</v>
      </c>
      <c r="G23" s="58" t="s">
        <v>118</v>
      </c>
      <c r="H23" s="67">
        <v>-0.5</v>
      </c>
      <c r="J23" s="59" t="str">
        <f>CurrentMtgRatesDataTable8[[#This Row],[TickerName]]</f>
        <v>FN30.500.03(IOX)</v>
      </c>
      <c r="K23" s="60" t="e">
        <f>VLOOKUP(J23,CurrentMtgRatesDataTable[[TickerName]:[SeriesNumValue]],4,0)</f>
        <v>#N/A</v>
      </c>
      <c r="L23" s="61" t="e">
        <f>#REF!</f>
        <v>#REF!</v>
      </c>
      <c r="M23" s="62" t="e">
        <f t="shared" si="0"/>
        <v>#REF!</v>
      </c>
      <c r="O23" s="59" t="e">
        <f t="shared" si="1"/>
        <v>#REF!</v>
      </c>
      <c r="P23" s="62" t="e">
        <f t="shared" si="1"/>
        <v>#REF!</v>
      </c>
      <c r="Q23" s="62" t="e">
        <f t="shared" si="2"/>
        <v>#REF!</v>
      </c>
    </row>
    <row r="24" spans="1:17" s="54" customFormat="1">
      <c r="A24" s="54" t="s">
        <v>79</v>
      </c>
      <c r="B24" s="54" t="s">
        <v>60</v>
      </c>
      <c r="C24" s="58" t="s">
        <v>61</v>
      </c>
      <c r="D24" s="54">
        <v>103.152344</v>
      </c>
      <c r="F24" s="54" t="s">
        <v>138</v>
      </c>
      <c r="G24" s="58" t="s">
        <v>118</v>
      </c>
      <c r="H24" s="67">
        <v>-0.7</v>
      </c>
      <c r="J24" s="59" t="str">
        <f>CurrentMtgRatesDataTable8[[#This Row],[TickerName]]</f>
        <v>GII30.500.10(IOX)</v>
      </c>
      <c r="K24" s="60" t="e">
        <f>VLOOKUP(J24,CurrentMtgRatesDataTable[[TickerName]:[SeriesNumValue]],4,0)</f>
        <v>#N/A</v>
      </c>
      <c r="L24" s="61" t="e">
        <f>#REF!</f>
        <v>#REF!</v>
      </c>
      <c r="M24" s="62" t="e">
        <f t="shared" si="0"/>
        <v>#REF!</v>
      </c>
      <c r="O24" s="59" t="e">
        <f t="shared" si="1"/>
        <v>#REF!</v>
      </c>
      <c r="P24" s="62" t="e">
        <f t="shared" si="1"/>
        <v>#REF!</v>
      </c>
      <c r="Q24" s="62" t="e">
        <f t="shared" si="2"/>
        <v>#REF!</v>
      </c>
    </row>
    <row r="25" spans="1:17" s="54" customFormat="1">
      <c r="A25" s="54" t="s">
        <v>80</v>
      </c>
      <c r="B25" s="54" t="s">
        <v>60</v>
      </c>
      <c r="C25" s="58" t="s">
        <v>61</v>
      </c>
      <c r="D25" s="54">
        <v>103.96875</v>
      </c>
      <c r="F25" s="54" t="s">
        <v>138</v>
      </c>
      <c r="G25" s="58" t="s">
        <v>139</v>
      </c>
      <c r="H25" s="67">
        <v>-0.7</v>
      </c>
      <c r="J25" s="59" t="str">
        <f>CurrentMtgRatesDataTable8[[#This Row],[TickerName]]</f>
        <v>GII30.500.10(IOX)</v>
      </c>
      <c r="K25" s="60" t="e">
        <f>VLOOKUP(J25,CurrentMtgRatesDataTable[[TickerName]:[SeriesNumValue]],4,0)</f>
        <v>#N/A</v>
      </c>
      <c r="L25" s="61" t="e">
        <f>#REF!</f>
        <v>#REF!</v>
      </c>
      <c r="M25" s="62" t="e">
        <f t="shared" si="0"/>
        <v>#REF!</v>
      </c>
      <c r="O25" s="59" t="e">
        <f t="shared" si="1"/>
        <v>#REF!</v>
      </c>
      <c r="P25" s="62" t="e">
        <f t="shared" si="1"/>
        <v>#REF!</v>
      </c>
      <c r="Q25" s="62" t="e">
        <f t="shared" si="2"/>
        <v>#REF!</v>
      </c>
    </row>
    <row r="26" spans="1:17" s="54" customFormat="1">
      <c r="A26" s="54" t="s">
        <v>81</v>
      </c>
      <c r="B26" s="54" t="s">
        <v>60</v>
      </c>
      <c r="C26" s="58" t="s">
        <v>61</v>
      </c>
      <c r="D26" s="54">
        <v>103.417969</v>
      </c>
      <c r="F26" s="54" t="s">
        <v>137</v>
      </c>
      <c r="G26" s="58" t="s">
        <v>139</v>
      </c>
      <c r="H26" s="67">
        <v>-0.5</v>
      </c>
      <c r="J26" s="59" t="str">
        <f>CurrentMtgRatesDataTable8[[#This Row],[TickerName]]</f>
        <v>FN30.500.03(IOX)</v>
      </c>
      <c r="K26" s="60" t="e">
        <f>VLOOKUP(J26,CurrentMtgRatesDataTable[[TickerName]:[SeriesNumValue]],4,0)</f>
        <v>#N/A</v>
      </c>
      <c r="L26" s="61" t="e">
        <f>#REF!</f>
        <v>#REF!</v>
      </c>
      <c r="M26" s="62" t="e">
        <f t="shared" si="0"/>
        <v>#REF!</v>
      </c>
      <c r="O26" s="59" t="e">
        <f t="shared" si="1"/>
        <v>#REF!</v>
      </c>
      <c r="P26" s="62" t="e">
        <f t="shared" si="1"/>
        <v>#REF!</v>
      </c>
      <c r="Q26" s="62" t="e">
        <f t="shared" si="2"/>
        <v>#REF!</v>
      </c>
    </row>
    <row r="27" spans="1:17" s="54" customFormat="1">
      <c r="A27" s="54" t="s">
        <v>82</v>
      </c>
      <c r="B27" s="54" t="s">
        <v>60</v>
      </c>
      <c r="C27" s="58" t="s">
        <v>61</v>
      </c>
      <c r="D27" s="54">
        <v>106.203125</v>
      </c>
      <c r="F27" s="54" t="s">
        <v>136</v>
      </c>
      <c r="G27" s="58" t="s">
        <v>139</v>
      </c>
      <c r="H27" s="67">
        <v>-0.95</v>
      </c>
      <c r="J27" s="59" t="str">
        <f>CurrentMtgRatesDataTable8[[#This Row],[TickerName]]</f>
        <v>FN30.400.09(IOX)</v>
      </c>
      <c r="K27" s="60" t="e">
        <f>VLOOKUP(J27,CurrentMtgRatesDataTable[[TickerName]:[SeriesNumValue]],4,0)</f>
        <v>#N/A</v>
      </c>
      <c r="L27" s="61" t="e">
        <f>#REF!</f>
        <v>#REF!</v>
      </c>
      <c r="M27" s="62" t="e">
        <f t="shared" si="0"/>
        <v>#REF!</v>
      </c>
      <c r="O27" s="59" t="e">
        <f t="shared" si="1"/>
        <v>#REF!</v>
      </c>
      <c r="P27" s="62" t="e">
        <f t="shared" si="1"/>
        <v>#REF!</v>
      </c>
      <c r="Q27" s="62" t="e">
        <f t="shared" si="2"/>
        <v>#REF!</v>
      </c>
    </row>
    <row r="28" spans="1:17" s="54" customFormat="1">
      <c r="A28" s="54" t="s">
        <v>90</v>
      </c>
      <c r="B28" s="54" t="s">
        <v>60</v>
      </c>
      <c r="C28" s="58" t="s">
        <v>61</v>
      </c>
      <c r="D28" s="54">
        <v>106.203125</v>
      </c>
      <c r="F28" s="54" t="s">
        <v>135</v>
      </c>
      <c r="G28" s="58" t="s">
        <v>139</v>
      </c>
      <c r="H28" s="67">
        <v>-0.35</v>
      </c>
      <c r="J28" s="59" t="str">
        <f>CurrentMtgRatesDataTable8[[#This Row],[TickerName]]</f>
        <v>FN30.550.08(IOX)</v>
      </c>
      <c r="K28" s="60" t="e">
        <f>VLOOKUP(J28,CurrentMtgRatesDataTable[[TickerName]:[SeriesNumValue]],4,0)</f>
        <v>#N/A</v>
      </c>
      <c r="L28" s="61" t="e">
        <f>#REF!</f>
        <v>#REF!</v>
      </c>
      <c r="M28" s="62" t="e">
        <f t="shared" si="0"/>
        <v>#REF!</v>
      </c>
      <c r="O28" s="59" t="e">
        <f t="shared" si="1"/>
        <v>#REF!</v>
      </c>
      <c r="P28" s="62" t="e">
        <f t="shared" si="1"/>
        <v>#REF!</v>
      </c>
      <c r="Q28" s="62" t="e">
        <f t="shared" si="2"/>
        <v>#REF!</v>
      </c>
    </row>
    <row r="29" spans="1:17" s="54" customFormat="1">
      <c r="A29" s="54" t="s">
        <v>83</v>
      </c>
      <c r="B29" s="54" t="s">
        <v>60</v>
      </c>
      <c r="C29" s="58" t="s">
        <v>61</v>
      </c>
      <c r="D29" s="54">
        <v>105.773438</v>
      </c>
      <c r="F29" s="54" t="s">
        <v>134</v>
      </c>
      <c r="G29" s="58" t="s">
        <v>139</v>
      </c>
      <c r="H29" s="67">
        <v>-1</v>
      </c>
      <c r="J29" s="59" t="str">
        <f>CurrentMtgRatesDataTable8[[#This Row],[TickerName]]</f>
        <v>FN30.450.11(IOX)</v>
      </c>
      <c r="K29" s="60" t="e">
        <f>VLOOKUP(J29,CurrentMtgRatesDataTable[[TickerName]:[SeriesNumValue]],4,0)</f>
        <v>#N/A</v>
      </c>
      <c r="L29" s="61" t="e">
        <f>#REF!</f>
        <v>#REF!</v>
      </c>
      <c r="M29" s="62" t="e">
        <f t="shared" si="0"/>
        <v>#REF!</v>
      </c>
      <c r="O29" s="59" t="e">
        <f t="shared" si="1"/>
        <v>#REF!</v>
      </c>
      <c r="P29" s="62" t="e">
        <f t="shared" si="1"/>
        <v>#REF!</v>
      </c>
      <c r="Q29" s="62" t="e">
        <f t="shared" si="2"/>
        <v>#REF!</v>
      </c>
    </row>
    <row r="30" spans="1:17" s="54" customFormat="1">
      <c r="A30" s="54" t="s">
        <v>85</v>
      </c>
      <c r="B30" s="54" t="s">
        <v>60</v>
      </c>
      <c r="C30" s="58" t="s">
        <v>61</v>
      </c>
      <c r="D30" s="54">
        <v>106.421875</v>
      </c>
      <c r="F30" s="54" t="s">
        <v>133</v>
      </c>
      <c r="G30" s="58" t="s">
        <v>139</v>
      </c>
      <c r="H30" s="67">
        <v>-0.35</v>
      </c>
      <c r="J30" s="59" t="str">
        <f>CurrentMtgRatesDataTable8[[#This Row],[TickerName]]</f>
        <v>FN30.550.05(IOX)</v>
      </c>
      <c r="K30" s="60" t="e">
        <f>VLOOKUP(J30,CurrentMtgRatesDataTable[[TickerName]:[SeriesNumValue]],4,0)</f>
        <v>#N/A</v>
      </c>
      <c r="L30" s="61" t="e">
        <f>#REF!</f>
        <v>#REF!</v>
      </c>
      <c r="M30" s="62" t="e">
        <f t="shared" si="0"/>
        <v>#REF!</v>
      </c>
      <c r="O30" s="59" t="e">
        <f t="shared" si="1"/>
        <v>#REF!</v>
      </c>
      <c r="P30" s="62" t="e">
        <f t="shared" si="1"/>
        <v>#REF!</v>
      </c>
      <c r="Q30" s="62" t="e">
        <f t="shared" si="2"/>
        <v>#REF!</v>
      </c>
    </row>
    <row r="31" spans="1:17" s="54" customFormat="1">
      <c r="A31" s="54" t="s">
        <v>86</v>
      </c>
      <c r="B31" s="54" t="s">
        <v>60</v>
      </c>
      <c r="C31" s="58" t="s">
        <v>61</v>
      </c>
      <c r="D31" s="54">
        <v>105.992188</v>
      </c>
      <c r="F31" s="54" t="s">
        <v>132</v>
      </c>
      <c r="G31" s="58" t="s">
        <v>139</v>
      </c>
      <c r="H31" s="67">
        <v>-0.95</v>
      </c>
      <c r="J31" s="59" t="str">
        <f>CurrentMtgRatesDataTable8[[#This Row],[TickerName]]</f>
        <v>FN30.450.10(IOX)</v>
      </c>
      <c r="K31" s="60" t="e">
        <f>VLOOKUP(J31,CurrentMtgRatesDataTable[[TickerName]:[SeriesNumValue]],4,0)</f>
        <v>#N/A</v>
      </c>
      <c r="L31" s="61" t="e">
        <f>#REF!</f>
        <v>#REF!</v>
      </c>
      <c r="M31" s="62" t="e">
        <f t="shared" si="0"/>
        <v>#REF!</v>
      </c>
      <c r="O31" s="59" t="e">
        <f t="shared" si="1"/>
        <v>#REF!</v>
      </c>
      <c r="P31" s="62" t="e">
        <f t="shared" si="1"/>
        <v>#REF!</v>
      </c>
      <c r="Q31" s="62" t="e">
        <f t="shared" si="2"/>
        <v>#REF!</v>
      </c>
    </row>
    <row r="32" spans="1:17" s="54" customFormat="1">
      <c r="A32" s="54" t="s">
        <v>87</v>
      </c>
      <c r="B32" s="54" t="s">
        <v>60</v>
      </c>
      <c r="C32" s="58" t="s">
        <v>61</v>
      </c>
      <c r="D32" s="54">
        <v>108.386719</v>
      </c>
      <c r="F32" s="54" t="s">
        <v>131</v>
      </c>
      <c r="G32" s="58" t="s">
        <v>139</v>
      </c>
      <c r="H32" s="67">
        <v>-0.35</v>
      </c>
      <c r="J32" s="59" t="str">
        <f>CurrentMtgRatesDataTable8[[#This Row],[TickerName]]</f>
        <v>FN30.550.03(IOX)</v>
      </c>
      <c r="K32" s="60" t="e">
        <f>VLOOKUP(J32,CurrentMtgRatesDataTable[[TickerName]:[SeriesNumValue]],4,0)</f>
        <v>#N/A</v>
      </c>
      <c r="L32" s="61" t="e">
        <f>#REF!</f>
        <v>#REF!</v>
      </c>
      <c r="M32" s="62" t="e">
        <f t="shared" si="0"/>
        <v>#REF!</v>
      </c>
      <c r="O32" s="59" t="e">
        <f t="shared" si="1"/>
        <v>#REF!</v>
      </c>
      <c r="P32" s="62" t="e">
        <f t="shared" si="1"/>
        <v>#REF!</v>
      </c>
      <c r="Q32" s="62" t="e">
        <f t="shared" si="2"/>
        <v>#REF!</v>
      </c>
    </row>
    <row r="33" spans="1:17" s="54" customFormat="1">
      <c r="A33" s="54" t="s">
        <v>96</v>
      </c>
      <c r="B33" s="54" t="s">
        <v>60</v>
      </c>
      <c r="C33" s="58" t="s">
        <v>61</v>
      </c>
      <c r="D33" s="54">
        <v>108.386719</v>
      </c>
      <c r="F33" s="54" t="s">
        <v>130</v>
      </c>
      <c r="G33" s="58" t="s">
        <v>139</v>
      </c>
      <c r="H33" s="67">
        <v>-0.95</v>
      </c>
      <c r="J33" s="59" t="str">
        <f>CurrentMtgRatesDataTable8[[#This Row],[TickerName]]</f>
        <v>FN30.450.09(IOX)</v>
      </c>
      <c r="K33" s="60" t="e">
        <f>VLOOKUP(J33,CurrentMtgRatesDataTable[[TickerName]:[SeriesNumValue]],4,0)</f>
        <v>#N/A</v>
      </c>
      <c r="L33" s="61" t="e">
        <f>#REF!</f>
        <v>#REF!</v>
      </c>
      <c r="M33" s="62" t="e">
        <f t="shared" si="0"/>
        <v>#REF!</v>
      </c>
      <c r="O33" s="59" t="e">
        <f t="shared" si="1"/>
        <v>#REF!</v>
      </c>
      <c r="P33" s="62" t="e">
        <f t="shared" si="1"/>
        <v>#REF!</v>
      </c>
      <c r="Q33" s="62" t="e">
        <f t="shared" si="2"/>
        <v>#REF!</v>
      </c>
    </row>
    <row r="34" spans="1:17" s="54" customFormat="1">
      <c r="A34" s="54" t="s">
        <v>88</v>
      </c>
      <c r="B34" s="54" t="s">
        <v>60</v>
      </c>
      <c r="C34" s="58" t="s">
        <v>61</v>
      </c>
      <c r="D34" s="54">
        <v>108.050781</v>
      </c>
      <c r="F34" s="54" t="s">
        <v>129</v>
      </c>
      <c r="G34" s="58" t="s">
        <v>139</v>
      </c>
      <c r="H34" s="67">
        <v>-0.25</v>
      </c>
      <c r="J34" s="59" t="str">
        <f>CurrentMtgRatesDataTable8[[#This Row],[TickerName]]</f>
        <v>FN30.600.08(IOX)</v>
      </c>
      <c r="K34" s="60" t="e">
        <f>VLOOKUP(J34,CurrentMtgRatesDataTable[[TickerName]:[SeriesNumValue]],4,0)</f>
        <v>#N/A</v>
      </c>
      <c r="L34" s="61" t="e">
        <f>#REF!</f>
        <v>#REF!</v>
      </c>
      <c r="M34" s="62" t="e">
        <f t="shared" si="0"/>
        <v>#REF!</v>
      </c>
      <c r="O34" s="59" t="e">
        <f t="shared" si="1"/>
        <v>#REF!</v>
      </c>
      <c r="P34" s="62" t="e">
        <f t="shared" si="1"/>
        <v>#REF!</v>
      </c>
      <c r="Q34" s="62" t="e">
        <f t="shared" si="2"/>
        <v>#REF!</v>
      </c>
    </row>
    <row r="35" spans="1:17" s="54" customFormat="1">
      <c r="A35" s="54" t="s">
        <v>89</v>
      </c>
      <c r="B35" s="54" t="s">
        <v>60</v>
      </c>
      <c r="C35" s="58" t="s">
        <v>61</v>
      </c>
      <c r="D35" s="54">
        <v>108.5</v>
      </c>
      <c r="F35" s="54" t="s">
        <v>128</v>
      </c>
      <c r="G35" s="58" t="s">
        <v>139</v>
      </c>
      <c r="H35" s="67">
        <v>-0.55000000000000004</v>
      </c>
      <c r="J35" s="59" t="str">
        <f>CurrentMtgRatesDataTable8[[#This Row],[TickerName]]</f>
        <v>FN30.500.10(IOX)</v>
      </c>
      <c r="K35" s="60" t="e">
        <f>VLOOKUP(J35,CurrentMtgRatesDataTable[[TickerName]:[SeriesNumValue]],4,0)</f>
        <v>#N/A</v>
      </c>
      <c r="L35" s="61" t="e">
        <f>#REF!</f>
        <v>#REF!</v>
      </c>
      <c r="M35" s="62" t="e">
        <f t="shared" si="0"/>
        <v>#REF!</v>
      </c>
      <c r="O35" s="59" t="e">
        <f t="shared" si="1"/>
        <v>#REF!</v>
      </c>
      <c r="P35" s="62" t="e">
        <f t="shared" si="1"/>
        <v>#REF!</v>
      </c>
      <c r="Q35" s="62" t="e">
        <f t="shared" si="2"/>
        <v>#REF!</v>
      </c>
    </row>
    <row r="36" spans="1:17" s="54" customFormat="1">
      <c r="A36" s="54" t="s">
        <v>91</v>
      </c>
      <c r="B36" s="54" t="s">
        <v>60</v>
      </c>
      <c r="C36" s="58" t="s">
        <v>61</v>
      </c>
      <c r="D36" s="54">
        <v>108.269531</v>
      </c>
      <c r="F36" s="54" t="s">
        <v>127</v>
      </c>
      <c r="G36" s="58" t="s">
        <v>139</v>
      </c>
      <c r="H36" s="67">
        <v>-0.15</v>
      </c>
      <c r="J36" s="59" t="str">
        <f>CurrentMtgRatesDataTable8[[#This Row],[TickerName]]</f>
        <v>FN30.650.67(IOX)</v>
      </c>
      <c r="K36" s="60" t="e">
        <f>VLOOKUP(J36,CurrentMtgRatesDataTable[[TickerName]:[SeriesNumValue]],4,0)</f>
        <v>#N/A</v>
      </c>
      <c r="L36" s="61" t="e">
        <f>#REF!</f>
        <v>#REF!</v>
      </c>
      <c r="M36" s="62" t="e">
        <f t="shared" si="0"/>
        <v>#REF!</v>
      </c>
      <c r="O36" s="59" t="e">
        <f t="shared" si="1"/>
        <v>#REF!</v>
      </c>
      <c r="P36" s="62" t="e">
        <f t="shared" si="1"/>
        <v>#REF!</v>
      </c>
      <c r="Q36" s="62" t="e">
        <f t="shared" si="2"/>
        <v>#REF!</v>
      </c>
    </row>
    <row r="37" spans="1:17" s="54" customFormat="1">
      <c r="A37" s="54" t="s">
        <v>92</v>
      </c>
      <c r="B37" s="54" t="s">
        <v>60</v>
      </c>
      <c r="C37" s="58" t="s">
        <v>61</v>
      </c>
      <c r="D37" s="54">
        <v>110.734375</v>
      </c>
      <c r="F37" s="54" t="s">
        <v>126</v>
      </c>
      <c r="G37" s="58" t="s">
        <v>139</v>
      </c>
      <c r="H37" s="67">
        <v>-0.55000000000000004</v>
      </c>
      <c r="J37" s="59" t="str">
        <f>CurrentMtgRatesDataTable8[[#This Row],[TickerName]]</f>
        <v>FN30.500.09(IOX)</v>
      </c>
      <c r="K37" s="60" t="e">
        <f>VLOOKUP(J37,CurrentMtgRatesDataTable[[TickerName]:[SeriesNumValue]],4,0)</f>
        <v>#N/A</v>
      </c>
      <c r="L37" s="61" t="e">
        <f>#REF!</f>
        <v>#REF!</v>
      </c>
      <c r="M37" s="62" t="e">
        <f t="shared" si="0"/>
        <v>#REF!</v>
      </c>
      <c r="O37" s="59" t="e">
        <f t="shared" si="1"/>
        <v>#REF!</v>
      </c>
      <c r="P37" s="62" t="e">
        <f t="shared" si="1"/>
        <v>#REF!</v>
      </c>
      <c r="Q37" s="62" t="e">
        <f t="shared" si="2"/>
        <v>#REF!</v>
      </c>
    </row>
    <row r="38" spans="1:17" s="54" customFormat="1">
      <c r="A38" s="54" t="s">
        <v>102</v>
      </c>
      <c r="B38" s="54" t="s">
        <v>60</v>
      </c>
      <c r="C38" s="58" t="s">
        <v>61</v>
      </c>
      <c r="D38" s="54">
        <v>110.734375</v>
      </c>
      <c r="F38" s="54" t="s">
        <v>125</v>
      </c>
      <c r="G38" s="58" t="s">
        <v>139</v>
      </c>
      <c r="H38" s="67">
        <v>-1.1000000000000001</v>
      </c>
      <c r="J38" s="59" t="str">
        <f>CurrentMtgRatesDataTable8[[#This Row],[TickerName]]</f>
        <v>FN30.350.10(IOX)</v>
      </c>
      <c r="K38" s="60" t="e">
        <f>VLOOKUP(J38,CurrentMtgRatesDataTable[[TickerName]:[SeriesNumValue]],4,0)</f>
        <v>#N/A</v>
      </c>
      <c r="L38" s="61" t="e">
        <f>#REF!</f>
        <v>#REF!</v>
      </c>
      <c r="M38" s="62" t="e">
        <f t="shared" si="0"/>
        <v>#REF!</v>
      </c>
      <c r="O38" s="59" t="e">
        <f t="shared" si="1"/>
        <v>#REF!</v>
      </c>
      <c r="P38" s="62" t="e">
        <f t="shared" si="1"/>
        <v>#REF!</v>
      </c>
      <c r="Q38" s="62" t="e">
        <f t="shared" si="2"/>
        <v>#REF!</v>
      </c>
    </row>
    <row r="39" spans="1:17" s="54" customFormat="1">
      <c r="A39" s="54" t="s">
        <v>93</v>
      </c>
      <c r="B39" s="54" t="s">
        <v>60</v>
      </c>
      <c r="C39" s="58" t="s">
        <v>61</v>
      </c>
      <c r="D39" s="54">
        <v>110.390625</v>
      </c>
      <c r="F39" s="54" t="s">
        <v>124</v>
      </c>
      <c r="G39" s="58" t="s">
        <v>139</v>
      </c>
      <c r="H39" s="67">
        <v>-0.7</v>
      </c>
      <c r="J39" s="59" t="str">
        <f>CurrentMtgRatesDataTable8[[#This Row],[TickerName]]</f>
        <v>GII30.400.10(IOX)</v>
      </c>
      <c r="K39" s="60" t="e">
        <f>VLOOKUP(J39,CurrentMtgRatesDataTable[[TickerName]:[SeriesNumValue]],4,0)</f>
        <v>#N/A</v>
      </c>
      <c r="L39" s="61" t="e">
        <f>#REF!</f>
        <v>#REF!</v>
      </c>
      <c r="M39" s="62" t="e">
        <f t="shared" si="0"/>
        <v>#REF!</v>
      </c>
      <c r="O39" s="59" t="e">
        <f t="shared" si="1"/>
        <v>#REF!</v>
      </c>
      <c r="P39" s="62" t="e">
        <f t="shared" si="1"/>
        <v>#REF!</v>
      </c>
      <c r="Q39" s="62" t="e">
        <f t="shared" si="2"/>
        <v>#REF!</v>
      </c>
    </row>
    <row r="40" spans="1:17" s="54" customFormat="1">
      <c r="A40" s="54" t="s">
        <v>94</v>
      </c>
      <c r="B40" s="54" t="s">
        <v>60</v>
      </c>
      <c r="C40" s="58" t="s">
        <v>61</v>
      </c>
      <c r="D40" s="54">
        <v>110.90625</v>
      </c>
      <c r="F40" s="54" t="s">
        <v>123</v>
      </c>
      <c r="G40" s="58" t="s">
        <v>139</v>
      </c>
      <c r="H40" s="67">
        <v>-0.6</v>
      </c>
      <c r="J40" s="59" t="str">
        <f>CurrentMtgRatesDataTable8[[#This Row],[TickerName]]</f>
        <v>FN30.500.08(IOX)</v>
      </c>
      <c r="K40" s="60" t="e">
        <f>VLOOKUP(J40,CurrentMtgRatesDataTable[[TickerName]:[SeriesNumValue]],4,0)</f>
        <v>#N/A</v>
      </c>
      <c r="L40" s="61" t="e">
        <f>#REF!</f>
        <v>#REF!</v>
      </c>
      <c r="M40" s="62" t="e">
        <f t="shared" si="0"/>
        <v>#REF!</v>
      </c>
      <c r="O40" s="59" t="e">
        <f t="shared" si="1"/>
        <v>#REF!</v>
      </c>
      <c r="P40" s="62" t="e">
        <f t="shared" si="1"/>
        <v>#REF!</v>
      </c>
      <c r="Q40" s="62" t="e">
        <f t="shared" si="2"/>
        <v>#REF!</v>
      </c>
    </row>
    <row r="41" spans="1:17" s="54" customFormat="1">
      <c r="A41" s="54" t="s">
        <v>95</v>
      </c>
      <c r="B41" s="54" t="s">
        <v>60</v>
      </c>
      <c r="C41" s="58" t="s">
        <v>61</v>
      </c>
      <c r="D41" s="54">
        <v>110.59375</v>
      </c>
      <c r="F41" s="54" t="s">
        <v>122</v>
      </c>
      <c r="G41" s="58" t="s">
        <v>139</v>
      </c>
      <c r="H41" s="67">
        <v>-1.05</v>
      </c>
      <c r="J41" s="59" t="str">
        <f>CurrentMtgRatesDataTable8[[#This Row],[TickerName]]</f>
        <v>FN30.400.11(IOX)</v>
      </c>
      <c r="K41" s="60" t="e">
        <f>VLOOKUP(J41,CurrentMtgRatesDataTable[[TickerName]:[SeriesNumValue]],4,0)</f>
        <v>#N/A</v>
      </c>
      <c r="L41" s="61" t="e">
        <f>#REF!</f>
        <v>#REF!</v>
      </c>
      <c r="M41" s="62" t="e">
        <f t="shared" si="0"/>
        <v>#REF!</v>
      </c>
      <c r="O41" s="59" t="e">
        <f t="shared" si="1"/>
        <v>#REF!</v>
      </c>
      <c r="P41" s="62" t="e">
        <f t="shared" si="1"/>
        <v>#REF!</v>
      </c>
      <c r="Q41" s="62" t="e">
        <f t="shared" si="2"/>
        <v>#REF!</v>
      </c>
    </row>
    <row r="42" spans="1:17" s="54" customFormat="1">
      <c r="A42" s="54" t="s">
        <v>97</v>
      </c>
      <c r="B42" s="54" t="s">
        <v>60</v>
      </c>
      <c r="C42" s="58" t="s">
        <v>61</v>
      </c>
      <c r="D42" s="54">
        <v>112.203125</v>
      </c>
      <c r="F42" s="54" t="s">
        <v>121</v>
      </c>
      <c r="G42" s="58" t="s">
        <v>139</v>
      </c>
      <c r="H42" s="67">
        <v>-0.75</v>
      </c>
      <c r="J42" s="59" t="str">
        <f>CurrentMtgRatesDataTable8[[#This Row],[TickerName]]</f>
        <v>GII30.450.10(IOX)</v>
      </c>
      <c r="K42" s="60" t="e">
        <f>VLOOKUP(J42,CurrentMtgRatesDataTable[[TickerName]:[SeriesNumValue]],4,0)</f>
        <v>#N/A</v>
      </c>
      <c r="L42" s="61" t="e">
        <f>#REF!</f>
        <v>#REF!</v>
      </c>
      <c r="M42" s="62" t="e">
        <f t="shared" si="0"/>
        <v>#REF!</v>
      </c>
      <c r="O42" s="59" t="e">
        <f t="shared" si="1"/>
        <v>#REF!</v>
      </c>
      <c r="P42" s="62" t="e">
        <f t="shared" si="1"/>
        <v>#REF!</v>
      </c>
      <c r="Q42" s="62" t="e">
        <f t="shared" si="2"/>
        <v>#REF!</v>
      </c>
    </row>
    <row r="43" spans="1:17" s="54" customFormat="1">
      <c r="A43" s="54" t="s">
        <v>108</v>
      </c>
      <c r="B43" s="54" t="s">
        <v>60</v>
      </c>
      <c r="C43" s="58" t="s">
        <v>61</v>
      </c>
      <c r="D43" s="54">
        <v>112.203125</v>
      </c>
      <c r="F43" s="54" t="s">
        <v>120</v>
      </c>
      <c r="G43" s="58" t="s">
        <v>139</v>
      </c>
      <c r="H43" s="67">
        <v>-0.5</v>
      </c>
      <c r="J43" s="59" t="str">
        <f>CurrentMtgRatesDataTable8[[#This Row],[TickerName]]</f>
        <v>FN30.500.05(IOX)</v>
      </c>
      <c r="K43" s="60" t="e">
        <f>VLOOKUP(J43,CurrentMtgRatesDataTable[[TickerName]:[SeriesNumValue]],4,0)</f>
        <v>#N/A</v>
      </c>
      <c r="L43" s="61" t="e">
        <f>#REF!</f>
        <v>#REF!</v>
      </c>
      <c r="M43" s="62" t="e">
        <f t="shared" si="0"/>
        <v>#REF!</v>
      </c>
      <c r="O43" s="59" t="e">
        <f t="shared" si="1"/>
        <v>#REF!</v>
      </c>
      <c r="P43" s="62" t="e">
        <f t="shared" si="1"/>
        <v>#REF!</v>
      </c>
      <c r="Q43" s="62" t="e">
        <f t="shared" si="2"/>
        <v>#REF!</v>
      </c>
    </row>
    <row r="44" spans="1:17" s="54" customFormat="1">
      <c r="A44" s="54" t="s">
        <v>98</v>
      </c>
      <c r="B44" s="54" t="s">
        <v>60</v>
      </c>
      <c r="C44" s="58" t="s">
        <v>61</v>
      </c>
      <c r="D44" s="54">
        <v>111.875</v>
      </c>
      <c r="F44" s="54" t="s">
        <v>119</v>
      </c>
      <c r="G44" s="58" t="s">
        <v>139</v>
      </c>
      <c r="H44" s="67">
        <v>-1</v>
      </c>
      <c r="J44" s="59" t="str">
        <f>CurrentMtgRatesDataTable8[[#This Row],[TickerName]]</f>
        <v>FN30.400.10(IOX)</v>
      </c>
      <c r="K44" s="60" t="e">
        <f>VLOOKUP(J44,CurrentMtgRatesDataTable[[TickerName]:[SeriesNumValue]],4,0)</f>
        <v>#N/A</v>
      </c>
      <c r="L44" s="61" t="e">
        <f>#REF!</f>
        <v>#REF!</v>
      </c>
      <c r="M44" s="62" t="e">
        <f t="shared" si="0"/>
        <v>#REF!</v>
      </c>
      <c r="O44" s="59" t="e">
        <f t="shared" si="1"/>
        <v>#REF!</v>
      </c>
      <c r="P44" s="62" t="e">
        <f t="shared" si="1"/>
        <v>#REF!</v>
      </c>
      <c r="Q44" s="62" t="e">
        <f t="shared" si="2"/>
        <v>#REF!</v>
      </c>
    </row>
    <row r="45" spans="1:17" s="54" customFormat="1">
      <c r="A45" s="54" t="s">
        <v>99</v>
      </c>
      <c r="B45" s="54" t="s">
        <v>60</v>
      </c>
      <c r="C45" s="58" t="s">
        <v>61</v>
      </c>
      <c r="D45" s="54">
        <v>112.375</v>
      </c>
      <c r="F45" s="54" t="s">
        <v>119</v>
      </c>
      <c r="G45" s="58" t="s">
        <v>140</v>
      </c>
      <c r="H45" s="67">
        <v>-1</v>
      </c>
      <c r="J45" s="59" t="str">
        <f>CurrentMtgRatesDataTable8[[#This Row],[TickerName]]</f>
        <v>FN30.400.10(IOX)</v>
      </c>
      <c r="K45" s="60" t="e">
        <f>VLOOKUP(J45,CurrentMtgRatesDataTable[[TickerName]:[SeriesNumValue]],4,0)</f>
        <v>#N/A</v>
      </c>
      <c r="L45" s="61" t="e">
        <f>#REF!</f>
        <v>#REF!</v>
      </c>
      <c r="M45" s="62" t="e">
        <f t="shared" si="0"/>
        <v>#REF!</v>
      </c>
      <c r="O45" s="59" t="e">
        <f t="shared" si="1"/>
        <v>#REF!</v>
      </c>
      <c r="P45" s="62" t="e">
        <f t="shared" si="1"/>
        <v>#REF!</v>
      </c>
      <c r="Q45" s="62" t="e">
        <f t="shared" si="2"/>
        <v>#REF!</v>
      </c>
    </row>
    <row r="46" spans="1:17" s="54" customFormat="1">
      <c r="A46" s="54" t="s">
        <v>100</v>
      </c>
      <c r="B46" s="54" t="s">
        <v>60</v>
      </c>
      <c r="C46" s="58" t="s">
        <v>61</v>
      </c>
      <c r="D46" s="54">
        <v>112.0625</v>
      </c>
      <c r="F46" s="54" t="s">
        <v>120</v>
      </c>
      <c r="G46" s="58" t="s">
        <v>140</v>
      </c>
      <c r="H46" s="67">
        <v>-0.5</v>
      </c>
      <c r="J46" s="59" t="str">
        <f>CurrentMtgRatesDataTable8[[#This Row],[TickerName]]</f>
        <v>FN30.500.05(IOX)</v>
      </c>
      <c r="K46" s="60" t="e">
        <f>VLOOKUP(J46,CurrentMtgRatesDataTable[[TickerName]:[SeriesNumValue]],4,0)</f>
        <v>#N/A</v>
      </c>
      <c r="L46" s="61" t="e">
        <f>#REF!</f>
        <v>#REF!</v>
      </c>
      <c r="M46" s="62" t="e">
        <f t="shared" si="0"/>
        <v>#REF!</v>
      </c>
      <c r="O46" s="59" t="e">
        <f t="shared" si="1"/>
        <v>#REF!</v>
      </c>
      <c r="P46" s="62" t="e">
        <f t="shared" si="1"/>
        <v>#REF!</v>
      </c>
      <c r="Q46" s="62" t="e">
        <f t="shared" si="2"/>
        <v>#REF!</v>
      </c>
    </row>
    <row r="47" spans="1:17" s="54" customFormat="1">
      <c r="A47" s="54" t="s">
        <v>101</v>
      </c>
      <c r="B47" s="54" t="s">
        <v>60</v>
      </c>
      <c r="C47" s="58" t="s">
        <v>61</v>
      </c>
      <c r="D47" s="54">
        <v>113.65625</v>
      </c>
      <c r="F47" s="54" t="s">
        <v>121</v>
      </c>
      <c r="G47" s="58" t="s">
        <v>140</v>
      </c>
      <c r="H47" s="67">
        <v>-0.75</v>
      </c>
      <c r="J47" s="59" t="str">
        <f>CurrentMtgRatesDataTable8[[#This Row],[TickerName]]</f>
        <v>GII30.450.10(IOX)</v>
      </c>
      <c r="K47" s="60" t="e">
        <f>VLOOKUP(J47,CurrentMtgRatesDataTable[[TickerName]:[SeriesNumValue]],4,0)</f>
        <v>#N/A</v>
      </c>
      <c r="L47" s="61" t="e">
        <f>#REF!</f>
        <v>#REF!</v>
      </c>
      <c r="M47" s="62" t="e">
        <f t="shared" si="0"/>
        <v>#REF!</v>
      </c>
      <c r="O47" s="59" t="e">
        <f t="shared" si="1"/>
        <v>#REF!</v>
      </c>
      <c r="P47" s="62" t="e">
        <f t="shared" si="1"/>
        <v>#REF!</v>
      </c>
      <c r="Q47" s="62" t="e">
        <f t="shared" si="2"/>
        <v>#REF!</v>
      </c>
    </row>
    <row r="48" spans="1:17" s="54" customFormat="1">
      <c r="A48" s="54" t="s">
        <v>114</v>
      </c>
      <c r="B48" s="54" t="s">
        <v>60</v>
      </c>
      <c r="C48" s="58" t="s">
        <v>61</v>
      </c>
      <c r="D48" s="54">
        <v>113.65625</v>
      </c>
      <c r="F48" s="54" t="s">
        <v>122</v>
      </c>
      <c r="G48" s="58" t="s">
        <v>140</v>
      </c>
      <c r="H48" s="67">
        <v>-1.05</v>
      </c>
      <c r="J48" s="63" t="str">
        <f>CurrentMtgRatesDataTable8[[#This Row],[TickerName]]</f>
        <v>FN30.400.11(IOX)</v>
      </c>
      <c r="K48" s="64" t="e">
        <f>VLOOKUP(J48,CurrentMtgRatesDataTable[[TickerName]:[SeriesNumValue]],4,0)</f>
        <v>#N/A</v>
      </c>
      <c r="L48" s="61" t="e">
        <f>#REF!</f>
        <v>#REF!</v>
      </c>
      <c r="M48" s="65" t="e">
        <f t="shared" si="0"/>
        <v>#REF!</v>
      </c>
      <c r="O48" s="63" t="e">
        <f t="shared" si="1"/>
        <v>#REF!</v>
      </c>
      <c r="P48" s="65" t="e">
        <f t="shared" si="1"/>
        <v>#REF!</v>
      </c>
      <c r="Q48" s="65" t="e">
        <f t="shared" si="2"/>
        <v>#REF!</v>
      </c>
    </row>
    <row r="49" spans="1:19" s="54" customFormat="1">
      <c r="A49" s="54" t="s">
        <v>103</v>
      </c>
      <c r="B49" s="54" t="s">
        <v>60</v>
      </c>
      <c r="C49" s="58" t="s">
        <v>61</v>
      </c>
      <c r="D49" s="54">
        <v>113.328125</v>
      </c>
      <c r="F49" s="68" t="s">
        <v>123</v>
      </c>
      <c r="G49" s="67" t="s">
        <v>140</v>
      </c>
      <c r="H49" s="69">
        <v>-0.6</v>
      </c>
      <c r="I49" s="66"/>
      <c r="J49" s="66"/>
      <c r="K49" s="66"/>
      <c r="L49" s="66"/>
      <c r="M49" s="66"/>
      <c r="N49" s="66"/>
      <c r="O49" s="66"/>
    </row>
    <row r="50" spans="1:19" s="54" customFormat="1">
      <c r="A50" s="54" t="s">
        <v>104</v>
      </c>
      <c r="B50" s="54" t="s">
        <v>60</v>
      </c>
      <c r="C50" s="58" t="s">
        <v>61</v>
      </c>
      <c r="D50" s="54">
        <v>113.78125</v>
      </c>
      <c r="F50" s="68" t="s">
        <v>124</v>
      </c>
      <c r="G50" s="67" t="s">
        <v>140</v>
      </c>
      <c r="H50" s="69">
        <v>-0.7</v>
      </c>
      <c r="I50" s="66"/>
      <c r="J50" s="66"/>
      <c r="K50" s="66"/>
      <c r="L50" s="66"/>
      <c r="M50" s="66"/>
      <c r="N50" s="66"/>
      <c r="O50" s="66"/>
    </row>
    <row r="51" spans="1:19" s="54" customFormat="1">
      <c r="A51" s="54" t="s">
        <v>105</v>
      </c>
      <c r="B51" s="54" t="s">
        <v>60</v>
      </c>
      <c r="C51" s="58" t="s">
        <v>61</v>
      </c>
      <c r="D51" s="54">
        <v>113.515625</v>
      </c>
      <c r="F51" s="68" t="s">
        <v>125</v>
      </c>
      <c r="G51" s="67" t="s">
        <v>140</v>
      </c>
      <c r="H51" s="69">
        <v>-1.1000000000000001</v>
      </c>
      <c r="I51" s="66"/>
      <c r="J51" s="66"/>
      <c r="K51" s="66"/>
      <c r="L51" s="66"/>
      <c r="M51" s="66"/>
      <c r="N51" s="66"/>
      <c r="O51" s="66"/>
      <c r="P51" s="66"/>
    </row>
    <row r="52" spans="1:19" s="54" customFormat="1">
      <c r="A52" s="54" t="s">
        <v>106</v>
      </c>
      <c r="B52" s="54" t="s">
        <v>60</v>
      </c>
      <c r="C52" s="58" t="s">
        <v>61</v>
      </c>
      <c r="D52" s="54">
        <v>114.546875</v>
      </c>
      <c r="F52" s="68" t="s">
        <v>126</v>
      </c>
      <c r="G52" s="67" t="s">
        <v>140</v>
      </c>
      <c r="H52" s="69">
        <v>-0.55000000000000004</v>
      </c>
      <c r="I52" s="66"/>
      <c r="J52" s="66"/>
      <c r="K52" s="66"/>
      <c r="L52" s="66"/>
      <c r="M52" s="66"/>
      <c r="N52" s="66"/>
      <c r="O52" s="66"/>
      <c r="P52" s="66"/>
    </row>
    <row r="53" spans="1:19" s="54" customFormat="1">
      <c r="A53" s="54" t="s">
        <v>116</v>
      </c>
      <c r="B53" s="54" t="s">
        <v>60</v>
      </c>
      <c r="C53" s="58" t="s">
        <v>61</v>
      </c>
      <c r="D53" s="54">
        <v>114.546875</v>
      </c>
      <c r="F53" s="68" t="s">
        <v>127</v>
      </c>
      <c r="G53" s="67" t="s">
        <v>140</v>
      </c>
      <c r="H53" s="69">
        <v>-0.15</v>
      </c>
      <c r="I53" s="66"/>
      <c r="J53" s="66"/>
      <c r="K53" s="66"/>
      <c r="L53" s="66"/>
      <c r="M53" s="66"/>
      <c r="N53" s="66"/>
      <c r="O53" s="66"/>
      <c r="P53" s="66"/>
    </row>
    <row r="54" spans="1:19" s="54" customFormat="1">
      <c r="A54" s="54" t="s">
        <v>107</v>
      </c>
      <c r="B54" s="54" t="s">
        <v>60</v>
      </c>
      <c r="C54" s="58" t="s">
        <v>61</v>
      </c>
      <c r="D54" s="54">
        <v>114.234375</v>
      </c>
      <c r="F54" s="68" t="s">
        <v>128</v>
      </c>
      <c r="G54" s="67" t="s">
        <v>140</v>
      </c>
      <c r="H54" s="69">
        <v>-0.55000000000000004</v>
      </c>
      <c r="I54" s="66"/>
      <c r="J54" s="66"/>
      <c r="K54" s="66"/>
      <c r="L54" s="66"/>
      <c r="M54" s="66"/>
      <c r="N54" s="66"/>
      <c r="O54" s="66"/>
      <c r="P54" s="66"/>
    </row>
    <row r="55" spans="1:19" s="54" customFormat="1">
      <c r="A55" s="54" t="s">
        <v>109</v>
      </c>
      <c r="B55" s="54" t="s">
        <v>60</v>
      </c>
      <c r="C55" s="58" t="s">
        <v>61</v>
      </c>
      <c r="D55" s="54">
        <v>114.6875</v>
      </c>
      <c r="F55" s="68" t="s">
        <v>129</v>
      </c>
      <c r="G55" s="67" t="s">
        <v>140</v>
      </c>
      <c r="H55" s="69">
        <v>-0.25</v>
      </c>
      <c r="I55" s="66"/>
      <c r="J55" s="66"/>
      <c r="K55" s="66"/>
      <c r="L55" s="66"/>
      <c r="M55" s="66"/>
      <c r="N55" s="66"/>
      <c r="O55" s="66"/>
      <c r="P55" s="66"/>
    </row>
    <row r="56" spans="1:19" s="54" customFormat="1">
      <c r="A56" s="54" t="s">
        <v>110</v>
      </c>
      <c r="B56" s="54" t="s">
        <v>60</v>
      </c>
      <c r="C56" s="58" t="s">
        <v>61</v>
      </c>
      <c r="D56" s="54">
        <v>114.421875</v>
      </c>
      <c r="F56" s="68" t="s">
        <v>130</v>
      </c>
      <c r="G56" s="67" t="s">
        <v>140</v>
      </c>
      <c r="H56" s="69">
        <v>-0.95</v>
      </c>
      <c r="I56" s="66"/>
      <c r="J56" s="66"/>
      <c r="K56" s="66"/>
      <c r="L56" s="66"/>
      <c r="M56" s="66"/>
      <c r="N56" s="66"/>
      <c r="O56" s="66"/>
      <c r="P56" s="66"/>
    </row>
    <row r="57" spans="1:19" s="54" customFormat="1">
      <c r="A57" s="54" t="s">
        <v>111</v>
      </c>
      <c r="B57" s="54" t="s">
        <v>60</v>
      </c>
      <c r="C57" s="58" t="s">
        <v>61</v>
      </c>
      <c r="D57" s="54">
        <v>114.65625</v>
      </c>
      <c r="F57" s="68" t="s">
        <v>131</v>
      </c>
      <c r="G57" s="67" t="s">
        <v>140</v>
      </c>
      <c r="H57" s="69">
        <v>-0.35</v>
      </c>
      <c r="I57" s="66"/>
      <c r="J57" s="66"/>
      <c r="K57" s="66"/>
      <c r="L57" s="66"/>
      <c r="M57" s="66"/>
      <c r="N57" s="66"/>
      <c r="O57" s="66"/>
      <c r="P57" s="66"/>
    </row>
    <row r="58" spans="1:19" s="54" customFormat="1">
      <c r="A58" s="54" t="s">
        <v>117</v>
      </c>
      <c r="B58" s="54" t="s">
        <v>60</v>
      </c>
      <c r="C58" s="58" t="s">
        <v>61</v>
      </c>
      <c r="D58" s="54">
        <v>114.65625</v>
      </c>
      <c r="F58" s="68" t="s">
        <v>132</v>
      </c>
      <c r="G58" s="67" t="s">
        <v>140</v>
      </c>
      <c r="H58" s="69">
        <v>-0.95</v>
      </c>
      <c r="I58" s="66"/>
      <c r="J58" s="66"/>
      <c r="K58" s="66"/>
      <c r="L58" s="66"/>
      <c r="M58" s="66"/>
      <c r="N58" s="66"/>
      <c r="O58" s="66"/>
      <c r="P58" s="66"/>
    </row>
    <row r="59" spans="1:19" s="54" customFormat="1">
      <c r="A59" s="54" t="s">
        <v>112</v>
      </c>
      <c r="B59" s="54" t="s">
        <v>60</v>
      </c>
      <c r="C59" s="58" t="s">
        <v>61</v>
      </c>
      <c r="D59" s="54">
        <v>114.59375</v>
      </c>
      <c r="F59" s="68" t="s">
        <v>133</v>
      </c>
      <c r="G59" s="67" t="s">
        <v>140</v>
      </c>
      <c r="H59" s="69">
        <v>-0.35</v>
      </c>
      <c r="I59" s="66"/>
      <c r="J59" s="66"/>
      <c r="K59" s="66"/>
      <c r="L59" s="66"/>
      <c r="M59" s="66"/>
      <c r="N59" s="66"/>
      <c r="O59" s="66"/>
      <c r="P59" s="66"/>
    </row>
    <row r="60" spans="1:19" s="54" customFormat="1">
      <c r="A60" s="54" t="s">
        <v>113</v>
      </c>
      <c r="B60" s="54" t="s">
        <v>60</v>
      </c>
      <c r="C60" s="58" t="s">
        <v>61</v>
      </c>
      <c r="D60" s="54">
        <v>114.6875</v>
      </c>
      <c r="F60" s="68" t="s">
        <v>134</v>
      </c>
      <c r="G60" s="67" t="s">
        <v>140</v>
      </c>
      <c r="H60" s="69">
        <v>-1</v>
      </c>
      <c r="I60" s="66"/>
      <c r="J60" s="66"/>
      <c r="K60" s="66"/>
      <c r="L60" s="66"/>
      <c r="M60" s="66"/>
      <c r="N60" s="66"/>
      <c r="O60" s="66"/>
      <c r="P60" s="66"/>
    </row>
    <row r="61" spans="1:19" s="54" customFormat="1">
      <c r="A61" s="54" t="s">
        <v>115</v>
      </c>
      <c r="B61" s="54" t="s">
        <v>60</v>
      </c>
      <c r="C61" s="58" t="s">
        <v>61</v>
      </c>
      <c r="D61" s="54">
        <v>114.625</v>
      </c>
      <c r="F61" s="68" t="s">
        <v>135</v>
      </c>
      <c r="G61" s="67" t="s">
        <v>140</v>
      </c>
      <c r="H61" s="69">
        <v>-0.35</v>
      </c>
      <c r="I61" s="66"/>
      <c r="J61" s="66"/>
      <c r="K61" s="66"/>
      <c r="L61" s="66"/>
      <c r="M61" s="66"/>
      <c r="N61" s="66"/>
      <c r="O61" s="66"/>
      <c r="P61" s="66"/>
    </row>
    <row r="62" spans="1:19" s="54" customFormat="1">
      <c r="F62" s="68" t="s">
        <v>136</v>
      </c>
      <c r="G62" s="67" t="s">
        <v>140</v>
      </c>
      <c r="H62" s="69">
        <v>-0.95</v>
      </c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</row>
    <row r="63" spans="1:19" s="54" customFormat="1">
      <c r="F63" s="68" t="s">
        <v>137</v>
      </c>
      <c r="G63" s="67" t="s">
        <v>140</v>
      </c>
      <c r="H63" s="69">
        <v>-0.5</v>
      </c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</row>
    <row r="64" spans="1:19" s="54" customFormat="1">
      <c r="F64" s="68" t="s">
        <v>138</v>
      </c>
      <c r="G64" s="67" t="s">
        <v>140</v>
      </c>
      <c r="H64" s="69">
        <v>-0.7</v>
      </c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</row>
    <row r="65" spans="1:19" s="54" customFormat="1">
      <c r="F65" s="68" t="s">
        <v>138</v>
      </c>
      <c r="G65" s="67" t="s">
        <v>141</v>
      </c>
      <c r="H65" s="69">
        <v>-0.7</v>
      </c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</row>
    <row r="66" spans="1:19" s="54" customFormat="1">
      <c r="F66" s="68" t="s">
        <v>137</v>
      </c>
      <c r="G66" s="67" t="s">
        <v>141</v>
      </c>
      <c r="H66" s="69">
        <v>-0.5</v>
      </c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</row>
    <row r="67" spans="1:19" s="54" customFormat="1">
      <c r="F67" s="68" t="s">
        <v>136</v>
      </c>
      <c r="G67" s="67" t="s">
        <v>141</v>
      </c>
      <c r="H67" s="69">
        <v>-0.95</v>
      </c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</row>
    <row r="68" spans="1:19" s="54" customFormat="1">
      <c r="F68" s="68" t="s">
        <v>135</v>
      </c>
      <c r="G68" s="67" t="s">
        <v>141</v>
      </c>
      <c r="H68" s="69">
        <v>-0.35</v>
      </c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</row>
    <row r="69" spans="1:19" s="54" customFormat="1">
      <c r="F69" s="68" t="s">
        <v>134</v>
      </c>
      <c r="G69" s="67" t="s">
        <v>141</v>
      </c>
      <c r="H69" s="69">
        <v>-1</v>
      </c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</row>
    <row r="70" spans="1:19" s="54" customFormat="1">
      <c r="F70" s="68" t="s">
        <v>133</v>
      </c>
      <c r="G70" s="67" t="s">
        <v>141</v>
      </c>
      <c r="H70" s="69">
        <v>-0.35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</row>
    <row r="71" spans="1:19" s="54" customFormat="1">
      <c r="F71" s="68" t="s">
        <v>132</v>
      </c>
      <c r="G71" s="67" t="s">
        <v>141</v>
      </c>
      <c r="H71" s="69">
        <v>-0.95</v>
      </c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</row>
    <row r="72" spans="1:19" s="54" customFormat="1">
      <c r="F72" s="68" t="s">
        <v>131</v>
      </c>
      <c r="G72" s="67" t="s">
        <v>141</v>
      </c>
      <c r="H72" s="69">
        <v>-0.35</v>
      </c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</row>
    <row r="73" spans="1:19" s="54" customFormat="1">
      <c r="F73" s="68" t="s">
        <v>130</v>
      </c>
      <c r="G73" s="67" t="s">
        <v>141</v>
      </c>
      <c r="H73" s="69">
        <v>-0.95</v>
      </c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</row>
    <row r="74" spans="1:19" s="54" customFormat="1">
      <c r="F74" s="68" t="s">
        <v>129</v>
      </c>
      <c r="G74" s="67" t="s">
        <v>141</v>
      </c>
      <c r="H74" s="69">
        <v>-0.25</v>
      </c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</row>
    <row r="75" spans="1:19" s="54" customFormat="1">
      <c r="F75" s="68" t="s">
        <v>128</v>
      </c>
      <c r="G75" s="67" t="s">
        <v>141</v>
      </c>
      <c r="H75" s="69">
        <v>-0.55000000000000004</v>
      </c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</row>
    <row r="76" spans="1:19" s="54" customFormat="1">
      <c r="F76" s="68" t="s">
        <v>127</v>
      </c>
      <c r="G76" s="67" t="s">
        <v>141</v>
      </c>
      <c r="H76" s="69">
        <v>-0.15</v>
      </c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</row>
    <row r="77" spans="1:19" s="54" customFormat="1">
      <c r="F77" s="68" t="s">
        <v>126</v>
      </c>
      <c r="G77" s="67" t="s">
        <v>141</v>
      </c>
      <c r="H77" s="69">
        <v>-0.55000000000000004</v>
      </c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</row>
    <row r="78" spans="1:19" s="54" customFormat="1">
      <c r="F78" s="68" t="s">
        <v>125</v>
      </c>
      <c r="G78" s="67" t="s">
        <v>141</v>
      </c>
      <c r="H78" s="69">
        <v>-1.1000000000000001</v>
      </c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</row>
    <row r="79" spans="1:19" s="66" customFormat="1">
      <c r="A79" s="54"/>
      <c r="B79" s="54"/>
      <c r="C79" s="54"/>
      <c r="D79" s="54"/>
      <c r="E79" s="54"/>
      <c r="F79" s="68" t="s">
        <v>124</v>
      </c>
      <c r="G79" s="67" t="s">
        <v>141</v>
      </c>
      <c r="H79" s="69">
        <v>-0.7</v>
      </c>
    </row>
    <row r="80" spans="1:19" s="66" customFormat="1">
      <c r="A80" s="54"/>
      <c r="B80" s="54"/>
      <c r="C80" s="54"/>
      <c r="D80" s="54"/>
      <c r="E80" s="54"/>
      <c r="F80" s="68" t="s">
        <v>123</v>
      </c>
      <c r="G80" s="67" t="s">
        <v>141</v>
      </c>
      <c r="H80" s="69">
        <v>-0.6</v>
      </c>
    </row>
    <row r="81" spans="1:8" s="66" customFormat="1">
      <c r="A81" s="54"/>
      <c r="B81" s="54"/>
      <c r="C81" s="54"/>
      <c r="D81" s="54"/>
      <c r="E81" s="54"/>
      <c r="F81" s="68" t="s">
        <v>122</v>
      </c>
      <c r="G81" s="67" t="s">
        <v>141</v>
      </c>
      <c r="H81" s="69">
        <v>-1.05</v>
      </c>
    </row>
    <row r="82" spans="1:8" s="66" customFormat="1">
      <c r="A82" s="54"/>
      <c r="B82" s="54"/>
      <c r="C82" s="54"/>
      <c r="D82" s="54"/>
      <c r="E82" s="54"/>
      <c r="F82" s="68" t="s">
        <v>121</v>
      </c>
      <c r="G82" s="67" t="s">
        <v>141</v>
      </c>
      <c r="H82" s="69">
        <v>-0.75</v>
      </c>
    </row>
    <row r="83" spans="1:8" s="66" customFormat="1">
      <c r="A83" s="54"/>
      <c r="B83" s="54"/>
      <c r="C83" s="54"/>
      <c r="D83" s="54"/>
      <c r="E83" s="54"/>
      <c r="F83" s="68" t="s">
        <v>120</v>
      </c>
      <c r="G83" s="67" t="s">
        <v>141</v>
      </c>
      <c r="H83" s="69">
        <v>-0.5</v>
      </c>
    </row>
    <row r="84" spans="1:8" s="66" customFormat="1">
      <c r="A84" s="54"/>
      <c r="B84" s="54"/>
      <c r="C84" s="54"/>
      <c r="D84" s="54"/>
      <c r="E84" s="54"/>
      <c r="F84" s="68" t="s">
        <v>119</v>
      </c>
      <c r="G84" s="67" t="s">
        <v>141</v>
      </c>
      <c r="H84" s="69">
        <v>-1</v>
      </c>
    </row>
    <row r="85" spans="1:8" s="66" customFormat="1">
      <c r="A85" s="54"/>
      <c r="B85" s="54"/>
      <c r="C85" s="54"/>
      <c r="D85" s="54"/>
      <c r="E85" s="54"/>
      <c r="F85" s="68" t="s">
        <v>119</v>
      </c>
      <c r="G85" s="67" t="s">
        <v>142</v>
      </c>
      <c r="H85" s="69">
        <v>-1</v>
      </c>
    </row>
    <row r="86" spans="1:8" s="66" customFormat="1">
      <c r="A86" s="54"/>
      <c r="B86" s="54"/>
      <c r="C86" s="54"/>
      <c r="D86" s="54"/>
      <c r="E86" s="54"/>
      <c r="F86" s="68" t="s">
        <v>120</v>
      </c>
      <c r="G86" s="67" t="s">
        <v>142</v>
      </c>
      <c r="H86" s="69">
        <v>-0.5</v>
      </c>
    </row>
    <row r="87" spans="1:8" s="66" customFormat="1">
      <c r="A87" s="54"/>
      <c r="B87" s="54"/>
      <c r="C87" s="54"/>
      <c r="D87" s="54"/>
      <c r="E87" s="54"/>
      <c r="F87" s="68" t="s">
        <v>121</v>
      </c>
      <c r="G87" s="67" t="s">
        <v>142</v>
      </c>
      <c r="H87" s="69">
        <v>-0.75</v>
      </c>
    </row>
    <row r="88" spans="1:8" s="66" customFormat="1">
      <c r="A88" s="54"/>
      <c r="B88" s="54"/>
      <c r="C88" s="54"/>
      <c r="D88" s="54"/>
      <c r="E88" s="54"/>
      <c r="F88" s="68" t="s">
        <v>122</v>
      </c>
      <c r="G88" s="67" t="s">
        <v>142</v>
      </c>
      <c r="H88" s="69">
        <v>-1.05</v>
      </c>
    </row>
    <row r="89" spans="1:8" s="66" customFormat="1">
      <c r="A89" s="54"/>
      <c r="B89" s="54"/>
      <c r="C89" s="54"/>
      <c r="D89" s="54"/>
      <c r="E89" s="54"/>
      <c r="F89" s="68" t="s">
        <v>123</v>
      </c>
      <c r="G89" s="67" t="s">
        <v>142</v>
      </c>
      <c r="H89" s="69">
        <v>-0.6</v>
      </c>
    </row>
    <row r="90" spans="1:8" s="66" customFormat="1">
      <c r="A90" s="54"/>
      <c r="B90" s="54"/>
      <c r="C90" s="54"/>
      <c r="D90" s="54"/>
      <c r="E90" s="54"/>
      <c r="F90" s="68" t="s">
        <v>124</v>
      </c>
      <c r="G90" s="67" t="s">
        <v>142</v>
      </c>
      <c r="H90" s="69">
        <v>-0.7</v>
      </c>
    </row>
    <row r="91" spans="1:8" s="66" customFormat="1">
      <c r="A91" s="54"/>
      <c r="B91" s="54"/>
      <c r="C91" s="54"/>
      <c r="D91" s="54"/>
      <c r="E91" s="54"/>
      <c r="F91" s="68" t="s">
        <v>125</v>
      </c>
      <c r="G91" s="67" t="s">
        <v>142</v>
      </c>
      <c r="H91" s="69">
        <v>-1.1000000000000001</v>
      </c>
    </row>
    <row r="92" spans="1:8" s="66" customFormat="1">
      <c r="A92" s="54"/>
      <c r="B92" s="54"/>
      <c r="C92" s="54"/>
      <c r="D92" s="54"/>
      <c r="F92" s="68" t="s">
        <v>126</v>
      </c>
      <c r="G92" s="67" t="s">
        <v>142</v>
      </c>
      <c r="H92" s="69">
        <v>-0.55000000000000004</v>
      </c>
    </row>
    <row r="93" spans="1:8" s="66" customFormat="1">
      <c r="A93" s="54"/>
      <c r="B93" s="54"/>
      <c r="C93" s="54"/>
      <c r="D93" s="54"/>
      <c r="F93" s="68" t="s">
        <v>127</v>
      </c>
      <c r="G93" s="67" t="s">
        <v>142</v>
      </c>
      <c r="H93" s="69">
        <v>-0.15</v>
      </c>
    </row>
    <row r="94" spans="1:8" s="66" customFormat="1">
      <c r="A94" s="54"/>
      <c r="B94" s="54"/>
      <c r="C94" s="54"/>
      <c r="D94" s="54"/>
      <c r="F94" s="68" t="s">
        <v>128</v>
      </c>
      <c r="G94" s="67" t="s">
        <v>142</v>
      </c>
      <c r="H94" s="69">
        <v>-0.55000000000000004</v>
      </c>
    </row>
    <row r="95" spans="1:8" s="66" customFormat="1">
      <c r="A95" s="54"/>
      <c r="B95" s="54"/>
      <c r="C95" s="54"/>
      <c r="D95" s="54"/>
      <c r="F95" s="68" t="s">
        <v>129</v>
      </c>
      <c r="G95" s="67" t="s">
        <v>142</v>
      </c>
      <c r="H95" s="69">
        <v>-0.25</v>
      </c>
    </row>
    <row r="96" spans="1:8" s="66" customFormat="1">
      <c r="A96" s="54"/>
      <c r="B96" s="54"/>
      <c r="C96" s="54"/>
      <c r="D96" s="54"/>
      <c r="F96" s="68" t="s">
        <v>130</v>
      </c>
      <c r="G96" s="67" t="s">
        <v>142</v>
      </c>
      <c r="H96" s="69">
        <v>-0.95</v>
      </c>
    </row>
    <row r="97" spans="1:20" s="66" customFormat="1">
      <c r="A97" s="54"/>
      <c r="B97" s="54"/>
      <c r="C97" s="54"/>
      <c r="D97" s="54"/>
      <c r="F97" s="68" t="s">
        <v>131</v>
      </c>
      <c r="G97" s="67" t="s">
        <v>142</v>
      </c>
      <c r="H97" s="69">
        <v>-0.35</v>
      </c>
    </row>
    <row r="98" spans="1:20" s="66" customFormat="1">
      <c r="A98" s="54"/>
      <c r="B98" s="54"/>
      <c r="C98" s="54"/>
      <c r="D98" s="54"/>
      <c r="F98" s="68" t="s">
        <v>132</v>
      </c>
      <c r="G98" s="67" t="s">
        <v>142</v>
      </c>
      <c r="H98" s="69">
        <v>-0.95</v>
      </c>
    </row>
    <row r="99" spans="1:20" s="66" customFormat="1">
      <c r="A99" s="54"/>
      <c r="B99" s="54"/>
      <c r="C99" s="54"/>
      <c r="D99" s="54"/>
      <c r="F99" s="68" t="s">
        <v>133</v>
      </c>
      <c r="G99" s="67" t="s">
        <v>142</v>
      </c>
      <c r="H99" s="69">
        <v>-0.35</v>
      </c>
    </row>
    <row r="100" spans="1:20" s="66" customFormat="1">
      <c r="A100" s="54"/>
      <c r="B100" s="54"/>
      <c r="C100" s="54"/>
      <c r="D100" s="54"/>
      <c r="F100" s="68" t="s">
        <v>134</v>
      </c>
      <c r="G100" s="67" t="s">
        <v>142</v>
      </c>
      <c r="H100" s="69">
        <v>-1</v>
      </c>
    </row>
    <row r="101" spans="1:20" s="66" customFormat="1">
      <c r="A101" s="54"/>
      <c r="B101" s="54"/>
      <c r="C101" s="54"/>
      <c r="D101" s="54"/>
      <c r="F101" s="68" t="s">
        <v>135</v>
      </c>
      <c r="G101" s="67" t="s">
        <v>142</v>
      </c>
      <c r="H101" s="69">
        <v>-0.35</v>
      </c>
    </row>
    <row r="102" spans="1:20" s="66" customFormat="1">
      <c r="A102" s="54"/>
      <c r="B102" s="54"/>
      <c r="C102" s="54"/>
      <c r="D102" s="54"/>
      <c r="F102" s="68" t="s">
        <v>136</v>
      </c>
      <c r="G102" s="67" t="s">
        <v>142</v>
      </c>
      <c r="H102" s="69">
        <v>-0.95</v>
      </c>
    </row>
    <row r="103" spans="1:20" s="66" customFormat="1">
      <c r="F103" s="68" t="s">
        <v>137</v>
      </c>
      <c r="G103" s="67" t="s">
        <v>142</v>
      </c>
      <c r="H103" s="69">
        <v>-0.5</v>
      </c>
    </row>
    <row r="104" spans="1:20" s="66" customFormat="1">
      <c r="F104" s="68" t="s">
        <v>138</v>
      </c>
      <c r="G104" s="67" t="s">
        <v>142</v>
      </c>
      <c r="H104" s="69">
        <v>-0.7</v>
      </c>
    </row>
    <row r="105" spans="1:20" s="66" customFormat="1">
      <c r="F105" s="68" t="s">
        <v>138</v>
      </c>
      <c r="G105" s="67" t="s">
        <v>143</v>
      </c>
      <c r="H105" s="69">
        <v>-0.7</v>
      </c>
    </row>
    <row r="106" spans="1:20" s="66" customFormat="1">
      <c r="F106" s="68" t="s">
        <v>137</v>
      </c>
      <c r="G106" s="67" t="s">
        <v>143</v>
      </c>
      <c r="H106" s="69">
        <v>-0.5</v>
      </c>
      <c r="I106" s="53"/>
      <c r="J106" s="53"/>
      <c r="K106" s="53"/>
      <c r="M106" s="53"/>
      <c r="O106" s="53"/>
      <c r="Q106" s="53"/>
      <c r="R106" s="53"/>
      <c r="S106" s="53"/>
      <c r="T106" s="53"/>
    </row>
    <row r="107" spans="1:20" s="66" customFormat="1">
      <c r="F107" s="68" t="s">
        <v>136</v>
      </c>
      <c r="G107" s="67" t="s">
        <v>143</v>
      </c>
      <c r="H107" s="69">
        <v>-0.95</v>
      </c>
      <c r="I107" s="53"/>
      <c r="J107" s="53"/>
      <c r="K107" s="53"/>
      <c r="M107" s="53"/>
      <c r="O107" s="53"/>
      <c r="Q107" s="53"/>
      <c r="R107" s="53"/>
      <c r="S107" s="53"/>
      <c r="T107" s="53"/>
    </row>
    <row r="108" spans="1:20" s="66" customFormat="1">
      <c r="F108" s="68" t="s">
        <v>135</v>
      </c>
      <c r="G108" s="67" t="s">
        <v>143</v>
      </c>
      <c r="H108" s="69">
        <v>-0.35</v>
      </c>
      <c r="I108" s="53"/>
      <c r="J108" s="53"/>
      <c r="K108" s="53"/>
      <c r="M108" s="53"/>
      <c r="O108" s="53"/>
      <c r="Q108" s="53"/>
      <c r="R108" s="53"/>
      <c r="S108" s="53"/>
      <c r="T108" s="53"/>
    </row>
    <row r="109" spans="1:20" s="66" customFormat="1">
      <c r="F109" s="68" t="s">
        <v>134</v>
      </c>
      <c r="G109" s="67" t="s">
        <v>143</v>
      </c>
      <c r="H109" s="69">
        <v>-1</v>
      </c>
      <c r="I109" s="53"/>
      <c r="J109" s="53"/>
      <c r="K109" s="53"/>
      <c r="M109" s="53"/>
      <c r="O109" s="53"/>
      <c r="Q109" s="53"/>
      <c r="R109" s="53"/>
      <c r="S109" s="53"/>
      <c r="T109" s="53"/>
    </row>
    <row r="110" spans="1:20" s="66" customFormat="1">
      <c r="F110" s="68" t="s">
        <v>133</v>
      </c>
      <c r="G110" s="67" t="s">
        <v>143</v>
      </c>
      <c r="H110" s="69">
        <v>-0.35</v>
      </c>
      <c r="I110" s="53"/>
      <c r="J110" s="53"/>
      <c r="K110" s="53"/>
      <c r="M110" s="53"/>
      <c r="O110" s="53"/>
      <c r="Q110" s="53"/>
      <c r="R110" s="53"/>
      <c r="S110" s="53"/>
      <c r="T110" s="53"/>
    </row>
    <row r="111" spans="1:20" s="66" customFormat="1">
      <c r="F111" s="68" t="s">
        <v>132</v>
      </c>
      <c r="G111" s="67" t="s">
        <v>143</v>
      </c>
      <c r="H111" s="69">
        <v>-0.95</v>
      </c>
      <c r="I111" s="53"/>
      <c r="J111" s="53"/>
      <c r="K111" s="53"/>
      <c r="M111" s="53"/>
      <c r="O111" s="53"/>
      <c r="Q111" s="53"/>
      <c r="R111" s="53"/>
      <c r="S111" s="53"/>
      <c r="T111" s="53"/>
    </row>
    <row r="112" spans="1:20" s="66" customFormat="1">
      <c r="F112" s="68" t="s">
        <v>131</v>
      </c>
      <c r="G112" s="67" t="s">
        <v>143</v>
      </c>
      <c r="H112" s="69">
        <v>-0.35</v>
      </c>
      <c r="I112" s="53"/>
      <c r="J112" s="53"/>
      <c r="K112" s="53"/>
      <c r="M112" s="53"/>
      <c r="O112" s="53"/>
      <c r="Q112" s="53"/>
      <c r="R112" s="53"/>
      <c r="S112" s="53"/>
      <c r="T112" s="53"/>
    </row>
    <row r="113" spans="6:20" s="66" customFormat="1">
      <c r="F113" s="68" t="s">
        <v>130</v>
      </c>
      <c r="G113" s="67" t="s">
        <v>143</v>
      </c>
      <c r="H113" s="69">
        <v>-0.95</v>
      </c>
      <c r="I113" s="53"/>
      <c r="J113" s="53"/>
      <c r="K113" s="53"/>
      <c r="M113" s="53"/>
      <c r="O113" s="53"/>
      <c r="Q113" s="53"/>
      <c r="R113" s="53"/>
      <c r="S113" s="53"/>
      <c r="T113" s="53"/>
    </row>
    <row r="114" spans="6:20" s="66" customFormat="1">
      <c r="F114" s="68" t="s">
        <v>129</v>
      </c>
      <c r="G114" s="67" t="s">
        <v>143</v>
      </c>
      <c r="H114" s="69">
        <v>-0.25</v>
      </c>
      <c r="I114" s="53"/>
      <c r="J114" s="53"/>
      <c r="K114" s="53"/>
      <c r="M114" s="53"/>
      <c r="O114" s="53"/>
      <c r="Q114" s="53"/>
      <c r="R114" s="53"/>
      <c r="S114" s="53"/>
      <c r="T114" s="53"/>
    </row>
    <row r="115" spans="6:20" s="66" customFormat="1">
      <c r="F115" s="68" t="s">
        <v>128</v>
      </c>
      <c r="G115" s="67" t="s">
        <v>143</v>
      </c>
      <c r="H115" s="69">
        <v>-0.55000000000000004</v>
      </c>
      <c r="I115" s="53"/>
      <c r="J115" s="53"/>
      <c r="K115" s="53"/>
      <c r="M115" s="53"/>
      <c r="O115" s="53"/>
      <c r="Q115" s="53"/>
      <c r="R115" s="53"/>
      <c r="S115" s="53"/>
      <c r="T115" s="53"/>
    </row>
    <row r="116" spans="6:20" s="66" customFormat="1">
      <c r="F116" s="68" t="s">
        <v>127</v>
      </c>
      <c r="G116" s="67" t="s">
        <v>143</v>
      </c>
      <c r="H116" s="69">
        <v>-0.15</v>
      </c>
      <c r="I116" s="53"/>
      <c r="J116" s="53"/>
      <c r="K116" s="53"/>
      <c r="M116" s="53"/>
      <c r="O116" s="53"/>
      <c r="Q116" s="53"/>
      <c r="R116" s="53"/>
      <c r="S116" s="53"/>
      <c r="T116" s="53"/>
    </row>
    <row r="117" spans="6:20" s="66" customFormat="1">
      <c r="F117" s="68" t="s">
        <v>126</v>
      </c>
      <c r="G117" s="67" t="s">
        <v>143</v>
      </c>
      <c r="H117" s="69">
        <v>-0.55000000000000004</v>
      </c>
      <c r="I117" s="53"/>
      <c r="J117" s="53"/>
      <c r="K117" s="53"/>
      <c r="M117" s="53"/>
      <c r="O117" s="53"/>
      <c r="Q117" s="53"/>
      <c r="R117" s="53"/>
      <c r="S117" s="53"/>
      <c r="T117" s="53"/>
    </row>
    <row r="118" spans="6:20" s="66" customFormat="1">
      <c r="F118" s="68" t="s">
        <v>125</v>
      </c>
      <c r="G118" s="67" t="s">
        <v>143</v>
      </c>
      <c r="H118" s="69">
        <v>-1.1000000000000001</v>
      </c>
      <c r="I118" s="53"/>
      <c r="J118" s="53"/>
      <c r="K118" s="53"/>
      <c r="M118" s="53"/>
      <c r="O118" s="53"/>
      <c r="Q118" s="53"/>
      <c r="R118" s="53"/>
      <c r="S118" s="53"/>
      <c r="T118" s="53"/>
    </row>
    <row r="119" spans="6:20" s="66" customFormat="1">
      <c r="F119" s="68" t="s">
        <v>124</v>
      </c>
      <c r="G119" s="67" t="s">
        <v>143</v>
      </c>
      <c r="H119" s="69">
        <v>-0.7</v>
      </c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</row>
    <row r="120" spans="6:20" s="66" customFormat="1">
      <c r="F120" s="68" t="s">
        <v>123</v>
      </c>
      <c r="G120" s="67" t="s">
        <v>143</v>
      </c>
      <c r="H120" s="69">
        <v>-0.6</v>
      </c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</row>
    <row r="121" spans="6:20" s="66" customFormat="1">
      <c r="F121" s="68" t="s">
        <v>122</v>
      </c>
      <c r="G121" s="67" t="s">
        <v>143</v>
      </c>
      <c r="H121" s="69">
        <v>-1.05</v>
      </c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</row>
    <row r="122" spans="6:20" s="66" customFormat="1">
      <c r="F122" s="68" t="s">
        <v>121</v>
      </c>
      <c r="G122" s="67" t="s">
        <v>143</v>
      </c>
      <c r="H122" s="69">
        <v>-0.75</v>
      </c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</row>
    <row r="123" spans="6:20" s="66" customFormat="1">
      <c r="F123" s="68" t="s">
        <v>120</v>
      </c>
      <c r="G123" s="67" t="s">
        <v>143</v>
      </c>
      <c r="H123" s="69">
        <v>-0.5</v>
      </c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</row>
    <row r="124" spans="6:20" s="66" customFormat="1">
      <c r="F124" s="68" t="s">
        <v>119</v>
      </c>
      <c r="G124" s="67" t="s">
        <v>143</v>
      </c>
      <c r="H124" s="69">
        <v>-1</v>
      </c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</row>
    <row r="125" spans="6:20" s="66" customFormat="1">
      <c r="F125" s="68" t="s">
        <v>119</v>
      </c>
      <c r="G125" s="67" t="s">
        <v>144</v>
      </c>
      <c r="H125" s="69">
        <v>-1</v>
      </c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</row>
    <row r="126" spans="6:20" s="66" customFormat="1">
      <c r="F126" s="68" t="s">
        <v>120</v>
      </c>
      <c r="G126" s="67" t="s">
        <v>144</v>
      </c>
      <c r="H126" s="69">
        <v>-0.5</v>
      </c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</row>
    <row r="127" spans="6:20" s="66" customFormat="1">
      <c r="F127" s="68" t="s">
        <v>121</v>
      </c>
      <c r="G127" s="67" t="s">
        <v>144</v>
      </c>
      <c r="H127" s="69">
        <v>-0.75</v>
      </c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</row>
    <row r="128" spans="6:20" s="66" customFormat="1">
      <c r="F128" s="68" t="s">
        <v>122</v>
      </c>
      <c r="G128" s="67" t="s">
        <v>144</v>
      </c>
      <c r="H128" s="69">
        <v>-1.05</v>
      </c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</row>
    <row r="129" spans="6:20" s="66" customFormat="1">
      <c r="F129" s="68" t="s">
        <v>123</v>
      </c>
      <c r="G129" s="67" t="s">
        <v>144</v>
      </c>
      <c r="H129" s="69">
        <v>-0.6</v>
      </c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</row>
    <row r="130" spans="6:20" s="66" customFormat="1">
      <c r="F130" s="68" t="s">
        <v>124</v>
      </c>
      <c r="G130" s="67" t="s">
        <v>144</v>
      </c>
      <c r="H130" s="69">
        <v>-0.7</v>
      </c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</row>
    <row r="131" spans="6:20" s="66" customFormat="1">
      <c r="F131" s="68" t="s">
        <v>125</v>
      </c>
      <c r="G131" s="67" t="s">
        <v>144</v>
      </c>
      <c r="H131" s="69">
        <v>-1.1000000000000001</v>
      </c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</row>
    <row r="132" spans="6:20" s="66" customFormat="1">
      <c r="F132" s="68" t="s">
        <v>126</v>
      </c>
      <c r="G132" s="67" t="s">
        <v>144</v>
      </c>
      <c r="H132" s="69">
        <v>-0.55000000000000004</v>
      </c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</row>
    <row r="133" spans="6:20" s="66" customFormat="1">
      <c r="F133" s="68" t="s">
        <v>127</v>
      </c>
      <c r="G133" s="67" t="s">
        <v>144</v>
      </c>
      <c r="H133" s="69">
        <v>-0.15</v>
      </c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</row>
    <row r="134" spans="6:20" s="66" customFormat="1">
      <c r="F134" s="68" t="s">
        <v>128</v>
      </c>
      <c r="G134" s="67" t="s">
        <v>144</v>
      </c>
      <c r="H134" s="69">
        <v>-0.55000000000000004</v>
      </c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</row>
    <row r="135" spans="6:20" s="66" customFormat="1">
      <c r="F135" s="68" t="s">
        <v>129</v>
      </c>
      <c r="G135" s="67" t="s">
        <v>144</v>
      </c>
      <c r="H135" s="69">
        <v>-0.25</v>
      </c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</row>
    <row r="136" spans="6:20" s="66" customFormat="1">
      <c r="F136" s="68" t="s">
        <v>130</v>
      </c>
      <c r="G136" s="67" t="s">
        <v>144</v>
      </c>
      <c r="H136" s="69">
        <v>-0.95</v>
      </c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</row>
    <row r="137" spans="6:20" s="66" customFormat="1">
      <c r="F137" s="68" t="s">
        <v>131</v>
      </c>
      <c r="G137" s="67" t="s">
        <v>144</v>
      </c>
      <c r="H137" s="69">
        <v>-0.35</v>
      </c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</row>
    <row r="138" spans="6:20" s="66" customFormat="1">
      <c r="F138" s="68" t="s">
        <v>132</v>
      </c>
      <c r="G138" s="67" t="s">
        <v>144</v>
      </c>
      <c r="H138" s="69">
        <v>-0.95</v>
      </c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</row>
    <row r="139" spans="6:20" s="66" customFormat="1">
      <c r="F139" s="68" t="s">
        <v>133</v>
      </c>
      <c r="G139" s="67" t="s">
        <v>144</v>
      </c>
      <c r="H139" s="69">
        <v>-0.35</v>
      </c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</row>
    <row r="140" spans="6:20" s="66" customFormat="1">
      <c r="F140" s="68" t="s">
        <v>134</v>
      </c>
      <c r="G140" s="67" t="s">
        <v>144</v>
      </c>
      <c r="H140" s="69">
        <v>-1</v>
      </c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</row>
    <row r="141" spans="6:20" s="66" customFormat="1">
      <c r="F141" s="68" t="s">
        <v>135</v>
      </c>
      <c r="G141" s="67" t="s">
        <v>144</v>
      </c>
      <c r="H141" s="69">
        <v>-0.35</v>
      </c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</row>
    <row r="142" spans="6:20" s="66" customFormat="1">
      <c r="F142" s="68" t="s">
        <v>136</v>
      </c>
      <c r="G142" s="67" t="s">
        <v>144</v>
      </c>
      <c r="H142" s="69">
        <v>-0.95</v>
      </c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</row>
    <row r="143" spans="6:20" s="66" customFormat="1">
      <c r="F143" s="68" t="s">
        <v>137</v>
      </c>
      <c r="G143" s="67" t="s">
        <v>144</v>
      </c>
      <c r="H143" s="69">
        <v>-0.5</v>
      </c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</row>
    <row r="144" spans="6:20" s="66" customFormat="1">
      <c r="F144" s="68" t="s">
        <v>138</v>
      </c>
      <c r="G144" s="67" t="s">
        <v>144</v>
      </c>
      <c r="H144" s="69">
        <v>-0.7</v>
      </c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</row>
    <row r="145" spans="1:20" s="66" customFormat="1">
      <c r="F145" s="68" t="s">
        <v>138</v>
      </c>
      <c r="G145" s="67" t="s">
        <v>145</v>
      </c>
      <c r="H145" s="69">
        <v>-0.7</v>
      </c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</row>
    <row r="146" spans="1:20" s="66" customFormat="1">
      <c r="F146" s="68" t="s">
        <v>137</v>
      </c>
      <c r="G146" s="67" t="s">
        <v>145</v>
      </c>
      <c r="H146" s="69">
        <v>-0.5</v>
      </c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</row>
    <row r="147" spans="1:20" s="66" customFormat="1">
      <c r="F147" s="68" t="s">
        <v>136</v>
      </c>
      <c r="G147" s="67" t="s">
        <v>145</v>
      </c>
      <c r="H147" s="69">
        <v>-0.95</v>
      </c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</row>
    <row r="148" spans="1:20" s="66" customFormat="1">
      <c r="F148" s="68" t="s">
        <v>135</v>
      </c>
      <c r="G148" s="67" t="s">
        <v>145</v>
      </c>
      <c r="H148" s="69">
        <v>-0.35</v>
      </c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</row>
    <row r="149" spans="1:20" s="66" customFormat="1">
      <c r="F149" s="68" t="s">
        <v>134</v>
      </c>
      <c r="G149" s="67" t="s">
        <v>145</v>
      </c>
      <c r="H149" s="69">
        <v>-1</v>
      </c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</row>
    <row r="150" spans="1:20" s="66" customFormat="1">
      <c r="F150" s="68" t="s">
        <v>133</v>
      </c>
      <c r="G150" s="67" t="s">
        <v>145</v>
      </c>
      <c r="H150" s="69">
        <v>-0.35</v>
      </c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</row>
    <row r="151" spans="1:20" s="66" customFormat="1">
      <c r="F151" s="68" t="s">
        <v>132</v>
      </c>
      <c r="G151" s="67" t="s">
        <v>145</v>
      </c>
      <c r="H151" s="69">
        <v>-0.95</v>
      </c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</row>
    <row r="152" spans="1:20">
      <c r="A152" s="66"/>
      <c r="B152" s="66"/>
      <c r="C152" s="66"/>
      <c r="D152" s="66"/>
      <c r="E152" s="66"/>
      <c r="F152" s="68" t="s">
        <v>131</v>
      </c>
      <c r="G152" s="67" t="s">
        <v>145</v>
      </c>
      <c r="H152" s="69">
        <v>-0.35</v>
      </c>
    </row>
    <row r="153" spans="1:20">
      <c r="A153" s="66"/>
      <c r="B153" s="66"/>
      <c r="C153" s="66"/>
      <c r="D153" s="66"/>
      <c r="E153" s="66"/>
      <c r="F153" s="68" t="s">
        <v>130</v>
      </c>
      <c r="G153" s="67" t="s">
        <v>145</v>
      </c>
      <c r="H153" s="69">
        <v>-0.95</v>
      </c>
    </row>
    <row r="154" spans="1:20">
      <c r="A154" s="66"/>
      <c r="B154" s="66"/>
      <c r="C154" s="66"/>
      <c r="D154" s="66"/>
      <c r="E154" s="66"/>
      <c r="F154" s="68" t="s">
        <v>129</v>
      </c>
      <c r="G154" s="67" t="s">
        <v>145</v>
      </c>
      <c r="H154" s="69">
        <v>-0.25</v>
      </c>
    </row>
    <row r="155" spans="1:20">
      <c r="A155" s="66"/>
      <c r="B155" s="66"/>
      <c r="C155" s="66"/>
      <c r="D155" s="66"/>
      <c r="E155" s="66"/>
      <c r="F155" s="68" t="s">
        <v>128</v>
      </c>
      <c r="G155" s="67" t="s">
        <v>145</v>
      </c>
      <c r="H155" s="69">
        <v>-0.55000000000000004</v>
      </c>
    </row>
    <row r="156" spans="1:20">
      <c r="A156" s="66"/>
      <c r="B156" s="66"/>
      <c r="C156" s="66"/>
      <c r="D156" s="66"/>
      <c r="E156" s="66"/>
      <c r="F156" s="68" t="s">
        <v>127</v>
      </c>
      <c r="G156" s="67" t="s">
        <v>145</v>
      </c>
      <c r="H156" s="69">
        <v>-0.15</v>
      </c>
    </row>
    <row r="157" spans="1:20">
      <c r="A157" s="66"/>
      <c r="B157" s="66"/>
      <c r="C157" s="66"/>
      <c r="D157" s="66"/>
      <c r="E157" s="66"/>
      <c r="F157" s="68" t="s">
        <v>126</v>
      </c>
      <c r="G157" s="67" t="s">
        <v>145</v>
      </c>
      <c r="H157" s="69">
        <v>-0.55000000000000004</v>
      </c>
    </row>
    <row r="158" spans="1:20">
      <c r="A158" s="66"/>
      <c r="B158" s="66"/>
      <c r="C158" s="66"/>
      <c r="D158" s="66"/>
      <c r="E158" s="66"/>
      <c r="F158" s="68" t="s">
        <v>125</v>
      </c>
      <c r="G158" s="67" t="s">
        <v>145</v>
      </c>
      <c r="H158" s="69">
        <v>-1.1000000000000001</v>
      </c>
    </row>
    <row r="159" spans="1:20">
      <c r="A159" s="66"/>
      <c r="B159" s="66"/>
      <c r="C159" s="66"/>
      <c r="D159" s="66"/>
      <c r="E159" s="66"/>
      <c r="F159" s="68" t="s">
        <v>124</v>
      </c>
      <c r="G159" s="67" t="s">
        <v>145</v>
      </c>
      <c r="H159" s="69">
        <v>-0.7</v>
      </c>
    </row>
    <row r="160" spans="1:20">
      <c r="A160" s="66"/>
      <c r="B160" s="66"/>
      <c r="C160" s="66"/>
      <c r="D160" s="66"/>
      <c r="E160" s="66"/>
      <c r="F160" s="68" t="s">
        <v>123</v>
      </c>
      <c r="G160" s="67" t="s">
        <v>145</v>
      </c>
      <c r="H160" s="69">
        <v>-0.6</v>
      </c>
    </row>
    <row r="161" spans="1:8">
      <c r="A161" s="66"/>
      <c r="B161" s="66"/>
      <c r="C161" s="66"/>
      <c r="D161" s="66"/>
      <c r="E161" s="66"/>
      <c r="F161" s="68" t="s">
        <v>122</v>
      </c>
      <c r="G161" s="67" t="s">
        <v>145</v>
      </c>
      <c r="H161" s="69">
        <v>-1.05</v>
      </c>
    </row>
    <row r="162" spans="1:8">
      <c r="A162" s="66"/>
      <c r="B162" s="66"/>
      <c r="C162" s="66"/>
      <c r="D162" s="66"/>
      <c r="E162" s="66"/>
      <c r="F162" s="68" t="s">
        <v>121</v>
      </c>
      <c r="G162" s="67" t="s">
        <v>145</v>
      </c>
      <c r="H162" s="69">
        <v>-0.75</v>
      </c>
    </row>
    <row r="163" spans="1:8">
      <c r="A163" s="66"/>
      <c r="B163" s="66"/>
      <c r="C163" s="66"/>
      <c r="D163" s="66"/>
      <c r="E163" s="66"/>
      <c r="F163" s="68" t="s">
        <v>120</v>
      </c>
      <c r="G163" s="67" t="s">
        <v>145</v>
      </c>
      <c r="H163" s="69">
        <v>-0.5</v>
      </c>
    </row>
    <row r="164" spans="1:8">
      <c r="A164" s="66"/>
      <c r="B164" s="66"/>
      <c r="C164" s="66"/>
      <c r="D164" s="66"/>
      <c r="E164" s="66"/>
      <c r="F164" s="68" t="s">
        <v>119</v>
      </c>
      <c r="G164" s="67" t="s">
        <v>145</v>
      </c>
      <c r="H164" s="69">
        <v>-1</v>
      </c>
    </row>
    <row r="165" spans="1:8">
      <c r="A165" s="66"/>
      <c r="B165" s="66"/>
      <c r="C165" s="66"/>
      <c r="D165" s="66"/>
      <c r="F165" s="68" t="s">
        <v>119</v>
      </c>
      <c r="G165" s="67" t="s">
        <v>146</v>
      </c>
      <c r="H165" s="69">
        <v>-1</v>
      </c>
    </row>
    <row r="166" spans="1:8">
      <c r="A166" s="66"/>
      <c r="B166" s="66"/>
      <c r="C166" s="66"/>
      <c r="D166" s="66"/>
      <c r="F166" s="68" t="s">
        <v>120</v>
      </c>
      <c r="G166" s="67" t="s">
        <v>146</v>
      </c>
      <c r="H166" s="69">
        <v>-0.5</v>
      </c>
    </row>
    <row r="167" spans="1:8">
      <c r="A167" s="66"/>
      <c r="B167" s="66"/>
      <c r="C167" s="66"/>
      <c r="D167" s="66"/>
      <c r="F167" s="68" t="s">
        <v>121</v>
      </c>
      <c r="G167" s="67" t="s">
        <v>146</v>
      </c>
      <c r="H167" s="69">
        <v>-0.75</v>
      </c>
    </row>
    <row r="168" spans="1:8">
      <c r="A168" s="66"/>
      <c r="B168" s="66"/>
      <c r="C168" s="66"/>
      <c r="D168" s="66"/>
      <c r="F168" s="68" t="s">
        <v>122</v>
      </c>
      <c r="G168" s="67" t="s">
        <v>146</v>
      </c>
      <c r="H168" s="69">
        <v>-1.05</v>
      </c>
    </row>
    <row r="169" spans="1:8">
      <c r="A169" s="66"/>
      <c r="B169" s="66"/>
      <c r="C169" s="66"/>
      <c r="D169" s="66"/>
      <c r="F169" s="68" t="s">
        <v>123</v>
      </c>
      <c r="G169" s="67" t="s">
        <v>146</v>
      </c>
      <c r="H169" s="69">
        <v>-0.6</v>
      </c>
    </row>
    <row r="170" spans="1:8">
      <c r="A170" s="66"/>
      <c r="B170" s="66"/>
      <c r="C170" s="66"/>
      <c r="D170" s="66"/>
      <c r="F170" s="68" t="s">
        <v>124</v>
      </c>
      <c r="G170" s="67" t="s">
        <v>146</v>
      </c>
      <c r="H170" s="69">
        <v>-0.7</v>
      </c>
    </row>
    <row r="171" spans="1:8">
      <c r="A171" s="66"/>
      <c r="B171" s="66"/>
      <c r="C171" s="66"/>
      <c r="D171" s="66"/>
      <c r="F171" s="68" t="s">
        <v>125</v>
      </c>
      <c r="G171" s="67" t="s">
        <v>146</v>
      </c>
      <c r="H171" s="69">
        <v>-1.1000000000000001</v>
      </c>
    </row>
    <row r="172" spans="1:8">
      <c r="A172" s="66"/>
      <c r="B172" s="66"/>
      <c r="C172" s="66"/>
      <c r="D172" s="66"/>
      <c r="F172" s="68" t="s">
        <v>126</v>
      </c>
      <c r="G172" s="67" t="s">
        <v>146</v>
      </c>
      <c r="H172" s="69">
        <v>-0.55000000000000004</v>
      </c>
    </row>
    <row r="173" spans="1:8">
      <c r="A173" s="66"/>
      <c r="B173" s="66"/>
      <c r="C173" s="66"/>
      <c r="D173" s="66"/>
      <c r="F173" s="68" t="s">
        <v>127</v>
      </c>
      <c r="G173" s="67" t="s">
        <v>146</v>
      </c>
      <c r="H173" s="69">
        <v>-0.15</v>
      </c>
    </row>
    <row r="174" spans="1:8">
      <c r="A174" s="66"/>
      <c r="B174" s="66"/>
      <c r="C174" s="66"/>
      <c r="D174" s="66"/>
      <c r="F174" s="68" t="s">
        <v>128</v>
      </c>
      <c r="G174" s="67" t="s">
        <v>146</v>
      </c>
      <c r="H174" s="69">
        <v>-0.55000000000000004</v>
      </c>
    </row>
    <row r="175" spans="1:8">
      <c r="A175" s="66"/>
      <c r="B175" s="66"/>
      <c r="C175" s="66"/>
      <c r="D175" s="66"/>
      <c r="F175" s="68" t="s">
        <v>129</v>
      </c>
      <c r="G175" s="67" t="s">
        <v>146</v>
      </c>
      <c r="H175" s="69">
        <v>-0.25</v>
      </c>
    </row>
    <row r="176" spans="1:8">
      <c r="F176" s="68" t="s">
        <v>130</v>
      </c>
      <c r="G176" s="67" t="s">
        <v>146</v>
      </c>
      <c r="H176" s="69">
        <v>-0.95</v>
      </c>
    </row>
    <row r="177" spans="6:8">
      <c r="F177" s="68" t="s">
        <v>131</v>
      </c>
      <c r="G177" s="67" t="s">
        <v>146</v>
      </c>
      <c r="H177" s="69">
        <v>-0.35</v>
      </c>
    </row>
    <row r="178" spans="6:8">
      <c r="F178" s="68" t="s">
        <v>132</v>
      </c>
      <c r="G178" s="67" t="s">
        <v>146</v>
      </c>
      <c r="H178" s="69">
        <v>-0.95</v>
      </c>
    </row>
    <row r="179" spans="6:8">
      <c r="F179" s="68" t="s">
        <v>133</v>
      </c>
      <c r="G179" s="67" t="s">
        <v>146</v>
      </c>
      <c r="H179" s="69">
        <v>-0.35</v>
      </c>
    </row>
    <row r="180" spans="6:8">
      <c r="F180" s="68" t="s">
        <v>134</v>
      </c>
      <c r="G180" s="67" t="s">
        <v>146</v>
      </c>
      <c r="H180" s="69">
        <v>-1</v>
      </c>
    </row>
    <row r="181" spans="6:8">
      <c r="F181" s="68" t="s">
        <v>135</v>
      </c>
      <c r="G181" s="67" t="s">
        <v>146</v>
      </c>
      <c r="H181" s="69">
        <v>-0.35</v>
      </c>
    </row>
    <row r="182" spans="6:8">
      <c r="F182" s="68" t="s">
        <v>136</v>
      </c>
      <c r="G182" s="67" t="s">
        <v>146</v>
      </c>
      <c r="H182" s="69">
        <v>-0.95</v>
      </c>
    </row>
    <row r="183" spans="6:8">
      <c r="F183" s="68" t="s">
        <v>137</v>
      </c>
      <c r="G183" s="67" t="s">
        <v>146</v>
      </c>
      <c r="H183" s="69">
        <v>-0.5</v>
      </c>
    </row>
    <row r="184" spans="6:8">
      <c r="F184" s="68" t="s">
        <v>138</v>
      </c>
      <c r="G184" s="67" t="s">
        <v>146</v>
      </c>
      <c r="H184" s="69">
        <v>-0.7</v>
      </c>
    </row>
    <row r="185" spans="6:8">
      <c r="F185" s="68" t="s">
        <v>138</v>
      </c>
      <c r="G185" s="67" t="s">
        <v>147</v>
      </c>
      <c r="H185" s="69">
        <v>-0.7</v>
      </c>
    </row>
    <row r="186" spans="6:8">
      <c r="F186" s="68" t="s">
        <v>137</v>
      </c>
      <c r="G186" s="67" t="s">
        <v>147</v>
      </c>
      <c r="H186" s="69">
        <v>-0.5</v>
      </c>
    </row>
    <row r="187" spans="6:8">
      <c r="F187" s="68" t="s">
        <v>136</v>
      </c>
      <c r="G187" s="67" t="s">
        <v>147</v>
      </c>
      <c r="H187" s="69">
        <v>-0.95</v>
      </c>
    </row>
    <row r="188" spans="6:8">
      <c r="F188" s="68" t="s">
        <v>135</v>
      </c>
      <c r="G188" s="67" t="s">
        <v>147</v>
      </c>
      <c r="H188" s="69">
        <v>-0.35</v>
      </c>
    </row>
    <row r="189" spans="6:8">
      <c r="F189" s="68" t="s">
        <v>134</v>
      </c>
      <c r="G189" s="67" t="s">
        <v>147</v>
      </c>
      <c r="H189" s="69">
        <v>-1</v>
      </c>
    </row>
    <row r="190" spans="6:8">
      <c r="F190" s="68" t="s">
        <v>133</v>
      </c>
      <c r="G190" s="67" t="s">
        <v>147</v>
      </c>
      <c r="H190" s="69">
        <v>-0.35</v>
      </c>
    </row>
    <row r="191" spans="6:8">
      <c r="F191" s="68" t="s">
        <v>132</v>
      </c>
      <c r="G191" s="67" t="s">
        <v>147</v>
      </c>
      <c r="H191" s="69">
        <v>-0.95</v>
      </c>
    </row>
    <row r="192" spans="6:8">
      <c r="F192" s="68" t="s">
        <v>131</v>
      </c>
      <c r="G192" s="67" t="s">
        <v>147</v>
      </c>
      <c r="H192" s="69">
        <v>-0.35</v>
      </c>
    </row>
    <row r="193" spans="6:8">
      <c r="F193" s="68" t="s">
        <v>130</v>
      </c>
      <c r="G193" s="67" t="s">
        <v>147</v>
      </c>
      <c r="H193" s="69">
        <v>-0.95</v>
      </c>
    </row>
    <row r="194" spans="6:8">
      <c r="F194" s="68" t="s">
        <v>129</v>
      </c>
      <c r="G194" s="67" t="s">
        <v>147</v>
      </c>
      <c r="H194" s="69">
        <v>-0.25</v>
      </c>
    </row>
    <row r="195" spans="6:8">
      <c r="F195" s="68" t="s">
        <v>128</v>
      </c>
      <c r="G195" s="67" t="s">
        <v>147</v>
      </c>
      <c r="H195" s="69">
        <v>-0.55000000000000004</v>
      </c>
    </row>
    <row r="196" spans="6:8">
      <c r="F196" s="68" t="s">
        <v>127</v>
      </c>
      <c r="G196" s="67" t="s">
        <v>147</v>
      </c>
      <c r="H196" s="69">
        <v>-0.15</v>
      </c>
    </row>
    <row r="197" spans="6:8">
      <c r="F197" s="68" t="s">
        <v>126</v>
      </c>
      <c r="G197" s="67" t="s">
        <v>147</v>
      </c>
      <c r="H197" s="69">
        <v>-0.55000000000000004</v>
      </c>
    </row>
    <row r="198" spans="6:8">
      <c r="F198" s="68" t="s">
        <v>125</v>
      </c>
      <c r="G198" s="67" t="s">
        <v>147</v>
      </c>
      <c r="H198" s="69">
        <v>-1.1000000000000001</v>
      </c>
    </row>
    <row r="199" spans="6:8">
      <c r="F199" s="68" t="s">
        <v>124</v>
      </c>
      <c r="G199" s="67" t="s">
        <v>147</v>
      </c>
      <c r="H199" s="69">
        <v>-0.7</v>
      </c>
    </row>
    <row r="200" spans="6:8">
      <c r="F200" s="68" t="s">
        <v>123</v>
      </c>
      <c r="G200" s="67" t="s">
        <v>147</v>
      </c>
      <c r="H200" s="69">
        <v>-0.6</v>
      </c>
    </row>
    <row r="201" spans="6:8">
      <c r="F201" s="68" t="s">
        <v>122</v>
      </c>
      <c r="G201" s="67" t="s">
        <v>147</v>
      </c>
      <c r="H201" s="69">
        <v>-1.05</v>
      </c>
    </row>
    <row r="202" spans="6:8">
      <c r="F202" s="68" t="s">
        <v>121</v>
      </c>
      <c r="G202" s="67" t="s">
        <v>147</v>
      </c>
      <c r="H202" s="69">
        <v>-0.75</v>
      </c>
    </row>
    <row r="203" spans="6:8">
      <c r="F203" s="68" t="s">
        <v>120</v>
      </c>
      <c r="G203" s="67" t="s">
        <v>147</v>
      </c>
      <c r="H203" s="69">
        <v>-0.5</v>
      </c>
    </row>
    <row r="204" spans="6:8">
      <c r="F204" s="68" t="s">
        <v>119</v>
      </c>
      <c r="G204" s="67" t="s">
        <v>147</v>
      </c>
      <c r="H204" s="69">
        <v>-1</v>
      </c>
    </row>
    <row r="205" spans="6:8">
      <c r="F205" s="68" t="s">
        <v>119</v>
      </c>
      <c r="G205" s="67" t="s">
        <v>148</v>
      </c>
      <c r="H205" s="69">
        <v>-1</v>
      </c>
    </row>
    <row r="206" spans="6:8">
      <c r="F206" s="68" t="s">
        <v>120</v>
      </c>
      <c r="G206" s="67" t="s">
        <v>148</v>
      </c>
      <c r="H206" s="69">
        <v>-0.5</v>
      </c>
    </row>
    <row r="207" spans="6:8">
      <c r="F207" s="68" t="s">
        <v>121</v>
      </c>
      <c r="G207" s="67" t="s">
        <v>148</v>
      </c>
      <c r="H207" s="69">
        <v>-0.75</v>
      </c>
    </row>
    <row r="208" spans="6:8">
      <c r="F208" s="68" t="s">
        <v>122</v>
      </c>
      <c r="G208" s="67" t="s">
        <v>148</v>
      </c>
      <c r="H208" s="69">
        <v>-1.05</v>
      </c>
    </row>
    <row r="209" spans="6:8">
      <c r="F209" s="68" t="s">
        <v>123</v>
      </c>
      <c r="G209" s="67" t="s">
        <v>148</v>
      </c>
      <c r="H209" s="69">
        <v>-0.6</v>
      </c>
    </row>
    <row r="210" spans="6:8">
      <c r="F210" s="68" t="s">
        <v>124</v>
      </c>
      <c r="G210" s="67" t="s">
        <v>148</v>
      </c>
      <c r="H210" s="69">
        <v>-0.7</v>
      </c>
    </row>
    <row r="211" spans="6:8">
      <c r="F211" s="68" t="s">
        <v>125</v>
      </c>
      <c r="G211" s="67" t="s">
        <v>148</v>
      </c>
      <c r="H211" s="69">
        <v>-1.1000000000000001</v>
      </c>
    </row>
    <row r="212" spans="6:8">
      <c r="F212" s="68" t="s">
        <v>126</v>
      </c>
      <c r="G212" s="67" t="s">
        <v>148</v>
      </c>
      <c r="H212" s="69">
        <v>-0.55000000000000004</v>
      </c>
    </row>
    <row r="213" spans="6:8">
      <c r="F213" s="68" t="s">
        <v>127</v>
      </c>
      <c r="G213" s="67" t="s">
        <v>148</v>
      </c>
      <c r="H213" s="69">
        <v>-0.15</v>
      </c>
    </row>
    <row r="214" spans="6:8">
      <c r="F214" s="68" t="s">
        <v>128</v>
      </c>
      <c r="G214" s="67" t="s">
        <v>148</v>
      </c>
      <c r="H214" s="69">
        <v>-0.55000000000000004</v>
      </c>
    </row>
    <row r="215" spans="6:8">
      <c r="F215" s="68" t="s">
        <v>129</v>
      </c>
      <c r="G215" s="67" t="s">
        <v>148</v>
      </c>
      <c r="H215" s="69">
        <v>-0.25</v>
      </c>
    </row>
    <row r="216" spans="6:8">
      <c r="F216" s="68" t="s">
        <v>130</v>
      </c>
      <c r="G216" s="67" t="s">
        <v>148</v>
      </c>
      <c r="H216" s="69">
        <v>-0.95</v>
      </c>
    </row>
    <row r="217" spans="6:8">
      <c r="F217" s="68" t="s">
        <v>131</v>
      </c>
      <c r="G217" s="67" t="s">
        <v>148</v>
      </c>
      <c r="H217" s="69">
        <v>-0.35</v>
      </c>
    </row>
    <row r="218" spans="6:8">
      <c r="F218" s="68" t="s">
        <v>132</v>
      </c>
      <c r="G218" s="67" t="s">
        <v>148</v>
      </c>
      <c r="H218" s="69">
        <v>-0.95</v>
      </c>
    </row>
    <row r="219" spans="6:8">
      <c r="F219" s="68" t="s">
        <v>133</v>
      </c>
      <c r="G219" s="67" t="s">
        <v>148</v>
      </c>
      <c r="H219" s="69">
        <v>-0.35</v>
      </c>
    </row>
    <row r="220" spans="6:8">
      <c r="F220" s="68" t="s">
        <v>134</v>
      </c>
      <c r="G220" s="67" t="s">
        <v>148</v>
      </c>
      <c r="H220" s="69">
        <v>-1</v>
      </c>
    </row>
    <row r="221" spans="6:8">
      <c r="F221" s="68" t="s">
        <v>135</v>
      </c>
      <c r="G221" s="67" t="s">
        <v>148</v>
      </c>
      <c r="H221" s="69">
        <v>-0.35</v>
      </c>
    </row>
    <row r="222" spans="6:8">
      <c r="F222" s="68" t="s">
        <v>136</v>
      </c>
      <c r="G222" s="67" t="s">
        <v>148</v>
      </c>
      <c r="H222" s="69">
        <v>-0.95</v>
      </c>
    </row>
    <row r="223" spans="6:8">
      <c r="F223" s="68" t="s">
        <v>137</v>
      </c>
      <c r="G223" s="67" t="s">
        <v>148</v>
      </c>
      <c r="H223" s="69">
        <v>-0.5</v>
      </c>
    </row>
    <row r="224" spans="6:8">
      <c r="F224" s="68" t="s">
        <v>138</v>
      </c>
      <c r="G224" s="67" t="s">
        <v>148</v>
      </c>
      <c r="H224" s="69">
        <v>-0.7</v>
      </c>
    </row>
    <row r="225" spans="6:8">
      <c r="F225" s="68" t="s">
        <v>138</v>
      </c>
      <c r="G225" s="67" t="s">
        <v>149</v>
      </c>
      <c r="H225" s="69">
        <v>-0.7</v>
      </c>
    </row>
    <row r="226" spans="6:8">
      <c r="F226" s="68" t="s">
        <v>137</v>
      </c>
      <c r="G226" s="67" t="s">
        <v>149</v>
      </c>
      <c r="H226" s="69">
        <v>-0.5</v>
      </c>
    </row>
    <row r="227" spans="6:8">
      <c r="F227" s="68" t="s">
        <v>136</v>
      </c>
      <c r="G227" s="67" t="s">
        <v>149</v>
      </c>
      <c r="H227" s="69">
        <v>-0.95</v>
      </c>
    </row>
    <row r="228" spans="6:8">
      <c r="F228" s="68" t="s">
        <v>135</v>
      </c>
      <c r="G228" s="67" t="s">
        <v>149</v>
      </c>
      <c r="H228" s="69">
        <v>-0.35</v>
      </c>
    </row>
    <row r="229" spans="6:8">
      <c r="F229" s="68" t="s">
        <v>134</v>
      </c>
      <c r="G229" s="67" t="s">
        <v>149</v>
      </c>
      <c r="H229" s="69">
        <v>-1</v>
      </c>
    </row>
    <row r="230" spans="6:8">
      <c r="F230" s="68" t="s">
        <v>133</v>
      </c>
      <c r="G230" s="67" t="s">
        <v>149</v>
      </c>
      <c r="H230" s="69">
        <v>-0.35</v>
      </c>
    </row>
    <row r="231" spans="6:8">
      <c r="F231" s="68" t="s">
        <v>132</v>
      </c>
      <c r="G231" s="67" t="s">
        <v>149</v>
      </c>
      <c r="H231" s="69">
        <v>-0.95</v>
      </c>
    </row>
    <row r="232" spans="6:8">
      <c r="F232" s="68" t="s">
        <v>131</v>
      </c>
      <c r="G232" s="67" t="s">
        <v>149</v>
      </c>
      <c r="H232" s="69">
        <v>-0.35</v>
      </c>
    </row>
    <row r="233" spans="6:8">
      <c r="F233" s="68" t="s">
        <v>130</v>
      </c>
      <c r="G233" s="67" t="s">
        <v>149</v>
      </c>
      <c r="H233" s="69">
        <v>-0.95</v>
      </c>
    </row>
    <row r="234" spans="6:8">
      <c r="F234" s="68" t="s">
        <v>129</v>
      </c>
      <c r="G234" s="67" t="s">
        <v>149</v>
      </c>
      <c r="H234" s="69">
        <v>-0.25</v>
      </c>
    </row>
    <row r="235" spans="6:8">
      <c r="F235" s="68" t="s">
        <v>128</v>
      </c>
      <c r="G235" s="67" t="s">
        <v>149</v>
      </c>
      <c r="H235" s="69">
        <v>-0.55000000000000004</v>
      </c>
    </row>
    <row r="236" spans="6:8">
      <c r="F236" s="68" t="s">
        <v>127</v>
      </c>
      <c r="G236" s="67" t="s">
        <v>149</v>
      </c>
      <c r="H236" s="69">
        <v>-0.15</v>
      </c>
    </row>
    <row r="237" spans="6:8">
      <c r="F237" s="68" t="s">
        <v>126</v>
      </c>
      <c r="G237" s="67" t="s">
        <v>149</v>
      </c>
      <c r="H237" s="69">
        <v>-0.55000000000000004</v>
      </c>
    </row>
    <row r="238" spans="6:8">
      <c r="F238" s="68" t="s">
        <v>125</v>
      </c>
      <c r="G238" s="67" t="s">
        <v>149</v>
      </c>
      <c r="H238" s="69">
        <v>-1.1000000000000001</v>
      </c>
    </row>
    <row r="239" spans="6:8">
      <c r="F239" s="68" t="s">
        <v>124</v>
      </c>
      <c r="G239" s="67" t="s">
        <v>149</v>
      </c>
      <c r="H239" s="69">
        <v>-0.7</v>
      </c>
    </row>
    <row r="240" spans="6:8">
      <c r="F240" s="68" t="s">
        <v>123</v>
      </c>
      <c r="G240" s="67" t="s">
        <v>149</v>
      </c>
      <c r="H240" s="69">
        <v>-0.6</v>
      </c>
    </row>
    <row r="241" spans="6:8">
      <c r="F241" s="68" t="s">
        <v>122</v>
      </c>
      <c r="G241" s="67" t="s">
        <v>149</v>
      </c>
      <c r="H241" s="69">
        <v>-1.05</v>
      </c>
    </row>
    <row r="242" spans="6:8">
      <c r="F242" s="68" t="s">
        <v>121</v>
      </c>
      <c r="G242" s="67" t="s">
        <v>149</v>
      </c>
      <c r="H242" s="69">
        <v>-0.75</v>
      </c>
    </row>
    <row r="243" spans="6:8">
      <c r="F243" s="68" t="s">
        <v>120</v>
      </c>
      <c r="G243" s="67" t="s">
        <v>149</v>
      </c>
      <c r="H243" s="69">
        <v>-0.5</v>
      </c>
    </row>
    <row r="244" spans="6:8">
      <c r="F244" s="68" t="s">
        <v>119</v>
      </c>
      <c r="G244" s="67" t="s">
        <v>149</v>
      </c>
      <c r="H244" s="69">
        <v>-1</v>
      </c>
    </row>
    <row r="245" spans="6:8">
      <c r="F245" s="68" t="s">
        <v>119</v>
      </c>
      <c r="G245" s="67" t="s">
        <v>150</v>
      </c>
      <c r="H245" s="69">
        <v>-1</v>
      </c>
    </row>
    <row r="246" spans="6:8">
      <c r="F246" s="68" t="s">
        <v>120</v>
      </c>
      <c r="G246" s="67" t="s">
        <v>150</v>
      </c>
      <c r="H246" s="69">
        <v>-0.5</v>
      </c>
    </row>
    <row r="247" spans="6:8">
      <c r="F247" s="68" t="s">
        <v>121</v>
      </c>
      <c r="G247" s="67" t="s">
        <v>150</v>
      </c>
      <c r="H247" s="69">
        <v>-0.75</v>
      </c>
    </row>
    <row r="248" spans="6:8">
      <c r="F248" s="68" t="s">
        <v>122</v>
      </c>
      <c r="G248" s="67" t="s">
        <v>150</v>
      </c>
      <c r="H248" s="69">
        <v>-1.05</v>
      </c>
    </row>
    <row r="249" spans="6:8">
      <c r="F249" s="68" t="s">
        <v>123</v>
      </c>
      <c r="G249" s="67" t="s">
        <v>150</v>
      </c>
      <c r="H249" s="69">
        <v>-0.6</v>
      </c>
    </row>
    <row r="250" spans="6:8">
      <c r="F250" s="68" t="s">
        <v>124</v>
      </c>
      <c r="G250" s="67" t="s">
        <v>150</v>
      </c>
      <c r="H250" s="69">
        <v>-0.7</v>
      </c>
    </row>
    <row r="251" spans="6:8">
      <c r="F251" s="68" t="s">
        <v>125</v>
      </c>
      <c r="G251" s="67" t="s">
        <v>150</v>
      </c>
      <c r="H251" s="69">
        <v>-1.1000000000000001</v>
      </c>
    </row>
    <row r="252" spans="6:8">
      <c r="F252" s="68" t="s">
        <v>126</v>
      </c>
      <c r="G252" s="67" t="s">
        <v>150</v>
      </c>
      <c r="H252" s="69">
        <v>-0.55000000000000004</v>
      </c>
    </row>
    <row r="253" spans="6:8">
      <c r="F253" s="68" t="s">
        <v>127</v>
      </c>
      <c r="G253" s="67" t="s">
        <v>150</v>
      </c>
      <c r="H253" s="69">
        <v>-0.15</v>
      </c>
    </row>
    <row r="254" spans="6:8">
      <c r="F254" s="68" t="s">
        <v>128</v>
      </c>
      <c r="G254" s="67" t="s">
        <v>150</v>
      </c>
      <c r="H254" s="69">
        <v>-0.55000000000000004</v>
      </c>
    </row>
    <row r="255" spans="6:8">
      <c r="F255" s="68" t="s">
        <v>129</v>
      </c>
      <c r="G255" s="67" t="s">
        <v>150</v>
      </c>
      <c r="H255" s="69">
        <v>-0.25</v>
      </c>
    </row>
    <row r="256" spans="6:8">
      <c r="F256" s="68" t="s">
        <v>130</v>
      </c>
      <c r="G256" s="67" t="s">
        <v>150</v>
      </c>
      <c r="H256" s="69">
        <v>-0.95</v>
      </c>
    </row>
    <row r="257" spans="6:8">
      <c r="F257" s="68" t="s">
        <v>131</v>
      </c>
      <c r="G257" s="67" t="s">
        <v>150</v>
      </c>
      <c r="H257" s="69">
        <v>-0.35</v>
      </c>
    </row>
    <row r="258" spans="6:8">
      <c r="F258" s="68" t="s">
        <v>132</v>
      </c>
      <c r="G258" s="67" t="s">
        <v>150</v>
      </c>
      <c r="H258" s="69">
        <v>-0.95</v>
      </c>
    </row>
    <row r="259" spans="6:8">
      <c r="F259" s="68" t="s">
        <v>133</v>
      </c>
      <c r="G259" s="67" t="s">
        <v>150</v>
      </c>
      <c r="H259" s="69">
        <v>-0.35</v>
      </c>
    </row>
    <row r="260" spans="6:8">
      <c r="F260" s="68" t="s">
        <v>134</v>
      </c>
      <c r="G260" s="67" t="s">
        <v>150</v>
      </c>
      <c r="H260" s="69">
        <v>-1</v>
      </c>
    </row>
    <row r="261" spans="6:8">
      <c r="F261" s="68" t="s">
        <v>135</v>
      </c>
      <c r="G261" s="67" t="s">
        <v>150</v>
      </c>
      <c r="H261" s="69">
        <v>-0.35</v>
      </c>
    </row>
    <row r="262" spans="6:8">
      <c r="F262" s="68" t="s">
        <v>136</v>
      </c>
      <c r="G262" s="67" t="s">
        <v>150</v>
      </c>
      <c r="H262" s="69">
        <v>-0.95</v>
      </c>
    </row>
    <row r="263" spans="6:8">
      <c r="F263" s="68" t="s">
        <v>137</v>
      </c>
      <c r="G263" s="67" t="s">
        <v>150</v>
      </c>
      <c r="H263" s="69">
        <v>-0.5</v>
      </c>
    </row>
    <row r="264" spans="6:8">
      <c r="F264" s="68" t="s">
        <v>138</v>
      </c>
      <c r="G264" s="67" t="s">
        <v>150</v>
      </c>
      <c r="H264" s="69">
        <v>-0.7</v>
      </c>
    </row>
    <row r="265" spans="6:8">
      <c r="F265" s="68" t="s">
        <v>138</v>
      </c>
      <c r="G265" s="67" t="s">
        <v>151</v>
      </c>
      <c r="H265" s="69">
        <v>-0.7</v>
      </c>
    </row>
    <row r="266" spans="6:8">
      <c r="F266" s="68" t="s">
        <v>137</v>
      </c>
      <c r="G266" s="67" t="s">
        <v>151</v>
      </c>
      <c r="H266" s="69">
        <v>-0.5</v>
      </c>
    </row>
    <row r="267" spans="6:8">
      <c r="F267" s="68" t="s">
        <v>136</v>
      </c>
      <c r="G267" s="67" t="s">
        <v>151</v>
      </c>
      <c r="H267" s="69">
        <v>-0.95</v>
      </c>
    </row>
    <row r="268" spans="6:8">
      <c r="F268" s="68" t="s">
        <v>135</v>
      </c>
      <c r="G268" s="67" t="s">
        <v>151</v>
      </c>
      <c r="H268" s="69">
        <v>-0.35</v>
      </c>
    </row>
    <row r="269" spans="6:8">
      <c r="F269" s="68" t="s">
        <v>134</v>
      </c>
      <c r="G269" s="67" t="s">
        <v>151</v>
      </c>
      <c r="H269" s="69">
        <v>-1</v>
      </c>
    </row>
    <row r="270" spans="6:8">
      <c r="F270" s="68" t="s">
        <v>133</v>
      </c>
      <c r="G270" s="67" t="s">
        <v>151</v>
      </c>
      <c r="H270" s="69">
        <v>-0.35</v>
      </c>
    </row>
    <row r="271" spans="6:8">
      <c r="F271" s="68" t="s">
        <v>132</v>
      </c>
      <c r="G271" s="67" t="s">
        <v>151</v>
      </c>
      <c r="H271" s="69">
        <v>-0.95</v>
      </c>
    </row>
    <row r="272" spans="6:8">
      <c r="F272" s="68" t="s">
        <v>131</v>
      </c>
      <c r="G272" s="67" t="s">
        <v>151</v>
      </c>
      <c r="H272" s="69">
        <v>-0.35</v>
      </c>
    </row>
    <row r="273" spans="6:8">
      <c r="F273" s="68" t="s">
        <v>130</v>
      </c>
      <c r="G273" s="67" t="s">
        <v>151</v>
      </c>
      <c r="H273" s="69">
        <v>-0.95</v>
      </c>
    </row>
    <row r="274" spans="6:8">
      <c r="F274" s="68" t="s">
        <v>129</v>
      </c>
      <c r="G274" s="67" t="s">
        <v>151</v>
      </c>
      <c r="H274" s="69">
        <v>-0.25</v>
      </c>
    </row>
    <row r="275" spans="6:8">
      <c r="F275" s="68" t="s">
        <v>128</v>
      </c>
      <c r="G275" s="67" t="s">
        <v>151</v>
      </c>
      <c r="H275" s="69">
        <v>-0.55000000000000004</v>
      </c>
    </row>
    <row r="276" spans="6:8">
      <c r="F276" s="68" t="s">
        <v>127</v>
      </c>
      <c r="G276" s="67" t="s">
        <v>151</v>
      </c>
      <c r="H276" s="69">
        <v>-0.15</v>
      </c>
    </row>
    <row r="277" spans="6:8">
      <c r="F277" s="68" t="s">
        <v>126</v>
      </c>
      <c r="G277" s="67" t="s">
        <v>151</v>
      </c>
      <c r="H277" s="69">
        <v>-0.55000000000000004</v>
      </c>
    </row>
    <row r="278" spans="6:8">
      <c r="F278" s="68" t="s">
        <v>125</v>
      </c>
      <c r="G278" s="67" t="s">
        <v>151</v>
      </c>
      <c r="H278" s="69">
        <v>-1.1000000000000001</v>
      </c>
    </row>
    <row r="279" spans="6:8">
      <c r="F279" s="68" t="s">
        <v>124</v>
      </c>
      <c r="G279" s="67" t="s">
        <v>151</v>
      </c>
      <c r="H279" s="69">
        <v>-0.7</v>
      </c>
    </row>
    <row r="280" spans="6:8">
      <c r="F280" s="68" t="s">
        <v>123</v>
      </c>
      <c r="G280" s="67" t="s">
        <v>151</v>
      </c>
      <c r="H280" s="69">
        <v>-0.6</v>
      </c>
    </row>
    <row r="281" spans="6:8">
      <c r="F281" s="68" t="s">
        <v>122</v>
      </c>
      <c r="G281" s="67" t="s">
        <v>151</v>
      </c>
      <c r="H281" s="69">
        <v>-1.05</v>
      </c>
    </row>
    <row r="282" spans="6:8">
      <c r="F282" s="68" t="s">
        <v>121</v>
      </c>
      <c r="G282" s="67" t="s">
        <v>151</v>
      </c>
      <c r="H282" s="69">
        <v>-0.75</v>
      </c>
    </row>
    <row r="283" spans="6:8">
      <c r="F283" s="68" t="s">
        <v>120</v>
      </c>
      <c r="G283" s="67" t="s">
        <v>151</v>
      </c>
      <c r="H283" s="69">
        <v>-0.5</v>
      </c>
    </row>
    <row r="284" spans="6:8">
      <c r="F284" s="68" t="s">
        <v>119</v>
      </c>
      <c r="G284" s="67" t="s">
        <v>151</v>
      </c>
      <c r="H284" s="69">
        <v>-1</v>
      </c>
    </row>
    <row r="285" spans="6:8">
      <c r="F285" s="68" t="s">
        <v>119</v>
      </c>
      <c r="G285" s="67" t="s">
        <v>152</v>
      </c>
      <c r="H285" s="69">
        <v>-1</v>
      </c>
    </row>
    <row r="286" spans="6:8">
      <c r="F286" s="68" t="s">
        <v>120</v>
      </c>
      <c r="G286" s="67" t="s">
        <v>152</v>
      </c>
      <c r="H286" s="69">
        <v>-0.5</v>
      </c>
    </row>
    <row r="287" spans="6:8">
      <c r="F287" s="68" t="s">
        <v>121</v>
      </c>
      <c r="G287" s="67" t="s">
        <v>152</v>
      </c>
      <c r="H287" s="69">
        <v>-0.75</v>
      </c>
    </row>
    <row r="288" spans="6:8">
      <c r="F288" s="68" t="s">
        <v>122</v>
      </c>
      <c r="G288" s="67" t="s">
        <v>152</v>
      </c>
      <c r="H288" s="69">
        <v>-1.05</v>
      </c>
    </row>
    <row r="289" spans="6:8">
      <c r="F289" s="68" t="s">
        <v>123</v>
      </c>
      <c r="G289" s="67" t="s">
        <v>152</v>
      </c>
      <c r="H289" s="69">
        <v>-0.6</v>
      </c>
    </row>
    <row r="290" spans="6:8">
      <c r="F290" s="68" t="s">
        <v>124</v>
      </c>
      <c r="G290" s="67" t="s">
        <v>152</v>
      </c>
      <c r="H290" s="69">
        <v>-0.7</v>
      </c>
    </row>
    <row r="291" spans="6:8">
      <c r="F291" s="68" t="s">
        <v>125</v>
      </c>
      <c r="G291" s="67" t="s">
        <v>152</v>
      </c>
      <c r="H291" s="69">
        <v>-1.1000000000000001</v>
      </c>
    </row>
    <row r="292" spans="6:8">
      <c r="F292" s="68" t="s">
        <v>126</v>
      </c>
      <c r="G292" s="67" t="s">
        <v>152</v>
      </c>
      <c r="H292" s="69">
        <v>-0.55000000000000004</v>
      </c>
    </row>
    <row r="293" spans="6:8">
      <c r="F293" s="68" t="s">
        <v>127</v>
      </c>
      <c r="G293" s="67" t="s">
        <v>152</v>
      </c>
      <c r="H293" s="69">
        <v>-0.15</v>
      </c>
    </row>
    <row r="294" spans="6:8">
      <c r="F294" s="68" t="s">
        <v>128</v>
      </c>
      <c r="G294" s="67" t="s">
        <v>152</v>
      </c>
      <c r="H294" s="69">
        <v>-0.55000000000000004</v>
      </c>
    </row>
    <row r="295" spans="6:8">
      <c r="F295" s="68" t="s">
        <v>129</v>
      </c>
      <c r="G295" s="67" t="s">
        <v>152</v>
      </c>
      <c r="H295" s="69">
        <v>-0.25</v>
      </c>
    </row>
    <row r="296" spans="6:8">
      <c r="F296" s="68" t="s">
        <v>130</v>
      </c>
      <c r="G296" s="67" t="s">
        <v>152</v>
      </c>
      <c r="H296" s="69">
        <v>-0.95</v>
      </c>
    </row>
    <row r="297" spans="6:8">
      <c r="F297" s="68" t="s">
        <v>131</v>
      </c>
      <c r="G297" s="67" t="s">
        <v>152</v>
      </c>
      <c r="H297" s="69">
        <v>-0.35</v>
      </c>
    </row>
    <row r="298" spans="6:8">
      <c r="F298" s="68" t="s">
        <v>132</v>
      </c>
      <c r="G298" s="67" t="s">
        <v>152</v>
      </c>
      <c r="H298" s="69">
        <v>-0.95</v>
      </c>
    </row>
    <row r="299" spans="6:8">
      <c r="F299" s="68" t="s">
        <v>133</v>
      </c>
      <c r="G299" s="67" t="s">
        <v>152</v>
      </c>
      <c r="H299" s="69">
        <v>-0.35</v>
      </c>
    </row>
    <row r="300" spans="6:8">
      <c r="F300" s="68" t="s">
        <v>134</v>
      </c>
      <c r="G300" s="67" t="s">
        <v>152</v>
      </c>
      <c r="H300" s="69">
        <v>-1</v>
      </c>
    </row>
    <row r="301" spans="6:8">
      <c r="F301" s="68" t="s">
        <v>135</v>
      </c>
      <c r="G301" s="67" t="s">
        <v>152</v>
      </c>
      <c r="H301" s="69">
        <v>-0.35</v>
      </c>
    </row>
    <row r="302" spans="6:8">
      <c r="F302" s="68" t="s">
        <v>136</v>
      </c>
      <c r="G302" s="67" t="s">
        <v>152</v>
      </c>
      <c r="H302" s="69">
        <v>-0.95</v>
      </c>
    </row>
    <row r="303" spans="6:8">
      <c r="F303" s="68" t="s">
        <v>137</v>
      </c>
      <c r="G303" s="67" t="s">
        <v>152</v>
      </c>
      <c r="H303" s="69">
        <v>-0.5</v>
      </c>
    </row>
    <row r="304" spans="6:8">
      <c r="F304" s="68" t="s">
        <v>138</v>
      </c>
      <c r="G304" s="67" t="s">
        <v>152</v>
      </c>
      <c r="H304" s="69">
        <v>-0.7</v>
      </c>
    </row>
    <row r="305" spans="6:8">
      <c r="F305" s="68" t="s">
        <v>138</v>
      </c>
      <c r="G305" s="67" t="s">
        <v>153</v>
      </c>
      <c r="H305" s="69">
        <v>-0.7</v>
      </c>
    </row>
    <row r="306" spans="6:8">
      <c r="F306" s="68" t="s">
        <v>137</v>
      </c>
      <c r="G306" s="67" t="s">
        <v>153</v>
      </c>
      <c r="H306" s="69">
        <v>-0.5</v>
      </c>
    </row>
    <row r="307" spans="6:8">
      <c r="F307" s="68" t="s">
        <v>136</v>
      </c>
      <c r="G307" s="67" t="s">
        <v>153</v>
      </c>
      <c r="H307" s="69">
        <v>-0.95</v>
      </c>
    </row>
    <row r="308" spans="6:8">
      <c r="F308" s="68" t="s">
        <v>135</v>
      </c>
      <c r="G308" s="67" t="s">
        <v>153</v>
      </c>
      <c r="H308" s="69">
        <v>-0.35</v>
      </c>
    </row>
    <row r="309" spans="6:8">
      <c r="F309" s="68" t="s">
        <v>134</v>
      </c>
      <c r="G309" s="67" t="s">
        <v>153</v>
      </c>
      <c r="H309" s="69">
        <v>-1</v>
      </c>
    </row>
    <row r="310" spans="6:8">
      <c r="F310" s="68" t="s">
        <v>133</v>
      </c>
      <c r="G310" s="67" t="s">
        <v>153</v>
      </c>
      <c r="H310" s="69">
        <v>-0.35</v>
      </c>
    </row>
    <row r="311" spans="6:8">
      <c r="F311" s="68" t="s">
        <v>132</v>
      </c>
      <c r="G311" s="67" t="s">
        <v>153</v>
      </c>
      <c r="H311" s="69">
        <v>-0.95</v>
      </c>
    </row>
    <row r="312" spans="6:8">
      <c r="F312" s="68" t="s">
        <v>131</v>
      </c>
      <c r="G312" s="67" t="s">
        <v>153</v>
      </c>
      <c r="H312" s="69">
        <v>-0.35</v>
      </c>
    </row>
    <row r="313" spans="6:8">
      <c r="F313" s="68" t="s">
        <v>130</v>
      </c>
      <c r="G313" s="67" t="s">
        <v>153</v>
      </c>
      <c r="H313" s="69">
        <v>-0.95</v>
      </c>
    </row>
    <row r="314" spans="6:8">
      <c r="F314" s="68" t="s">
        <v>129</v>
      </c>
      <c r="G314" s="67" t="s">
        <v>153</v>
      </c>
      <c r="H314" s="69">
        <v>-0.25</v>
      </c>
    </row>
    <row r="315" spans="6:8">
      <c r="F315" s="68" t="s">
        <v>128</v>
      </c>
      <c r="G315" s="67" t="s">
        <v>153</v>
      </c>
      <c r="H315" s="69">
        <v>-0.55000000000000004</v>
      </c>
    </row>
    <row r="316" spans="6:8">
      <c r="F316" s="68" t="s">
        <v>127</v>
      </c>
      <c r="G316" s="67" t="s">
        <v>153</v>
      </c>
      <c r="H316" s="69">
        <v>-0.15</v>
      </c>
    </row>
    <row r="317" spans="6:8">
      <c r="F317" s="68" t="s">
        <v>126</v>
      </c>
      <c r="G317" s="67" t="s">
        <v>153</v>
      </c>
      <c r="H317" s="69">
        <v>-0.55000000000000004</v>
      </c>
    </row>
    <row r="318" spans="6:8">
      <c r="F318" s="68" t="s">
        <v>125</v>
      </c>
      <c r="G318" s="67" t="s">
        <v>153</v>
      </c>
      <c r="H318" s="69">
        <v>-1.1000000000000001</v>
      </c>
    </row>
    <row r="319" spans="6:8">
      <c r="F319" s="68" t="s">
        <v>124</v>
      </c>
      <c r="G319" s="67" t="s">
        <v>153</v>
      </c>
      <c r="H319" s="69">
        <v>-0.7</v>
      </c>
    </row>
    <row r="320" spans="6:8">
      <c r="F320" s="68" t="s">
        <v>123</v>
      </c>
      <c r="G320" s="67" t="s">
        <v>153</v>
      </c>
      <c r="H320" s="69">
        <v>-0.6</v>
      </c>
    </row>
    <row r="321" spans="6:8">
      <c r="F321" s="68" t="s">
        <v>122</v>
      </c>
      <c r="G321" s="67" t="s">
        <v>153</v>
      </c>
      <c r="H321" s="69">
        <v>-1.05</v>
      </c>
    </row>
    <row r="322" spans="6:8">
      <c r="F322" s="68" t="s">
        <v>121</v>
      </c>
      <c r="G322" s="67" t="s">
        <v>153</v>
      </c>
      <c r="H322" s="69">
        <v>-0.75</v>
      </c>
    </row>
    <row r="323" spans="6:8">
      <c r="F323" s="68" t="s">
        <v>120</v>
      </c>
      <c r="G323" s="67" t="s">
        <v>153</v>
      </c>
      <c r="H323" s="69">
        <v>-0.5</v>
      </c>
    </row>
    <row r="324" spans="6:8">
      <c r="F324" s="68" t="s">
        <v>119</v>
      </c>
      <c r="G324" s="67" t="s">
        <v>153</v>
      </c>
      <c r="H324" s="69">
        <v>-1</v>
      </c>
    </row>
    <row r="325" spans="6:8">
      <c r="F325" s="68" t="s">
        <v>119</v>
      </c>
      <c r="G325" s="67" t="s">
        <v>154</v>
      </c>
      <c r="H325" s="69">
        <v>-1</v>
      </c>
    </row>
    <row r="326" spans="6:8">
      <c r="F326" s="68" t="s">
        <v>120</v>
      </c>
      <c r="G326" s="67" t="s">
        <v>154</v>
      </c>
      <c r="H326" s="69">
        <v>-0.5</v>
      </c>
    </row>
    <row r="327" spans="6:8">
      <c r="F327" s="68" t="s">
        <v>121</v>
      </c>
      <c r="G327" s="67" t="s">
        <v>154</v>
      </c>
      <c r="H327" s="69">
        <v>-0.75</v>
      </c>
    </row>
    <row r="328" spans="6:8">
      <c r="F328" s="68" t="s">
        <v>122</v>
      </c>
      <c r="G328" s="67" t="s">
        <v>154</v>
      </c>
      <c r="H328" s="69">
        <v>-1.05</v>
      </c>
    </row>
    <row r="329" spans="6:8">
      <c r="F329" s="68" t="s">
        <v>123</v>
      </c>
      <c r="G329" s="67" t="s">
        <v>154</v>
      </c>
      <c r="H329" s="69">
        <v>-0.6</v>
      </c>
    </row>
    <row r="330" spans="6:8">
      <c r="F330" s="68" t="s">
        <v>124</v>
      </c>
      <c r="G330" s="67" t="s">
        <v>154</v>
      </c>
      <c r="H330" s="69">
        <v>-0.7</v>
      </c>
    </row>
    <row r="331" spans="6:8">
      <c r="F331" s="68" t="s">
        <v>125</v>
      </c>
      <c r="G331" s="67" t="s">
        <v>154</v>
      </c>
      <c r="H331" s="69">
        <v>-1.1000000000000001</v>
      </c>
    </row>
    <row r="332" spans="6:8">
      <c r="F332" s="68" t="s">
        <v>126</v>
      </c>
      <c r="G332" s="67" t="s">
        <v>154</v>
      </c>
      <c r="H332" s="69">
        <v>-0.55000000000000004</v>
      </c>
    </row>
    <row r="333" spans="6:8">
      <c r="F333" s="68" t="s">
        <v>127</v>
      </c>
      <c r="G333" s="67" t="s">
        <v>154</v>
      </c>
      <c r="H333" s="69">
        <v>-0.15</v>
      </c>
    </row>
    <row r="334" spans="6:8">
      <c r="F334" s="68" t="s">
        <v>128</v>
      </c>
      <c r="G334" s="67" t="s">
        <v>154</v>
      </c>
      <c r="H334" s="69">
        <v>-0.55000000000000004</v>
      </c>
    </row>
    <row r="335" spans="6:8">
      <c r="F335" s="68" t="s">
        <v>129</v>
      </c>
      <c r="G335" s="67" t="s">
        <v>154</v>
      </c>
      <c r="H335" s="69">
        <v>-0.25</v>
      </c>
    </row>
    <row r="336" spans="6:8">
      <c r="F336" s="68" t="s">
        <v>130</v>
      </c>
      <c r="G336" s="67" t="s">
        <v>154</v>
      </c>
      <c r="H336" s="69">
        <v>-0.95</v>
      </c>
    </row>
    <row r="337" spans="6:8">
      <c r="F337" s="68" t="s">
        <v>131</v>
      </c>
      <c r="G337" s="67" t="s">
        <v>154</v>
      </c>
      <c r="H337" s="69">
        <v>-0.35</v>
      </c>
    </row>
    <row r="338" spans="6:8">
      <c r="F338" s="68" t="s">
        <v>132</v>
      </c>
      <c r="G338" s="67" t="s">
        <v>154</v>
      </c>
      <c r="H338" s="69">
        <v>-0.95</v>
      </c>
    </row>
    <row r="339" spans="6:8">
      <c r="F339" s="68" t="s">
        <v>133</v>
      </c>
      <c r="G339" s="67" t="s">
        <v>154</v>
      </c>
      <c r="H339" s="69">
        <v>-0.35</v>
      </c>
    </row>
    <row r="340" spans="6:8">
      <c r="F340" s="68" t="s">
        <v>134</v>
      </c>
      <c r="G340" s="67" t="s">
        <v>154</v>
      </c>
      <c r="H340" s="69">
        <v>-1</v>
      </c>
    </row>
    <row r="341" spans="6:8">
      <c r="F341" s="68" t="s">
        <v>135</v>
      </c>
      <c r="G341" s="67" t="s">
        <v>154</v>
      </c>
      <c r="H341" s="69">
        <v>-0.35</v>
      </c>
    </row>
    <row r="342" spans="6:8">
      <c r="F342" s="68" t="s">
        <v>136</v>
      </c>
      <c r="G342" s="67" t="s">
        <v>154</v>
      </c>
      <c r="H342" s="69">
        <v>-0.95</v>
      </c>
    </row>
    <row r="343" spans="6:8">
      <c r="F343" s="68" t="s">
        <v>137</v>
      </c>
      <c r="G343" s="67" t="s">
        <v>154</v>
      </c>
      <c r="H343" s="69">
        <v>-0.5</v>
      </c>
    </row>
    <row r="344" spans="6:8">
      <c r="F344" s="68" t="s">
        <v>138</v>
      </c>
      <c r="G344" s="67" t="s">
        <v>154</v>
      </c>
      <c r="H344" s="69">
        <v>-0.7</v>
      </c>
    </row>
    <row r="345" spans="6:8">
      <c r="F345" s="68" t="s">
        <v>138</v>
      </c>
      <c r="G345" s="67" t="s">
        <v>155</v>
      </c>
      <c r="H345" s="69">
        <v>-0.7</v>
      </c>
    </row>
    <row r="346" spans="6:8">
      <c r="F346" s="68" t="s">
        <v>137</v>
      </c>
      <c r="G346" s="67" t="s">
        <v>155</v>
      </c>
      <c r="H346" s="69">
        <v>-0.5</v>
      </c>
    </row>
    <row r="347" spans="6:8">
      <c r="F347" s="68" t="s">
        <v>136</v>
      </c>
      <c r="G347" s="67" t="s">
        <v>155</v>
      </c>
      <c r="H347" s="69">
        <v>-0.95</v>
      </c>
    </row>
    <row r="348" spans="6:8">
      <c r="F348" s="68" t="s">
        <v>135</v>
      </c>
      <c r="G348" s="67" t="s">
        <v>155</v>
      </c>
      <c r="H348" s="69">
        <v>-0.35</v>
      </c>
    </row>
    <row r="349" spans="6:8">
      <c r="F349" s="68" t="s">
        <v>134</v>
      </c>
      <c r="G349" s="67" t="s">
        <v>155</v>
      </c>
      <c r="H349" s="69">
        <v>-1</v>
      </c>
    </row>
    <row r="350" spans="6:8">
      <c r="F350" s="68" t="s">
        <v>133</v>
      </c>
      <c r="G350" s="67" t="s">
        <v>155</v>
      </c>
      <c r="H350" s="69">
        <v>-0.35</v>
      </c>
    </row>
    <row r="351" spans="6:8">
      <c r="F351" s="68" t="s">
        <v>132</v>
      </c>
      <c r="G351" s="67" t="s">
        <v>155</v>
      </c>
      <c r="H351" s="69">
        <v>-0.95</v>
      </c>
    </row>
    <row r="352" spans="6:8">
      <c r="F352" s="68" t="s">
        <v>131</v>
      </c>
      <c r="G352" s="67" t="s">
        <v>155</v>
      </c>
      <c r="H352" s="69">
        <v>-0.35</v>
      </c>
    </row>
    <row r="353" spans="6:8">
      <c r="F353" s="68" t="s">
        <v>130</v>
      </c>
      <c r="G353" s="67" t="s">
        <v>155</v>
      </c>
      <c r="H353" s="69">
        <v>-0.95</v>
      </c>
    </row>
    <row r="354" spans="6:8">
      <c r="F354" s="68" t="s">
        <v>129</v>
      </c>
      <c r="G354" s="67" t="s">
        <v>155</v>
      </c>
      <c r="H354" s="69">
        <v>-0.25</v>
      </c>
    </row>
    <row r="355" spans="6:8">
      <c r="F355" s="68" t="s">
        <v>128</v>
      </c>
      <c r="G355" s="67" t="s">
        <v>155</v>
      </c>
      <c r="H355" s="69">
        <v>-0.55000000000000004</v>
      </c>
    </row>
    <row r="356" spans="6:8">
      <c r="F356" s="68" t="s">
        <v>127</v>
      </c>
      <c r="G356" s="67" t="s">
        <v>155</v>
      </c>
      <c r="H356" s="69">
        <v>-0.15</v>
      </c>
    </row>
    <row r="357" spans="6:8">
      <c r="F357" s="68" t="s">
        <v>126</v>
      </c>
      <c r="G357" s="67" t="s">
        <v>155</v>
      </c>
      <c r="H357" s="69">
        <v>-0.55000000000000004</v>
      </c>
    </row>
    <row r="358" spans="6:8">
      <c r="F358" s="68" t="s">
        <v>125</v>
      </c>
      <c r="G358" s="67" t="s">
        <v>155</v>
      </c>
      <c r="H358" s="69">
        <v>-1.1000000000000001</v>
      </c>
    </row>
    <row r="359" spans="6:8">
      <c r="F359" s="68" t="s">
        <v>124</v>
      </c>
      <c r="G359" s="67" t="s">
        <v>155</v>
      </c>
      <c r="H359" s="69">
        <v>-0.7</v>
      </c>
    </row>
    <row r="360" spans="6:8">
      <c r="F360" s="68" t="s">
        <v>123</v>
      </c>
      <c r="G360" s="67" t="s">
        <v>155</v>
      </c>
      <c r="H360" s="69">
        <v>-0.6</v>
      </c>
    </row>
    <row r="361" spans="6:8">
      <c r="F361" s="68" t="s">
        <v>122</v>
      </c>
      <c r="G361" s="67" t="s">
        <v>155</v>
      </c>
      <c r="H361" s="69">
        <v>-1.05</v>
      </c>
    </row>
    <row r="362" spans="6:8">
      <c r="F362" s="68" t="s">
        <v>121</v>
      </c>
      <c r="G362" s="67" t="s">
        <v>155</v>
      </c>
      <c r="H362" s="69">
        <v>-0.75</v>
      </c>
    </row>
    <row r="363" spans="6:8">
      <c r="F363" s="68" t="s">
        <v>120</v>
      </c>
      <c r="G363" s="67" t="s">
        <v>155</v>
      </c>
      <c r="H363" s="69">
        <v>-0.5</v>
      </c>
    </row>
    <row r="364" spans="6:8">
      <c r="F364" s="68" t="s">
        <v>119</v>
      </c>
      <c r="G364" s="67" t="s">
        <v>155</v>
      </c>
      <c r="H364" s="69">
        <v>-1</v>
      </c>
    </row>
    <row r="365" spans="6:8">
      <c r="F365" s="68" t="s">
        <v>119</v>
      </c>
      <c r="G365" s="67" t="s">
        <v>156</v>
      </c>
      <c r="H365" s="69">
        <v>-1</v>
      </c>
    </row>
    <row r="366" spans="6:8">
      <c r="F366" s="68" t="s">
        <v>120</v>
      </c>
      <c r="G366" s="67" t="s">
        <v>156</v>
      </c>
      <c r="H366" s="69">
        <v>-0.5</v>
      </c>
    </row>
    <row r="367" spans="6:8">
      <c r="F367" s="68" t="s">
        <v>121</v>
      </c>
      <c r="G367" s="67" t="s">
        <v>156</v>
      </c>
      <c r="H367" s="69">
        <v>-0.75</v>
      </c>
    </row>
    <row r="368" spans="6:8">
      <c r="F368" s="68" t="s">
        <v>122</v>
      </c>
      <c r="G368" s="67" t="s">
        <v>156</v>
      </c>
      <c r="H368" s="69">
        <v>-1.05</v>
      </c>
    </row>
    <row r="369" spans="6:8">
      <c r="F369" s="68" t="s">
        <v>123</v>
      </c>
      <c r="G369" s="67" t="s">
        <v>156</v>
      </c>
      <c r="H369" s="69">
        <v>-0.6</v>
      </c>
    </row>
    <row r="370" spans="6:8">
      <c r="F370" s="68" t="s">
        <v>124</v>
      </c>
      <c r="G370" s="67" t="s">
        <v>156</v>
      </c>
      <c r="H370" s="69">
        <v>-0.7</v>
      </c>
    </row>
    <row r="371" spans="6:8">
      <c r="F371" s="68" t="s">
        <v>125</v>
      </c>
      <c r="G371" s="67" t="s">
        <v>156</v>
      </c>
      <c r="H371" s="69">
        <v>-1.1000000000000001</v>
      </c>
    </row>
    <row r="372" spans="6:8">
      <c r="F372" s="68" t="s">
        <v>126</v>
      </c>
      <c r="G372" s="67" t="s">
        <v>156</v>
      </c>
      <c r="H372" s="69">
        <v>-0.55000000000000004</v>
      </c>
    </row>
    <row r="373" spans="6:8">
      <c r="F373" s="68" t="s">
        <v>127</v>
      </c>
      <c r="G373" s="67" t="s">
        <v>156</v>
      </c>
      <c r="H373" s="69">
        <v>-0.15</v>
      </c>
    </row>
    <row r="374" spans="6:8">
      <c r="F374" s="68" t="s">
        <v>128</v>
      </c>
      <c r="G374" s="67" t="s">
        <v>156</v>
      </c>
      <c r="H374" s="69">
        <v>-0.55000000000000004</v>
      </c>
    </row>
    <row r="375" spans="6:8">
      <c r="F375" s="68" t="s">
        <v>129</v>
      </c>
      <c r="G375" s="67" t="s">
        <v>156</v>
      </c>
      <c r="H375" s="69">
        <v>-0.25</v>
      </c>
    </row>
    <row r="376" spans="6:8">
      <c r="F376" s="68" t="s">
        <v>130</v>
      </c>
      <c r="G376" s="67" t="s">
        <v>156</v>
      </c>
      <c r="H376" s="69">
        <v>-0.95</v>
      </c>
    </row>
    <row r="377" spans="6:8">
      <c r="F377" s="68" t="s">
        <v>131</v>
      </c>
      <c r="G377" s="67" t="s">
        <v>156</v>
      </c>
      <c r="H377" s="69">
        <v>-0.35</v>
      </c>
    </row>
    <row r="378" spans="6:8">
      <c r="F378" s="68" t="s">
        <v>132</v>
      </c>
      <c r="G378" s="67" t="s">
        <v>156</v>
      </c>
      <c r="H378" s="69">
        <v>-0.95</v>
      </c>
    </row>
    <row r="379" spans="6:8">
      <c r="F379" s="68" t="s">
        <v>133</v>
      </c>
      <c r="G379" s="67" t="s">
        <v>156</v>
      </c>
      <c r="H379" s="69">
        <v>-0.35</v>
      </c>
    </row>
    <row r="380" spans="6:8">
      <c r="F380" s="68" t="s">
        <v>134</v>
      </c>
      <c r="G380" s="67" t="s">
        <v>156</v>
      </c>
      <c r="H380" s="69">
        <v>-1</v>
      </c>
    </row>
    <row r="381" spans="6:8">
      <c r="F381" s="68" t="s">
        <v>135</v>
      </c>
      <c r="G381" s="67" t="s">
        <v>156</v>
      </c>
      <c r="H381" s="69">
        <v>-0.35</v>
      </c>
    </row>
    <row r="382" spans="6:8">
      <c r="F382" s="68" t="s">
        <v>136</v>
      </c>
      <c r="G382" s="67" t="s">
        <v>156</v>
      </c>
      <c r="H382" s="69">
        <v>-0.95</v>
      </c>
    </row>
    <row r="383" spans="6:8">
      <c r="F383" s="68" t="s">
        <v>137</v>
      </c>
      <c r="G383" s="67" t="s">
        <v>156</v>
      </c>
      <c r="H383" s="69">
        <v>-0.5</v>
      </c>
    </row>
    <row r="384" spans="6:8">
      <c r="F384" s="68" t="s">
        <v>138</v>
      </c>
      <c r="G384" s="67" t="s">
        <v>156</v>
      </c>
      <c r="H384" s="69">
        <v>-0.7</v>
      </c>
    </row>
    <row r="385" spans="6:8">
      <c r="F385" s="68" t="s">
        <v>138</v>
      </c>
      <c r="G385" s="67" t="s">
        <v>157</v>
      </c>
      <c r="H385" s="69">
        <v>-0.7</v>
      </c>
    </row>
    <row r="386" spans="6:8">
      <c r="F386" s="68" t="s">
        <v>137</v>
      </c>
      <c r="G386" s="67" t="s">
        <v>157</v>
      </c>
      <c r="H386" s="69">
        <v>-0.5</v>
      </c>
    </row>
    <row r="387" spans="6:8">
      <c r="F387" s="68" t="s">
        <v>136</v>
      </c>
      <c r="G387" s="67" t="s">
        <v>157</v>
      </c>
      <c r="H387" s="69">
        <v>-0.95</v>
      </c>
    </row>
    <row r="388" spans="6:8">
      <c r="F388" s="68" t="s">
        <v>135</v>
      </c>
      <c r="G388" s="67" t="s">
        <v>157</v>
      </c>
      <c r="H388" s="69">
        <v>-0.35</v>
      </c>
    </row>
    <row r="389" spans="6:8">
      <c r="F389" s="68" t="s">
        <v>134</v>
      </c>
      <c r="G389" s="67" t="s">
        <v>157</v>
      </c>
      <c r="H389" s="69">
        <v>-1</v>
      </c>
    </row>
    <row r="390" spans="6:8">
      <c r="F390" s="68" t="s">
        <v>133</v>
      </c>
      <c r="G390" s="67" t="s">
        <v>157</v>
      </c>
      <c r="H390" s="69">
        <v>-0.35</v>
      </c>
    </row>
    <row r="391" spans="6:8">
      <c r="F391" s="68" t="s">
        <v>132</v>
      </c>
      <c r="G391" s="67" t="s">
        <v>157</v>
      </c>
      <c r="H391" s="69">
        <v>-0.95</v>
      </c>
    </row>
    <row r="392" spans="6:8">
      <c r="F392" s="68" t="s">
        <v>131</v>
      </c>
      <c r="G392" s="67" t="s">
        <v>157</v>
      </c>
      <c r="H392" s="69">
        <v>-0.35</v>
      </c>
    </row>
    <row r="393" spans="6:8">
      <c r="F393" s="68" t="s">
        <v>130</v>
      </c>
      <c r="G393" s="67" t="s">
        <v>157</v>
      </c>
      <c r="H393" s="69">
        <v>-0.95</v>
      </c>
    </row>
    <row r="394" spans="6:8">
      <c r="F394" s="68" t="s">
        <v>129</v>
      </c>
      <c r="G394" s="67" t="s">
        <v>157</v>
      </c>
      <c r="H394" s="69">
        <v>-0.25</v>
      </c>
    </row>
    <row r="395" spans="6:8">
      <c r="F395" s="68" t="s">
        <v>128</v>
      </c>
      <c r="G395" s="67" t="s">
        <v>157</v>
      </c>
      <c r="H395" s="69">
        <v>-0.55000000000000004</v>
      </c>
    </row>
    <row r="396" spans="6:8">
      <c r="F396" s="68" t="s">
        <v>127</v>
      </c>
      <c r="G396" s="67" t="s">
        <v>157</v>
      </c>
      <c r="H396" s="69">
        <v>-0.15</v>
      </c>
    </row>
    <row r="397" spans="6:8">
      <c r="F397" s="68" t="s">
        <v>126</v>
      </c>
      <c r="G397" s="67" t="s">
        <v>157</v>
      </c>
      <c r="H397" s="69">
        <v>-0.55000000000000004</v>
      </c>
    </row>
    <row r="398" spans="6:8">
      <c r="F398" s="68" t="s">
        <v>125</v>
      </c>
      <c r="G398" s="67" t="s">
        <v>157</v>
      </c>
      <c r="H398" s="69">
        <v>-1.1000000000000001</v>
      </c>
    </row>
    <row r="399" spans="6:8">
      <c r="F399" s="68" t="s">
        <v>124</v>
      </c>
      <c r="G399" s="67" t="s">
        <v>157</v>
      </c>
      <c r="H399" s="69">
        <v>-0.7</v>
      </c>
    </row>
    <row r="400" spans="6:8">
      <c r="F400" s="68" t="s">
        <v>123</v>
      </c>
      <c r="G400" s="67" t="s">
        <v>157</v>
      </c>
      <c r="H400" s="69">
        <v>-0.6</v>
      </c>
    </row>
    <row r="401" spans="6:8">
      <c r="F401" s="68" t="s">
        <v>122</v>
      </c>
      <c r="G401" s="67" t="s">
        <v>157</v>
      </c>
      <c r="H401" s="69">
        <v>-1.05</v>
      </c>
    </row>
    <row r="402" spans="6:8">
      <c r="F402" s="68" t="s">
        <v>121</v>
      </c>
      <c r="G402" s="67" t="s">
        <v>157</v>
      </c>
      <c r="H402" s="69">
        <v>-0.75</v>
      </c>
    </row>
    <row r="403" spans="6:8">
      <c r="F403" s="68" t="s">
        <v>120</v>
      </c>
      <c r="G403" s="67" t="s">
        <v>157</v>
      </c>
      <c r="H403" s="69">
        <v>-0.5</v>
      </c>
    </row>
    <row r="404" spans="6:8">
      <c r="F404" s="68" t="s">
        <v>119</v>
      </c>
      <c r="G404" s="67" t="s">
        <v>157</v>
      </c>
      <c r="H404" s="69">
        <v>-1</v>
      </c>
    </row>
    <row r="405" spans="6:8">
      <c r="F405" s="68" t="s">
        <v>119</v>
      </c>
      <c r="G405" s="67" t="s">
        <v>158</v>
      </c>
      <c r="H405" s="69">
        <v>-1</v>
      </c>
    </row>
    <row r="406" spans="6:8">
      <c r="F406" s="68" t="s">
        <v>120</v>
      </c>
      <c r="G406" s="67" t="s">
        <v>158</v>
      </c>
      <c r="H406" s="69">
        <v>-0.5</v>
      </c>
    </row>
    <row r="407" spans="6:8">
      <c r="F407" s="68" t="s">
        <v>121</v>
      </c>
      <c r="G407" s="67" t="s">
        <v>158</v>
      </c>
      <c r="H407" s="69">
        <v>-0.75</v>
      </c>
    </row>
    <row r="408" spans="6:8">
      <c r="F408" s="68" t="s">
        <v>122</v>
      </c>
      <c r="G408" s="67" t="s">
        <v>158</v>
      </c>
      <c r="H408" s="69">
        <v>-1.05</v>
      </c>
    </row>
    <row r="409" spans="6:8">
      <c r="F409" s="68" t="s">
        <v>123</v>
      </c>
      <c r="G409" s="67" t="s">
        <v>158</v>
      </c>
      <c r="H409" s="69">
        <v>-0.6</v>
      </c>
    </row>
    <row r="410" spans="6:8">
      <c r="F410" s="68" t="s">
        <v>124</v>
      </c>
      <c r="G410" s="67" t="s">
        <v>158</v>
      </c>
      <c r="H410" s="69">
        <v>-0.7</v>
      </c>
    </row>
    <row r="411" spans="6:8">
      <c r="F411" s="68" t="s">
        <v>125</v>
      </c>
      <c r="G411" s="67" t="s">
        <v>158</v>
      </c>
      <c r="H411" s="69">
        <v>-1.1000000000000001</v>
      </c>
    </row>
    <row r="412" spans="6:8">
      <c r="F412" s="68" t="s">
        <v>126</v>
      </c>
      <c r="G412" s="67" t="s">
        <v>158</v>
      </c>
      <c r="H412" s="69">
        <v>-0.55000000000000004</v>
      </c>
    </row>
    <row r="413" spans="6:8">
      <c r="F413" s="68" t="s">
        <v>127</v>
      </c>
      <c r="G413" s="67" t="s">
        <v>158</v>
      </c>
      <c r="H413" s="69">
        <v>-0.15</v>
      </c>
    </row>
    <row r="414" spans="6:8">
      <c r="F414" s="68" t="s">
        <v>128</v>
      </c>
      <c r="G414" s="67" t="s">
        <v>158</v>
      </c>
      <c r="H414" s="69">
        <v>-0.55000000000000004</v>
      </c>
    </row>
    <row r="415" spans="6:8">
      <c r="F415" s="68" t="s">
        <v>129</v>
      </c>
      <c r="G415" s="67" t="s">
        <v>158</v>
      </c>
      <c r="H415" s="69">
        <v>-0.25</v>
      </c>
    </row>
    <row r="416" spans="6:8">
      <c r="F416" s="68" t="s">
        <v>130</v>
      </c>
      <c r="G416" s="67" t="s">
        <v>158</v>
      </c>
      <c r="H416" s="69">
        <v>-0.95</v>
      </c>
    </row>
    <row r="417" spans="6:8">
      <c r="F417" s="68" t="s">
        <v>131</v>
      </c>
      <c r="G417" s="67" t="s">
        <v>158</v>
      </c>
      <c r="H417" s="69">
        <v>-0.35</v>
      </c>
    </row>
    <row r="418" spans="6:8">
      <c r="F418" s="68" t="s">
        <v>132</v>
      </c>
      <c r="G418" s="67" t="s">
        <v>158</v>
      </c>
      <c r="H418" s="69">
        <v>-0.95</v>
      </c>
    </row>
    <row r="419" spans="6:8">
      <c r="F419" s="68" t="s">
        <v>133</v>
      </c>
      <c r="G419" s="67" t="s">
        <v>158</v>
      </c>
      <c r="H419" s="69">
        <v>-0.35</v>
      </c>
    </row>
    <row r="420" spans="6:8">
      <c r="F420" s="68" t="s">
        <v>134</v>
      </c>
      <c r="G420" s="67" t="s">
        <v>158</v>
      </c>
      <c r="H420" s="69">
        <v>-1</v>
      </c>
    </row>
    <row r="421" spans="6:8">
      <c r="F421" s="68" t="s">
        <v>135</v>
      </c>
      <c r="G421" s="67" t="s">
        <v>158</v>
      </c>
      <c r="H421" s="69">
        <v>-0.35</v>
      </c>
    </row>
    <row r="422" spans="6:8">
      <c r="F422" s="68" t="s">
        <v>136</v>
      </c>
      <c r="G422" s="67" t="s">
        <v>158</v>
      </c>
      <c r="H422" s="69">
        <v>-0.95</v>
      </c>
    </row>
    <row r="423" spans="6:8">
      <c r="F423" s="68" t="s">
        <v>137</v>
      </c>
      <c r="G423" s="67" t="s">
        <v>158</v>
      </c>
      <c r="H423" s="69">
        <v>-0.5</v>
      </c>
    </row>
    <row r="424" spans="6:8">
      <c r="F424" s="68" t="s">
        <v>138</v>
      </c>
      <c r="G424" s="67" t="s">
        <v>158</v>
      </c>
      <c r="H424" s="69">
        <v>-0.7</v>
      </c>
    </row>
    <row r="425" spans="6:8">
      <c r="F425" s="68" t="s">
        <v>138</v>
      </c>
      <c r="G425" s="67" t="s">
        <v>159</v>
      </c>
      <c r="H425" s="69">
        <v>-0.7</v>
      </c>
    </row>
    <row r="426" spans="6:8">
      <c r="F426" s="68" t="s">
        <v>137</v>
      </c>
      <c r="G426" s="67" t="s">
        <v>159</v>
      </c>
      <c r="H426" s="69">
        <v>-0.5</v>
      </c>
    </row>
    <row r="427" spans="6:8">
      <c r="F427" s="68" t="s">
        <v>136</v>
      </c>
      <c r="G427" s="67" t="s">
        <v>159</v>
      </c>
      <c r="H427" s="69">
        <v>-0.95</v>
      </c>
    </row>
    <row r="428" spans="6:8">
      <c r="F428" s="68" t="s">
        <v>135</v>
      </c>
      <c r="G428" s="67" t="s">
        <v>159</v>
      </c>
      <c r="H428" s="69">
        <v>-0.35</v>
      </c>
    </row>
    <row r="429" spans="6:8">
      <c r="F429" s="68" t="s">
        <v>134</v>
      </c>
      <c r="G429" s="67" t="s">
        <v>159</v>
      </c>
      <c r="H429" s="69">
        <v>-1</v>
      </c>
    </row>
    <row r="430" spans="6:8">
      <c r="F430" s="68" t="s">
        <v>133</v>
      </c>
      <c r="G430" s="67" t="s">
        <v>159</v>
      </c>
      <c r="H430" s="69">
        <v>-0.35</v>
      </c>
    </row>
    <row r="431" spans="6:8">
      <c r="F431" s="68" t="s">
        <v>132</v>
      </c>
      <c r="G431" s="67" t="s">
        <v>159</v>
      </c>
      <c r="H431" s="69">
        <v>-0.95</v>
      </c>
    </row>
    <row r="432" spans="6:8">
      <c r="F432" s="68" t="s">
        <v>131</v>
      </c>
      <c r="G432" s="67" t="s">
        <v>159</v>
      </c>
      <c r="H432" s="69">
        <v>-0.35</v>
      </c>
    </row>
    <row r="433" spans="6:8">
      <c r="F433" s="68" t="s">
        <v>130</v>
      </c>
      <c r="G433" s="67" t="s">
        <v>159</v>
      </c>
      <c r="H433" s="69">
        <v>-0.95</v>
      </c>
    </row>
    <row r="434" spans="6:8">
      <c r="F434" s="68" t="s">
        <v>129</v>
      </c>
      <c r="G434" s="67" t="s">
        <v>159</v>
      </c>
      <c r="H434" s="69">
        <v>-0.25</v>
      </c>
    </row>
    <row r="435" spans="6:8">
      <c r="F435" s="68" t="s">
        <v>128</v>
      </c>
      <c r="G435" s="67" t="s">
        <v>159</v>
      </c>
      <c r="H435" s="69">
        <v>-0.55000000000000004</v>
      </c>
    </row>
    <row r="436" spans="6:8">
      <c r="F436" s="68" t="s">
        <v>127</v>
      </c>
      <c r="G436" s="67" t="s">
        <v>159</v>
      </c>
      <c r="H436" s="69">
        <v>-0.15</v>
      </c>
    </row>
    <row r="437" spans="6:8">
      <c r="F437" s="68" t="s">
        <v>126</v>
      </c>
      <c r="G437" s="67" t="s">
        <v>159</v>
      </c>
      <c r="H437" s="69">
        <v>-0.55000000000000004</v>
      </c>
    </row>
    <row r="438" spans="6:8">
      <c r="F438" s="68" t="s">
        <v>125</v>
      </c>
      <c r="G438" s="67" t="s">
        <v>159</v>
      </c>
      <c r="H438" s="69">
        <v>-1.1000000000000001</v>
      </c>
    </row>
    <row r="439" spans="6:8">
      <c r="F439" s="68" t="s">
        <v>124</v>
      </c>
      <c r="G439" s="67" t="s">
        <v>159</v>
      </c>
      <c r="H439" s="69">
        <v>-0.7</v>
      </c>
    </row>
    <row r="440" spans="6:8">
      <c r="F440" s="68" t="s">
        <v>123</v>
      </c>
      <c r="G440" s="67" t="s">
        <v>159</v>
      </c>
      <c r="H440" s="69">
        <v>-0.6</v>
      </c>
    </row>
    <row r="441" spans="6:8">
      <c r="F441" s="68" t="s">
        <v>122</v>
      </c>
      <c r="G441" s="67" t="s">
        <v>159</v>
      </c>
      <c r="H441" s="69">
        <v>-1.05</v>
      </c>
    </row>
    <row r="442" spans="6:8">
      <c r="F442" s="68" t="s">
        <v>121</v>
      </c>
      <c r="G442" s="67" t="s">
        <v>159</v>
      </c>
      <c r="H442" s="69">
        <v>-0.75</v>
      </c>
    </row>
    <row r="443" spans="6:8">
      <c r="F443" s="68" t="s">
        <v>120</v>
      </c>
      <c r="G443" s="67" t="s">
        <v>159</v>
      </c>
      <c r="H443" s="69">
        <v>-0.5</v>
      </c>
    </row>
    <row r="444" spans="6:8">
      <c r="F444" s="68" t="s">
        <v>119</v>
      </c>
      <c r="G444" s="67" t="s">
        <v>159</v>
      </c>
      <c r="H444" s="69">
        <v>-1</v>
      </c>
    </row>
    <row r="445" spans="6:8">
      <c r="F445" s="68" t="s">
        <v>119</v>
      </c>
      <c r="G445" s="67" t="s">
        <v>160</v>
      </c>
      <c r="H445" s="69">
        <v>-1</v>
      </c>
    </row>
    <row r="446" spans="6:8">
      <c r="F446" s="68" t="s">
        <v>120</v>
      </c>
      <c r="G446" s="67" t="s">
        <v>160</v>
      </c>
      <c r="H446" s="69">
        <v>-0.5</v>
      </c>
    </row>
    <row r="447" spans="6:8">
      <c r="F447" s="68" t="s">
        <v>121</v>
      </c>
      <c r="G447" s="67" t="s">
        <v>160</v>
      </c>
      <c r="H447" s="69">
        <v>-0.75</v>
      </c>
    </row>
    <row r="448" spans="6:8">
      <c r="F448" s="68" t="s">
        <v>122</v>
      </c>
      <c r="G448" s="67" t="s">
        <v>160</v>
      </c>
      <c r="H448" s="69">
        <v>-1.05</v>
      </c>
    </row>
    <row r="449" spans="6:8">
      <c r="F449" s="68" t="s">
        <v>123</v>
      </c>
      <c r="G449" s="67" t="s">
        <v>160</v>
      </c>
      <c r="H449" s="69">
        <v>-0.6</v>
      </c>
    </row>
    <row r="450" spans="6:8">
      <c r="F450" s="68" t="s">
        <v>124</v>
      </c>
      <c r="G450" s="67" t="s">
        <v>160</v>
      </c>
      <c r="H450" s="69">
        <v>-0.7</v>
      </c>
    </row>
    <row r="451" spans="6:8">
      <c r="F451" s="68" t="s">
        <v>125</v>
      </c>
      <c r="G451" s="67" t="s">
        <v>160</v>
      </c>
      <c r="H451" s="69">
        <v>-1.1000000000000001</v>
      </c>
    </row>
    <row r="452" spans="6:8">
      <c r="F452" s="68" t="s">
        <v>126</v>
      </c>
      <c r="G452" s="67" t="s">
        <v>160</v>
      </c>
      <c r="H452" s="69">
        <v>-0.55000000000000004</v>
      </c>
    </row>
    <row r="453" spans="6:8">
      <c r="F453" s="68" t="s">
        <v>127</v>
      </c>
      <c r="G453" s="67" t="s">
        <v>160</v>
      </c>
      <c r="H453" s="69">
        <v>-0.15</v>
      </c>
    </row>
    <row r="454" spans="6:8">
      <c r="F454" s="68" t="s">
        <v>128</v>
      </c>
      <c r="G454" s="67" t="s">
        <v>160</v>
      </c>
      <c r="H454" s="69">
        <v>-0.55000000000000004</v>
      </c>
    </row>
    <row r="455" spans="6:8">
      <c r="F455" s="68" t="s">
        <v>129</v>
      </c>
      <c r="G455" s="67" t="s">
        <v>160</v>
      </c>
      <c r="H455" s="69">
        <v>-0.25</v>
      </c>
    </row>
    <row r="456" spans="6:8">
      <c r="F456" s="68" t="s">
        <v>130</v>
      </c>
      <c r="G456" s="67" t="s">
        <v>160</v>
      </c>
      <c r="H456" s="69">
        <v>-0.95</v>
      </c>
    </row>
    <row r="457" spans="6:8">
      <c r="F457" s="68" t="s">
        <v>131</v>
      </c>
      <c r="G457" s="67" t="s">
        <v>160</v>
      </c>
      <c r="H457" s="69">
        <v>-0.35</v>
      </c>
    </row>
    <row r="458" spans="6:8">
      <c r="F458" s="68" t="s">
        <v>132</v>
      </c>
      <c r="G458" s="67" t="s">
        <v>160</v>
      </c>
      <c r="H458" s="69">
        <v>-0.95</v>
      </c>
    </row>
    <row r="459" spans="6:8">
      <c r="F459" s="68" t="s">
        <v>133</v>
      </c>
      <c r="G459" s="67" t="s">
        <v>160</v>
      </c>
      <c r="H459" s="69">
        <v>-0.35</v>
      </c>
    </row>
    <row r="460" spans="6:8">
      <c r="F460" s="68" t="s">
        <v>134</v>
      </c>
      <c r="G460" s="67" t="s">
        <v>160</v>
      </c>
      <c r="H460" s="69">
        <v>-1</v>
      </c>
    </row>
    <row r="461" spans="6:8">
      <c r="F461" s="68" t="s">
        <v>135</v>
      </c>
      <c r="G461" s="67" t="s">
        <v>160</v>
      </c>
      <c r="H461" s="69">
        <v>-0.35</v>
      </c>
    </row>
    <row r="462" spans="6:8">
      <c r="F462" s="68" t="s">
        <v>136</v>
      </c>
      <c r="G462" s="67" t="s">
        <v>160</v>
      </c>
      <c r="H462" s="69">
        <v>-0.95</v>
      </c>
    </row>
    <row r="463" spans="6:8">
      <c r="F463" s="68" t="s">
        <v>137</v>
      </c>
      <c r="G463" s="67" t="s">
        <v>160</v>
      </c>
      <c r="H463" s="69">
        <v>-0.5</v>
      </c>
    </row>
    <row r="464" spans="6:8">
      <c r="F464" s="68" t="s">
        <v>138</v>
      </c>
      <c r="G464" s="67" t="s">
        <v>160</v>
      </c>
      <c r="H464" s="69">
        <v>-0.7</v>
      </c>
    </row>
    <row r="465" spans="6:8">
      <c r="F465" s="68" t="s">
        <v>138</v>
      </c>
      <c r="G465" s="67" t="s">
        <v>161</v>
      </c>
      <c r="H465" s="69">
        <v>-0.7</v>
      </c>
    </row>
    <row r="466" spans="6:8">
      <c r="F466" s="68" t="s">
        <v>137</v>
      </c>
      <c r="G466" s="67" t="s">
        <v>161</v>
      </c>
      <c r="H466" s="69">
        <v>-0.5</v>
      </c>
    </row>
    <row r="467" spans="6:8">
      <c r="F467" s="68" t="s">
        <v>136</v>
      </c>
      <c r="G467" s="67" t="s">
        <v>161</v>
      </c>
      <c r="H467" s="69">
        <v>-0.95</v>
      </c>
    </row>
    <row r="468" spans="6:8">
      <c r="F468" s="68" t="s">
        <v>135</v>
      </c>
      <c r="G468" s="67" t="s">
        <v>161</v>
      </c>
      <c r="H468" s="69">
        <v>-0.35</v>
      </c>
    </row>
    <row r="469" spans="6:8">
      <c r="F469" s="68" t="s">
        <v>134</v>
      </c>
      <c r="G469" s="67" t="s">
        <v>161</v>
      </c>
      <c r="H469" s="69">
        <v>-1</v>
      </c>
    </row>
    <row r="470" spans="6:8">
      <c r="F470" s="68" t="s">
        <v>133</v>
      </c>
      <c r="G470" s="67" t="s">
        <v>161</v>
      </c>
      <c r="H470" s="69">
        <v>-0.35</v>
      </c>
    </row>
    <row r="471" spans="6:8">
      <c r="F471" s="68" t="s">
        <v>132</v>
      </c>
      <c r="G471" s="67" t="s">
        <v>161</v>
      </c>
      <c r="H471" s="69">
        <v>-0.95</v>
      </c>
    </row>
    <row r="472" spans="6:8">
      <c r="F472" s="68" t="s">
        <v>131</v>
      </c>
      <c r="G472" s="67" t="s">
        <v>161</v>
      </c>
      <c r="H472" s="69">
        <v>-0.35</v>
      </c>
    </row>
    <row r="473" spans="6:8">
      <c r="F473" s="68" t="s">
        <v>130</v>
      </c>
      <c r="G473" s="67" t="s">
        <v>161</v>
      </c>
      <c r="H473" s="69">
        <v>-0.95</v>
      </c>
    </row>
    <row r="474" spans="6:8">
      <c r="F474" s="68" t="s">
        <v>129</v>
      </c>
      <c r="G474" s="67" t="s">
        <v>161</v>
      </c>
      <c r="H474" s="69">
        <v>-0.25</v>
      </c>
    </row>
    <row r="475" spans="6:8">
      <c r="F475" s="68" t="s">
        <v>128</v>
      </c>
      <c r="G475" s="67" t="s">
        <v>161</v>
      </c>
      <c r="H475" s="69">
        <v>-0.55000000000000004</v>
      </c>
    </row>
    <row r="476" spans="6:8">
      <c r="F476" s="68" t="s">
        <v>127</v>
      </c>
      <c r="G476" s="67" t="s">
        <v>161</v>
      </c>
      <c r="H476" s="69">
        <v>-0.15</v>
      </c>
    </row>
    <row r="477" spans="6:8">
      <c r="F477" s="68" t="s">
        <v>126</v>
      </c>
      <c r="G477" s="67" t="s">
        <v>161</v>
      </c>
      <c r="H477" s="69">
        <v>-0.55000000000000004</v>
      </c>
    </row>
    <row r="478" spans="6:8">
      <c r="F478" s="68" t="s">
        <v>125</v>
      </c>
      <c r="G478" s="67" t="s">
        <v>161</v>
      </c>
      <c r="H478" s="69">
        <v>-1.1000000000000001</v>
      </c>
    </row>
    <row r="479" spans="6:8">
      <c r="F479" s="68" t="s">
        <v>124</v>
      </c>
      <c r="G479" s="67" t="s">
        <v>161</v>
      </c>
      <c r="H479" s="69">
        <v>-0.7</v>
      </c>
    </row>
    <row r="480" spans="6:8">
      <c r="F480" s="68" t="s">
        <v>123</v>
      </c>
      <c r="G480" s="67" t="s">
        <v>161</v>
      </c>
      <c r="H480" s="69">
        <v>-0.6</v>
      </c>
    </row>
    <row r="481" spans="6:8">
      <c r="F481" s="68" t="s">
        <v>122</v>
      </c>
      <c r="G481" s="67" t="s">
        <v>161</v>
      </c>
      <c r="H481" s="69">
        <v>-1.05</v>
      </c>
    </row>
    <row r="482" spans="6:8">
      <c r="F482" s="68" t="s">
        <v>121</v>
      </c>
      <c r="G482" s="67" t="s">
        <v>161</v>
      </c>
      <c r="H482" s="69">
        <v>-0.75</v>
      </c>
    </row>
    <row r="483" spans="6:8">
      <c r="F483" s="68" t="s">
        <v>120</v>
      </c>
      <c r="G483" s="67" t="s">
        <v>161</v>
      </c>
      <c r="H483" s="69">
        <v>-0.5</v>
      </c>
    </row>
    <row r="484" spans="6:8">
      <c r="F484" s="68" t="s">
        <v>119</v>
      </c>
      <c r="G484" s="67" t="s">
        <v>161</v>
      </c>
      <c r="H484" s="69">
        <v>-1</v>
      </c>
    </row>
    <row r="485" spans="6:8">
      <c r="F485" s="68" t="s">
        <v>119</v>
      </c>
      <c r="G485" s="67" t="s">
        <v>162</v>
      </c>
      <c r="H485" s="69">
        <v>-1</v>
      </c>
    </row>
    <row r="486" spans="6:8">
      <c r="F486" s="68" t="s">
        <v>120</v>
      </c>
      <c r="G486" s="67" t="s">
        <v>162</v>
      </c>
      <c r="H486" s="69">
        <v>-0.5</v>
      </c>
    </row>
    <row r="487" spans="6:8">
      <c r="F487" s="68" t="s">
        <v>121</v>
      </c>
      <c r="G487" s="67" t="s">
        <v>162</v>
      </c>
      <c r="H487" s="69">
        <v>-0.75</v>
      </c>
    </row>
    <row r="488" spans="6:8">
      <c r="F488" s="68" t="s">
        <v>122</v>
      </c>
      <c r="G488" s="67" t="s">
        <v>162</v>
      </c>
      <c r="H488" s="69">
        <v>-1.05</v>
      </c>
    </row>
    <row r="489" spans="6:8">
      <c r="F489" s="68" t="s">
        <v>123</v>
      </c>
      <c r="G489" s="67" t="s">
        <v>162</v>
      </c>
      <c r="H489" s="69">
        <v>-0.6</v>
      </c>
    </row>
    <row r="490" spans="6:8">
      <c r="F490" s="68" t="s">
        <v>124</v>
      </c>
      <c r="G490" s="67" t="s">
        <v>162</v>
      </c>
      <c r="H490" s="69">
        <v>-0.7</v>
      </c>
    </row>
    <row r="491" spans="6:8">
      <c r="F491" s="68" t="s">
        <v>125</v>
      </c>
      <c r="G491" s="67" t="s">
        <v>162</v>
      </c>
      <c r="H491" s="69">
        <v>-1.1000000000000001</v>
      </c>
    </row>
    <row r="492" spans="6:8">
      <c r="F492" s="68" t="s">
        <v>126</v>
      </c>
      <c r="G492" s="67" t="s">
        <v>162</v>
      </c>
      <c r="H492" s="69">
        <v>-0.55000000000000004</v>
      </c>
    </row>
    <row r="493" spans="6:8">
      <c r="F493" s="68" t="s">
        <v>127</v>
      </c>
      <c r="G493" s="67" t="s">
        <v>162</v>
      </c>
      <c r="H493" s="69">
        <v>-0.15</v>
      </c>
    </row>
    <row r="494" spans="6:8">
      <c r="F494" s="68" t="s">
        <v>128</v>
      </c>
      <c r="G494" s="67" t="s">
        <v>162</v>
      </c>
      <c r="H494" s="69">
        <v>-0.55000000000000004</v>
      </c>
    </row>
    <row r="495" spans="6:8">
      <c r="F495" s="68" t="s">
        <v>129</v>
      </c>
      <c r="G495" s="67" t="s">
        <v>162</v>
      </c>
      <c r="H495" s="69">
        <v>-0.25</v>
      </c>
    </row>
    <row r="496" spans="6:8">
      <c r="F496" s="68" t="s">
        <v>130</v>
      </c>
      <c r="G496" s="67" t="s">
        <v>162</v>
      </c>
      <c r="H496" s="69">
        <v>-0.95</v>
      </c>
    </row>
    <row r="497" spans="6:8">
      <c r="F497" s="68" t="s">
        <v>131</v>
      </c>
      <c r="G497" s="67" t="s">
        <v>162</v>
      </c>
      <c r="H497" s="69">
        <v>-0.35</v>
      </c>
    </row>
    <row r="498" spans="6:8">
      <c r="F498" s="68" t="s">
        <v>132</v>
      </c>
      <c r="G498" s="67" t="s">
        <v>162</v>
      </c>
      <c r="H498" s="69">
        <v>-0.95</v>
      </c>
    </row>
    <row r="499" spans="6:8">
      <c r="F499" s="68" t="s">
        <v>133</v>
      </c>
      <c r="G499" s="67" t="s">
        <v>162</v>
      </c>
      <c r="H499" s="69">
        <v>-0.35</v>
      </c>
    </row>
    <row r="500" spans="6:8">
      <c r="F500" s="68" t="s">
        <v>134</v>
      </c>
      <c r="G500" s="67" t="s">
        <v>162</v>
      </c>
      <c r="H500" s="69">
        <v>-1</v>
      </c>
    </row>
    <row r="501" spans="6:8">
      <c r="F501" s="68" t="s">
        <v>135</v>
      </c>
      <c r="G501" s="67" t="s">
        <v>162</v>
      </c>
      <c r="H501" s="69">
        <v>-0.35</v>
      </c>
    </row>
    <row r="502" spans="6:8">
      <c r="F502" s="68" t="s">
        <v>136</v>
      </c>
      <c r="G502" s="67" t="s">
        <v>162</v>
      </c>
      <c r="H502" s="69">
        <v>-0.95</v>
      </c>
    </row>
    <row r="503" spans="6:8">
      <c r="F503" s="68" t="s">
        <v>137</v>
      </c>
      <c r="G503" s="67" t="s">
        <v>162</v>
      </c>
      <c r="H503" s="69">
        <v>-0.5</v>
      </c>
    </row>
    <row r="504" spans="6:8">
      <c r="F504" s="68" t="s">
        <v>138</v>
      </c>
      <c r="G504" s="67" t="s">
        <v>162</v>
      </c>
      <c r="H504" s="69">
        <v>-0.7</v>
      </c>
    </row>
    <row r="505" spans="6:8">
      <c r="F505" s="68" t="s">
        <v>138</v>
      </c>
      <c r="G505" s="67" t="s">
        <v>163</v>
      </c>
      <c r="H505" s="69">
        <v>-0.7</v>
      </c>
    </row>
    <row r="506" spans="6:8">
      <c r="F506" s="68" t="s">
        <v>137</v>
      </c>
      <c r="G506" s="67" t="s">
        <v>163</v>
      </c>
      <c r="H506" s="69">
        <v>-0.5</v>
      </c>
    </row>
    <row r="507" spans="6:8">
      <c r="F507" s="68" t="s">
        <v>136</v>
      </c>
      <c r="G507" s="67" t="s">
        <v>163</v>
      </c>
      <c r="H507" s="69">
        <v>-0.95</v>
      </c>
    </row>
    <row r="508" spans="6:8">
      <c r="F508" s="68" t="s">
        <v>135</v>
      </c>
      <c r="G508" s="67" t="s">
        <v>163</v>
      </c>
      <c r="H508" s="69">
        <v>-0.35</v>
      </c>
    </row>
    <row r="509" spans="6:8">
      <c r="F509" s="68" t="s">
        <v>134</v>
      </c>
      <c r="G509" s="67" t="s">
        <v>163</v>
      </c>
      <c r="H509" s="69">
        <v>-1</v>
      </c>
    </row>
    <row r="510" spans="6:8">
      <c r="F510" s="68" t="s">
        <v>133</v>
      </c>
      <c r="G510" s="67" t="s">
        <v>163</v>
      </c>
      <c r="H510" s="69">
        <v>-0.35</v>
      </c>
    </row>
    <row r="511" spans="6:8">
      <c r="F511" s="68" t="s">
        <v>132</v>
      </c>
      <c r="G511" s="67" t="s">
        <v>163</v>
      </c>
      <c r="H511" s="69">
        <v>-0.95</v>
      </c>
    </row>
    <row r="512" spans="6:8">
      <c r="F512" s="68" t="s">
        <v>131</v>
      </c>
      <c r="G512" s="67" t="s">
        <v>163</v>
      </c>
      <c r="H512" s="69">
        <v>-0.35</v>
      </c>
    </row>
    <row r="513" spans="6:8">
      <c r="F513" s="68" t="s">
        <v>130</v>
      </c>
      <c r="G513" s="67" t="s">
        <v>163</v>
      </c>
      <c r="H513" s="69">
        <v>-0.95</v>
      </c>
    </row>
    <row r="514" spans="6:8">
      <c r="F514" s="68" t="s">
        <v>129</v>
      </c>
      <c r="G514" s="67" t="s">
        <v>163</v>
      </c>
      <c r="H514" s="69">
        <v>-0.25</v>
      </c>
    </row>
    <row r="515" spans="6:8">
      <c r="F515" s="68" t="s">
        <v>128</v>
      </c>
      <c r="G515" s="67" t="s">
        <v>163</v>
      </c>
      <c r="H515" s="69">
        <v>-0.55000000000000004</v>
      </c>
    </row>
    <row r="516" spans="6:8">
      <c r="F516" s="68" t="s">
        <v>127</v>
      </c>
      <c r="G516" s="67" t="s">
        <v>163</v>
      </c>
      <c r="H516" s="69">
        <v>-0.15</v>
      </c>
    </row>
    <row r="517" spans="6:8">
      <c r="F517" s="68" t="s">
        <v>126</v>
      </c>
      <c r="G517" s="67" t="s">
        <v>163</v>
      </c>
      <c r="H517" s="69">
        <v>-0.55000000000000004</v>
      </c>
    </row>
    <row r="518" spans="6:8">
      <c r="F518" s="68" t="s">
        <v>125</v>
      </c>
      <c r="G518" s="67" t="s">
        <v>163</v>
      </c>
      <c r="H518" s="69">
        <v>-1.1000000000000001</v>
      </c>
    </row>
    <row r="519" spans="6:8">
      <c r="F519" s="68" t="s">
        <v>124</v>
      </c>
      <c r="G519" s="67" t="s">
        <v>163</v>
      </c>
      <c r="H519" s="69">
        <v>-0.7</v>
      </c>
    </row>
    <row r="520" spans="6:8">
      <c r="F520" s="68" t="s">
        <v>123</v>
      </c>
      <c r="G520" s="67" t="s">
        <v>163</v>
      </c>
      <c r="H520" s="69">
        <v>-0.6</v>
      </c>
    </row>
    <row r="521" spans="6:8">
      <c r="F521" s="68" t="s">
        <v>122</v>
      </c>
      <c r="G521" s="67" t="s">
        <v>163</v>
      </c>
      <c r="H521" s="69">
        <v>-1.05</v>
      </c>
    </row>
    <row r="522" spans="6:8">
      <c r="F522" s="68" t="s">
        <v>121</v>
      </c>
      <c r="G522" s="67" t="s">
        <v>163</v>
      </c>
      <c r="H522" s="69">
        <v>-0.75</v>
      </c>
    </row>
    <row r="523" spans="6:8">
      <c r="F523" s="68" t="s">
        <v>120</v>
      </c>
      <c r="G523" s="67" t="s">
        <v>163</v>
      </c>
      <c r="H523" s="69">
        <v>-0.5</v>
      </c>
    </row>
    <row r="524" spans="6:8">
      <c r="F524" s="68" t="s">
        <v>119</v>
      </c>
      <c r="G524" s="67" t="s">
        <v>163</v>
      </c>
      <c r="H524" s="69">
        <v>-1</v>
      </c>
    </row>
    <row r="525" spans="6:8">
      <c r="F525" s="68" t="s">
        <v>119</v>
      </c>
      <c r="G525" s="67" t="s">
        <v>164</v>
      </c>
      <c r="H525" s="69">
        <v>-1</v>
      </c>
    </row>
    <row r="526" spans="6:8">
      <c r="F526" s="68" t="s">
        <v>120</v>
      </c>
      <c r="G526" s="67" t="s">
        <v>164</v>
      </c>
      <c r="H526" s="69">
        <v>-0.5</v>
      </c>
    </row>
    <row r="527" spans="6:8">
      <c r="F527" s="68" t="s">
        <v>121</v>
      </c>
      <c r="G527" s="67" t="s">
        <v>164</v>
      </c>
      <c r="H527" s="69">
        <v>-0.75</v>
      </c>
    </row>
    <row r="528" spans="6:8">
      <c r="F528" s="68" t="s">
        <v>122</v>
      </c>
      <c r="G528" s="67" t="s">
        <v>164</v>
      </c>
      <c r="H528" s="69">
        <v>-1.05</v>
      </c>
    </row>
    <row r="529" spans="6:8">
      <c r="F529" s="68" t="s">
        <v>123</v>
      </c>
      <c r="G529" s="67" t="s">
        <v>164</v>
      </c>
      <c r="H529" s="69">
        <v>-0.6</v>
      </c>
    </row>
    <row r="530" spans="6:8">
      <c r="F530" s="68" t="s">
        <v>124</v>
      </c>
      <c r="G530" s="67" t="s">
        <v>164</v>
      </c>
      <c r="H530" s="69">
        <v>-0.7</v>
      </c>
    </row>
    <row r="531" spans="6:8">
      <c r="F531" s="68" t="s">
        <v>125</v>
      </c>
      <c r="G531" s="67" t="s">
        <v>164</v>
      </c>
      <c r="H531" s="69">
        <v>-1.1000000000000001</v>
      </c>
    </row>
    <row r="532" spans="6:8">
      <c r="F532" s="68" t="s">
        <v>126</v>
      </c>
      <c r="G532" s="67" t="s">
        <v>164</v>
      </c>
      <c r="H532" s="69">
        <v>-0.55000000000000004</v>
      </c>
    </row>
    <row r="533" spans="6:8">
      <c r="F533" s="68" t="s">
        <v>127</v>
      </c>
      <c r="G533" s="67" t="s">
        <v>164</v>
      </c>
      <c r="H533" s="69">
        <v>-0.15</v>
      </c>
    </row>
    <row r="534" spans="6:8">
      <c r="F534" s="68" t="s">
        <v>128</v>
      </c>
      <c r="G534" s="67" t="s">
        <v>164</v>
      </c>
      <c r="H534" s="69">
        <v>-0.55000000000000004</v>
      </c>
    </row>
    <row r="535" spans="6:8">
      <c r="F535" s="68" t="s">
        <v>129</v>
      </c>
      <c r="G535" s="67" t="s">
        <v>164</v>
      </c>
      <c r="H535" s="69">
        <v>-0.25</v>
      </c>
    </row>
    <row r="536" spans="6:8">
      <c r="F536" s="68" t="s">
        <v>130</v>
      </c>
      <c r="G536" s="67" t="s">
        <v>164</v>
      </c>
      <c r="H536" s="69">
        <v>-0.95</v>
      </c>
    </row>
    <row r="537" spans="6:8">
      <c r="F537" s="68" t="s">
        <v>131</v>
      </c>
      <c r="G537" s="67" t="s">
        <v>164</v>
      </c>
      <c r="H537" s="69">
        <v>-0.35</v>
      </c>
    </row>
    <row r="538" spans="6:8">
      <c r="F538" s="68" t="s">
        <v>132</v>
      </c>
      <c r="G538" s="67" t="s">
        <v>164</v>
      </c>
      <c r="H538" s="69">
        <v>-0.95</v>
      </c>
    </row>
    <row r="539" spans="6:8">
      <c r="F539" s="68" t="s">
        <v>133</v>
      </c>
      <c r="G539" s="67" t="s">
        <v>164</v>
      </c>
      <c r="H539" s="69">
        <v>-0.35</v>
      </c>
    </row>
    <row r="540" spans="6:8">
      <c r="F540" s="68" t="s">
        <v>134</v>
      </c>
      <c r="G540" s="67" t="s">
        <v>164</v>
      </c>
      <c r="H540" s="69">
        <v>-1</v>
      </c>
    </row>
    <row r="541" spans="6:8">
      <c r="F541" s="68" t="s">
        <v>135</v>
      </c>
      <c r="G541" s="67" t="s">
        <v>164</v>
      </c>
      <c r="H541" s="69">
        <v>-0.35</v>
      </c>
    </row>
    <row r="542" spans="6:8">
      <c r="F542" s="68" t="s">
        <v>136</v>
      </c>
      <c r="G542" s="67" t="s">
        <v>164</v>
      </c>
      <c r="H542" s="69">
        <v>-0.95</v>
      </c>
    </row>
    <row r="543" spans="6:8">
      <c r="F543" s="68" t="s">
        <v>137</v>
      </c>
      <c r="G543" s="67" t="s">
        <v>164</v>
      </c>
      <c r="H543" s="69">
        <v>-0.5</v>
      </c>
    </row>
    <row r="544" spans="6:8">
      <c r="F544" s="68" t="s">
        <v>138</v>
      </c>
      <c r="G544" s="67" t="s">
        <v>164</v>
      </c>
      <c r="H544" s="69">
        <v>-0.7</v>
      </c>
    </row>
    <row r="545" spans="6:8">
      <c r="F545" s="68" t="s">
        <v>138</v>
      </c>
      <c r="G545" s="67" t="s">
        <v>165</v>
      </c>
      <c r="H545" s="69">
        <v>-0.7</v>
      </c>
    </row>
    <row r="546" spans="6:8">
      <c r="F546" s="68" t="s">
        <v>137</v>
      </c>
      <c r="G546" s="67" t="s">
        <v>165</v>
      </c>
      <c r="H546" s="69">
        <v>-0.5</v>
      </c>
    </row>
    <row r="547" spans="6:8">
      <c r="F547" s="68" t="s">
        <v>136</v>
      </c>
      <c r="G547" s="67" t="s">
        <v>165</v>
      </c>
      <c r="H547" s="69">
        <v>-0.95</v>
      </c>
    </row>
    <row r="548" spans="6:8">
      <c r="F548" s="68" t="s">
        <v>135</v>
      </c>
      <c r="G548" s="67" t="s">
        <v>165</v>
      </c>
      <c r="H548" s="69">
        <v>-0.35</v>
      </c>
    </row>
    <row r="549" spans="6:8">
      <c r="F549" s="68" t="s">
        <v>134</v>
      </c>
      <c r="G549" s="67" t="s">
        <v>165</v>
      </c>
      <c r="H549" s="69">
        <v>-1</v>
      </c>
    </row>
    <row r="550" spans="6:8">
      <c r="F550" s="68" t="s">
        <v>133</v>
      </c>
      <c r="G550" s="67" t="s">
        <v>165</v>
      </c>
      <c r="H550" s="69">
        <v>-0.35</v>
      </c>
    </row>
    <row r="551" spans="6:8">
      <c r="F551" s="68" t="s">
        <v>132</v>
      </c>
      <c r="G551" s="67" t="s">
        <v>165</v>
      </c>
      <c r="H551" s="69">
        <v>-0.95</v>
      </c>
    </row>
    <row r="552" spans="6:8">
      <c r="F552" s="68" t="s">
        <v>131</v>
      </c>
      <c r="G552" s="67" t="s">
        <v>165</v>
      </c>
      <c r="H552" s="69">
        <v>-0.35</v>
      </c>
    </row>
    <row r="553" spans="6:8">
      <c r="F553" s="68" t="s">
        <v>130</v>
      </c>
      <c r="G553" s="67" t="s">
        <v>165</v>
      </c>
      <c r="H553" s="69">
        <v>-0.95</v>
      </c>
    </row>
    <row r="554" spans="6:8">
      <c r="F554" s="68" t="s">
        <v>129</v>
      </c>
      <c r="G554" s="67" t="s">
        <v>165</v>
      </c>
      <c r="H554" s="69">
        <v>-0.25</v>
      </c>
    </row>
    <row r="555" spans="6:8">
      <c r="F555" s="68" t="s">
        <v>128</v>
      </c>
      <c r="G555" s="67" t="s">
        <v>165</v>
      </c>
      <c r="H555" s="69">
        <v>-0.55000000000000004</v>
      </c>
    </row>
    <row r="556" spans="6:8">
      <c r="F556" s="68" t="s">
        <v>127</v>
      </c>
      <c r="G556" s="67" t="s">
        <v>165</v>
      </c>
      <c r="H556" s="69">
        <v>-0.15</v>
      </c>
    </row>
    <row r="557" spans="6:8">
      <c r="F557" s="68" t="s">
        <v>126</v>
      </c>
      <c r="G557" s="67" t="s">
        <v>165</v>
      </c>
      <c r="H557" s="69">
        <v>-0.55000000000000004</v>
      </c>
    </row>
    <row r="558" spans="6:8">
      <c r="F558" s="68" t="s">
        <v>125</v>
      </c>
      <c r="G558" s="67" t="s">
        <v>165</v>
      </c>
      <c r="H558" s="69">
        <v>-1.1000000000000001</v>
      </c>
    </row>
    <row r="559" spans="6:8">
      <c r="F559" s="68" t="s">
        <v>124</v>
      </c>
      <c r="G559" s="67" t="s">
        <v>165</v>
      </c>
      <c r="H559" s="69">
        <v>-0.7</v>
      </c>
    </row>
    <row r="560" spans="6:8">
      <c r="F560" s="68" t="s">
        <v>123</v>
      </c>
      <c r="G560" s="67" t="s">
        <v>165</v>
      </c>
      <c r="H560" s="69">
        <v>-0.6</v>
      </c>
    </row>
    <row r="561" spans="6:8">
      <c r="F561" s="68" t="s">
        <v>122</v>
      </c>
      <c r="G561" s="67" t="s">
        <v>165</v>
      </c>
      <c r="H561" s="69">
        <v>-1.05</v>
      </c>
    </row>
    <row r="562" spans="6:8">
      <c r="F562" s="68" t="s">
        <v>121</v>
      </c>
      <c r="G562" s="67" t="s">
        <v>165</v>
      </c>
      <c r="H562" s="69">
        <v>-0.75</v>
      </c>
    </row>
    <row r="563" spans="6:8">
      <c r="F563" s="68" t="s">
        <v>120</v>
      </c>
      <c r="G563" s="67" t="s">
        <v>165</v>
      </c>
      <c r="H563" s="69">
        <v>-0.5</v>
      </c>
    </row>
    <row r="564" spans="6:8">
      <c r="F564" s="68" t="s">
        <v>119</v>
      </c>
      <c r="G564" s="67" t="s">
        <v>165</v>
      </c>
      <c r="H564" s="69">
        <v>-1</v>
      </c>
    </row>
    <row r="565" spans="6:8">
      <c r="F565" s="68" t="s">
        <v>119</v>
      </c>
      <c r="G565" s="67" t="s">
        <v>166</v>
      </c>
      <c r="H565" s="69">
        <v>-1</v>
      </c>
    </row>
    <row r="566" spans="6:8">
      <c r="F566" s="68" t="s">
        <v>120</v>
      </c>
      <c r="G566" s="67" t="s">
        <v>166</v>
      </c>
      <c r="H566" s="69">
        <v>-0.5</v>
      </c>
    </row>
    <row r="567" spans="6:8">
      <c r="F567" s="68" t="s">
        <v>121</v>
      </c>
      <c r="G567" s="67" t="s">
        <v>166</v>
      </c>
      <c r="H567" s="69">
        <v>-0.75</v>
      </c>
    </row>
    <row r="568" spans="6:8">
      <c r="F568" s="68" t="s">
        <v>122</v>
      </c>
      <c r="G568" s="67" t="s">
        <v>166</v>
      </c>
      <c r="H568" s="69">
        <v>-1.05</v>
      </c>
    </row>
    <row r="569" spans="6:8">
      <c r="F569" s="68" t="s">
        <v>123</v>
      </c>
      <c r="G569" s="67" t="s">
        <v>166</v>
      </c>
      <c r="H569" s="69">
        <v>-0.6</v>
      </c>
    </row>
    <row r="570" spans="6:8">
      <c r="F570" s="68" t="s">
        <v>124</v>
      </c>
      <c r="G570" s="67" t="s">
        <v>166</v>
      </c>
      <c r="H570" s="69">
        <v>-0.7</v>
      </c>
    </row>
    <row r="571" spans="6:8">
      <c r="F571" s="68" t="s">
        <v>125</v>
      </c>
      <c r="G571" s="67" t="s">
        <v>166</v>
      </c>
      <c r="H571" s="69">
        <v>-1.1000000000000001</v>
      </c>
    </row>
    <row r="572" spans="6:8">
      <c r="F572" s="68" t="s">
        <v>126</v>
      </c>
      <c r="G572" s="67" t="s">
        <v>166</v>
      </c>
      <c r="H572" s="69">
        <v>-0.55000000000000004</v>
      </c>
    </row>
    <row r="573" spans="6:8">
      <c r="F573" s="68" t="s">
        <v>127</v>
      </c>
      <c r="G573" s="67" t="s">
        <v>166</v>
      </c>
      <c r="H573" s="69">
        <v>-0.15</v>
      </c>
    </row>
    <row r="574" spans="6:8">
      <c r="F574" s="68" t="s">
        <v>128</v>
      </c>
      <c r="G574" s="67" t="s">
        <v>166</v>
      </c>
      <c r="H574" s="69">
        <v>-0.55000000000000004</v>
      </c>
    </row>
    <row r="575" spans="6:8">
      <c r="F575" s="68" t="s">
        <v>129</v>
      </c>
      <c r="G575" s="67" t="s">
        <v>166</v>
      </c>
      <c r="H575" s="69">
        <v>-0.25</v>
      </c>
    </row>
    <row r="576" spans="6:8">
      <c r="F576" s="68" t="s">
        <v>130</v>
      </c>
      <c r="G576" s="67" t="s">
        <v>166</v>
      </c>
      <c r="H576" s="69">
        <v>-0.95</v>
      </c>
    </row>
    <row r="577" spans="6:8">
      <c r="F577" s="68" t="s">
        <v>131</v>
      </c>
      <c r="G577" s="67" t="s">
        <v>166</v>
      </c>
      <c r="H577" s="69">
        <v>-0.35</v>
      </c>
    </row>
    <row r="578" spans="6:8">
      <c r="F578" s="68" t="s">
        <v>132</v>
      </c>
      <c r="G578" s="67" t="s">
        <v>166</v>
      </c>
      <c r="H578" s="69">
        <v>-0.95</v>
      </c>
    </row>
    <row r="579" spans="6:8">
      <c r="F579" s="68" t="s">
        <v>133</v>
      </c>
      <c r="G579" s="67" t="s">
        <v>166</v>
      </c>
      <c r="H579" s="69">
        <v>-0.35</v>
      </c>
    </row>
    <row r="580" spans="6:8">
      <c r="F580" s="68" t="s">
        <v>134</v>
      </c>
      <c r="G580" s="67" t="s">
        <v>166</v>
      </c>
      <c r="H580" s="69">
        <v>-1</v>
      </c>
    </row>
    <row r="581" spans="6:8">
      <c r="F581" s="68" t="s">
        <v>135</v>
      </c>
      <c r="G581" s="67" t="s">
        <v>166</v>
      </c>
      <c r="H581" s="69">
        <v>-0.35</v>
      </c>
    </row>
    <row r="582" spans="6:8">
      <c r="F582" s="68" t="s">
        <v>136</v>
      </c>
      <c r="G582" s="67" t="s">
        <v>166</v>
      </c>
      <c r="H582" s="69">
        <v>-0.95</v>
      </c>
    </row>
    <row r="583" spans="6:8">
      <c r="F583" s="68" t="s">
        <v>137</v>
      </c>
      <c r="G583" s="67" t="s">
        <v>166</v>
      </c>
      <c r="H583" s="69">
        <v>-0.5</v>
      </c>
    </row>
    <row r="584" spans="6:8">
      <c r="F584" s="68" t="s">
        <v>138</v>
      </c>
      <c r="G584" s="67" t="s">
        <v>166</v>
      </c>
      <c r="H584" s="69">
        <v>-0.7</v>
      </c>
    </row>
    <row r="585" spans="6:8">
      <c r="F585" s="68" t="s">
        <v>138</v>
      </c>
      <c r="G585" s="67" t="s">
        <v>167</v>
      </c>
      <c r="H585" s="69">
        <v>-0.7</v>
      </c>
    </row>
    <row r="586" spans="6:8">
      <c r="F586" s="68" t="s">
        <v>137</v>
      </c>
      <c r="G586" s="67" t="s">
        <v>167</v>
      </c>
      <c r="H586" s="69">
        <v>-0.5</v>
      </c>
    </row>
    <row r="587" spans="6:8">
      <c r="F587" s="68" t="s">
        <v>136</v>
      </c>
      <c r="G587" s="67" t="s">
        <v>167</v>
      </c>
      <c r="H587" s="69">
        <v>-0.95</v>
      </c>
    </row>
    <row r="588" spans="6:8">
      <c r="F588" s="68" t="s">
        <v>135</v>
      </c>
      <c r="G588" s="67" t="s">
        <v>167</v>
      </c>
      <c r="H588" s="69">
        <v>-0.35</v>
      </c>
    </row>
    <row r="589" spans="6:8">
      <c r="F589" s="68" t="s">
        <v>134</v>
      </c>
      <c r="G589" s="67" t="s">
        <v>167</v>
      </c>
      <c r="H589" s="69">
        <v>-1</v>
      </c>
    </row>
    <row r="590" spans="6:8">
      <c r="F590" s="68" t="s">
        <v>133</v>
      </c>
      <c r="G590" s="67" t="s">
        <v>167</v>
      </c>
      <c r="H590" s="69">
        <v>-0.35</v>
      </c>
    </row>
    <row r="591" spans="6:8">
      <c r="F591" s="68" t="s">
        <v>132</v>
      </c>
      <c r="G591" s="67" t="s">
        <v>167</v>
      </c>
      <c r="H591" s="69">
        <v>-0.95</v>
      </c>
    </row>
    <row r="592" spans="6:8">
      <c r="F592" s="68" t="s">
        <v>131</v>
      </c>
      <c r="G592" s="67" t="s">
        <v>167</v>
      </c>
      <c r="H592" s="69">
        <v>-0.35</v>
      </c>
    </row>
    <row r="593" spans="6:8">
      <c r="F593" s="68" t="s">
        <v>130</v>
      </c>
      <c r="G593" s="67" t="s">
        <v>167</v>
      </c>
      <c r="H593" s="69">
        <v>-0.95</v>
      </c>
    </row>
    <row r="594" spans="6:8">
      <c r="F594" s="68" t="s">
        <v>129</v>
      </c>
      <c r="G594" s="67" t="s">
        <v>167</v>
      </c>
      <c r="H594" s="69">
        <v>-0.25</v>
      </c>
    </row>
    <row r="595" spans="6:8">
      <c r="F595" s="68" t="s">
        <v>128</v>
      </c>
      <c r="G595" s="67" t="s">
        <v>167</v>
      </c>
      <c r="H595" s="69">
        <v>-0.55000000000000004</v>
      </c>
    </row>
    <row r="596" spans="6:8">
      <c r="F596" s="68" t="s">
        <v>127</v>
      </c>
      <c r="G596" s="67" t="s">
        <v>167</v>
      </c>
      <c r="H596" s="69">
        <v>-0.15</v>
      </c>
    </row>
    <row r="597" spans="6:8">
      <c r="F597" s="68" t="s">
        <v>126</v>
      </c>
      <c r="G597" s="67" t="s">
        <v>167</v>
      </c>
      <c r="H597" s="69">
        <v>-0.55000000000000004</v>
      </c>
    </row>
    <row r="598" spans="6:8">
      <c r="F598" s="68" t="s">
        <v>125</v>
      </c>
      <c r="G598" s="67" t="s">
        <v>167</v>
      </c>
      <c r="H598" s="69">
        <v>-1.1000000000000001</v>
      </c>
    </row>
    <row r="599" spans="6:8">
      <c r="F599" s="68" t="s">
        <v>124</v>
      </c>
      <c r="G599" s="67" t="s">
        <v>167</v>
      </c>
      <c r="H599" s="69">
        <v>-0.7</v>
      </c>
    </row>
    <row r="600" spans="6:8">
      <c r="F600" s="68" t="s">
        <v>123</v>
      </c>
      <c r="G600" s="67" t="s">
        <v>167</v>
      </c>
      <c r="H600" s="69">
        <v>-0.6</v>
      </c>
    </row>
    <row r="601" spans="6:8">
      <c r="F601" s="68" t="s">
        <v>122</v>
      </c>
      <c r="G601" s="67" t="s">
        <v>167</v>
      </c>
      <c r="H601" s="69">
        <v>-1.05</v>
      </c>
    </row>
    <row r="602" spans="6:8">
      <c r="F602" s="68" t="s">
        <v>121</v>
      </c>
      <c r="G602" s="67" t="s">
        <v>167</v>
      </c>
      <c r="H602" s="69">
        <v>-0.75</v>
      </c>
    </row>
    <row r="603" spans="6:8">
      <c r="F603" s="68" t="s">
        <v>120</v>
      </c>
      <c r="G603" s="67" t="s">
        <v>167</v>
      </c>
      <c r="H603" s="69">
        <v>-0.5</v>
      </c>
    </row>
    <row r="604" spans="6:8">
      <c r="F604" s="68" t="s">
        <v>119</v>
      </c>
      <c r="G604" s="67" t="s">
        <v>167</v>
      </c>
      <c r="H604" s="69">
        <v>-1</v>
      </c>
    </row>
    <row r="605" spans="6:8">
      <c r="F605" s="68" t="s">
        <v>119</v>
      </c>
      <c r="G605" s="67" t="s">
        <v>168</v>
      </c>
      <c r="H605" s="69">
        <v>-1</v>
      </c>
    </row>
    <row r="606" spans="6:8">
      <c r="F606" s="68" t="s">
        <v>120</v>
      </c>
      <c r="G606" s="67" t="s">
        <v>168</v>
      </c>
      <c r="H606" s="69">
        <v>-0.5</v>
      </c>
    </row>
    <row r="607" spans="6:8">
      <c r="F607" s="68" t="s">
        <v>121</v>
      </c>
      <c r="G607" s="67" t="s">
        <v>168</v>
      </c>
      <c r="H607" s="69">
        <v>-0.75</v>
      </c>
    </row>
    <row r="608" spans="6:8">
      <c r="F608" s="68" t="s">
        <v>122</v>
      </c>
      <c r="G608" s="67" t="s">
        <v>168</v>
      </c>
      <c r="H608" s="69">
        <v>-1.05</v>
      </c>
    </row>
    <row r="609" spans="6:8">
      <c r="F609" s="68" t="s">
        <v>123</v>
      </c>
      <c r="G609" s="67" t="s">
        <v>168</v>
      </c>
      <c r="H609" s="69">
        <v>-0.6</v>
      </c>
    </row>
    <row r="610" spans="6:8">
      <c r="F610" s="68" t="s">
        <v>124</v>
      </c>
      <c r="G610" s="67" t="s">
        <v>168</v>
      </c>
      <c r="H610" s="69">
        <v>-0.7</v>
      </c>
    </row>
    <row r="611" spans="6:8">
      <c r="F611" s="68" t="s">
        <v>125</v>
      </c>
      <c r="G611" s="67" t="s">
        <v>168</v>
      </c>
      <c r="H611" s="69">
        <v>-1.1000000000000001</v>
      </c>
    </row>
    <row r="612" spans="6:8">
      <c r="F612" s="68" t="s">
        <v>126</v>
      </c>
      <c r="G612" s="67" t="s">
        <v>168</v>
      </c>
      <c r="H612" s="69">
        <v>-0.55000000000000004</v>
      </c>
    </row>
    <row r="613" spans="6:8">
      <c r="F613" s="68" t="s">
        <v>127</v>
      </c>
      <c r="G613" s="67" t="s">
        <v>168</v>
      </c>
      <c r="H613" s="69">
        <v>-0.15</v>
      </c>
    </row>
    <row r="614" spans="6:8">
      <c r="F614" s="68" t="s">
        <v>128</v>
      </c>
      <c r="G614" s="67" t="s">
        <v>168</v>
      </c>
      <c r="H614" s="69">
        <v>-0.55000000000000004</v>
      </c>
    </row>
    <row r="615" spans="6:8">
      <c r="F615" s="68" t="s">
        <v>129</v>
      </c>
      <c r="G615" s="67" t="s">
        <v>168</v>
      </c>
      <c r="H615" s="69">
        <v>-0.25</v>
      </c>
    </row>
    <row r="616" spans="6:8">
      <c r="F616" s="68" t="s">
        <v>130</v>
      </c>
      <c r="G616" s="67" t="s">
        <v>168</v>
      </c>
      <c r="H616" s="69">
        <v>-0.95</v>
      </c>
    </row>
    <row r="617" spans="6:8">
      <c r="F617" s="68" t="s">
        <v>131</v>
      </c>
      <c r="G617" s="67" t="s">
        <v>168</v>
      </c>
      <c r="H617" s="69">
        <v>-0.35</v>
      </c>
    </row>
    <row r="618" spans="6:8">
      <c r="F618" s="68" t="s">
        <v>132</v>
      </c>
      <c r="G618" s="67" t="s">
        <v>168</v>
      </c>
      <c r="H618" s="69">
        <v>-0.95</v>
      </c>
    </row>
    <row r="619" spans="6:8">
      <c r="F619" s="68" t="s">
        <v>133</v>
      </c>
      <c r="G619" s="67" t="s">
        <v>168</v>
      </c>
      <c r="H619" s="69">
        <v>-0.35</v>
      </c>
    </row>
    <row r="620" spans="6:8">
      <c r="F620" s="68" t="s">
        <v>134</v>
      </c>
      <c r="G620" s="67" t="s">
        <v>168</v>
      </c>
      <c r="H620" s="69">
        <v>-1</v>
      </c>
    </row>
    <row r="621" spans="6:8">
      <c r="F621" s="68" t="s">
        <v>135</v>
      </c>
      <c r="G621" s="67" t="s">
        <v>168</v>
      </c>
      <c r="H621" s="69">
        <v>-0.35</v>
      </c>
    </row>
    <row r="622" spans="6:8">
      <c r="F622" s="68" t="s">
        <v>136</v>
      </c>
      <c r="G622" s="67" t="s">
        <v>168</v>
      </c>
      <c r="H622" s="69">
        <v>-0.95</v>
      </c>
    </row>
    <row r="623" spans="6:8">
      <c r="F623" s="68" t="s">
        <v>137</v>
      </c>
      <c r="G623" s="67" t="s">
        <v>168</v>
      </c>
      <c r="H623" s="69">
        <v>-0.5</v>
      </c>
    </row>
    <row r="624" spans="6:8">
      <c r="F624" s="68" t="s">
        <v>138</v>
      </c>
      <c r="G624" s="67" t="s">
        <v>168</v>
      </c>
      <c r="H624" s="69">
        <v>-0.7</v>
      </c>
    </row>
    <row r="625" spans="6:8">
      <c r="F625" s="68" t="s">
        <v>138</v>
      </c>
      <c r="G625" s="67" t="s">
        <v>169</v>
      </c>
      <c r="H625" s="69">
        <v>-0.7</v>
      </c>
    </row>
    <row r="626" spans="6:8">
      <c r="F626" s="68" t="s">
        <v>137</v>
      </c>
      <c r="G626" s="67" t="s">
        <v>169</v>
      </c>
      <c r="H626" s="69">
        <v>-0.5</v>
      </c>
    </row>
    <row r="627" spans="6:8">
      <c r="F627" s="68" t="s">
        <v>136</v>
      </c>
      <c r="G627" s="67" t="s">
        <v>169</v>
      </c>
      <c r="H627" s="69">
        <v>-0.95</v>
      </c>
    </row>
    <row r="628" spans="6:8">
      <c r="F628" s="68" t="s">
        <v>135</v>
      </c>
      <c r="G628" s="67" t="s">
        <v>169</v>
      </c>
      <c r="H628" s="69">
        <v>-0.35</v>
      </c>
    </row>
    <row r="629" spans="6:8">
      <c r="F629" s="68" t="s">
        <v>134</v>
      </c>
      <c r="G629" s="67" t="s">
        <v>169</v>
      </c>
      <c r="H629" s="69">
        <v>-1</v>
      </c>
    </row>
    <row r="630" spans="6:8">
      <c r="F630" s="68" t="s">
        <v>133</v>
      </c>
      <c r="G630" s="67" t="s">
        <v>169</v>
      </c>
      <c r="H630" s="69">
        <v>-0.35</v>
      </c>
    </row>
    <row r="631" spans="6:8">
      <c r="F631" s="68" t="s">
        <v>132</v>
      </c>
      <c r="G631" s="67" t="s">
        <v>169</v>
      </c>
      <c r="H631" s="69">
        <v>-0.95</v>
      </c>
    </row>
    <row r="632" spans="6:8">
      <c r="F632" s="68" t="s">
        <v>131</v>
      </c>
      <c r="G632" s="67" t="s">
        <v>169</v>
      </c>
      <c r="H632" s="69">
        <v>-0.35</v>
      </c>
    </row>
    <row r="633" spans="6:8">
      <c r="F633" s="68" t="s">
        <v>130</v>
      </c>
      <c r="G633" s="67" t="s">
        <v>169</v>
      </c>
      <c r="H633" s="69">
        <v>-0.95</v>
      </c>
    </row>
    <row r="634" spans="6:8">
      <c r="F634" s="68" t="s">
        <v>129</v>
      </c>
      <c r="G634" s="67" t="s">
        <v>169</v>
      </c>
      <c r="H634" s="69">
        <v>-0.25</v>
      </c>
    </row>
    <row r="635" spans="6:8">
      <c r="F635" s="68" t="s">
        <v>128</v>
      </c>
      <c r="G635" s="67" t="s">
        <v>169</v>
      </c>
      <c r="H635" s="69">
        <v>-0.55000000000000004</v>
      </c>
    </row>
    <row r="636" spans="6:8">
      <c r="F636" s="68" t="s">
        <v>127</v>
      </c>
      <c r="G636" s="67" t="s">
        <v>169</v>
      </c>
      <c r="H636" s="69">
        <v>-0.15</v>
      </c>
    </row>
    <row r="637" spans="6:8">
      <c r="F637" s="68" t="s">
        <v>126</v>
      </c>
      <c r="G637" s="67" t="s">
        <v>169</v>
      </c>
      <c r="H637" s="69">
        <v>-0.55000000000000004</v>
      </c>
    </row>
    <row r="638" spans="6:8">
      <c r="F638" s="68" t="s">
        <v>125</v>
      </c>
      <c r="G638" s="67" t="s">
        <v>169</v>
      </c>
      <c r="H638" s="69">
        <v>-1.1000000000000001</v>
      </c>
    </row>
    <row r="639" spans="6:8">
      <c r="F639" s="68" t="s">
        <v>124</v>
      </c>
      <c r="G639" s="67" t="s">
        <v>169</v>
      </c>
      <c r="H639" s="69">
        <v>-0.7</v>
      </c>
    </row>
    <row r="640" spans="6:8">
      <c r="F640" s="68" t="s">
        <v>123</v>
      </c>
      <c r="G640" s="67" t="s">
        <v>169</v>
      </c>
      <c r="H640" s="69">
        <v>-0.6</v>
      </c>
    </row>
    <row r="641" spans="6:8">
      <c r="F641" s="68" t="s">
        <v>122</v>
      </c>
      <c r="G641" s="67" t="s">
        <v>169</v>
      </c>
      <c r="H641" s="69">
        <v>-1.05</v>
      </c>
    </row>
    <row r="642" spans="6:8">
      <c r="F642" s="68" t="s">
        <v>121</v>
      </c>
      <c r="G642" s="67" t="s">
        <v>169</v>
      </c>
      <c r="H642" s="69">
        <v>-0.75</v>
      </c>
    </row>
    <row r="643" spans="6:8">
      <c r="F643" s="68" t="s">
        <v>120</v>
      </c>
      <c r="G643" s="67" t="s">
        <v>169</v>
      </c>
      <c r="H643" s="69">
        <v>-0.5</v>
      </c>
    </row>
    <row r="644" spans="6:8">
      <c r="F644" s="68" t="s">
        <v>119</v>
      </c>
      <c r="G644" s="67" t="s">
        <v>169</v>
      </c>
      <c r="H644" s="69">
        <v>-1</v>
      </c>
    </row>
    <row r="645" spans="6:8">
      <c r="F645" s="68" t="s">
        <v>119</v>
      </c>
      <c r="G645" s="67" t="s">
        <v>170</v>
      </c>
      <c r="H645" s="69">
        <v>-1</v>
      </c>
    </row>
    <row r="646" spans="6:8">
      <c r="F646" s="68" t="s">
        <v>120</v>
      </c>
      <c r="G646" s="67" t="s">
        <v>170</v>
      </c>
      <c r="H646" s="69">
        <v>-0.5</v>
      </c>
    </row>
    <row r="647" spans="6:8">
      <c r="F647" s="68" t="s">
        <v>121</v>
      </c>
      <c r="G647" s="67" t="s">
        <v>170</v>
      </c>
      <c r="H647" s="69">
        <v>-0.75</v>
      </c>
    </row>
    <row r="648" spans="6:8">
      <c r="F648" s="68" t="s">
        <v>122</v>
      </c>
      <c r="G648" s="67" t="s">
        <v>170</v>
      </c>
      <c r="H648" s="69">
        <v>-1.05</v>
      </c>
    </row>
    <row r="649" spans="6:8">
      <c r="F649" s="68" t="s">
        <v>123</v>
      </c>
      <c r="G649" s="67" t="s">
        <v>170</v>
      </c>
      <c r="H649" s="69">
        <v>-0.6</v>
      </c>
    </row>
    <row r="650" spans="6:8">
      <c r="F650" s="68" t="s">
        <v>124</v>
      </c>
      <c r="G650" s="67" t="s">
        <v>170</v>
      </c>
      <c r="H650" s="69">
        <v>-0.7</v>
      </c>
    </row>
    <row r="651" spans="6:8">
      <c r="F651" s="68" t="s">
        <v>125</v>
      </c>
      <c r="G651" s="67" t="s">
        <v>170</v>
      </c>
      <c r="H651" s="69">
        <v>-1.1000000000000001</v>
      </c>
    </row>
    <row r="652" spans="6:8">
      <c r="F652" s="68" t="s">
        <v>126</v>
      </c>
      <c r="G652" s="67" t="s">
        <v>170</v>
      </c>
      <c r="H652" s="69">
        <v>-0.55000000000000004</v>
      </c>
    </row>
    <row r="653" spans="6:8">
      <c r="F653" s="68" t="s">
        <v>127</v>
      </c>
      <c r="G653" s="67" t="s">
        <v>170</v>
      </c>
      <c r="H653" s="69">
        <v>-0.15</v>
      </c>
    </row>
    <row r="654" spans="6:8">
      <c r="F654" s="68" t="s">
        <v>128</v>
      </c>
      <c r="G654" s="67" t="s">
        <v>170</v>
      </c>
      <c r="H654" s="69">
        <v>-0.55000000000000004</v>
      </c>
    </row>
    <row r="655" spans="6:8">
      <c r="F655" s="68" t="s">
        <v>129</v>
      </c>
      <c r="G655" s="67" t="s">
        <v>170</v>
      </c>
      <c r="H655" s="69">
        <v>-0.25</v>
      </c>
    </row>
    <row r="656" spans="6:8">
      <c r="F656" s="68" t="s">
        <v>130</v>
      </c>
      <c r="G656" s="67" t="s">
        <v>170</v>
      </c>
      <c r="H656" s="69">
        <v>-0.95</v>
      </c>
    </row>
    <row r="657" spans="6:8">
      <c r="F657" s="68" t="s">
        <v>131</v>
      </c>
      <c r="G657" s="67" t="s">
        <v>170</v>
      </c>
      <c r="H657" s="69">
        <v>-0.35</v>
      </c>
    </row>
    <row r="658" spans="6:8">
      <c r="F658" s="68" t="s">
        <v>132</v>
      </c>
      <c r="G658" s="67" t="s">
        <v>170</v>
      </c>
      <c r="H658" s="69">
        <v>-0.95</v>
      </c>
    </row>
    <row r="659" spans="6:8">
      <c r="F659" s="68" t="s">
        <v>133</v>
      </c>
      <c r="G659" s="67" t="s">
        <v>170</v>
      </c>
      <c r="H659" s="69">
        <v>-0.35</v>
      </c>
    </row>
    <row r="660" spans="6:8">
      <c r="F660" s="68" t="s">
        <v>134</v>
      </c>
      <c r="G660" s="67" t="s">
        <v>170</v>
      </c>
      <c r="H660" s="69">
        <v>-1</v>
      </c>
    </row>
    <row r="661" spans="6:8">
      <c r="F661" s="68" t="s">
        <v>135</v>
      </c>
      <c r="G661" s="67" t="s">
        <v>170</v>
      </c>
      <c r="H661" s="69">
        <v>-0.35</v>
      </c>
    </row>
    <row r="662" spans="6:8">
      <c r="F662" s="68" t="s">
        <v>136</v>
      </c>
      <c r="G662" s="67" t="s">
        <v>170</v>
      </c>
      <c r="H662" s="69">
        <v>-0.95</v>
      </c>
    </row>
    <row r="663" spans="6:8">
      <c r="F663" s="68" t="s">
        <v>137</v>
      </c>
      <c r="G663" s="67" t="s">
        <v>170</v>
      </c>
      <c r="H663" s="69">
        <v>-0.5</v>
      </c>
    </row>
    <row r="664" spans="6:8">
      <c r="F664" s="68" t="s">
        <v>138</v>
      </c>
      <c r="G664" s="67" t="s">
        <v>170</v>
      </c>
      <c r="H664" s="69">
        <v>-0.7</v>
      </c>
    </row>
    <row r="665" spans="6:8">
      <c r="F665" s="68" t="s">
        <v>138</v>
      </c>
      <c r="G665" s="67" t="s">
        <v>171</v>
      </c>
      <c r="H665" s="69">
        <v>-0.7</v>
      </c>
    </row>
    <row r="666" spans="6:8">
      <c r="F666" s="68" t="s">
        <v>137</v>
      </c>
      <c r="G666" s="67" t="s">
        <v>171</v>
      </c>
      <c r="H666" s="69">
        <v>-0.5</v>
      </c>
    </row>
    <row r="667" spans="6:8">
      <c r="F667" s="68" t="s">
        <v>136</v>
      </c>
      <c r="G667" s="67" t="s">
        <v>171</v>
      </c>
      <c r="H667" s="69">
        <v>-0.95</v>
      </c>
    </row>
    <row r="668" spans="6:8">
      <c r="F668" s="68" t="s">
        <v>135</v>
      </c>
      <c r="G668" s="67" t="s">
        <v>171</v>
      </c>
      <c r="H668" s="69">
        <v>-0.35</v>
      </c>
    </row>
    <row r="669" spans="6:8">
      <c r="F669" s="68" t="s">
        <v>134</v>
      </c>
      <c r="G669" s="67" t="s">
        <v>171</v>
      </c>
      <c r="H669" s="69">
        <v>-1</v>
      </c>
    </row>
    <row r="670" spans="6:8">
      <c r="F670" s="68" t="s">
        <v>133</v>
      </c>
      <c r="G670" s="67" t="s">
        <v>171</v>
      </c>
      <c r="H670" s="69">
        <v>-0.35</v>
      </c>
    </row>
    <row r="671" spans="6:8">
      <c r="F671" s="68" t="s">
        <v>132</v>
      </c>
      <c r="G671" s="67" t="s">
        <v>171</v>
      </c>
      <c r="H671" s="69">
        <v>-0.95</v>
      </c>
    </row>
    <row r="672" spans="6:8">
      <c r="F672" s="68" t="s">
        <v>131</v>
      </c>
      <c r="G672" s="67" t="s">
        <v>171</v>
      </c>
      <c r="H672" s="69">
        <v>-0.35</v>
      </c>
    </row>
    <row r="673" spans="6:8">
      <c r="F673" s="68" t="s">
        <v>130</v>
      </c>
      <c r="G673" s="67" t="s">
        <v>171</v>
      </c>
      <c r="H673" s="69">
        <v>-0.95</v>
      </c>
    </row>
    <row r="674" spans="6:8">
      <c r="F674" s="68" t="s">
        <v>129</v>
      </c>
      <c r="G674" s="67" t="s">
        <v>171</v>
      </c>
      <c r="H674" s="69">
        <v>-0.25</v>
      </c>
    </row>
    <row r="675" spans="6:8">
      <c r="F675" s="68" t="s">
        <v>128</v>
      </c>
      <c r="G675" s="67" t="s">
        <v>171</v>
      </c>
      <c r="H675" s="69">
        <v>-0.55000000000000004</v>
      </c>
    </row>
    <row r="676" spans="6:8">
      <c r="F676" s="68" t="s">
        <v>127</v>
      </c>
      <c r="G676" s="67" t="s">
        <v>171</v>
      </c>
      <c r="H676" s="69">
        <v>-0.15</v>
      </c>
    </row>
    <row r="677" spans="6:8">
      <c r="F677" s="68" t="s">
        <v>126</v>
      </c>
      <c r="G677" s="67" t="s">
        <v>171</v>
      </c>
      <c r="H677" s="69">
        <v>-0.55000000000000004</v>
      </c>
    </row>
    <row r="678" spans="6:8">
      <c r="F678" s="68" t="s">
        <v>125</v>
      </c>
      <c r="G678" s="67" t="s">
        <v>171</v>
      </c>
      <c r="H678" s="69">
        <v>-1.1000000000000001</v>
      </c>
    </row>
    <row r="679" spans="6:8">
      <c r="F679" s="68" t="s">
        <v>124</v>
      </c>
      <c r="G679" s="67" t="s">
        <v>171</v>
      </c>
      <c r="H679" s="69">
        <v>-0.7</v>
      </c>
    </row>
    <row r="680" spans="6:8">
      <c r="F680" s="68" t="s">
        <v>123</v>
      </c>
      <c r="G680" s="67" t="s">
        <v>171</v>
      </c>
      <c r="H680" s="69">
        <v>-0.6</v>
      </c>
    </row>
    <row r="681" spans="6:8">
      <c r="F681" s="68" t="s">
        <v>122</v>
      </c>
      <c r="G681" s="67" t="s">
        <v>171</v>
      </c>
      <c r="H681" s="69">
        <v>-1.05</v>
      </c>
    </row>
    <row r="682" spans="6:8">
      <c r="F682" s="68" t="s">
        <v>121</v>
      </c>
      <c r="G682" s="67" t="s">
        <v>171</v>
      </c>
      <c r="H682" s="69">
        <v>-0.75</v>
      </c>
    </row>
    <row r="683" spans="6:8">
      <c r="F683" s="68" t="s">
        <v>120</v>
      </c>
      <c r="G683" s="67" t="s">
        <v>171</v>
      </c>
      <c r="H683" s="69">
        <v>-0.5</v>
      </c>
    </row>
    <row r="684" spans="6:8">
      <c r="F684" s="68" t="s">
        <v>119</v>
      </c>
      <c r="G684" s="67" t="s">
        <v>171</v>
      </c>
      <c r="H684" s="69">
        <v>-1</v>
      </c>
    </row>
    <row r="685" spans="6:8">
      <c r="F685" s="68" t="s">
        <v>119</v>
      </c>
      <c r="G685" s="67" t="s">
        <v>172</v>
      </c>
      <c r="H685" s="69">
        <v>-1</v>
      </c>
    </row>
    <row r="686" spans="6:8">
      <c r="F686" s="68" t="s">
        <v>120</v>
      </c>
      <c r="G686" s="67" t="s">
        <v>172</v>
      </c>
      <c r="H686" s="69">
        <v>-0.5</v>
      </c>
    </row>
    <row r="687" spans="6:8">
      <c r="F687" s="68" t="s">
        <v>121</v>
      </c>
      <c r="G687" s="67" t="s">
        <v>172</v>
      </c>
      <c r="H687" s="69">
        <v>-0.75</v>
      </c>
    </row>
    <row r="688" spans="6:8">
      <c r="F688" s="68" t="s">
        <v>122</v>
      </c>
      <c r="G688" s="67" t="s">
        <v>172</v>
      </c>
      <c r="H688" s="69">
        <v>-1.05</v>
      </c>
    </row>
    <row r="689" spans="6:8">
      <c r="F689" s="68" t="s">
        <v>123</v>
      </c>
      <c r="G689" s="67" t="s">
        <v>172</v>
      </c>
      <c r="H689" s="69">
        <v>-0.6</v>
      </c>
    </row>
    <row r="690" spans="6:8">
      <c r="F690" s="68" t="s">
        <v>124</v>
      </c>
      <c r="G690" s="67" t="s">
        <v>172</v>
      </c>
      <c r="H690" s="69">
        <v>-0.7</v>
      </c>
    </row>
    <row r="691" spans="6:8">
      <c r="F691" s="68" t="s">
        <v>125</v>
      </c>
      <c r="G691" s="67" t="s">
        <v>172</v>
      </c>
      <c r="H691" s="69">
        <v>-1.1000000000000001</v>
      </c>
    </row>
    <row r="692" spans="6:8">
      <c r="F692" s="68" t="s">
        <v>126</v>
      </c>
      <c r="G692" s="67" t="s">
        <v>172</v>
      </c>
      <c r="H692" s="69">
        <v>-0.55000000000000004</v>
      </c>
    </row>
    <row r="693" spans="6:8">
      <c r="F693" s="68" t="s">
        <v>127</v>
      </c>
      <c r="G693" s="67" t="s">
        <v>172</v>
      </c>
      <c r="H693" s="69">
        <v>-0.15</v>
      </c>
    </row>
    <row r="694" spans="6:8">
      <c r="F694" s="68" t="s">
        <v>128</v>
      </c>
      <c r="G694" s="67" t="s">
        <v>172</v>
      </c>
      <c r="H694" s="69">
        <v>-0.55000000000000004</v>
      </c>
    </row>
    <row r="695" spans="6:8">
      <c r="F695" s="68" t="s">
        <v>129</v>
      </c>
      <c r="G695" s="67" t="s">
        <v>172</v>
      </c>
      <c r="H695" s="69">
        <v>-0.25</v>
      </c>
    </row>
    <row r="696" spans="6:8">
      <c r="F696" s="68" t="s">
        <v>130</v>
      </c>
      <c r="G696" s="67" t="s">
        <v>172</v>
      </c>
      <c r="H696" s="69">
        <v>-0.95</v>
      </c>
    </row>
    <row r="697" spans="6:8">
      <c r="F697" s="68" t="s">
        <v>131</v>
      </c>
      <c r="G697" s="67" t="s">
        <v>172</v>
      </c>
      <c r="H697" s="69">
        <v>-0.35</v>
      </c>
    </row>
    <row r="698" spans="6:8">
      <c r="F698" s="68" t="s">
        <v>132</v>
      </c>
      <c r="G698" s="67" t="s">
        <v>172</v>
      </c>
      <c r="H698" s="69">
        <v>-0.95</v>
      </c>
    </row>
    <row r="699" spans="6:8">
      <c r="F699" s="68" t="s">
        <v>133</v>
      </c>
      <c r="G699" s="67" t="s">
        <v>172</v>
      </c>
      <c r="H699" s="69">
        <v>-0.35</v>
      </c>
    </row>
    <row r="700" spans="6:8">
      <c r="F700" s="68" t="s">
        <v>134</v>
      </c>
      <c r="G700" s="67" t="s">
        <v>172</v>
      </c>
      <c r="H700" s="69">
        <v>-1</v>
      </c>
    </row>
    <row r="701" spans="6:8">
      <c r="F701" s="68" t="s">
        <v>135</v>
      </c>
      <c r="G701" s="67" t="s">
        <v>172</v>
      </c>
      <c r="H701" s="69">
        <v>-0.35</v>
      </c>
    </row>
    <row r="702" spans="6:8">
      <c r="F702" s="68" t="s">
        <v>136</v>
      </c>
      <c r="G702" s="67" t="s">
        <v>172</v>
      </c>
      <c r="H702" s="69">
        <v>-0.95</v>
      </c>
    </row>
    <row r="703" spans="6:8">
      <c r="F703" s="68" t="s">
        <v>137</v>
      </c>
      <c r="G703" s="67" t="s">
        <v>172</v>
      </c>
      <c r="H703" s="69">
        <v>-0.5</v>
      </c>
    </row>
    <row r="704" spans="6:8">
      <c r="F704" s="68" t="s">
        <v>138</v>
      </c>
      <c r="G704" s="67" t="s">
        <v>172</v>
      </c>
      <c r="H704" s="69">
        <v>-0.7</v>
      </c>
    </row>
    <row r="705" spans="6:8">
      <c r="F705" s="68" t="s">
        <v>138</v>
      </c>
      <c r="G705" s="67" t="s">
        <v>173</v>
      </c>
      <c r="H705" s="69">
        <v>-0.7</v>
      </c>
    </row>
    <row r="706" spans="6:8">
      <c r="F706" s="68" t="s">
        <v>137</v>
      </c>
      <c r="G706" s="67" t="s">
        <v>173</v>
      </c>
      <c r="H706" s="69">
        <v>-0.5</v>
      </c>
    </row>
    <row r="707" spans="6:8">
      <c r="F707" s="68" t="s">
        <v>136</v>
      </c>
      <c r="G707" s="67" t="s">
        <v>173</v>
      </c>
      <c r="H707" s="69">
        <v>-0.95</v>
      </c>
    </row>
    <row r="708" spans="6:8">
      <c r="F708" s="68" t="s">
        <v>135</v>
      </c>
      <c r="G708" s="67" t="s">
        <v>173</v>
      </c>
      <c r="H708" s="69">
        <v>-0.35</v>
      </c>
    </row>
    <row r="709" spans="6:8">
      <c r="F709" s="68" t="s">
        <v>134</v>
      </c>
      <c r="G709" s="67" t="s">
        <v>173</v>
      </c>
      <c r="H709" s="69">
        <v>-1</v>
      </c>
    </row>
    <row r="710" spans="6:8">
      <c r="F710" s="68" t="s">
        <v>133</v>
      </c>
      <c r="G710" s="67" t="s">
        <v>173</v>
      </c>
      <c r="H710" s="69">
        <v>-0.35</v>
      </c>
    </row>
    <row r="711" spans="6:8">
      <c r="F711" s="68" t="s">
        <v>132</v>
      </c>
      <c r="G711" s="67" t="s">
        <v>173</v>
      </c>
      <c r="H711" s="69">
        <v>-0.95</v>
      </c>
    </row>
    <row r="712" spans="6:8">
      <c r="F712" s="68" t="s">
        <v>131</v>
      </c>
      <c r="G712" s="67" t="s">
        <v>173</v>
      </c>
      <c r="H712" s="69">
        <v>-0.35</v>
      </c>
    </row>
    <row r="713" spans="6:8">
      <c r="F713" s="68" t="s">
        <v>130</v>
      </c>
      <c r="G713" s="67" t="s">
        <v>173</v>
      </c>
      <c r="H713" s="69">
        <v>-0.95</v>
      </c>
    </row>
    <row r="714" spans="6:8">
      <c r="F714" s="68" t="s">
        <v>129</v>
      </c>
      <c r="G714" s="67" t="s">
        <v>173</v>
      </c>
      <c r="H714" s="69">
        <v>-0.25</v>
      </c>
    </row>
    <row r="715" spans="6:8">
      <c r="F715" s="68" t="s">
        <v>128</v>
      </c>
      <c r="G715" s="67" t="s">
        <v>173</v>
      </c>
      <c r="H715" s="69">
        <v>-0.55000000000000004</v>
      </c>
    </row>
    <row r="716" spans="6:8">
      <c r="F716" s="68" t="s">
        <v>127</v>
      </c>
      <c r="G716" s="67" t="s">
        <v>173</v>
      </c>
      <c r="H716" s="69">
        <v>-0.15</v>
      </c>
    </row>
    <row r="717" spans="6:8">
      <c r="F717" s="68" t="s">
        <v>126</v>
      </c>
      <c r="G717" s="67" t="s">
        <v>173</v>
      </c>
      <c r="H717" s="69">
        <v>-0.55000000000000004</v>
      </c>
    </row>
    <row r="718" spans="6:8">
      <c r="F718" s="68" t="s">
        <v>125</v>
      </c>
      <c r="G718" s="67" t="s">
        <v>173</v>
      </c>
      <c r="H718" s="69">
        <v>-1.1000000000000001</v>
      </c>
    </row>
    <row r="719" spans="6:8">
      <c r="F719" s="68" t="s">
        <v>124</v>
      </c>
      <c r="G719" s="67" t="s">
        <v>173</v>
      </c>
      <c r="H719" s="69">
        <v>-0.7</v>
      </c>
    </row>
    <row r="720" spans="6:8">
      <c r="F720" s="68" t="s">
        <v>123</v>
      </c>
      <c r="G720" s="67" t="s">
        <v>173</v>
      </c>
      <c r="H720" s="69">
        <v>-0.6</v>
      </c>
    </row>
    <row r="721" spans="6:8">
      <c r="F721" s="68" t="s">
        <v>122</v>
      </c>
      <c r="G721" s="67" t="s">
        <v>173</v>
      </c>
      <c r="H721" s="69">
        <v>-1.05</v>
      </c>
    </row>
    <row r="722" spans="6:8">
      <c r="F722" s="68" t="s">
        <v>121</v>
      </c>
      <c r="G722" s="67" t="s">
        <v>173</v>
      </c>
      <c r="H722" s="69">
        <v>-0.75</v>
      </c>
    </row>
    <row r="723" spans="6:8">
      <c r="F723" s="68" t="s">
        <v>120</v>
      </c>
      <c r="G723" s="67" t="s">
        <v>173</v>
      </c>
      <c r="H723" s="69">
        <v>-0.5</v>
      </c>
    </row>
    <row r="724" spans="6:8">
      <c r="F724" s="68" t="s">
        <v>119</v>
      </c>
      <c r="G724" s="67" t="s">
        <v>173</v>
      </c>
      <c r="H724" s="69">
        <v>-1</v>
      </c>
    </row>
    <row r="725" spans="6:8">
      <c r="F725" s="68" t="s">
        <v>119</v>
      </c>
      <c r="G725" s="67" t="s">
        <v>174</v>
      </c>
      <c r="H725" s="69">
        <v>-1</v>
      </c>
    </row>
    <row r="726" spans="6:8">
      <c r="F726" s="68" t="s">
        <v>120</v>
      </c>
      <c r="G726" s="67" t="s">
        <v>174</v>
      </c>
      <c r="H726" s="69">
        <v>-0.5</v>
      </c>
    </row>
    <row r="727" spans="6:8">
      <c r="F727" s="68" t="s">
        <v>121</v>
      </c>
      <c r="G727" s="67" t="s">
        <v>174</v>
      </c>
      <c r="H727" s="69">
        <v>-0.75</v>
      </c>
    </row>
    <row r="728" spans="6:8">
      <c r="F728" s="68" t="s">
        <v>122</v>
      </c>
      <c r="G728" s="67" t="s">
        <v>174</v>
      </c>
      <c r="H728" s="69">
        <v>-1.05</v>
      </c>
    </row>
    <row r="729" spans="6:8">
      <c r="F729" s="68" t="s">
        <v>123</v>
      </c>
      <c r="G729" s="67" t="s">
        <v>174</v>
      </c>
      <c r="H729" s="69">
        <v>-0.6</v>
      </c>
    </row>
    <row r="730" spans="6:8">
      <c r="F730" s="68" t="s">
        <v>124</v>
      </c>
      <c r="G730" s="67" t="s">
        <v>174</v>
      </c>
      <c r="H730" s="69">
        <v>-0.7</v>
      </c>
    </row>
    <row r="731" spans="6:8">
      <c r="F731" s="68" t="s">
        <v>125</v>
      </c>
      <c r="G731" s="67" t="s">
        <v>174</v>
      </c>
      <c r="H731" s="69">
        <v>-1.1000000000000001</v>
      </c>
    </row>
    <row r="732" spans="6:8">
      <c r="F732" s="68" t="s">
        <v>126</v>
      </c>
      <c r="G732" s="67" t="s">
        <v>174</v>
      </c>
      <c r="H732" s="69">
        <v>-0.55000000000000004</v>
      </c>
    </row>
    <row r="733" spans="6:8">
      <c r="F733" s="68" t="s">
        <v>127</v>
      </c>
      <c r="G733" s="67" t="s">
        <v>174</v>
      </c>
      <c r="H733" s="69">
        <v>-0.15</v>
      </c>
    </row>
    <row r="734" spans="6:8">
      <c r="F734" s="68" t="s">
        <v>128</v>
      </c>
      <c r="G734" s="67" t="s">
        <v>174</v>
      </c>
      <c r="H734" s="69">
        <v>-0.55000000000000004</v>
      </c>
    </row>
    <row r="735" spans="6:8">
      <c r="F735" s="68" t="s">
        <v>129</v>
      </c>
      <c r="G735" s="67" t="s">
        <v>174</v>
      </c>
      <c r="H735" s="69">
        <v>-0.25</v>
      </c>
    </row>
    <row r="736" spans="6:8">
      <c r="F736" s="68" t="s">
        <v>130</v>
      </c>
      <c r="G736" s="67" t="s">
        <v>174</v>
      </c>
      <c r="H736" s="69">
        <v>-0.95</v>
      </c>
    </row>
    <row r="737" spans="6:8">
      <c r="F737" s="68" t="s">
        <v>131</v>
      </c>
      <c r="G737" s="67" t="s">
        <v>174</v>
      </c>
      <c r="H737" s="69">
        <v>-0.35</v>
      </c>
    </row>
    <row r="738" spans="6:8">
      <c r="F738" s="68" t="s">
        <v>132</v>
      </c>
      <c r="G738" s="67" t="s">
        <v>174</v>
      </c>
      <c r="H738" s="69">
        <v>-0.95</v>
      </c>
    </row>
    <row r="739" spans="6:8">
      <c r="F739" s="68" t="s">
        <v>133</v>
      </c>
      <c r="G739" s="67" t="s">
        <v>174</v>
      </c>
      <c r="H739" s="69">
        <v>-0.35</v>
      </c>
    </row>
    <row r="740" spans="6:8">
      <c r="F740" s="68" t="s">
        <v>134</v>
      </c>
      <c r="G740" s="67" t="s">
        <v>174</v>
      </c>
      <c r="H740" s="69">
        <v>-1</v>
      </c>
    </row>
    <row r="741" spans="6:8">
      <c r="F741" s="68" t="s">
        <v>135</v>
      </c>
      <c r="G741" s="67" t="s">
        <v>174</v>
      </c>
      <c r="H741" s="69">
        <v>-0.35</v>
      </c>
    </row>
    <row r="742" spans="6:8">
      <c r="F742" s="68" t="s">
        <v>136</v>
      </c>
      <c r="G742" s="67" t="s">
        <v>174</v>
      </c>
      <c r="H742" s="69">
        <v>-0.95</v>
      </c>
    </row>
    <row r="743" spans="6:8">
      <c r="F743" s="68" t="s">
        <v>137</v>
      </c>
      <c r="G743" s="67" t="s">
        <v>174</v>
      </c>
      <c r="H743" s="69">
        <v>-0.5</v>
      </c>
    </row>
    <row r="744" spans="6:8">
      <c r="F744" s="68" t="s">
        <v>138</v>
      </c>
      <c r="G744" s="67" t="s">
        <v>174</v>
      </c>
      <c r="H744" s="69">
        <v>-0.7</v>
      </c>
    </row>
    <row r="745" spans="6:8">
      <c r="F745" s="68" t="s">
        <v>138</v>
      </c>
      <c r="G745" s="67" t="s">
        <v>175</v>
      </c>
      <c r="H745" s="69">
        <v>-0.7</v>
      </c>
    </row>
    <row r="746" spans="6:8">
      <c r="F746" s="68" t="s">
        <v>137</v>
      </c>
      <c r="G746" s="67" t="s">
        <v>175</v>
      </c>
      <c r="H746" s="69">
        <v>-0.5</v>
      </c>
    </row>
    <row r="747" spans="6:8">
      <c r="F747" s="68" t="s">
        <v>136</v>
      </c>
      <c r="G747" s="67" t="s">
        <v>175</v>
      </c>
      <c r="H747" s="69">
        <v>-0.95</v>
      </c>
    </row>
    <row r="748" spans="6:8">
      <c r="F748" s="68" t="s">
        <v>135</v>
      </c>
      <c r="G748" s="67" t="s">
        <v>175</v>
      </c>
      <c r="H748" s="69">
        <v>-0.35</v>
      </c>
    </row>
    <row r="749" spans="6:8">
      <c r="F749" s="68" t="s">
        <v>134</v>
      </c>
      <c r="G749" s="67" t="s">
        <v>175</v>
      </c>
      <c r="H749" s="69">
        <v>-1</v>
      </c>
    </row>
    <row r="750" spans="6:8">
      <c r="F750" s="68" t="s">
        <v>133</v>
      </c>
      <c r="G750" s="67" t="s">
        <v>175</v>
      </c>
      <c r="H750" s="69">
        <v>-0.35</v>
      </c>
    </row>
    <row r="751" spans="6:8">
      <c r="F751" s="68" t="s">
        <v>132</v>
      </c>
      <c r="G751" s="67" t="s">
        <v>175</v>
      </c>
      <c r="H751" s="69">
        <v>-0.95</v>
      </c>
    </row>
    <row r="752" spans="6:8">
      <c r="F752" s="68" t="s">
        <v>131</v>
      </c>
      <c r="G752" s="67" t="s">
        <v>175</v>
      </c>
      <c r="H752" s="69">
        <v>-0.35</v>
      </c>
    </row>
    <row r="753" spans="6:8">
      <c r="F753" s="68" t="s">
        <v>130</v>
      </c>
      <c r="G753" s="67" t="s">
        <v>175</v>
      </c>
      <c r="H753" s="69">
        <v>-0.95</v>
      </c>
    </row>
    <row r="754" spans="6:8">
      <c r="F754" s="68" t="s">
        <v>129</v>
      </c>
      <c r="G754" s="67" t="s">
        <v>175</v>
      </c>
      <c r="H754" s="69">
        <v>-0.25</v>
      </c>
    </row>
    <row r="755" spans="6:8">
      <c r="F755" s="68" t="s">
        <v>128</v>
      </c>
      <c r="G755" s="67" t="s">
        <v>175</v>
      </c>
      <c r="H755" s="69">
        <v>-0.55000000000000004</v>
      </c>
    </row>
    <row r="756" spans="6:8">
      <c r="F756" s="68" t="s">
        <v>127</v>
      </c>
      <c r="G756" s="67" t="s">
        <v>175</v>
      </c>
      <c r="H756" s="69">
        <v>-0.15</v>
      </c>
    </row>
    <row r="757" spans="6:8">
      <c r="F757" s="68" t="s">
        <v>126</v>
      </c>
      <c r="G757" s="67" t="s">
        <v>175</v>
      </c>
      <c r="H757" s="69">
        <v>-0.55000000000000004</v>
      </c>
    </row>
    <row r="758" spans="6:8">
      <c r="F758" s="68" t="s">
        <v>125</v>
      </c>
      <c r="G758" s="67" t="s">
        <v>175</v>
      </c>
      <c r="H758" s="69">
        <v>-1.1000000000000001</v>
      </c>
    </row>
    <row r="759" spans="6:8">
      <c r="F759" s="68" t="s">
        <v>124</v>
      </c>
      <c r="G759" s="67" t="s">
        <v>175</v>
      </c>
      <c r="H759" s="69">
        <v>-0.7</v>
      </c>
    </row>
    <row r="760" spans="6:8">
      <c r="F760" s="68" t="s">
        <v>123</v>
      </c>
      <c r="G760" s="67" t="s">
        <v>175</v>
      </c>
      <c r="H760" s="69">
        <v>-0.6</v>
      </c>
    </row>
    <row r="761" spans="6:8">
      <c r="F761" s="68" t="s">
        <v>122</v>
      </c>
      <c r="G761" s="67" t="s">
        <v>175</v>
      </c>
      <c r="H761" s="69">
        <v>-1.05</v>
      </c>
    </row>
    <row r="762" spans="6:8">
      <c r="F762" s="68" t="s">
        <v>121</v>
      </c>
      <c r="G762" s="67" t="s">
        <v>175</v>
      </c>
      <c r="H762" s="69">
        <v>-0.75</v>
      </c>
    </row>
    <row r="763" spans="6:8">
      <c r="F763" s="68" t="s">
        <v>120</v>
      </c>
      <c r="G763" s="67" t="s">
        <v>175</v>
      </c>
      <c r="H763" s="69">
        <v>-0.5</v>
      </c>
    </row>
    <row r="764" spans="6:8">
      <c r="F764" s="68" t="s">
        <v>119</v>
      </c>
      <c r="G764" s="67" t="s">
        <v>175</v>
      </c>
      <c r="H764" s="69">
        <v>-1</v>
      </c>
    </row>
    <row r="765" spans="6:8">
      <c r="F765" s="68" t="s">
        <v>119</v>
      </c>
      <c r="G765" s="67" t="s">
        <v>176</v>
      </c>
      <c r="H765" s="69">
        <v>-1</v>
      </c>
    </row>
    <row r="766" spans="6:8">
      <c r="F766" s="68" t="s">
        <v>120</v>
      </c>
      <c r="G766" s="67" t="s">
        <v>176</v>
      </c>
      <c r="H766" s="69">
        <v>-0.5</v>
      </c>
    </row>
    <row r="767" spans="6:8">
      <c r="F767" s="68" t="s">
        <v>121</v>
      </c>
      <c r="G767" s="67" t="s">
        <v>176</v>
      </c>
      <c r="H767" s="69">
        <v>-0.75</v>
      </c>
    </row>
    <row r="768" spans="6:8">
      <c r="F768" s="68" t="s">
        <v>122</v>
      </c>
      <c r="G768" s="67" t="s">
        <v>176</v>
      </c>
      <c r="H768" s="69">
        <v>-1.05</v>
      </c>
    </row>
    <row r="769" spans="6:8">
      <c r="F769" s="68" t="s">
        <v>123</v>
      </c>
      <c r="G769" s="67" t="s">
        <v>176</v>
      </c>
      <c r="H769" s="69">
        <v>-0.6</v>
      </c>
    </row>
    <row r="770" spans="6:8">
      <c r="F770" s="68" t="s">
        <v>124</v>
      </c>
      <c r="G770" s="67" t="s">
        <v>176</v>
      </c>
      <c r="H770" s="69">
        <v>-0.7</v>
      </c>
    </row>
    <row r="771" spans="6:8">
      <c r="F771" s="68" t="s">
        <v>125</v>
      </c>
      <c r="G771" s="67" t="s">
        <v>176</v>
      </c>
      <c r="H771" s="69">
        <v>-1.1000000000000001</v>
      </c>
    </row>
    <row r="772" spans="6:8">
      <c r="F772" s="68" t="s">
        <v>126</v>
      </c>
      <c r="G772" s="67" t="s">
        <v>176</v>
      </c>
      <c r="H772" s="69">
        <v>-0.55000000000000004</v>
      </c>
    </row>
    <row r="773" spans="6:8">
      <c r="F773" s="68" t="s">
        <v>127</v>
      </c>
      <c r="G773" s="67" t="s">
        <v>176</v>
      </c>
      <c r="H773" s="69">
        <v>-0.15</v>
      </c>
    </row>
    <row r="774" spans="6:8">
      <c r="F774" s="68" t="s">
        <v>128</v>
      </c>
      <c r="G774" s="67" t="s">
        <v>176</v>
      </c>
      <c r="H774" s="69">
        <v>-0.55000000000000004</v>
      </c>
    </row>
    <row r="775" spans="6:8">
      <c r="F775" s="68" t="s">
        <v>129</v>
      </c>
      <c r="G775" s="67" t="s">
        <v>176</v>
      </c>
      <c r="H775" s="69">
        <v>-0.25</v>
      </c>
    </row>
    <row r="776" spans="6:8">
      <c r="F776" s="68" t="s">
        <v>130</v>
      </c>
      <c r="G776" s="67" t="s">
        <v>176</v>
      </c>
      <c r="H776" s="69">
        <v>-0.95</v>
      </c>
    </row>
    <row r="777" spans="6:8">
      <c r="F777" s="68" t="s">
        <v>131</v>
      </c>
      <c r="G777" s="67" t="s">
        <v>176</v>
      </c>
      <c r="H777" s="69">
        <v>-0.35</v>
      </c>
    </row>
    <row r="778" spans="6:8">
      <c r="F778" s="68" t="s">
        <v>132</v>
      </c>
      <c r="G778" s="67" t="s">
        <v>176</v>
      </c>
      <c r="H778" s="69">
        <v>-0.95</v>
      </c>
    </row>
    <row r="779" spans="6:8">
      <c r="F779" s="68" t="s">
        <v>133</v>
      </c>
      <c r="G779" s="67" t="s">
        <v>176</v>
      </c>
      <c r="H779" s="69">
        <v>-0.35</v>
      </c>
    </row>
    <row r="780" spans="6:8">
      <c r="F780" s="68" t="s">
        <v>134</v>
      </c>
      <c r="G780" s="67" t="s">
        <v>176</v>
      </c>
      <c r="H780" s="69">
        <v>-1</v>
      </c>
    </row>
    <row r="781" spans="6:8">
      <c r="F781" s="68" t="s">
        <v>135</v>
      </c>
      <c r="G781" s="67" t="s">
        <v>176</v>
      </c>
      <c r="H781" s="69">
        <v>-0.35</v>
      </c>
    </row>
    <row r="782" spans="6:8">
      <c r="F782" s="68" t="s">
        <v>136</v>
      </c>
      <c r="G782" s="67" t="s">
        <v>176</v>
      </c>
      <c r="H782" s="69">
        <v>-0.95</v>
      </c>
    </row>
    <row r="783" spans="6:8">
      <c r="F783" s="68" t="s">
        <v>137</v>
      </c>
      <c r="G783" s="67" t="s">
        <v>176</v>
      </c>
      <c r="H783" s="69">
        <v>-0.5</v>
      </c>
    </row>
    <row r="784" spans="6:8">
      <c r="F784" s="68" t="s">
        <v>138</v>
      </c>
      <c r="G784" s="67" t="s">
        <v>176</v>
      </c>
      <c r="H784" s="69">
        <v>-0.7</v>
      </c>
    </row>
    <row r="785" spans="6:8">
      <c r="F785" s="68" t="s">
        <v>138</v>
      </c>
      <c r="G785" s="67" t="s">
        <v>177</v>
      </c>
      <c r="H785" s="69">
        <v>-0.7</v>
      </c>
    </row>
    <row r="786" spans="6:8">
      <c r="F786" s="68" t="s">
        <v>137</v>
      </c>
      <c r="G786" s="67" t="s">
        <v>177</v>
      </c>
      <c r="H786" s="69">
        <v>-0.5</v>
      </c>
    </row>
    <row r="787" spans="6:8">
      <c r="F787" s="68" t="s">
        <v>136</v>
      </c>
      <c r="G787" s="67" t="s">
        <v>177</v>
      </c>
      <c r="H787" s="69">
        <v>-0.95</v>
      </c>
    </row>
    <row r="788" spans="6:8">
      <c r="F788" s="68" t="s">
        <v>135</v>
      </c>
      <c r="G788" s="67" t="s">
        <v>177</v>
      </c>
      <c r="H788" s="69">
        <v>-0.35</v>
      </c>
    </row>
    <row r="789" spans="6:8">
      <c r="F789" s="68" t="s">
        <v>134</v>
      </c>
      <c r="G789" s="67" t="s">
        <v>177</v>
      </c>
      <c r="H789" s="69">
        <v>-1</v>
      </c>
    </row>
    <row r="790" spans="6:8">
      <c r="F790" s="68" t="s">
        <v>133</v>
      </c>
      <c r="G790" s="67" t="s">
        <v>177</v>
      </c>
      <c r="H790" s="69">
        <v>-0.35</v>
      </c>
    </row>
    <row r="791" spans="6:8">
      <c r="F791" s="68" t="s">
        <v>132</v>
      </c>
      <c r="G791" s="67" t="s">
        <v>177</v>
      </c>
      <c r="H791" s="69">
        <v>-0.95</v>
      </c>
    </row>
    <row r="792" spans="6:8">
      <c r="F792" s="68" t="s">
        <v>131</v>
      </c>
      <c r="G792" s="67" t="s">
        <v>177</v>
      </c>
      <c r="H792" s="69">
        <v>-0.35</v>
      </c>
    </row>
    <row r="793" spans="6:8">
      <c r="F793" s="68" t="s">
        <v>130</v>
      </c>
      <c r="G793" s="67" t="s">
        <v>177</v>
      </c>
      <c r="H793" s="69">
        <v>-0.95</v>
      </c>
    </row>
    <row r="794" spans="6:8">
      <c r="F794" s="68" t="s">
        <v>129</v>
      </c>
      <c r="G794" s="67" t="s">
        <v>177</v>
      </c>
      <c r="H794" s="69">
        <v>-0.25</v>
      </c>
    </row>
    <row r="795" spans="6:8">
      <c r="F795" s="68" t="s">
        <v>128</v>
      </c>
      <c r="G795" s="67" t="s">
        <v>177</v>
      </c>
      <c r="H795" s="69">
        <v>-0.55000000000000004</v>
      </c>
    </row>
    <row r="796" spans="6:8">
      <c r="F796" s="68" t="s">
        <v>127</v>
      </c>
      <c r="G796" s="67" t="s">
        <v>177</v>
      </c>
      <c r="H796" s="69">
        <v>-0.15</v>
      </c>
    </row>
    <row r="797" spans="6:8">
      <c r="F797" s="68" t="s">
        <v>126</v>
      </c>
      <c r="G797" s="67" t="s">
        <v>177</v>
      </c>
      <c r="H797" s="69">
        <v>-0.55000000000000004</v>
      </c>
    </row>
    <row r="798" spans="6:8">
      <c r="F798" s="68" t="s">
        <v>125</v>
      </c>
      <c r="G798" s="67" t="s">
        <v>177</v>
      </c>
      <c r="H798" s="69">
        <v>-1.1000000000000001</v>
      </c>
    </row>
    <row r="799" spans="6:8">
      <c r="F799" s="68" t="s">
        <v>124</v>
      </c>
      <c r="G799" s="67" t="s">
        <v>177</v>
      </c>
      <c r="H799" s="69">
        <v>-0.7</v>
      </c>
    </row>
    <row r="800" spans="6:8">
      <c r="F800" s="68" t="s">
        <v>123</v>
      </c>
      <c r="G800" s="67" t="s">
        <v>177</v>
      </c>
      <c r="H800" s="69">
        <v>-0.6</v>
      </c>
    </row>
    <row r="801" spans="6:8">
      <c r="F801" s="68" t="s">
        <v>122</v>
      </c>
      <c r="G801" s="67" t="s">
        <v>177</v>
      </c>
      <c r="H801" s="69">
        <v>-1.05</v>
      </c>
    </row>
    <row r="802" spans="6:8">
      <c r="F802" s="68" t="s">
        <v>121</v>
      </c>
      <c r="G802" s="67" t="s">
        <v>177</v>
      </c>
      <c r="H802" s="69">
        <v>-0.75</v>
      </c>
    </row>
    <row r="803" spans="6:8">
      <c r="F803" s="68" t="s">
        <v>120</v>
      </c>
      <c r="G803" s="67" t="s">
        <v>177</v>
      </c>
      <c r="H803" s="69">
        <v>-0.5</v>
      </c>
    </row>
    <row r="804" spans="6:8">
      <c r="F804" s="68" t="s">
        <v>119</v>
      </c>
      <c r="G804" s="67" t="s">
        <v>177</v>
      </c>
      <c r="H804" s="69">
        <v>-1</v>
      </c>
    </row>
    <row r="805" spans="6:8">
      <c r="F805" s="68" t="s">
        <v>119</v>
      </c>
      <c r="G805" s="67" t="s">
        <v>178</v>
      </c>
      <c r="H805" s="69">
        <v>-1</v>
      </c>
    </row>
    <row r="806" spans="6:8">
      <c r="F806" s="68" t="s">
        <v>120</v>
      </c>
      <c r="G806" s="67" t="s">
        <v>178</v>
      </c>
      <c r="H806" s="69">
        <v>-0.5</v>
      </c>
    </row>
    <row r="807" spans="6:8">
      <c r="F807" s="68" t="s">
        <v>121</v>
      </c>
      <c r="G807" s="67" t="s">
        <v>178</v>
      </c>
      <c r="H807" s="69">
        <v>-0.75</v>
      </c>
    </row>
    <row r="808" spans="6:8">
      <c r="F808" s="68" t="s">
        <v>122</v>
      </c>
      <c r="G808" s="67" t="s">
        <v>178</v>
      </c>
      <c r="H808" s="69">
        <v>-1.05</v>
      </c>
    </row>
    <row r="809" spans="6:8">
      <c r="F809" s="68" t="s">
        <v>123</v>
      </c>
      <c r="G809" s="67" t="s">
        <v>178</v>
      </c>
      <c r="H809" s="69">
        <v>-0.6</v>
      </c>
    </row>
    <row r="810" spans="6:8">
      <c r="F810" s="68" t="s">
        <v>124</v>
      </c>
      <c r="G810" s="67" t="s">
        <v>178</v>
      </c>
      <c r="H810" s="69">
        <v>-0.7</v>
      </c>
    </row>
    <row r="811" spans="6:8">
      <c r="F811" s="68" t="s">
        <v>125</v>
      </c>
      <c r="G811" s="67" t="s">
        <v>178</v>
      </c>
      <c r="H811" s="69">
        <v>-1.1000000000000001</v>
      </c>
    </row>
    <row r="812" spans="6:8">
      <c r="F812" s="68" t="s">
        <v>126</v>
      </c>
      <c r="G812" s="67" t="s">
        <v>178</v>
      </c>
      <c r="H812" s="69">
        <v>-0.55000000000000004</v>
      </c>
    </row>
    <row r="813" spans="6:8">
      <c r="F813" s="68" t="s">
        <v>127</v>
      </c>
      <c r="G813" s="67" t="s">
        <v>178</v>
      </c>
      <c r="H813" s="69">
        <v>-0.15</v>
      </c>
    </row>
    <row r="814" spans="6:8">
      <c r="F814" s="68" t="s">
        <v>128</v>
      </c>
      <c r="G814" s="67" t="s">
        <v>178</v>
      </c>
      <c r="H814" s="69">
        <v>-0.55000000000000004</v>
      </c>
    </row>
    <row r="815" spans="6:8">
      <c r="F815" s="68" t="s">
        <v>129</v>
      </c>
      <c r="G815" s="67" t="s">
        <v>178</v>
      </c>
      <c r="H815" s="69">
        <v>-0.25</v>
      </c>
    </row>
    <row r="816" spans="6:8">
      <c r="F816" s="68" t="s">
        <v>130</v>
      </c>
      <c r="G816" s="67" t="s">
        <v>178</v>
      </c>
      <c r="H816" s="69">
        <v>-0.95</v>
      </c>
    </row>
    <row r="817" spans="6:8">
      <c r="F817" s="68" t="s">
        <v>131</v>
      </c>
      <c r="G817" s="67" t="s">
        <v>178</v>
      </c>
      <c r="H817" s="69">
        <v>-0.35</v>
      </c>
    </row>
    <row r="818" spans="6:8">
      <c r="F818" s="68" t="s">
        <v>132</v>
      </c>
      <c r="G818" s="67" t="s">
        <v>178</v>
      </c>
      <c r="H818" s="69">
        <v>-0.95</v>
      </c>
    </row>
    <row r="819" spans="6:8">
      <c r="F819" s="68" t="s">
        <v>133</v>
      </c>
      <c r="G819" s="67" t="s">
        <v>178</v>
      </c>
      <c r="H819" s="69">
        <v>-0.35</v>
      </c>
    </row>
    <row r="820" spans="6:8">
      <c r="F820" s="68" t="s">
        <v>134</v>
      </c>
      <c r="G820" s="67" t="s">
        <v>178</v>
      </c>
      <c r="H820" s="69">
        <v>-1</v>
      </c>
    </row>
    <row r="821" spans="6:8">
      <c r="F821" s="68" t="s">
        <v>135</v>
      </c>
      <c r="G821" s="67" t="s">
        <v>178</v>
      </c>
      <c r="H821" s="69">
        <v>-0.35</v>
      </c>
    </row>
    <row r="822" spans="6:8">
      <c r="F822" s="68" t="s">
        <v>136</v>
      </c>
      <c r="G822" s="67" t="s">
        <v>178</v>
      </c>
      <c r="H822" s="69">
        <v>-0.95</v>
      </c>
    </row>
    <row r="823" spans="6:8">
      <c r="F823" s="68" t="s">
        <v>137</v>
      </c>
      <c r="G823" s="67" t="s">
        <v>178</v>
      </c>
      <c r="H823" s="69">
        <v>-0.5</v>
      </c>
    </row>
    <row r="824" spans="6:8">
      <c r="F824" s="68" t="s">
        <v>138</v>
      </c>
      <c r="G824" s="67" t="s">
        <v>178</v>
      </c>
      <c r="H824" s="69">
        <v>-0.7</v>
      </c>
    </row>
    <row r="825" spans="6:8">
      <c r="F825" s="68" t="s">
        <v>138</v>
      </c>
      <c r="G825" s="67" t="s">
        <v>179</v>
      </c>
      <c r="H825" s="69">
        <v>-0.7</v>
      </c>
    </row>
    <row r="826" spans="6:8">
      <c r="F826" s="68" t="s">
        <v>137</v>
      </c>
      <c r="G826" s="67" t="s">
        <v>179</v>
      </c>
      <c r="H826" s="69">
        <v>-0.5</v>
      </c>
    </row>
    <row r="827" spans="6:8">
      <c r="F827" s="68" t="s">
        <v>136</v>
      </c>
      <c r="G827" s="67" t="s">
        <v>179</v>
      </c>
      <c r="H827" s="69">
        <v>-0.95</v>
      </c>
    </row>
    <row r="828" spans="6:8">
      <c r="F828" s="68" t="s">
        <v>135</v>
      </c>
      <c r="G828" s="67" t="s">
        <v>179</v>
      </c>
      <c r="H828" s="69">
        <v>-0.35</v>
      </c>
    </row>
    <row r="829" spans="6:8">
      <c r="F829" s="68" t="s">
        <v>134</v>
      </c>
      <c r="G829" s="67" t="s">
        <v>179</v>
      </c>
      <c r="H829" s="69">
        <v>-1</v>
      </c>
    </row>
    <row r="830" spans="6:8">
      <c r="F830" s="68" t="s">
        <v>133</v>
      </c>
      <c r="G830" s="67" t="s">
        <v>179</v>
      </c>
      <c r="H830" s="69">
        <v>-0.35</v>
      </c>
    </row>
    <row r="831" spans="6:8">
      <c r="F831" s="68" t="s">
        <v>132</v>
      </c>
      <c r="G831" s="67" t="s">
        <v>179</v>
      </c>
      <c r="H831" s="69">
        <v>-0.95</v>
      </c>
    </row>
    <row r="832" spans="6:8">
      <c r="F832" s="68" t="s">
        <v>131</v>
      </c>
      <c r="G832" s="67" t="s">
        <v>179</v>
      </c>
      <c r="H832" s="69">
        <v>-0.35</v>
      </c>
    </row>
    <row r="833" spans="6:8">
      <c r="F833" s="68" t="s">
        <v>130</v>
      </c>
      <c r="G833" s="67" t="s">
        <v>179</v>
      </c>
      <c r="H833" s="69">
        <v>-0.95</v>
      </c>
    </row>
    <row r="834" spans="6:8">
      <c r="F834" s="68" t="s">
        <v>129</v>
      </c>
      <c r="G834" s="67" t="s">
        <v>179</v>
      </c>
      <c r="H834" s="69">
        <v>-0.25</v>
      </c>
    </row>
    <row r="835" spans="6:8">
      <c r="F835" s="68" t="s">
        <v>128</v>
      </c>
      <c r="G835" s="67" t="s">
        <v>179</v>
      </c>
      <c r="H835" s="69">
        <v>-0.55000000000000004</v>
      </c>
    </row>
    <row r="836" spans="6:8">
      <c r="F836" s="68" t="s">
        <v>127</v>
      </c>
      <c r="G836" s="67" t="s">
        <v>179</v>
      </c>
      <c r="H836" s="69">
        <v>-0.15</v>
      </c>
    </row>
    <row r="837" spans="6:8">
      <c r="F837" s="68" t="s">
        <v>126</v>
      </c>
      <c r="G837" s="67" t="s">
        <v>179</v>
      </c>
      <c r="H837" s="69">
        <v>-0.55000000000000004</v>
      </c>
    </row>
    <row r="838" spans="6:8">
      <c r="F838" s="68" t="s">
        <v>125</v>
      </c>
      <c r="G838" s="67" t="s">
        <v>179</v>
      </c>
      <c r="H838" s="69">
        <v>-1.1000000000000001</v>
      </c>
    </row>
    <row r="839" spans="6:8">
      <c r="F839" s="68" t="s">
        <v>124</v>
      </c>
      <c r="G839" s="67" t="s">
        <v>179</v>
      </c>
      <c r="H839" s="69">
        <v>-0.7</v>
      </c>
    </row>
    <row r="840" spans="6:8">
      <c r="F840" s="68" t="s">
        <v>123</v>
      </c>
      <c r="G840" s="67" t="s">
        <v>179</v>
      </c>
      <c r="H840" s="69">
        <v>-0.6</v>
      </c>
    </row>
    <row r="841" spans="6:8">
      <c r="F841" s="68" t="s">
        <v>122</v>
      </c>
      <c r="G841" s="67" t="s">
        <v>179</v>
      </c>
      <c r="H841" s="69">
        <v>-1.05</v>
      </c>
    </row>
    <row r="842" spans="6:8">
      <c r="F842" s="68" t="s">
        <v>121</v>
      </c>
      <c r="G842" s="67" t="s">
        <v>179</v>
      </c>
      <c r="H842" s="69">
        <v>-0.75</v>
      </c>
    </row>
    <row r="843" spans="6:8">
      <c r="F843" s="68" t="s">
        <v>120</v>
      </c>
      <c r="G843" s="67" t="s">
        <v>179</v>
      </c>
      <c r="H843" s="69">
        <v>-0.5</v>
      </c>
    </row>
    <row r="844" spans="6:8">
      <c r="F844" s="68" t="s">
        <v>119</v>
      </c>
      <c r="G844" s="67" t="s">
        <v>179</v>
      </c>
      <c r="H844" s="69">
        <v>-1</v>
      </c>
    </row>
    <row r="845" spans="6:8">
      <c r="F845" s="68" t="s">
        <v>119</v>
      </c>
      <c r="G845" s="67" t="s">
        <v>180</v>
      </c>
      <c r="H845" s="69">
        <v>-1</v>
      </c>
    </row>
    <row r="846" spans="6:8">
      <c r="F846" s="68" t="s">
        <v>120</v>
      </c>
      <c r="G846" s="67" t="s">
        <v>180</v>
      </c>
      <c r="H846" s="69">
        <v>-0.5</v>
      </c>
    </row>
    <row r="847" spans="6:8">
      <c r="F847" s="68" t="s">
        <v>121</v>
      </c>
      <c r="G847" s="67" t="s">
        <v>180</v>
      </c>
      <c r="H847" s="69">
        <v>-0.75</v>
      </c>
    </row>
    <row r="848" spans="6:8">
      <c r="F848" s="68" t="s">
        <v>122</v>
      </c>
      <c r="G848" s="67" t="s">
        <v>180</v>
      </c>
      <c r="H848" s="69">
        <v>-1.05</v>
      </c>
    </row>
    <row r="849" spans="6:8">
      <c r="F849" s="68" t="s">
        <v>123</v>
      </c>
      <c r="G849" s="67" t="s">
        <v>180</v>
      </c>
      <c r="H849" s="69">
        <v>-0.6</v>
      </c>
    </row>
    <row r="850" spans="6:8">
      <c r="F850" s="68" t="s">
        <v>124</v>
      </c>
      <c r="G850" s="67" t="s">
        <v>180</v>
      </c>
      <c r="H850" s="69">
        <v>-0.7</v>
      </c>
    </row>
    <row r="851" spans="6:8">
      <c r="F851" s="68" t="s">
        <v>125</v>
      </c>
      <c r="G851" s="67" t="s">
        <v>180</v>
      </c>
      <c r="H851" s="69">
        <v>-1.1000000000000001</v>
      </c>
    </row>
    <row r="852" spans="6:8">
      <c r="F852" s="68" t="s">
        <v>126</v>
      </c>
      <c r="G852" s="67" t="s">
        <v>180</v>
      </c>
      <c r="H852" s="69">
        <v>-0.55000000000000004</v>
      </c>
    </row>
    <row r="853" spans="6:8">
      <c r="F853" s="68" t="s">
        <v>127</v>
      </c>
      <c r="G853" s="67" t="s">
        <v>180</v>
      </c>
      <c r="H853" s="69">
        <v>-0.15</v>
      </c>
    </row>
    <row r="854" spans="6:8">
      <c r="F854" s="68" t="s">
        <v>128</v>
      </c>
      <c r="G854" s="67" t="s">
        <v>180</v>
      </c>
      <c r="H854" s="69">
        <v>-0.55000000000000004</v>
      </c>
    </row>
    <row r="855" spans="6:8">
      <c r="F855" s="68" t="s">
        <v>129</v>
      </c>
      <c r="G855" s="67" t="s">
        <v>180</v>
      </c>
      <c r="H855" s="69">
        <v>-0.25</v>
      </c>
    </row>
    <row r="856" spans="6:8">
      <c r="F856" s="68" t="s">
        <v>130</v>
      </c>
      <c r="G856" s="67" t="s">
        <v>180</v>
      </c>
      <c r="H856" s="69">
        <v>-0.95</v>
      </c>
    </row>
    <row r="857" spans="6:8">
      <c r="F857" s="68" t="s">
        <v>131</v>
      </c>
      <c r="G857" s="67" t="s">
        <v>180</v>
      </c>
      <c r="H857" s="69">
        <v>-0.35</v>
      </c>
    </row>
    <row r="858" spans="6:8">
      <c r="F858" s="68" t="s">
        <v>132</v>
      </c>
      <c r="G858" s="67" t="s">
        <v>180</v>
      </c>
      <c r="H858" s="69">
        <v>-0.95</v>
      </c>
    </row>
    <row r="859" spans="6:8">
      <c r="F859" s="68" t="s">
        <v>133</v>
      </c>
      <c r="G859" s="67" t="s">
        <v>180</v>
      </c>
      <c r="H859" s="69">
        <v>-0.35</v>
      </c>
    </row>
    <row r="860" spans="6:8">
      <c r="F860" s="68" t="s">
        <v>134</v>
      </c>
      <c r="G860" s="67" t="s">
        <v>180</v>
      </c>
      <c r="H860" s="69">
        <v>-1</v>
      </c>
    </row>
    <row r="861" spans="6:8">
      <c r="F861" s="68" t="s">
        <v>135</v>
      </c>
      <c r="G861" s="67" t="s">
        <v>180</v>
      </c>
      <c r="H861" s="69">
        <v>-0.35</v>
      </c>
    </row>
    <row r="862" spans="6:8">
      <c r="F862" s="68" t="s">
        <v>136</v>
      </c>
      <c r="G862" s="67" t="s">
        <v>180</v>
      </c>
      <c r="H862" s="69">
        <v>-0.95</v>
      </c>
    </row>
    <row r="863" spans="6:8">
      <c r="F863" s="68" t="s">
        <v>137</v>
      </c>
      <c r="G863" s="67" t="s">
        <v>180</v>
      </c>
      <c r="H863" s="69">
        <v>-0.5</v>
      </c>
    </row>
    <row r="864" spans="6:8">
      <c r="F864" s="68" t="s">
        <v>138</v>
      </c>
      <c r="G864" s="67" t="s">
        <v>180</v>
      </c>
      <c r="H864" s="69">
        <v>-0.7</v>
      </c>
    </row>
    <row r="865" spans="6:8">
      <c r="F865" s="68" t="s">
        <v>138</v>
      </c>
      <c r="G865" s="67" t="s">
        <v>181</v>
      </c>
      <c r="H865" s="69">
        <v>-0.7</v>
      </c>
    </row>
    <row r="866" spans="6:8">
      <c r="F866" s="68" t="s">
        <v>137</v>
      </c>
      <c r="G866" s="67" t="s">
        <v>181</v>
      </c>
      <c r="H866" s="69">
        <v>-0.5</v>
      </c>
    </row>
    <row r="867" spans="6:8">
      <c r="F867" s="68" t="s">
        <v>136</v>
      </c>
      <c r="G867" s="67" t="s">
        <v>181</v>
      </c>
      <c r="H867" s="69">
        <v>-0.95</v>
      </c>
    </row>
    <row r="868" spans="6:8">
      <c r="F868" s="68" t="s">
        <v>135</v>
      </c>
      <c r="G868" s="67" t="s">
        <v>181</v>
      </c>
      <c r="H868" s="69">
        <v>-0.35</v>
      </c>
    </row>
    <row r="869" spans="6:8">
      <c r="F869" s="68" t="s">
        <v>134</v>
      </c>
      <c r="G869" s="67" t="s">
        <v>181</v>
      </c>
      <c r="H869" s="69">
        <v>-1</v>
      </c>
    </row>
    <row r="870" spans="6:8">
      <c r="F870" s="68" t="s">
        <v>133</v>
      </c>
      <c r="G870" s="67" t="s">
        <v>181</v>
      </c>
      <c r="H870" s="69">
        <v>-0.35</v>
      </c>
    </row>
    <row r="871" spans="6:8">
      <c r="F871" s="68" t="s">
        <v>132</v>
      </c>
      <c r="G871" s="67" t="s">
        <v>181</v>
      </c>
      <c r="H871" s="69">
        <v>-0.95</v>
      </c>
    </row>
    <row r="872" spans="6:8">
      <c r="F872" s="68" t="s">
        <v>131</v>
      </c>
      <c r="G872" s="67" t="s">
        <v>181</v>
      </c>
      <c r="H872" s="69">
        <v>-0.35</v>
      </c>
    </row>
    <row r="873" spans="6:8">
      <c r="F873" s="68" t="s">
        <v>130</v>
      </c>
      <c r="G873" s="67" t="s">
        <v>181</v>
      </c>
      <c r="H873" s="69">
        <v>-0.95</v>
      </c>
    </row>
    <row r="874" spans="6:8">
      <c r="F874" s="68" t="s">
        <v>129</v>
      </c>
      <c r="G874" s="67" t="s">
        <v>181</v>
      </c>
      <c r="H874" s="69">
        <v>-0.25</v>
      </c>
    </row>
    <row r="875" spans="6:8">
      <c r="F875" s="68" t="s">
        <v>128</v>
      </c>
      <c r="G875" s="67" t="s">
        <v>181</v>
      </c>
      <c r="H875" s="69">
        <v>-0.55000000000000004</v>
      </c>
    </row>
    <row r="876" spans="6:8">
      <c r="F876" s="68" t="s">
        <v>127</v>
      </c>
      <c r="G876" s="67" t="s">
        <v>181</v>
      </c>
      <c r="H876" s="69">
        <v>-0.15</v>
      </c>
    </row>
    <row r="877" spans="6:8">
      <c r="F877" s="68" t="s">
        <v>126</v>
      </c>
      <c r="G877" s="67" t="s">
        <v>181</v>
      </c>
      <c r="H877" s="69">
        <v>-0.55000000000000004</v>
      </c>
    </row>
    <row r="878" spans="6:8">
      <c r="F878" s="68" t="s">
        <v>125</v>
      </c>
      <c r="G878" s="67" t="s">
        <v>181</v>
      </c>
      <c r="H878" s="69">
        <v>-1.1000000000000001</v>
      </c>
    </row>
    <row r="879" spans="6:8">
      <c r="F879" s="68" t="s">
        <v>124</v>
      </c>
      <c r="G879" s="67" t="s">
        <v>181</v>
      </c>
      <c r="H879" s="69">
        <v>-0.7</v>
      </c>
    </row>
    <row r="880" spans="6:8">
      <c r="F880" s="68" t="s">
        <v>123</v>
      </c>
      <c r="G880" s="67" t="s">
        <v>181</v>
      </c>
      <c r="H880" s="69">
        <v>-0.6</v>
      </c>
    </row>
    <row r="881" spans="6:8">
      <c r="F881" s="68" t="s">
        <v>122</v>
      </c>
      <c r="G881" s="67" t="s">
        <v>181</v>
      </c>
      <c r="H881" s="69">
        <v>-1.05</v>
      </c>
    </row>
    <row r="882" spans="6:8">
      <c r="F882" s="68" t="s">
        <v>121</v>
      </c>
      <c r="G882" s="67" t="s">
        <v>181</v>
      </c>
      <c r="H882" s="69">
        <v>-0.75</v>
      </c>
    </row>
    <row r="883" spans="6:8">
      <c r="F883" s="68" t="s">
        <v>120</v>
      </c>
      <c r="G883" s="67" t="s">
        <v>181</v>
      </c>
      <c r="H883" s="69">
        <v>-0.5</v>
      </c>
    </row>
    <row r="884" spans="6:8">
      <c r="F884" s="68" t="s">
        <v>119</v>
      </c>
      <c r="G884" s="67" t="s">
        <v>181</v>
      </c>
      <c r="H884" s="69">
        <v>-1</v>
      </c>
    </row>
    <row r="885" spans="6:8">
      <c r="F885" s="68" t="s">
        <v>119</v>
      </c>
      <c r="G885" s="67" t="s">
        <v>182</v>
      </c>
      <c r="H885" s="69">
        <v>-1</v>
      </c>
    </row>
    <row r="886" spans="6:8">
      <c r="F886" s="68" t="s">
        <v>120</v>
      </c>
      <c r="G886" s="67" t="s">
        <v>182</v>
      </c>
      <c r="H886" s="69">
        <v>-0.5</v>
      </c>
    </row>
    <row r="887" spans="6:8">
      <c r="F887" s="68" t="s">
        <v>121</v>
      </c>
      <c r="G887" s="67" t="s">
        <v>182</v>
      </c>
      <c r="H887" s="69">
        <v>-0.75</v>
      </c>
    </row>
    <row r="888" spans="6:8">
      <c r="F888" s="68" t="s">
        <v>122</v>
      </c>
      <c r="G888" s="67" t="s">
        <v>182</v>
      </c>
      <c r="H888" s="69">
        <v>-1.05</v>
      </c>
    </row>
    <row r="889" spans="6:8">
      <c r="F889" s="68" t="s">
        <v>123</v>
      </c>
      <c r="G889" s="67" t="s">
        <v>182</v>
      </c>
      <c r="H889" s="69">
        <v>-0.6</v>
      </c>
    </row>
    <row r="890" spans="6:8">
      <c r="F890" s="68" t="s">
        <v>124</v>
      </c>
      <c r="G890" s="67" t="s">
        <v>182</v>
      </c>
      <c r="H890" s="69">
        <v>-0.7</v>
      </c>
    </row>
    <row r="891" spans="6:8">
      <c r="F891" s="68" t="s">
        <v>125</v>
      </c>
      <c r="G891" s="67" t="s">
        <v>182</v>
      </c>
      <c r="H891" s="69">
        <v>-1.1000000000000001</v>
      </c>
    </row>
    <row r="892" spans="6:8">
      <c r="F892" s="68" t="s">
        <v>126</v>
      </c>
      <c r="G892" s="67" t="s">
        <v>182</v>
      </c>
      <c r="H892" s="69">
        <v>-0.55000000000000004</v>
      </c>
    </row>
    <row r="893" spans="6:8">
      <c r="F893" s="68" t="s">
        <v>127</v>
      </c>
      <c r="G893" s="67" t="s">
        <v>182</v>
      </c>
      <c r="H893" s="69">
        <v>-0.15</v>
      </c>
    </row>
    <row r="894" spans="6:8">
      <c r="F894" s="68" t="s">
        <v>128</v>
      </c>
      <c r="G894" s="67" t="s">
        <v>182</v>
      </c>
      <c r="H894" s="69">
        <v>-0.55000000000000004</v>
      </c>
    </row>
    <row r="895" spans="6:8">
      <c r="F895" s="68" t="s">
        <v>129</v>
      </c>
      <c r="G895" s="67" t="s">
        <v>182</v>
      </c>
      <c r="H895" s="69">
        <v>-0.25</v>
      </c>
    </row>
    <row r="896" spans="6:8">
      <c r="F896" s="68" t="s">
        <v>130</v>
      </c>
      <c r="G896" s="67" t="s">
        <v>182</v>
      </c>
      <c r="H896" s="69">
        <v>-0.95</v>
      </c>
    </row>
    <row r="897" spans="6:8">
      <c r="F897" s="68" t="s">
        <v>131</v>
      </c>
      <c r="G897" s="67" t="s">
        <v>182</v>
      </c>
      <c r="H897" s="69">
        <v>-0.35</v>
      </c>
    </row>
    <row r="898" spans="6:8">
      <c r="F898" s="68" t="s">
        <v>132</v>
      </c>
      <c r="G898" s="67" t="s">
        <v>182</v>
      </c>
      <c r="H898" s="69">
        <v>-0.95</v>
      </c>
    </row>
    <row r="899" spans="6:8">
      <c r="F899" s="68" t="s">
        <v>133</v>
      </c>
      <c r="G899" s="67" t="s">
        <v>182</v>
      </c>
      <c r="H899" s="69">
        <v>-0.35</v>
      </c>
    </row>
    <row r="900" spans="6:8">
      <c r="F900" s="68" t="s">
        <v>134</v>
      </c>
      <c r="G900" s="67" t="s">
        <v>182</v>
      </c>
      <c r="H900" s="69">
        <v>-1</v>
      </c>
    </row>
    <row r="901" spans="6:8">
      <c r="F901" s="68" t="s">
        <v>135</v>
      </c>
      <c r="G901" s="67" t="s">
        <v>182</v>
      </c>
      <c r="H901" s="69">
        <v>-0.35</v>
      </c>
    </row>
    <row r="902" spans="6:8">
      <c r="F902" s="68" t="s">
        <v>136</v>
      </c>
      <c r="G902" s="67" t="s">
        <v>182</v>
      </c>
      <c r="H902" s="69">
        <v>-0.95</v>
      </c>
    </row>
    <row r="903" spans="6:8">
      <c r="F903" s="68" t="s">
        <v>137</v>
      </c>
      <c r="G903" s="67" t="s">
        <v>182</v>
      </c>
      <c r="H903" s="69">
        <v>-0.5</v>
      </c>
    </row>
    <row r="904" spans="6:8">
      <c r="F904" s="68" t="s">
        <v>138</v>
      </c>
      <c r="G904" s="67" t="s">
        <v>182</v>
      </c>
      <c r="H904" s="69">
        <v>-0.7</v>
      </c>
    </row>
    <row r="905" spans="6:8">
      <c r="F905" s="68" t="s">
        <v>138</v>
      </c>
      <c r="G905" s="67" t="s">
        <v>183</v>
      </c>
      <c r="H905" s="69">
        <v>-0.7</v>
      </c>
    </row>
    <row r="906" spans="6:8">
      <c r="F906" s="68" t="s">
        <v>137</v>
      </c>
      <c r="G906" s="67" t="s">
        <v>183</v>
      </c>
      <c r="H906" s="69">
        <v>-0.5</v>
      </c>
    </row>
    <row r="907" spans="6:8">
      <c r="F907" s="68" t="s">
        <v>136</v>
      </c>
      <c r="G907" s="67" t="s">
        <v>183</v>
      </c>
      <c r="H907" s="69">
        <v>-0.95</v>
      </c>
    </row>
    <row r="908" spans="6:8">
      <c r="F908" s="68" t="s">
        <v>135</v>
      </c>
      <c r="G908" s="67" t="s">
        <v>183</v>
      </c>
      <c r="H908" s="69">
        <v>-0.35</v>
      </c>
    </row>
    <row r="909" spans="6:8">
      <c r="F909" s="68" t="s">
        <v>134</v>
      </c>
      <c r="G909" s="67" t="s">
        <v>183</v>
      </c>
      <c r="H909" s="69">
        <v>-1</v>
      </c>
    </row>
    <row r="910" spans="6:8">
      <c r="F910" s="68" t="s">
        <v>133</v>
      </c>
      <c r="G910" s="67" t="s">
        <v>183</v>
      </c>
      <c r="H910" s="69">
        <v>-0.35</v>
      </c>
    </row>
    <row r="911" spans="6:8">
      <c r="F911" s="68" t="s">
        <v>132</v>
      </c>
      <c r="G911" s="67" t="s">
        <v>183</v>
      </c>
      <c r="H911" s="69">
        <v>-0.95</v>
      </c>
    </row>
    <row r="912" spans="6:8">
      <c r="F912" s="68" t="s">
        <v>131</v>
      </c>
      <c r="G912" s="67" t="s">
        <v>183</v>
      </c>
      <c r="H912" s="69">
        <v>-0.35</v>
      </c>
    </row>
    <row r="913" spans="6:8">
      <c r="F913" s="68" t="s">
        <v>130</v>
      </c>
      <c r="G913" s="67" t="s">
        <v>183</v>
      </c>
      <c r="H913" s="69">
        <v>-0.95</v>
      </c>
    </row>
    <row r="914" spans="6:8">
      <c r="F914" s="68" t="s">
        <v>129</v>
      </c>
      <c r="G914" s="67" t="s">
        <v>183</v>
      </c>
      <c r="H914" s="69">
        <v>-0.25</v>
      </c>
    </row>
    <row r="915" spans="6:8">
      <c r="F915" s="68" t="s">
        <v>128</v>
      </c>
      <c r="G915" s="67" t="s">
        <v>183</v>
      </c>
      <c r="H915" s="69">
        <v>-0.55000000000000004</v>
      </c>
    </row>
    <row r="916" spans="6:8">
      <c r="F916" s="68" t="s">
        <v>127</v>
      </c>
      <c r="G916" s="67" t="s">
        <v>183</v>
      </c>
      <c r="H916" s="69">
        <v>-0.15</v>
      </c>
    </row>
    <row r="917" spans="6:8">
      <c r="F917" s="68" t="s">
        <v>126</v>
      </c>
      <c r="G917" s="67" t="s">
        <v>183</v>
      </c>
      <c r="H917" s="69">
        <v>-0.55000000000000004</v>
      </c>
    </row>
    <row r="918" spans="6:8">
      <c r="F918" s="68" t="s">
        <v>125</v>
      </c>
      <c r="G918" s="67" t="s">
        <v>183</v>
      </c>
      <c r="H918" s="69">
        <v>-1.1000000000000001</v>
      </c>
    </row>
    <row r="919" spans="6:8">
      <c r="F919" s="68" t="s">
        <v>124</v>
      </c>
      <c r="G919" s="67" t="s">
        <v>183</v>
      </c>
      <c r="H919" s="69">
        <v>-0.7</v>
      </c>
    </row>
    <row r="920" spans="6:8">
      <c r="F920" s="68" t="s">
        <v>123</v>
      </c>
      <c r="G920" s="67" t="s">
        <v>183</v>
      </c>
      <c r="H920" s="69">
        <v>-0.6</v>
      </c>
    </row>
    <row r="921" spans="6:8">
      <c r="F921" s="68" t="s">
        <v>122</v>
      </c>
      <c r="G921" s="67" t="s">
        <v>183</v>
      </c>
      <c r="H921" s="69">
        <v>-1.05</v>
      </c>
    </row>
    <row r="922" spans="6:8">
      <c r="F922" s="68" t="s">
        <v>121</v>
      </c>
      <c r="G922" s="67" t="s">
        <v>183</v>
      </c>
      <c r="H922" s="69">
        <v>-0.75</v>
      </c>
    </row>
    <row r="923" spans="6:8">
      <c r="F923" s="68" t="s">
        <v>120</v>
      </c>
      <c r="G923" s="67" t="s">
        <v>183</v>
      </c>
      <c r="H923" s="69">
        <v>-0.5</v>
      </c>
    </row>
    <row r="924" spans="6:8">
      <c r="F924" s="68" t="s">
        <v>119</v>
      </c>
      <c r="G924" s="67" t="s">
        <v>183</v>
      </c>
      <c r="H924" s="69">
        <v>-1</v>
      </c>
    </row>
    <row r="925" spans="6:8">
      <c r="F925" s="68" t="s">
        <v>119</v>
      </c>
      <c r="G925" s="67" t="s">
        <v>184</v>
      </c>
      <c r="H925" s="69">
        <v>-1</v>
      </c>
    </row>
    <row r="926" spans="6:8">
      <c r="F926" s="68" t="s">
        <v>120</v>
      </c>
      <c r="G926" s="67" t="s">
        <v>184</v>
      </c>
      <c r="H926" s="69">
        <v>-0.5</v>
      </c>
    </row>
    <row r="927" spans="6:8">
      <c r="F927" s="68" t="s">
        <v>121</v>
      </c>
      <c r="G927" s="67" t="s">
        <v>184</v>
      </c>
      <c r="H927" s="69">
        <v>-0.75</v>
      </c>
    </row>
    <row r="928" spans="6:8">
      <c r="F928" s="68" t="s">
        <v>122</v>
      </c>
      <c r="G928" s="67" t="s">
        <v>184</v>
      </c>
      <c r="H928" s="69">
        <v>-1.05</v>
      </c>
    </row>
    <row r="929" spans="6:8">
      <c r="F929" s="68" t="s">
        <v>123</v>
      </c>
      <c r="G929" s="67" t="s">
        <v>184</v>
      </c>
      <c r="H929" s="69">
        <v>-0.6</v>
      </c>
    </row>
    <row r="930" spans="6:8">
      <c r="F930" s="68" t="s">
        <v>124</v>
      </c>
      <c r="G930" s="67" t="s">
        <v>184</v>
      </c>
      <c r="H930" s="69">
        <v>-0.7</v>
      </c>
    </row>
    <row r="931" spans="6:8">
      <c r="F931" s="68" t="s">
        <v>125</v>
      </c>
      <c r="G931" s="67" t="s">
        <v>184</v>
      </c>
      <c r="H931" s="69">
        <v>-1.1000000000000001</v>
      </c>
    </row>
    <row r="932" spans="6:8">
      <c r="F932" s="68" t="s">
        <v>126</v>
      </c>
      <c r="G932" s="67" t="s">
        <v>184</v>
      </c>
      <c r="H932" s="69">
        <v>-0.55000000000000004</v>
      </c>
    </row>
    <row r="933" spans="6:8">
      <c r="F933" s="68" t="s">
        <v>127</v>
      </c>
      <c r="G933" s="67" t="s">
        <v>184</v>
      </c>
      <c r="H933" s="69">
        <v>-0.15</v>
      </c>
    </row>
    <row r="934" spans="6:8">
      <c r="F934" s="68" t="s">
        <v>128</v>
      </c>
      <c r="G934" s="67" t="s">
        <v>184</v>
      </c>
      <c r="H934" s="69">
        <v>-0.55000000000000004</v>
      </c>
    </row>
    <row r="935" spans="6:8">
      <c r="F935" s="68" t="s">
        <v>129</v>
      </c>
      <c r="G935" s="67" t="s">
        <v>184</v>
      </c>
      <c r="H935" s="69">
        <v>-0.25</v>
      </c>
    </row>
    <row r="936" spans="6:8">
      <c r="F936" s="68" t="s">
        <v>130</v>
      </c>
      <c r="G936" s="67" t="s">
        <v>184</v>
      </c>
      <c r="H936" s="69">
        <v>-0.95</v>
      </c>
    </row>
    <row r="937" spans="6:8">
      <c r="F937" s="68" t="s">
        <v>131</v>
      </c>
      <c r="G937" s="67" t="s">
        <v>184</v>
      </c>
      <c r="H937" s="69">
        <v>-0.35</v>
      </c>
    </row>
    <row r="938" spans="6:8">
      <c r="F938" s="68" t="s">
        <v>132</v>
      </c>
      <c r="G938" s="67" t="s">
        <v>184</v>
      </c>
      <c r="H938" s="69">
        <v>-0.95</v>
      </c>
    </row>
    <row r="939" spans="6:8">
      <c r="F939" s="68" t="s">
        <v>133</v>
      </c>
      <c r="G939" s="67" t="s">
        <v>184</v>
      </c>
      <c r="H939" s="69">
        <v>-0.35</v>
      </c>
    </row>
    <row r="940" spans="6:8">
      <c r="F940" s="68" t="s">
        <v>134</v>
      </c>
      <c r="G940" s="67" t="s">
        <v>184</v>
      </c>
      <c r="H940" s="69">
        <v>-1</v>
      </c>
    </row>
    <row r="941" spans="6:8">
      <c r="F941" s="68" t="s">
        <v>135</v>
      </c>
      <c r="G941" s="67" t="s">
        <v>184</v>
      </c>
      <c r="H941" s="69">
        <v>-0.35</v>
      </c>
    </row>
    <row r="942" spans="6:8">
      <c r="F942" s="68" t="s">
        <v>136</v>
      </c>
      <c r="G942" s="67" t="s">
        <v>184</v>
      </c>
      <c r="H942" s="69">
        <v>-0.95</v>
      </c>
    </row>
    <row r="943" spans="6:8">
      <c r="F943" s="68" t="s">
        <v>137</v>
      </c>
      <c r="G943" s="67" t="s">
        <v>184</v>
      </c>
      <c r="H943" s="69">
        <v>-0.5</v>
      </c>
    </row>
    <row r="944" spans="6:8">
      <c r="F944" s="68" t="s">
        <v>138</v>
      </c>
      <c r="G944" s="67" t="s">
        <v>184</v>
      </c>
      <c r="H944" s="69">
        <v>-0.7</v>
      </c>
    </row>
    <row r="945" spans="6:8">
      <c r="F945" s="68" t="s">
        <v>138</v>
      </c>
      <c r="G945" s="67" t="s">
        <v>185</v>
      </c>
      <c r="H945" s="69">
        <v>-0.7</v>
      </c>
    </row>
    <row r="946" spans="6:8">
      <c r="F946" s="68" t="s">
        <v>137</v>
      </c>
      <c r="G946" s="67" t="s">
        <v>185</v>
      </c>
      <c r="H946" s="69">
        <v>-0.5</v>
      </c>
    </row>
    <row r="947" spans="6:8">
      <c r="F947" s="68" t="s">
        <v>136</v>
      </c>
      <c r="G947" s="67" t="s">
        <v>185</v>
      </c>
      <c r="H947" s="69">
        <v>-0.95</v>
      </c>
    </row>
    <row r="948" spans="6:8">
      <c r="F948" s="68" t="s">
        <v>135</v>
      </c>
      <c r="G948" s="67" t="s">
        <v>185</v>
      </c>
      <c r="H948" s="69">
        <v>-0.35</v>
      </c>
    </row>
    <row r="949" spans="6:8">
      <c r="F949" s="68" t="s">
        <v>134</v>
      </c>
      <c r="G949" s="67" t="s">
        <v>185</v>
      </c>
      <c r="H949" s="69">
        <v>-1</v>
      </c>
    </row>
    <row r="950" spans="6:8">
      <c r="F950" s="68" t="s">
        <v>133</v>
      </c>
      <c r="G950" s="67" t="s">
        <v>185</v>
      </c>
      <c r="H950" s="69">
        <v>-0.35</v>
      </c>
    </row>
    <row r="951" spans="6:8">
      <c r="F951" s="68" t="s">
        <v>132</v>
      </c>
      <c r="G951" s="67" t="s">
        <v>185</v>
      </c>
      <c r="H951" s="69">
        <v>-0.95</v>
      </c>
    </row>
    <row r="952" spans="6:8">
      <c r="F952" s="68" t="s">
        <v>131</v>
      </c>
      <c r="G952" s="67" t="s">
        <v>185</v>
      </c>
      <c r="H952" s="69">
        <v>-0.35</v>
      </c>
    </row>
    <row r="953" spans="6:8">
      <c r="F953" s="68" t="s">
        <v>130</v>
      </c>
      <c r="G953" s="67" t="s">
        <v>185</v>
      </c>
      <c r="H953" s="69">
        <v>-0.95</v>
      </c>
    </row>
    <row r="954" spans="6:8">
      <c r="F954" s="68" t="s">
        <v>129</v>
      </c>
      <c r="G954" s="67" t="s">
        <v>185</v>
      </c>
      <c r="H954" s="69">
        <v>-0.25</v>
      </c>
    </row>
    <row r="955" spans="6:8">
      <c r="F955" s="68" t="s">
        <v>128</v>
      </c>
      <c r="G955" s="67" t="s">
        <v>185</v>
      </c>
      <c r="H955" s="69">
        <v>-0.55000000000000004</v>
      </c>
    </row>
    <row r="956" spans="6:8">
      <c r="F956" s="68" t="s">
        <v>127</v>
      </c>
      <c r="G956" s="67" t="s">
        <v>185</v>
      </c>
      <c r="H956" s="69">
        <v>-0.15</v>
      </c>
    </row>
    <row r="957" spans="6:8">
      <c r="F957" s="68" t="s">
        <v>126</v>
      </c>
      <c r="G957" s="67" t="s">
        <v>185</v>
      </c>
      <c r="H957" s="69">
        <v>-0.55000000000000004</v>
      </c>
    </row>
    <row r="958" spans="6:8">
      <c r="F958" s="68" t="s">
        <v>125</v>
      </c>
      <c r="G958" s="67" t="s">
        <v>185</v>
      </c>
      <c r="H958" s="69">
        <v>-1.1000000000000001</v>
      </c>
    </row>
    <row r="959" spans="6:8">
      <c r="F959" s="68" t="s">
        <v>124</v>
      </c>
      <c r="G959" s="67" t="s">
        <v>185</v>
      </c>
      <c r="H959" s="69">
        <v>-0.7</v>
      </c>
    </row>
    <row r="960" spans="6:8">
      <c r="F960" s="68" t="s">
        <v>123</v>
      </c>
      <c r="G960" s="67" t="s">
        <v>185</v>
      </c>
      <c r="H960" s="69">
        <v>-0.6</v>
      </c>
    </row>
    <row r="961" spans="6:8">
      <c r="F961" s="68" t="s">
        <v>122</v>
      </c>
      <c r="G961" s="67" t="s">
        <v>185</v>
      </c>
      <c r="H961" s="69">
        <v>-1.05</v>
      </c>
    </row>
    <row r="962" spans="6:8">
      <c r="F962" s="68" t="s">
        <v>121</v>
      </c>
      <c r="G962" s="67" t="s">
        <v>185</v>
      </c>
      <c r="H962" s="69">
        <v>-0.75</v>
      </c>
    </row>
    <row r="963" spans="6:8">
      <c r="F963" s="68" t="s">
        <v>120</v>
      </c>
      <c r="G963" s="67" t="s">
        <v>185</v>
      </c>
      <c r="H963" s="69">
        <v>-0.5</v>
      </c>
    </row>
    <row r="964" spans="6:8">
      <c r="F964" s="68" t="s">
        <v>119</v>
      </c>
      <c r="G964" s="67" t="s">
        <v>185</v>
      </c>
      <c r="H964" s="69">
        <v>-1</v>
      </c>
    </row>
    <row r="965" spans="6:8">
      <c r="F965" s="68" t="s">
        <v>119</v>
      </c>
      <c r="G965" s="67" t="s">
        <v>186</v>
      </c>
      <c r="H965" s="69">
        <v>-1</v>
      </c>
    </row>
    <row r="966" spans="6:8">
      <c r="F966" s="68" t="s">
        <v>120</v>
      </c>
      <c r="G966" s="67" t="s">
        <v>186</v>
      </c>
      <c r="H966" s="69">
        <v>-0.5</v>
      </c>
    </row>
    <row r="967" spans="6:8">
      <c r="F967" s="68" t="s">
        <v>121</v>
      </c>
      <c r="G967" s="67" t="s">
        <v>186</v>
      </c>
      <c r="H967" s="69">
        <v>-0.75</v>
      </c>
    </row>
    <row r="968" spans="6:8">
      <c r="F968" s="68" t="s">
        <v>122</v>
      </c>
      <c r="G968" s="67" t="s">
        <v>186</v>
      </c>
      <c r="H968" s="69">
        <v>-1.05</v>
      </c>
    </row>
    <row r="969" spans="6:8">
      <c r="F969" s="68" t="s">
        <v>123</v>
      </c>
      <c r="G969" s="67" t="s">
        <v>186</v>
      </c>
      <c r="H969" s="69">
        <v>-0.6</v>
      </c>
    </row>
    <row r="970" spans="6:8">
      <c r="F970" s="68" t="s">
        <v>124</v>
      </c>
      <c r="G970" s="67" t="s">
        <v>186</v>
      </c>
      <c r="H970" s="69">
        <v>-0.7</v>
      </c>
    </row>
    <row r="971" spans="6:8">
      <c r="F971" s="68" t="s">
        <v>125</v>
      </c>
      <c r="G971" s="67" t="s">
        <v>186</v>
      </c>
      <c r="H971" s="69">
        <v>-1.1000000000000001</v>
      </c>
    </row>
    <row r="972" spans="6:8">
      <c r="F972" s="68" t="s">
        <v>126</v>
      </c>
      <c r="G972" s="67" t="s">
        <v>186</v>
      </c>
      <c r="H972" s="69">
        <v>-0.55000000000000004</v>
      </c>
    </row>
    <row r="973" spans="6:8">
      <c r="F973" s="68" t="s">
        <v>127</v>
      </c>
      <c r="G973" s="67" t="s">
        <v>186</v>
      </c>
      <c r="H973" s="69">
        <v>-0.15</v>
      </c>
    </row>
    <row r="974" spans="6:8">
      <c r="F974" s="68" t="s">
        <v>128</v>
      </c>
      <c r="G974" s="67" t="s">
        <v>186</v>
      </c>
      <c r="H974" s="69">
        <v>-0.55000000000000004</v>
      </c>
    </row>
    <row r="975" spans="6:8">
      <c r="F975" s="68" t="s">
        <v>129</v>
      </c>
      <c r="G975" s="67" t="s">
        <v>186</v>
      </c>
      <c r="H975" s="69">
        <v>-0.25</v>
      </c>
    </row>
    <row r="976" spans="6:8">
      <c r="F976" s="68" t="s">
        <v>130</v>
      </c>
      <c r="G976" s="67" t="s">
        <v>186</v>
      </c>
      <c r="H976" s="69">
        <v>-0.95</v>
      </c>
    </row>
    <row r="977" spans="6:8">
      <c r="F977" s="68" t="s">
        <v>131</v>
      </c>
      <c r="G977" s="67" t="s">
        <v>186</v>
      </c>
      <c r="H977" s="69">
        <v>-0.35</v>
      </c>
    </row>
    <row r="978" spans="6:8">
      <c r="F978" s="68" t="s">
        <v>132</v>
      </c>
      <c r="G978" s="67" t="s">
        <v>186</v>
      </c>
      <c r="H978" s="69">
        <v>-0.95</v>
      </c>
    </row>
    <row r="979" spans="6:8">
      <c r="F979" s="68" t="s">
        <v>133</v>
      </c>
      <c r="G979" s="67" t="s">
        <v>186</v>
      </c>
      <c r="H979" s="69">
        <v>-0.35</v>
      </c>
    </row>
    <row r="980" spans="6:8">
      <c r="F980" s="68" t="s">
        <v>134</v>
      </c>
      <c r="G980" s="67" t="s">
        <v>186</v>
      </c>
      <c r="H980" s="69">
        <v>-1</v>
      </c>
    </row>
    <row r="981" spans="6:8">
      <c r="F981" s="68" t="s">
        <v>135</v>
      </c>
      <c r="G981" s="67" t="s">
        <v>186</v>
      </c>
      <c r="H981" s="69">
        <v>-0.35</v>
      </c>
    </row>
    <row r="982" spans="6:8">
      <c r="F982" s="68" t="s">
        <v>136</v>
      </c>
      <c r="G982" s="67" t="s">
        <v>186</v>
      </c>
      <c r="H982" s="69">
        <v>-0.95</v>
      </c>
    </row>
    <row r="983" spans="6:8">
      <c r="F983" s="68" t="s">
        <v>137</v>
      </c>
      <c r="G983" s="67" t="s">
        <v>186</v>
      </c>
      <c r="H983" s="69">
        <v>-0.5</v>
      </c>
    </row>
    <row r="984" spans="6:8">
      <c r="F984" s="68" t="s">
        <v>138</v>
      </c>
      <c r="G984" s="67" t="s">
        <v>186</v>
      </c>
      <c r="H984" s="69">
        <v>-0.7</v>
      </c>
    </row>
    <row r="985" spans="6:8">
      <c r="F985" s="68" t="s">
        <v>138</v>
      </c>
      <c r="G985" s="67" t="s">
        <v>187</v>
      </c>
      <c r="H985" s="69">
        <v>-0.7</v>
      </c>
    </row>
    <row r="986" spans="6:8">
      <c r="F986" s="68" t="s">
        <v>137</v>
      </c>
      <c r="G986" s="67" t="s">
        <v>187</v>
      </c>
      <c r="H986" s="69">
        <v>-0.5</v>
      </c>
    </row>
    <row r="987" spans="6:8">
      <c r="F987" s="68" t="s">
        <v>136</v>
      </c>
      <c r="G987" s="67" t="s">
        <v>187</v>
      </c>
      <c r="H987" s="69">
        <v>-0.95</v>
      </c>
    </row>
    <row r="988" spans="6:8">
      <c r="F988" s="68" t="s">
        <v>135</v>
      </c>
      <c r="G988" s="67" t="s">
        <v>187</v>
      </c>
      <c r="H988" s="69">
        <v>-0.35</v>
      </c>
    </row>
    <row r="989" spans="6:8">
      <c r="F989" s="68" t="s">
        <v>134</v>
      </c>
      <c r="G989" s="67" t="s">
        <v>187</v>
      </c>
      <c r="H989" s="69">
        <v>-1</v>
      </c>
    </row>
    <row r="990" spans="6:8">
      <c r="F990" s="68" t="s">
        <v>133</v>
      </c>
      <c r="G990" s="67" t="s">
        <v>187</v>
      </c>
      <c r="H990" s="69">
        <v>-0.35</v>
      </c>
    </row>
    <row r="991" spans="6:8">
      <c r="F991" s="68" t="s">
        <v>132</v>
      </c>
      <c r="G991" s="67" t="s">
        <v>187</v>
      </c>
      <c r="H991" s="69">
        <v>-0.95</v>
      </c>
    </row>
    <row r="992" spans="6:8">
      <c r="F992" s="68" t="s">
        <v>131</v>
      </c>
      <c r="G992" s="67" t="s">
        <v>187</v>
      </c>
      <c r="H992" s="69">
        <v>-0.35</v>
      </c>
    </row>
    <row r="993" spans="6:8">
      <c r="F993" s="68" t="s">
        <v>130</v>
      </c>
      <c r="G993" s="67" t="s">
        <v>187</v>
      </c>
      <c r="H993" s="69">
        <v>-0.95</v>
      </c>
    </row>
    <row r="994" spans="6:8">
      <c r="F994" s="68" t="s">
        <v>129</v>
      </c>
      <c r="G994" s="67" t="s">
        <v>187</v>
      </c>
      <c r="H994" s="69">
        <v>-0.25</v>
      </c>
    </row>
    <row r="995" spans="6:8">
      <c r="F995" s="68" t="s">
        <v>128</v>
      </c>
      <c r="G995" s="67" t="s">
        <v>187</v>
      </c>
      <c r="H995" s="69">
        <v>-0.55000000000000004</v>
      </c>
    </row>
    <row r="996" spans="6:8">
      <c r="F996" s="68" t="s">
        <v>127</v>
      </c>
      <c r="G996" s="67" t="s">
        <v>187</v>
      </c>
      <c r="H996" s="69">
        <v>-0.15</v>
      </c>
    </row>
    <row r="997" spans="6:8">
      <c r="F997" s="68" t="s">
        <v>126</v>
      </c>
      <c r="G997" s="67" t="s">
        <v>187</v>
      </c>
      <c r="H997" s="69">
        <v>-0.55000000000000004</v>
      </c>
    </row>
    <row r="998" spans="6:8">
      <c r="F998" s="68" t="s">
        <v>125</v>
      </c>
      <c r="G998" s="67" t="s">
        <v>187</v>
      </c>
      <c r="H998" s="69">
        <v>-1.1000000000000001</v>
      </c>
    </row>
    <row r="999" spans="6:8">
      <c r="F999" s="68" t="s">
        <v>124</v>
      </c>
      <c r="G999" s="67" t="s">
        <v>187</v>
      </c>
      <c r="H999" s="69">
        <v>-0.7</v>
      </c>
    </row>
    <row r="1000" spans="6:8">
      <c r="F1000" s="68" t="s">
        <v>123</v>
      </c>
      <c r="G1000" s="67" t="s">
        <v>187</v>
      </c>
      <c r="H1000" s="69">
        <v>-0.6</v>
      </c>
    </row>
    <row r="1001" spans="6:8">
      <c r="F1001" s="68" t="s">
        <v>122</v>
      </c>
      <c r="G1001" s="67" t="s">
        <v>187</v>
      </c>
      <c r="H1001" s="69">
        <v>-1.05</v>
      </c>
    </row>
    <row r="1002" spans="6:8">
      <c r="F1002" s="68" t="s">
        <v>121</v>
      </c>
      <c r="G1002" s="67" t="s">
        <v>187</v>
      </c>
      <c r="H1002" s="69">
        <v>-0.75</v>
      </c>
    </row>
    <row r="1003" spans="6:8">
      <c r="F1003" s="68" t="s">
        <v>120</v>
      </c>
      <c r="G1003" s="67" t="s">
        <v>187</v>
      </c>
      <c r="H1003" s="69">
        <v>-0.5</v>
      </c>
    </row>
    <row r="1004" spans="6:8">
      <c r="F1004" s="68" t="s">
        <v>119</v>
      </c>
      <c r="G1004" s="67" t="s">
        <v>187</v>
      </c>
      <c r="H1004" s="69">
        <v>-1</v>
      </c>
    </row>
    <row r="1005" spans="6:8">
      <c r="F1005" s="68" t="s">
        <v>119</v>
      </c>
      <c r="G1005" s="67" t="s">
        <v>188</v>
      </c>
      <c r="H1005" s="69">
        <v>-1</v>
      </c>
    </row>
    <row r="1006" spans="6:8">
      <c r="F1006" s="68" t="s">
        <v>120</v>
      </c>
      <c r="G1006" s="67" t="s">
        <v>188</v>
      </c>
      <c r="H1006" s="69">
        <v>-0.5</v>
      </c>
    </row>
    <row r="1007" spans="6:8">
      <c r="F1007" s="68" t="s">
        <v>121</v>
      </c>
      <c r="G1007" s="67" t="s">
        <v>188</v>
      </c>
      <c r="H1007" s="69">
        <v>-0.75</v>
      </c>
    </row>
    <row r="1008" spans="6:8">
      <c r="F1008" s="68" t="s">
        <v>122</v>
      </c>
      <c r="G1008" s="67" t="s">
        <v>188</v>
      </c>
      <c r="H1008" s="69">
        <v>-1.05</v>
      </c>
    </row>
    <row r="1009" spans="6:8">
      <c r="F1009" s="68" t="s">
        <v>123</v>
      </c>
      <c r="G1009" s="67" t="s">
        <v>188</v>
      </c>
      <c r="H1009" s="69">
        <v>-0.6</v>
      </c>
    </row>
    <row r="1010" spans="6:8">
      <c r="F1010" s="68" t="s">
        <v>124</v>
      </c>
      <c r="G1010" s="67" t="s">
        <v>188</v>
      </c>
      <c r="H1010" s="69">
        <v>-0.7</v>
      </c>
    </row>
    <row r="1011" spans="6:8">
      <c r="F1011" s="68" t="s">
        <v>125</v>
      </c>
      <c r="G1011" s="67" t="s">
        <v>188</v>
      </c>
      <c r="H1011" s="69">
        <v>-1.1000000000000001</v>
      </c>
    </row>
    <row r="1012" spans="6:8">
      <c r="F1012" s="68" t="s">
        <v>126</v>
      </c>
      <c r="G1012" s="67" t="s">
        <v>188</v>
      </c>
      <c r="H1012" s="69">
        <v>-0.55000000000000004</v>
      </c>
    </row>
    <row r="1013" spans="6:8">
      <c r="F1013" s="68" t="s">
        <v>127</v>
      </c>
      <c r="G1013" s="67" t="s">
        <v>188</v>
      </c>
      <c r="H1013" s="69">
        <v>-0.15</v>
      </c>
    </row>
    <row r="1014" spans="6:8">
      <c r="F1014" s="68" t="s">
        <v>128</v>
      </c>
      <c r="G1014" s="67" t="s">
        <v>188</v>
      </c>
      <c r="H1014" s="69">
        <v>-0.55000000000000004</v>
      </c>
    </row>
    <row r="1015" spans="6:8">
      <c r="F1015" s="68" t="s">
        <v>129</v>
      </c>
      <c r="G1015" s="67" t="s">
        <v>188</v>
      </c>
      <c r="H1015" s="69">
        <v>-0.25</v>
      </c>
    </row>
    <row r="1016" spans="6:8">
      <c r="F1016" s="68" t="s">
        <v>130</v>
      </c>
      <c r="G1016" s="67" t="s">
        <v>188</v>
      </c>
      <c r="H1016" s="69">
        <v>-0.95</v>
      </c>
    </row>
    <row r="1017" spans="6:8">
      <c r="F1017" s="68" t="s">
        <v>131</v>
      </c>
      <c r="G1017" s="67" t="s">
        <v>188</v>
      </c>
      <c r="H1017" s="69">
        <v>-0.35</v>
      </c>
    </row>
    <row r="1018" spans="6:8">
      <c r="F1018" s="68" t="s">
        <v>132</v>
      </c>
      <c r="G1018" s="67" t="s">
        <v>188</v>
      </c>
      <c r="H1018" s="69">
        <v>-0.95</v>
      </c>
    </row>
    <row r="1019" spans="6:8">
      <c r="F1019" s="68" t="s">
        <v>133</v>
      </c>
      <c r="G1019" s="67" t="s">
        <v>188</v>
      </c>
      <c r="H1019" s="69">
        <v>-0.35</v>
      </c>
    </row>
    <row r="1020" spans="6:8">
      <c r="F1020" s="68" t="s">
        <v>134</v>
      </c>
      <c r="G1020" s="67" t="s">
        <v>188</v>
      </c>
      <c r="H1020" s="69">
        <v>-1</v>
      </c>
    </row>
    <row r="1021" spans="6:8">
      <c r="F1021" s="68" t="s">
        <v>135</v>
      </c>
      <c r="G1021" s="67" t="s">
        <v>188</v>
      </c>
      <c r="H1021" s="69">
        <v>-0.35</v>
      </c>
    </row>
    <row r="1022" spans="6:8">
      <c r="F1022" s="68" t="s">
        <v>136</v>
      </c>
      <c r="G1022" s="67" t="s">
        <v>188</v>
      </c>
      <c r="H1022" s="69">
        <v>-0.95</v>
      </c>
    </row>
    <row r="1023" spans="6:8">
      <c r="F1023" s="68" t="s">
        <v>137</v>
      </c>
      <c r="G1023" s="67" t="s">
        <v>188</v>
      </c>
      <c r="H1023" s="69">
        <v>-0.5</v>
      </c>
    </row>
    <row r="1024" spans="6:8">
      <c r="F1024" s="68" t="s">
        <v>138</v>
      </c>
      <c r="G1024" s="67" t="s">
        <v>188</v>
      </c>
      <c r="H1024" s="69">
        <v>-0.7</v>
      </c>
    </row>
    <row r="1025" spans="6:8">
      <c r="F1025" s="68" t="s">
        <v>138</v>
      </c>
      <c r="G1025" s="67" t="s">
        <v>189</v>
      </c>
      <c r="H1025" s="69">
        <v>-0.7</v>
      </c>
    </row>
    <row r="1026" spans="6:8">
      <c r="F1026" s="68" t="s">
        <v>137</v>
      </c>
      <c r="G1026" s="67" t="s">
        <v>189</v>
      </c>
      <c r="H1026" s="69">
        <v>-0.5</v>
      </c>
    </row>
    <row r="1027" spans="6:8">
      <c r="F1027" s="68" t="s">
        <v>136</v>
      </c>
      <c r="G1027" s="67" t="s">
        <v>189</v>
      </c>
      <c r="H1027" s="69">
        <v>-0.95</v>
      </c>
    </row>
    <row r="1028" spans="6:8">
      <c r="F1028" s="68" t="s">
        <v>135</v>
      </c>
      <c r="G1028" s="67" t="s">
        <v>189</v>
      </c>
      <c r="H1028" s="69">
        <v>-0.35</v>
      </c>
    </row>
    <row r="1029" spans="6:8">
      <c r="F1029" s="68" t="s">
        <v>134</v>
      </c>
      <c r="G1029" s="67" t="s">
        <v>189</v>
      </c>
      <c r="H1029" s="69">
        <v>-1</v>
      </c>
    </row>
    <row r="1030" spans="6:8">
      <c r="F1030" s="68" t="s">
        <v>133</v>
      </c>
      <c r="G1030" s="67" t="s">
        <v>189</v>
      </c>
      <c r="H1030" s="69">
        <v>-0.35</v>
      </c>
    </row>
    <row r="1031" spans="6:8">
      <c r="F1031" s="68" t="s">
        <v>132</v>
      </c>
      <c r="G1031" s="67" t="s">
        <v>189</v>
      </c>
      <c r="H1031" s="69">
        <v>-0.95</v>
      </c>
    </row>
    <row r="1032" spans="6:8">
      <c r="F1032" s="68" t="s">
        <v>131</v>
      </c>
      <c r="G1032" s="67" t="s">
        <v>189</v>
      </c>
      <c r="H1032" s="69">
        <v>-0.35</v>
      </c>
    </row>
    <row r="1033" spans="6:8">
      <c r="F1033" s="68" t="s">
        <v>130</v>
      </c>
      <c r="G1033" s="67" t="s">
        <v>189</v>
      </c>
      <c r="H1033" s="69">
        <v>-0.95</v>
      </c>
    </row>
    <row r="1034" spans="6:8">
      <c r="F1034" s="68" t="s">
        <v>129</v>
      </c>
      <c r="G1034" s="67" t="s">
        <v>189</v>
      </c>
      <c r="H1034" s="69">
        <v>-0.25</v>
      </c>
    </row>
    <row r="1035" spans="6:8">
      <c r="F1035" s="68" t="s">
        <v>128</v>
      </c>
      <c r="G1035" s="67" t="s">
        <v>189</v>
      </c>
      <c r="H1035" s="69">
        <v>-0.55000000000000004</v>
      </c>
    </row>
    <row r="1036" spans="6:8">
      <c r="F1036" s="68" t="s">
        <v>127</v>
      </c>
      <c r="G1036" s="67" t="s">
        <v>189</v>
      </c>
      <c r="H1036" s="69">
        <v>-0.15</v>
      </c>
    </row>
    <row r="1037" spans="6:8">
      <c r="F1037" s="68" t="s">
        <v>126</v>
      </c>
      <c r="G1037" s="67" t="s">
        <v>189</v>
      </c>
      <c r="H1037" s="69">
        <v>-0.55000000000000004</v>
      </c>
    </row>
    <row r="1038" spans="6:8">
      <c r="F1038" s="68" t="s">
        <v>125</v>
      </c>
      <c r="G1038" s="67" t="s">
        <v>189</v>
      </c>
      <c r="H1038" s="69">
        <v>-1.1000000000000001</v>
      </c>
    </row>
    <row r="1039" spans="6:8">
      <c r="F1039" s="68" t="s">
        <v>124</v>
      </c>
      <c r="G1039" s="67" t="s">
        <v>189</v>
      </c>
      <c r="H1039" s="69">
        <v>-0.7</v>
      </c>
    </row>
    <row r="1040" spans="6:8">
      <c r="F1040" s="68" t="s">
        <v>123</v>
      </c>
      <c r="G1040" s="67" t="s">
        <v>189</v>
      </c>
      <c r="H1040" s="69">
        <v>-0.6</v>
      </c>
    </row>
    <row r="1041" spans="6:8">
      <c r="F1041" s="68" t="s">
        <v>122</v>
      </c>
      <c r="G1041" s="67" t="s">
        <v>189</v>
      </c>
      <c r="H1041" s="69">
        <v>-1.05</v>
      </c>
    </row>
    <row r="1042" spans="6:8">
      <c r="F1042" s="68" t="s">
        <v>121</v>
      </c>
      <c r="G1042" s="67" t="s">
        <v>189</v>
      </c>
      <c r="H1042" s="69">
        <v>-0.75</v>
      </c>
    </row>
    <row r="1043" spans="6:8">
      <c r="F1043" s="68" t="s">
        <v>120</v>
      </c>
      <c r="G1043" s="67" t="s">
        <v>189</v>
      </c>
      <c r="H1043" s="69">
        <v>-0.5</v>
      </c>
    </row>
    <row r="1044" spans="6:8">
      <c r="F1044" s="68" t="s">
        <v>119</v>
      </c>
      <c r="G1044" s="67" t="s">
        <v>189</v>
      </c>
      <c r="H1044" s="69">
        <v>-1</v>
      </c>
    </row>
    <row r="1045" spans="6:8">
      <c r="F1045" s="68" t="s">
        <v>119</v>
      </c>
      <c r="G1045" s="67" t="s">
        <v>190</v>
      </c>
      <c r="H1045" s="69">
        <v>-1</v>
      </c>
    </row>
    <row r="1046" spans="6:8">
      <c r="F1046" s="68" t="s">
        <v>120</v>
      </c>
      <c r="G1046" s="67" t="s">
        <v>190</v>
      </c>
      <c r="H1046" s="69">
        <v>-0.5</v>
      </c>
    </row>
    <row r="1047" spans="6:8">
      <c r="F1047" s="68" t="s">
        <v>121</v>
      </c>
      <c r="G1047" s="67" t="s">
        <v>190</v>
      </c>
      <c r="H1047" s="69">
        <v>-0.75</v>
      </c>
    </row>
    <row r="1048" spans="6:8">
      <c r="F1048" s="68" t="s">
        <v>122</v>
      </c>
      <c r="G1048" s="67" t="s">
        <v>190</v>
      </c>
      <c r="H1048" s="69">
        <v>-1.05</v>
      </c>
    </row>
    <row r="1049" spans="6:8">
      <c r="F1049" s="68" t="s">
        <v>123</v>
      </c>
      <c r="G1049" s="67" t="s">
        <v>190</v>
      </c>
      <c r="H1049" s="69">
        <v>-0.6</v>
      </c>
    </row>
    <row r="1050" spans="6:8">
      <c r="F1050" s="68" t="s">
        <v>124</v>
      </c>
      <c r="G1050" s="67" t="s">
        <v>190</v>
      </c>
      <c r="H1050" s="69">
        <v>-0.7</v>
      </c>
    </row>
    <row r="1051" spans="6:8">
      <c r="F1051" s="68" t="s">
        <v>125</v>
      </c>
      <c r="G1051" s="67" t="s">
        <v>190</v>
      </c>
      <c r="H1051" s="69">
        <v>-1.1000000000000001</v>
      </c>
    </row>
    <row r="1052" spans="6:8">
      <c r="F1052" s="68" t="s">
        <v>126</v>
      </c>
      <c r="G1052" s="67" t="s">
        <v>190</v>
      </c>
      <c r="H1052" s="69">
        <v>-0.55000000000000004</v>
      </c>
    </row>
    <row r="1053" spans="6:8">
      <c r="F1053" s="68" t="s">
        <v>127</v>
      </c>
      <c r="G1053" s="67" t="s">
        <v>190</v>
      </c>
      <c r="H1053" s="69">
        <v>-0.15</v>
      </c>
    </row>
    <row r="1054" spans="6:8">
      <c r="F1054" s="68" t="s">
        <v>128</v>
      </c>
      <c r="G1054" s="67" t="s">
        <v>190</v>
      </c>
      <c r="H1054" s="69">
        <v>-0.55000000000000004</v>
      </c>
    </row>
    <row r="1055" spans="6:8">
      <c r="F1055" s="68" t="s">
        <v>129</v>
      </c>
      <c r="G1055" s="67" t="s">
        <v>190</v>
      </c>
      <c r="H1055" s="69">
        <v>-0.25</v>
      </c>
    </row>
    <row r="1056" spans="6:8">
      <c r="F1056" s="68" t="s">
        <v>130</v>
      </c>
      <c r="G1056" s="67" t="s">
        <v>190</v>
      </c>
      <c r="H1056" s="69">
        <v>-0.95</v>
      </c>
    </row>
    <row r="1057" spans="6:8">
      <c r="F1057" s="68" t="s">
        <v>131</v>
      </c>
      <c r="G1057" s="67" t="s">
        <v>190</v>
      </c>
      <c r="H1057" s="69">
        <v>-0.35</v>
      </c>
    </row>
    <row r="1058" spans="6:8">
      <c r="F1058" s="68" t="s">
        <v>132</v>
      </c>
      <c r="G1058" s="67" t="s">
        <v>190</v>
      </c>
      <c r="H1058" s="69">
        <v>-0.95</v>
      </c>
    </row>
    <row r="1059" spans="6:8">
      <c r="F1059" s="68" t="s">
        <v>133</v>
      </c>
      <c r="G1059" s="67" t="s">
        <v>190</v>
      </c>
      <c r="H1059" s="69">
        <v>-0.35</v>
      </c>
    </row>
    <row r="1060" spans="6:8">
      <c r="F1060" s="68" t="s">
        <v>134</v>
      </c>
      <c r="G1060" s="67" t="s">
        <v>190</v>
      </c>
      <c r="H1060" s="69">
        <v>-1</v>
      </c>
    </row>
    <row r="1061" spans="6:8">
      <c r="F1061" s="68" t="s">
        <v>135</v>
      </c>
      <c r="G1061" s="67" t="s">
        <v>190</v>
      </c>
      <c r="H1061" s="69">
        <v>-0.35</v>
      </c>
    </row>
    <row r="1062" spans="6:8">
      <c r="F1062" s="68" t="s">
        <v>136</v>
      </c>
      <c r="G1062" s="67" t="s">
        <v>190</v>
      </c>
      <c r="H1062" s="69">
        <v>-0.95</v>
      </c>
    </row>
    <row r="1063" spans="6:8">
      <c r="F1063" s="68" t="s">
        <v>137</v>
      </c>
      <c r="G1063" s="67" t="s">
        <v>190</v>
      </c>
      <c r="H1063" s="69">
        <v>-0.5</v>
      </c>
    </row>
    <row r="1064" spans="6:8">
      <c r="F1064" s="68" t="s">
        <v>138</v>
      </c>
      <c r="G1064" s="67" t="s">
        <v>190</v>
      </c>
      <c r="H1064" s="69">
        <v>-0.7</v>
      </c>
    </row>
    <row r="1065" spans="6:8">
      <c r="F1065" s="68" t="s">
        <v>138</v>
      </c>
      <c r="G1065" s="67" t="s">
        <v>191</v>
      </c>
      <c r="H1065" s="69">
        <v>-0.7</v>
      </c>
    </row>
    <row r="1066" spans="6:8">
      <c r="F1066" s="68" t="s">
        <v>137</v>
      </c>
      <c r="G1066" s="67" t="s">
        <v>191</v>
      </c>
      <c r="H1066" s="69">
        <v>-0.5</v>
      </c>
    </row>
    <row r="1067" spans="6:8">
      <c r="F1067" s="68" t="s">
        <v>136</v>
      </c>
      <c r="G1067" s="67" t="s">
        <v>191</v>
      </c>
      <c r="H1067" s="69">
        <v>-0.95</v>
      </c>
    </row>
    <row r="1068" spans="6:8">
      <c r="F1068" s="68" t="s">
        <v>135</v>
      </c>
      <c r="G1068" s="67" t="s">
        <v>191</v>
      </c>
      <c r="H1068" s="69">
        <v>-0.35</v>
      </c>
    </row>
    <row r="1069" spans="6:8">
      <c r="F1069" s="68" t="s">
        <v>134</v>
      </c>
      <c r="G1069" s="67" t="s">
        <v>191</v>
      </c>
      <c r="H1069" s="69">
        <v>-1</v>
      </c>
    </row>
    <row r="1070" spans="6:8">
      <c r="F1070" s="68" t="s">
        <v>133</v>
      </c>
      <c r="G1070" s="67" t="s">
        <v>191</v>
      </c>
      <c r="H1070" s="69">
        <v>-0.35</v>
      </c>
    </row>
    <row r="1071" spans="6:8">
      <c r="F1071" s="68" t="s">
        <v>132</v>
      </c>
      <c r="G1071" s="67" t="s">
        <v>191</v>
      </c>
      <c r="H1071" s="69">
        <v>-0.95</v>
      </c>
    </row>
    <row r="1072" spans="6:8">
      <c r="F1072" s="68" t="s">
        <v>131</v>
      </c>
      <c r="G1072" s="67" t="s">
        <v>191</v>
      </c>
      <c r="H1072" s="69">
        <v>-0.35</v>
      </c>
    </row>
    <row r="1073" spans="6:8">
      <c r="F1073" s="68" t="s">
        <v>130</v>
      </c>
      <c r="G1073" s="67" t="s">
        <v>191</v>
      </c>
      <c r="H1073" s="69">
        <v>-0.95</v>
      </c>
    </row>
    <row r="1074" spans="6:8">
      <c r="F1074" s="68" t="s">
        <v>129</v>
      </c>
      <c r="G1074" s="67" t="s">
        <v>191</v>
      </c>
      <c r="H1074" s="69">
        <v>-0.25</v>
      </c>
    </row>
    <row r="1075" spans="6:8">
      <c r="F1075" s="68" t="s">
        <v>128</v>
      </c>
      <c r="G1075" s="67" t="s">
        <v>191</v>
      </c>
      <c r="H1075" s="69">
        <v>-0.55000000000000004</v>
      </c>
    </row>
    <row r="1076" spans="6:8">
      <c r="F1076" s="68" t="s">
        <v>127</v>
      </c>
      <c r="G1076" s="67" t="s">
        <v>191</v>
      </c>
      <c r="H1076" s="69">
        <v>-0.15</v>
      </c>
    </row>
    <row r="1077" spans="6:8">
      <c r="F1077" s="68" t="s">
        <v>126</v>
      </c>
      <c r="G1077" s="67" t="s">
        <v>191</v>
      </c>
      <c r="H1077" s="69">
        <v>-0.55000000000000004</v>
      </c>
    </row>
    <row r="1078" spans="6:8">
      <c r="F1078" s="68" t="s">
        <v>125</v>
      </c>
      <c r="G1078" s="67" t="s">
        <v>191</v>
      </c>
      <c r="H1078" s="69">
        <v>-1.1000000000000001</v>
      </c>
    </row>
    <row r="1079" spans="6:8">
      <c r="F1079" s="68" t="s">
        <v>124</v>
      </c>
      <c r="G1079" s="67" t="s">
        <v>191</v>
      </c>
      <c r="H1079" s="69">
        <v>-0.7</v>
      </c>
    </row>
    <row r="1080" spans="6:8">
      <c r="F1080" s="68" t="s">
        <v>123</v>
      </c>
      <c r="G1080" s="67" t="s">
        <v>191</v>
      </c>
      <c r="H1080" s="69">
        <v>-0.6</v>
      </c>
    </row>
    <row r="1081" spans="6:8">
      <c r="F1081" s="68" t="s">
        <v>122</v>
      </c>
      <c r="G1081" s="67" t="s">
        <v>191</v>
      </c>
      <c r="H1081" s="69">
        <v>-1.05</v>
      </c>
    </row>
    <row r="1082" spans="6:8">
      <c r="F1082" s="68" t="s">
        <v>121</v>
      </c>
      <c r="G1082" s="67" t="s">
        <v>191</v>
      </c>
      <c r="H1082" s="69">
        <v>-0.75</v>
      </c>
    </row>
    <row r="1083" spans="6:8">
      <c r="F1083" s="68" t="s">
        <v>120</v>
      </c>
      <c r="G1083" s="67" t="s">
        <v>191</v>
      </c>
      <c r="H1083" s="69">
        <v>-0.5</v>
      </c>
    </row>
    <row r="1084" spans="6:8">
      <c r="F1084" s="68" t="s">
        <v>119</v>
      </c>
      <c r="G1084" s="67" t="s">
        <v>191</v>
      </c>
      <c r="H1084" s="69">
        <v>-1</v>
      </c>
    </row>
    <row r="1085" spans="6:8">
      <c r="F1085" s="68" t="s">
        <v>119</v>
      </c>
      <c r="G1085" s="67" t="s">
        <v>192</v>
      </c>
      <c r="H1085" s="69">
        <v>-1</v>
      </c>
    </row>
    <row r="1086" spans="6:8">
      <c r="F1086" s="68" t="s">
        <v>120</v>
      </c>
      <c r="G1086" s="67" t="s">
        <v>192</v>
      </c>
      <c r="H1086" s="69">
        <v>-0.5</v>
      </c>
    </row>
    <row r="1087" spans="6:8">
      <c r="F1087" s="68" t="s">
        <v>121</v>
      </c>
      <c r="G1087" s="67" t="s">
        <v>192</v>
      </c>
      <c r="H1087" s="69">
        <v>-0.75</v>
      </c>
    </row>
    <row r="1088" spans="6:8">
      <c r="F1088" s="68" t="s">
        <v>122</v>
      </c>
      <c r="G1088" s="67" t="s">
        <v>192</v>
      </c>
      <c r="H1088" s="69">
        <v>-1.05</v>
      </c>
    </row>
    <row r="1089" spans="6:8">
      <c r="F1089" s="68" t="s">
        <v>123</v>
      </c>
      <c r="G1089" s="67" t="s">
        <v>192</v>
      </c>
      <c r="H1089" s="69">
        <v>-0.6</v>
      </c>
    </row>
    <row r="1090" spans="6:8">
      <c r="F1090" s="68" t="s">
        <v>124</v>
      </c>
      <c r="G1090" s="67" t="s">
        <v>192</v>
      </c>
      <c r="H1090" s="69">
        <v>-0.7</v>
      </c>
    </row>
    <row r="1091" spans="6:8">
      <c r="F1091" s="68" t="s">
        <v>125</v>
      </c>
      <c r="G1091" s="67" t="s">
        <v>192</v>
      </c>
      <c r="H1091" s="69">
        <v>-1.1000000000000001</v>
      </c>
    </row>
    <row r="1092" spans="6:8">
      <c r="F1092" s="68" t="s">
        <v>126</v>
      </c>
      <c r="G1092" s="67" t="s">
        <v>192</v>
      </c>
      <c r="H1092" s="69">
        <v>-0.55000000000000004</v>
      </c>
    </row>
    <row r="1093" spans="6:8">
      <c r="F1093" s="68" t="s">
        <v>127</v>
      </c>
      <c r="G1093" s="67" t="s">
        <v>192</v>
      </c>
      <c r="H1093" s="69">
        <v>-0.15</v>
      </c>
    </row>
    <row r="1094" spans="6:8">
      <c r="F1094" s="68" t="s">
        <v>128</v>
      </c>
      <c r="G1094" s="67" t="s">
        <v>192</v>
      </c>
      <c r="H1094" s="69">
        <v>-0.55000000000000004</v>
      </c>
    </row>
    <row r="1095" spans="6:8">
      <c r="F1095" s="68" t="s">
        <v>129</v>
      </c>
      <c r="G1095" s="67" t="s">
        <v>192</v>
      </c>
      <c r="H1095" s="69">
        <v>-0.25</v>
      </c>
    </row>
    <row r="1096" spans="6:8">
      <c r="F1096" s="68" t="s">
        <v>130</v>
      </c>
      <c r="G1096" s="67" t="s">
        <v>192</v>
      </c>
      <c r="H1096" s="69">
        <v>-0.95</v>
      </c>
    </row>
    <row r="1097" spans="6:8">
      <c r="F1097" s="68" t="s">
        <v>131</v>
      </c>
      <c r="G1097" s="67" t="s">
        <v>192</v>
      </c>
      <c r="H1097" s="69">
        <v>-0.35</v>
      </c>
    </row>
    <row r="1098" spans="6:8">
      <c r="F1098" s="68" t="s">
        <v>132</v>
      </c>
      <c r="G1098" s="67" t="s">
        <v>192</v>
      </c>
      <c r="H1098" s="69">
        <v>-0.95</v>
      </c>
    </row>
    <row r="1099" spans="6:8">
      <c r="F1099" s="68" t="s">
        <v>133</v>
      </c>
      <c r="G1099" s="67" t="s">
        <v>192</v>
      </c>
      <c r="H1099" s="69">
        <v>-0.35</v>
      </c>
    </row>
    <row r="1100" spans="6:8">
      <c r="F1100" s="68" t="s">
        <v>134</v>
      </c>
      <c r="G1100" s="67" t="s">
        <v>192</v>
      </c>
      <c r="H1100" s="69">
        <v>-1</v>
      </c>
    </row>
    <row r="1101" spans="6:8">
      <c r="F1101" s="68" t="s">
        <v>135</v>
      </c>
      <c r="G1101" s="67" t="s">
        <v>192</v>
      </c>
      <c r="H1101" s="69">
        <v>-0.35</v>
      </c>
    </row>
    <row r="1102" spans="6:8">
      <c r="F1102" s="68" t="s">
        <v>136</v>
      </c>
      <c r="G1102" s="67" t="s">
        <v>192</v>
      </c>
      <c r="H1102" s="69">
        <v>-0.95</v>
      </c>
    </row>
    <row r="1103" spans="6:8">
      <c r="F1103" s="68" t="s">
        <v>137</v>
      </c>
      <c r="G1103" s="67" t="s">
        <v>192</v>
      </c>
      <c r="H1103" s="69">
        <v>-0.5</v>
      </c>
    </row>
    <row r="1104" spans="6:8">
      <c r="F1104" s="68" t="s">
        <v>138</v>
      </c>
      <c r="G1104" s="67" t="s">
        <v>192</v>
      </c>
      <c r="H1104" s="69">
        <v>-0.7</v>
      </c>
    </row>
    <row r="1105" spans="6:8">
      <c r="F1105" s="68" t="s">
        <v>138</v>
      </c>
      <c r="G1105" s="67" t="s">
        <v>193</v>
      </c>
      <c r="H1105" s="69">
        <v>-0.7</v>
      </c>
    </row>
    <row r="1106" spans="6:8">
      <c r="F1106" s="68" t="s">
        <v>137</v>
      </c>
      <c r="G1106" s="67" t="s">
        <v>193</v>
      </c>
      <c r="H1106" s="69">
        <v>-0.5</v>
      </c>
    </row>
    <row r="1107" spans="6:8">
      <c r="F1107" s="68" t="s">
        <v>136</v>
      </c>
      <c r="G1107" s="67" t="s">
        <v>193</v>
      </c>
      <c r="H1107" s="69">
        <v>-0.95</v>
      </c>
    </row>
    <row r="1108" spans="6:8">
      <c r="F1108" s="68" t="s">
        <v>135</v>
      </c>
      <c r="G1108" s="67" t="s">
        <v>193</v>
      </c>
      <c r="H1108" s="69">
        <v>-0.35</v>
      </c>
    </row>
    <row r="1109" spans="6:8">
      <c r="F1109" s="68" t="s">
        <v>134</v>
      </c>
      <c r="G1109" s="67" t="s">
        <v>193</v>
      </c>
      <c r="H1109" s="69">
        <v>-1</v>
      </c>
    </row>
    <row r="1110" spans="6:8">
      <c r="F1110" s="68" t="s">
        <v>133</v>
      </c>
      <c r="G1110" s="67" t="s">
        <v>193</v>
      </c>
      <c r="H1110" s="69">
        <v>-0.35</v>
      </c>
    </row>
    <row r="1111" spans="6:8">
      <c r="F1111" s="68" t="s">
        <v>132</v>
      </c>
      <c r="G1111" s="67" t="s">
        <v>193</v>
      </c>
      <c r="H1111" s="69">
        <v>-0.95</v>
      </c>
    </row>
    <row r="1112" spans="6:8">
      <c r="F1112" s="68" t="s">
        <v>131</v>
      </c>
      <c r="G1112" s="67" t="s">
        <v>193</v>
      </c>
      <c r="H1112" s="69">
        <v>-0.35</v>
      </c>
    </row>
    <row r="1113" spans="6:8">
      <c r="F1113" s="68" t="s">
        <v>130</v>
      </c>
      <c r="G1113" s="67" t="s">
        <v>193</v>
      </c>
      <c r="H1113" s="69">
        <v>-0.95</v>
      </c>
    </row>
    <row r="1114" spans="6:8">
      <c r="F1114" s="68" t="s">
        <v>129</v>
      </c>
      <c r="G1114" s="67" t="s">
        <v>193</v>
      </c>
      <c r="H1114" s="69">
        <v>-0.25</v>
      </c>
    </row>
    <row r="1115" spans="6:8">
      <c r="F1115" s="68" t="s">
        <v>128</v>
      </c>
      <c r="G1115" s="67" t="s">
        <v>193</v>
      </c>
      <c r="H1115" s="69">
        <v>-0.55000000000000004</v>
      </c>
    </row>
    <row r="1116" spans="6:8">
      <c r="F1116" s="68" t="s">
        <v>127</v>
      </c>
      <c r="G1116" s="67" t="s">
        <v>193</v>
      </c>
      <c r="H1116" s="69">
        <v>-0.15</v>
      </c>
    </row>
    <row r="1117" spans="6:8">
      <c r="F1117" s="68" t="s">
        <v>126</v>
      </c>
      <c r="G1117" s="67" t="s">
        <v>193</v>
      </c>
      <c r="H1117" s="69">
        <v>-0.55000000000000004</v>
      </c>
    </row>
    <row r="1118" spans="6:8">
      <c r="F1118" s="68" t="s">
        <v>125</v>
      </c>
      <c r="G1118" s="67" t="s">
        <v>193</v>
      </c>
      <c r="H1118" s="69">
        <v>-1.1000000000000001</v>
      </c>
    </row>
    <row r="1119" spans="6:8">
      <c r="F1119" s="68" t="s">
        <v>124</v>
      </c>
      <c r="G1119" s="67" t="s">
        <v>193</v>
      </c>
      <c r="H1119" s="69">
        <v>-0.7</v>
      </c>
    </row>
    <row r="1120" spans="6:8">
      <c r="F1120" s="68" t="s">
        <v>123</v>
      </c>
      <c r="G1120" s="67" t="s">
        <v>193</v>
      </c>
      <c r="H1120" s="69">
        <v>-0.6</v>
      </c>
    </row>
    <row r="1121" spans="6:8">
      <c r="F1121" s="68" t="s">
        <v>122</v>
      </c>
      <c r="G1121" s="67" t="s">
        <v>193</v>
      </c>
      <c r="H1121" s="69">
        <v>-1.05</v>
      </c>
    </row>
    <row r="1122" spans="6:8">
      <c r="F1122" s="68" t="s">
        <v>121</v>
      </c>
      <c r="G1122" s="67" t="s">
        <v>193</v>
      </c>
      <c r="H1122" s="69">
        <v>-0.75</v>
      </c>
    </row>
    <row r="1123" spans="6:8">
      <c r="F1123" s="68" t="s">
        <v>120</v>
      </c>
      <c r="G1123" s="67" t="s">
        <v>193</v>
      </c>
      <c r="H1123" s="69">
        <v>-0.5</v>
      </c>
    </row>
    <row r="1124" spans="6:8">
      <c r="F1124" s="68" t="s">
        <v>119</v>
      </c>
      <c r="G1124" s="67" t="s">
        <v>193</v>
      </c>
      <c r="H1124" s="69">
        <v>-1</v>
      </c>
    </row>
    <row r="1125" spans="6:8">
      <c r="F1125" s="68" t="s">
        <v>119</v>
      </c>
      <c r="G1125" s="67" t="s">
        <v>194</v>
      </c>
      <c r="H1125" s="69">
        <v>-1</v>
      </c>
    </row>
    <row r="1126" spans="6:8">
      <c r="F1126" s="68" t="s">
        <v>120</v>
      </c>
      <c r="G1126" s="67" t="s">
        <v>194</v>
      </c>
      <c r="H1126" s="69">
        <v>-0.5</v>
      </c>
    </row>
    <row r="1127" spans="6:8">
      <c r="F1127" s="68" t="s">
        <v>121</v>
      </c>
      <c r="G1127" s="67" t="s">
        <v>194</v>
      </c>
      <c r="H1127" s="69">
        <v>-0.75</v>
      </c>
    </row>
    <row r="1128" spans="6:8">
      <c r="F1128" s="68" t="s">
        <v>122</v>
      </c>
      <c r="G1128" s="67" t="s">
        <v>194</v>
      </c>
      <c r="H1128" s="69">
        <v>-1.05</v>
      </c>
    </row>
    <row r="1129" spans="6:8">
      <c r="F1129" s="68" t="s">
        <v>123</v>
      </c>
      <c r="G1129" s="67" t="s">
        <v>194</v>
      </c>
      <c r="H1129" s="69">
        <v>-0.6</v>
      </c>
    </row>
    <row r="1130" spans="6:8">
      <c r="F1130" s="68" t="s">
        <v>124</v>
      </c>
      <c r="G1130" s="67" t="s">
        <v>194</v>
      </c>
      <c r="H1130" s="69">
        <v>-0.7</v>
      </c>
    </row>
    <row r="1131" spans="6:8">
      <c r="F1131" s="68" t="s">
        <v>125</v>
      </c>
      <c r="G1131" s="67" t="s">
        <v>194</v>
      </c>
      <c r="H1131" s="69">
        <v>-1.1000000000000001</v>
      </c>
    </row>
    <row r="1132" spans="6:8">
      <c r="F1132" s="68" t="s">
        <v>126</v>
      </c>
      <c r="G1132" s="67" t="s">
        <v>194</v>
      </c>
      <c r="H1132" s="69">
        <v>-0.55000000000000004</v>
      </c>
    </row>
    <row r="1133" spans="6:8">
      <c r="F1133" s="68" t="s">
        <v>127</v>
      </c>
      <c r="G1133" s="67" t="s">
        <v>194</v>
      </c>
      <c r="H1133" s="69">
        <v>-0.15</v>
      </c>
    </row>
    <row r="1134" spans="6:8">
      <c r="F1134" s="68" t="s">
        <v>128</v>
      </c>
      <c r="G1134" s="67" t="s">
        <v>194</v>
      </c>
      <c r="H1134" s="69">
        <v>-0.55000000000000004</v>
      </c>
    </row>
    <row r="1135" spans="6:8">
      <c r="F1135" s="68" t="s">
        <v>129</v>
      </c>
      <c r="G1135" s="67" t="s">
        <v>194</v>
      </c>
      <c r="H1135" s="69">
        <v>-0.25</v>
      </c>
    </row>
    <row r="1136" spans="6:8">
      <c r="F1136" s="68" t="s">
        <v>130</v>
      </c>
      <c r="G1136" s="67" t="s">
        <v>194</v>
      </c>
      <c r="H1136" s="69">
        <v>-0.95</v>
      </c>
    </row>
    <row r="1137" spans="6:8">
      <c r="F1137" s="68" t="s">
        <v>131</v>
      </c>
      <c r="G1137" s="67" t="s">
        <v>194</v>
      </c>
      <c r="H1137" s="69">
        <v>-0.35</v>
      </c>
    </row>
    <row r="1138" spans="6:8">
      <c r="F1138" s="68" t="s">
        <v>132</v>
      </c>
      <c r="G1138" s="67" t="s">
        <v>194</v>
      </c>
      <c r="H1138" s="69">
        <v>-0.95</v>
      </c>
    </row>
    <row r="1139" spans="6:8">
      <c r="F1139" s="68" t="s">
        <v>133</v>
      </c>
      <c r="G1139" s="67" t="s">
        <v>194</v>
      </c>
      <c r="H1139" s="69">
        <v>-0.35</v>
      </c>
    </row>
    <row r="1140" spans="6:8">
      <c r="F1140" s="68" t="s">
        <v>134</v>
      </c>
      <c r="G1140" s="67" t="s">
        <v>194</v>
      </c>
      <c r="H1140" s="69">
        <v>-1</v>
      </c>
    </row>
    <row r="1141" spans="6:8">
      <c r="F1141" s="68" t="s">
        <v>135</v>
      </c>
      <c r="G1141" s="67" t="s">
        <v>194</v>
      </c>
      <c r="H1141" s="69">
        <v>-0.35</v>
      </c>
    </row>
    <row r="1142" spans="6:8">
      <c r="F1142" s="68" t="s">
        <v>136</v>
      </c>
      <c r="G1142" s="67" t="s">
        <v>194</v>
      </c>
      <c r="H1142" s="69">
        <v>-0.95</v>
      </c>
    </row>
    <row r="1143" spans="6:8">
      <c r="F1143" s="68" t="s">
        <v>137</v>
      </c>
      <c r="G1143" s="67" t="s">
        <v>194</v>
      </c>
      <c r="H1143" s="69">
        <v>-0.5</v>
      </c>
    </row>
    <row r="1144" spans="6:8">
      <c r="F1144" s="68" t="s">
        <v>138</v>
      </c>
      <c r="G1144" s="67" t="s">
        <v>194</v>
      </c>
      <c r="H1144" s="69">
        <v>-0.7</v>
      </c>
    </row>
    <row r="1145" spans="6:8">
      <c r="F1145" s="68" t="s">
        <v>138</v>
      </c>
      <c r="G1145" s="67" t="s">
        <v>195</v>
      </c>
      <c r="H1145" s="69">
        <v>-0.7</v>
      </c>
    </row>
    <row r="1146" spans="6:8">
      <c r="F1146" s="68" t="s">
        <v>137</v>
      </c>
      <c r="G1146" s="67" t="s">
        <v>195</v>
      </c>
      <c r="H1146" s="69">
        <v>-0.5</v>
      </c>
    </row>
    <row r="1147" spans="6:8">
      <c r="F1147" s="68" t="s">
        <v>136</v>
      </c>
      <c r="G1147" s="67" t="s">
        <v>195</v>
      </c>
      <c r="H1147" s="69">
        <v>-0.95</v>
      </c>
    </row>
    <row r="1148" spans="6:8">
      <c r="F1148" s="68" t="s">
        <v>135</v>
      </c>
      <c r="G1148" s="67" t="s">
        <v>195</v>
      </c>
      <c r="H1148" s="69">
        <v>-0.35</v>
      </c>
    </row>
    <row r="1149" spans="6:8">
      <c r="F1149" s="68" t="s">
        <v>134</v>
      </c>
      <c r="G1149" s="67" t="s">
        <v>195</v>
      </c>
      <c r="H1149" s="69">
        <v>-1</v>
      </c>
    </row>
    <row r="1150" spans="6:8">
      <c r="F1150" s="68" t="s">
        <v>133</v>
      </c>
      <c r="G1150" s="67" t="s">
        <v>195</v>
      </c>
      <c r="H1150" s="69">
        <v>-0.35</v>
      </c>
    </row>
    <row r="1151" spans="6:8">
      <c r="F1151" s="68" t="s">
        <v>132</v>
      </c>
      <c r="G1151" s="67" t="s">
        <v>195</v>
      </c>
      <c r="H1151" s="69">
        <v>-0.95</v>
      </c>
    </row>
    <row r="1152" spans="6:8">
      <c r="F1152" s="68" t="s">
        <v>131</v>
      </c>
      <c r="G1152" s="67" t="s">
        <v>195</v>
      </c>
      <c r="H1152" s="69">
        <v>-0.35</v>
      </c>
    </row>
    <row r="1153" spans="6:8">
      <c r="F1153" s="68" t="s">
        <v>130</v>
      </c>
      <c r="G1153" s="67" t="s">
        <v>195</v>
      </c>
      <c r="H1153" s="69">
        <v>-0.95</v>
      </c>
    </row>
    <row r="1154" spans="6:8">
      <c r="F1154" s="68" t="s">
        <v>129</v>
      </c>
      <c r="G1154" s="67" t="s">
        <v>195</v>
      </c>
      <c r="H1154" s="69">
        <v>-0.25</v>
      </c>
    </row>
    <row r="1155" spans="6:8">
      <c r="F1155" s="68" t="s">
        <v>128</v>
      </c>
      <c r="G1155" s="67" t="s">
        <v>195</v>
      </c>
      <c r="H1155" s="69">
        <v>-0.55000000000000004</v>
      </c>
    </row>
    <row r="1156" spans="6:8">
      <c r="F1156" s="68" t="s">
        <v>127</v>
      </c>
      <c r="G1156" s="67" t="s">
        <v>195</v>
      </c>
      <c r="H1156" s="69">
        <v>-0.15</v>
      </c>
    </row>
    <row r="1157" spans="6:8">
      <c r="F1157" s="68" t="s">
        <v>126</v>
      </c>
      <c r="G1157" s="67" t="s">
        <v>195</v>
      </c>
      <c r="H1157" s="69">
        <v>-0.55000000000000004</v>
      </c>
    </row>
    <row r="1158" spans="6:8">
      <c r="F1158" s="68" t="s">
        <v>125</v>
      </c>
      <c r="G1158" s="67" t="s">
        <v>195</v>
      </c>
      <c r="H1158" s="69">
        <v>-1.1000000000000001</v>
      </c>
    </row>
    <row r="1159" spans="6:8">
      <c r="F1159" s="68" t="s">
        <v>124</v>
      </c>
      <c r="G1159" s="67" t="s">
        <v>195</v>
      </c>
      <c r="H1159" s="69">
        <v>-0.7</v>
      </c>
    </row>
    <row r="1160" spans="6:8">
      <c r="F1160" s="68" t="s">
        <v>123</v>
      </c>
      <c r="G1160" s="67" t="s">
        <v>195</v>
      </c>
      <c r="H1160" s="69">
        <v>-0.6</v>
      </c>
    </row>
    <row r="1161" spans="6:8">
      <c r="F1161" s="68" t="s">
        <v>122</v>
      </c>
      <c r="G1161" s="67" t="s">
        <v>195</v>
      </c>
      <c r="H1161" s="69">
        <v>-1.05</v>
      </c>
    </row>
    <row r="1162" spans="6:8">
      <c r="F1162" s="68" t="s">
        <v>121</v>
      </c>
      <c r="G1162" s="67" t="s">
        <v>195</v>
      </c>
      <c r="H1162" s="69">
        <v>-0.75</v>
      </c>
    </row>
    <row r="1163" spans="6:8">
      <c r="F1163" s="68" t="s">
        <v>120</v>
      </c>
      <c r="G1163" s="67" t="s">
        <v>195</v>
      </c>
      <c r="H1163" s="69">
        <v>-0.5</v>
      </c>
    </row>
    <row r="1164" spans="6:8">
      <c r="F1164" s="68" t="s">
        <v>119</v>
      </c>
      <c r="G1164" s="67" t="s">
        <v>195</v>
      </c>
      <c r="H1164" s="69">
        <v>-1</v>
      </c>
    </row>
    <row r="1165" spans="6:8">
      <c r="F1165" s="68" t="s">
        <v>119</v>
      </c>
      <c r="G1165" s="67" t="s">
        <v>196</v>
      </c>
      <c r="H1165" s="69">
        <v>-1</v>
      </c>
    </row>
    <row r="1166" spans="6:8">
      <c r="F1166" s="68" t="s">
        <v>120</v>
      </c>
      <c r="G1166" s="67" t="s">
        <v>196</v>
      </c>
      <c r="H1166" s="69">
        <v>-0.5</v>
      </c>
    </row>
    <row r="1167" spans="6:8">
      <c r="F1167" s="68" t="s">
        <v>121</v>
      </c>
      <c r="G1167" s="67" t="s">
        <v>196</v>
      </c>
      <c r="H1167" s="69">
        <v>-0.75</v>
      </c>
    </row>
    <row r="1168" spans="6:8">
      <c r="F1168" s="68" t="s">
        <v>122</v>
      </c>
      <c r="G1168" s="67" t="s">
        <v>196</v>
      </c>
      <c r="H1168" s="69">
        <v>-1.05</v>
      </c>
    </row>
    <row r="1169" spans="6:8">
      <c r="F1169" s="68" t="s">
        <v>123</v>
      </c>
      <c r="G1169" s="67" t="s">
        <v>196</v>
      </c>
      <c r="H1169" s="69">
        <v>-0.6</v>
      </c>
    </row>
    <row r="1170" spans="6:8">
      <c r="F1170" s="68" t="s">
        <v>124</v>
      </c>
      <c r="G1170" s="67" t="s">
        <v>196</v>
      </c>
      <c r="H1170" s="69">
        <v>-0.7</v>
      </c>
    </row>
    <row r="1171" spans="6:8">
      <c r="F1171" s="68" t="s">
        <v>125</v>
      </c>
      <c r="G1171" s="67" t="s">
        <v>196</v>
      </c>
      <c r="H1171" s="69">
        <v>-1.1000000000000001</v>
      </c>
    </row>
    <row r="1172" spans="6:8">
      <c r="F1172" s="68" t="s">
        <v>126</v>
      </c>
      <c r="G1172" s="67" t="s">
        <v>196</v>
      </c>
      <c r="H1172" s="69">
        <v>-0.55000000000000004</v>
      </c>
    </row>
    <row r="1173" spans="6:8">
      <c r="F1173" s="68" t="s">
        <v>127</v>
      </c>
      <c r="G1173" s="67" t="s">
        <v>196</v>
      </c>
      <c r="H1173" s="69">
        <v>-0.15</v>
      </c>
    </row>
    <row r="1174" spans="6:8">
      <c r="F1174" s="68" t="s">
        <v>128</v>
      </c>
      <c r="G1174" s="67" t="s">
        <v>196</v>
      </c>
      <c r="H1174" s="69">
        <v>-0.55000000000000004</v>
      </c>
    </row>
    <row r="1175" spans="6:8">
      <c r="F1175" s="68" t="s">
        <v>129</v>
      </c>
      <c r="G1175" s="67" t="s">
        <v>196</v>
      </c>
      <c r="H1175" s="69">
        <v>-0.25</v>
      </c>
    </row>
    <row r="1176" spans="6:8">
      <c r="F1176" s="68" t="s">
        <v>130</v>
      </c>
      <c r="G1176" s="67" t="s">
        <v>196</v>
      </c>
      <c r="H1176" s="69">
        <v>-0.95</v>
      </c>
    </row>
    <row r="1177" spans="6:8">
      <c r="F1177" s="68" t="s">
        <v>131</v>
      </c>
      <c r="G1177" s="67" t="s">
        <v>196</v>
      </c>
      <c r="H1177" s="69">
        <v>-0.35</v>
      </c>
    </row>
    <row r="1178" spans="6:8">
      <c r="F1178" s="68" t="s">
        <v>132</v>
      </c>
      <c r="G1178" s="67" t="s">
        <v>196</v>
      </c>
      <c r="H1178" s="69">
        <v>-0.95</v>
      </c>
    </row>
    <row r="1179" spans="6:8">
      <c r="F1179" s="68" t="s">
        <v>133</v>
      </c>
      <c r="G1179" s="67" t="s">
        <v>196</v>
      </c>
      <c r="H1179" s="69">
        <v>-0.35</v>
      </c>
    </row>
    <row r="1180" spans="6:8">
      <c r="F1180" s="68" t="s">
        <v>134</v>
      </c>
      <c r="G1180" s="67" t="s">
        <v>196</v>
      </c>
      <c r="H1180" s="69">
        <v>-1</v>
      </c>
    </row>
    <row r="1181" spans="6:8">
      <c r="F1181" s="68" t="s">
        <v>135</v>
      </c>
      <c r="G1181" s="67" t="s">
        <v>196</v>
      </c>
      <c r="H1181" s="69">
        <v>-0.35</v>
      </c>
    </row>
    <row r="1182" spans="6:8">
      <c r="F1182" s="68" t="s">
        <v>136</v>
      </c>
      <c r="G1182" s="67" t="s">
        <v>196</v>
      </c>
      <c r="H1182" s="69">
        <v>-0.95</v>
      </c>
    </row>
    <row r="1183" spans="6:8">
      <c r="F1183" s="68" t="s">
        <v>137</v>
      </c>
      <c r="G1183" s="67" t="s">
        <v>196</v>
      </c>
      <c r="H1183" s="69">
        <v>-0.5</v>
      </c>
    </row>
    <row r="1184" spans="6:8">
      <c r="F1184" s="68" t="s">
        <v>138</v>
      </c>
      <c r="G1184" s="67" t="s">
        <v>196</v>
      </c>
      <c r="H1184" s="69">
        <v>-0.7</v>
      </c>
    </row>
    <row r="1185" spans="6:8">
      <c r="F1185" s="68" t="s">
        <v>138</v>
      </c>
      <c r="G1185" s="67" t="s">
        <v>197</v>
      </c>
      <c r="H1185" s="69">
        <v>-0.7</v>
      </c>
    </row>
    <row r="1186" spans="6:8">
      <c r="F1186" s="68" t="s">
        <v>137</v>
      </c>
      <c r="G1186" s="67" t="s">
        <v>197</v>
      </c>
      <c r="H1186" s="69">
        <v>-0.5</v>
      </c>
    </row>
    <row r="1187" spans="6:8">
      <c r="F1187" s="68" t="s">
        <v>136</v>
      </c>
      <c r="G1187" s="67" t="s">
        <v>197</v>
      </c>
      <c r="H1187" s="69">
        <v>-0.95</v>
      </c>
    </row>
    <row r="1188" spans="6:8">
      <c r="F1188" s="68" t="s">
        <v>135</v>
      </c>
      <c r="G1188" s="67" t="s">
        <v>197</v>
      </c>
      <c r="H1188" s="69">
        <v>-0.35</v>
      </c>
    </row>
    <row r="1189" spans="6:8">
      <c r="F1189" s="68" t="s">
        <v>134</v>
      </c>
      <c r="G1189" s="67" t="s">
        <v>197</v>
      </c>
      <c r="H1189" s="69">
        <v>-1</v>
      </c>
    </row>
    <row r="1190" spans="6:8">
      <c r="F1190" s="68" t="s">
        <v>133</v>
      </c>
      <c r="G1190" s="67" t="s">
        <v>197</v>
      </c>
      <c r="H1190" s="69">
        <v>-0.35</v>
      </c>
    </row>
    <row r="1191" spans="6:8">
      <c r="F1191" s="68" t="s">
        <v>132</v>
      </c>
      <c r="G1191" s="67" t="s">
        <v>197</v>
      </c>
      <c r="H1191" s="69">
        <v>-0.95</v>
      </c>
    </row>
    <row r="1192" spans="6:8">
      <c r="F1192" s="68" t="s">
        <v>131</v>
      </c>
      <c r="G1192" s="67" t="s">
        <v>197</v>
      </c>
      <c r="H1192" s="69">
        <v>-0.35</v>
      </c>
    </row>
    <row r="1193" spans="6:8">
      <c r="F1193" s="68" t="s">
        <v>130</v>
      </c>
      <c r="G1193" s="67" t="s">
        <v>197</v>
      </c>
      <c r="H1193" s="69">
        <v>-0.95</v>
      </c>
    </row>
    <row r="1194" spans="6:8">
      <c r="F1194" s="68" t="s">
        <v>129</v>
      </c>
      <c r="G1194" s="67" t="s">
        <v>197</v>
      </c>
      <c r="H1194" s="69">
        <v>-0.25</v>
      </c>
    </row>
    <row r="1195" spans="6:8">
      <c r="F1195" s="68" t="s">
        <v>128</v>
      </c>
      <c r="G1195" s="67" t="s">
        <v>197</v>
      </c>
      <c r="H1195" s="69">
        <v>-0.55000000000000004</v>
      </c>
    </row>
    <row r="1196" spans="6:8">
      <c r="F1196" s="68" t="s">
        <v>127</v>
      </c>
      <c r="G1196" s="67" t="s">
        <v>197</v>
      </c>
      <c r="H1196" s="69">
        <v>-0.15</v>
      </c>
    </row>
    <row r="1197" spans="6:8">
      <c r="F1197" s="68" t="s">
        <v>126</v>
      </c>
      <c r="G1197" s="67" t="s">
        <v>197</v>
      </c>
      <c r="H1197" s="69">
        <v>-0.55000000000000004</v>
      </c>
    </row>
    <row r="1198" spans="6:8">
      <c r="F1198" s="68" t="s">
        <v>125</v>
      </c>
      <c r="G1198" s="67" t="s">
        <v>197</v>
      </c>
      <c r="H1198" s="69">
        <v>-1.1000000000000001</v>
      </c>
    </row>
    <row r="1199" spans="6:8">
      <c r="F1199" s="68" t="s">
        <v>124</v>
      </c>
      <c r="G1199" s="67" t="s">
        <v>197</v>
      </c>
      <c r="H1199" s="69">
        <v>-0.7</v>
      </c>
    </row>
    <row r="1200" spans="6:8">
      <c r="F1200" s="68" t="s">
        <v>123</v>
      </c>
      <c r="G1200" s="67" t="s">
        <v>197</v>
      </c>
      <c r="H1200" s="69">
        <v>-0.6</v>
      </c>
    </row>
    <row r="1201" spans="6:8">
      <c r="F1201" s="68" t="s">
        <v>122</v>
      </c>
      <c r="G1201" s="67" t="s">
        <v>197</v>
      </c>
      <c r="H1201" s="69">
        <v>-1.05</v>
      </c>
    </row>
    <row r="1202" spans="6:8">
      <c r="F1202" s="68" t="s">
        <v>121</v>
      </c>
      <c r="G1202" s="67" t="s">
        <v>197</v>
      </c>
      <c r="H1202" s="69">
        <v>-0.75</v>
      </c>
    </row>
    <row r="1203" spans="6:8">
      <c r="F1203" s="68" t="s">
        <v>120</v>
      </c>
      <c r="G1203" s="67" t="s">
        <v>197</v>
      </c>
      <c r="H1203" s="69">
        <v>-0.5</v>
      </c>
    </row>
    <row r="1204" spans="6:8">
      <c r="F1204" s="68" t="s">
        <v>119</v>
      </c>
      <c r="G1204" s="67" t="s">
        <v>197</v>
      </c>
      <c r="H1204" s="69">
        <v>-1</v>
      </c>
    </row>
    <row r="1205" spans="6:8">
      <c r="F1205" s="68" t="s">
        <v>119</v>
      </c>
      <c r="G1205" s="67" t="s">
        <v>198</v>
      </c>
      <c r="H1205" s="69">
        <v>-1</v>
      </c>
    </row>
    <row r="1206" spans="6:8">
      <c r="F1206" s="68" t="s">
        <v>120</v>
      </c>
      <c r="G1206" s="67" t="s">
        <v>198</v>
      </c>
      <c r="H1206" s="69">
        <v>-0.5</v>
      </c>
    </row>
    <row r="1207" spans="6:8">
      <c r="F1207" s="68" t="s">
        <v>121</v>
      </c>
      <c r="G1207" s="67" t="s">
        <v>198</v>
      </c>
      <c r="H1207" s="69">
        <v>-0.75</v>
      </c>
    </row>
    <row r="1208" spans="6:8">
      <c r="F1208" s="68" t="s">
        <v>122</v>
      </c>
      <c r="G1208" s="67" t="s">
        <v>198</v>
      </c>
      <c r="H1208" s="69">
        <v>-1.05</v>
      </c>
    </row>
    <row r="1209" spans="6:8">
      <c r="F1209" s="68" t="s">
        <v>123</v>
      </c>
      <c r="G1209" s="67" t="s">
        <v>198</v>
      </c>
      <c r="H1209" s="69">
        <v>-0.6</v>
      </c>
    </row>
    <row r="1210" spans="6:8">
      <c r="F1210" s="68" t="s">
        <v>124</v>
      </c>
      <c r="G1210" s="67" t="s">
        <v>198</v>
      </c>
      <c r="H1210" s="69">
        <v>-0.7</v>
      </c>
    </row>
    <row r="1211" spans="6:8">
      <c r="F1211" s="68" t="s">
        <v>125</v>
      </c>
      <c r="G1211" s="67" t="s">
        <v>198</v>
      </c>
      <c r="H1211" s="69">
        <v>-1.1000000000000001</v>
      </c>
    </row>
    <row r="1212" spans="6:8">
      <c r="F1212" s="68" t="s">
        <v>126</v>
      </c>
      <c r="G1212" s="67" t="s">
        <v>198</v>
      </c>
      <c r="H1212" s="69">
        <v>-0.55000000000000004</v>
      </c>
    </row>
    <row r="1213" spans="6:8">
      <c r="F1213" s="68" t="s">
        <v>127</v>
      </c>
      <c r="G1213" s="67" t="s">
        <v>198</v>
      </c>
      <c r="H1213" s="69">
        <v>-0.15</v>
      </c>
    </row>
    <row r="1214" spans="6:8">
      <c r="F1214" s="68" t="s">
        <v>128</v>
      </c>
      <c r="G1214" s="67" t="s">
        <v>198</v>
      </c>
      <c r="H1214" s="69">
        <v>-0.55000000000000004</v>
      </c>
    </row>
    <row r="1215" spans="6:8">
      <c r="F1215" s="68" t="s">
        <v>129</v>
      </c>
      <c r="G1215" s="67" t="s">
        <v>198</v>
      </c>
      <c r="H1215" s="69">
        <v>-0.25</v>
      </c>
    </row>
    <row r="1216" spans="6:8">
      <c r="F1216" s="68" t="s">
        <v>130</v>
      </c>
      <c r="G1216" s="67" t="s">
        <v>198</v>
      </c>
      <c r="H1216" s="69">
        <v>-0.95</v>
      </c>
    </row>
    <row r="1217" spans="6:8">
      <c r="F1217" s="68" t="s">
        <v>131</v>
      </c>
      <c r="G1217" s="67" t="s">
        <v>198</v>
      </c>
      <c r="H1217" s="69">
        <v>-0.35</v>
      </c>
    </row>
    <row r="1218" spans="6:8">
      <c r="F1218" s="68" t="s">
        <v>132</v>
      </c>
      <c r="G1218" s="67" t="s">
        <v>198</v>
      </c>
      <c r="H1218" s="69">
        <v>-0.95</v>
      </c>
    </row>
    <row r="1219" spans="6:8">
      <c r="F1219" s="68" t="s">
        <v>133</v>
      </c>
      <c r="G1219" s="67" t="s">
        <v>198</v>
      </c>
      <c r="H1219" s="69">
        <v>-0.35</v>
      </c>
    </row>
    <row r="1220" spans="6:8">
      <c r="F1220" s="68" t="s">
        <v>134</v>
      </c>
      <c r="G1220" s="67" t="s">
        <v>198</v>
      </c>
      <c r="H1220" s="69">
        <v>-1</v>
      </c>
    </row>
    <row r="1221" spans="6:8">
      <c r="F1221" s="68" t="s">
        <v>135</v>
      </c>
      <c r="G1221" s="67" t="s">
        <v>198</v>
      </c>
      <c r="H1221" s="69">
        <v>-0.35</v>
      </c>
    </row>
    <row r="1222" spans="6:8">
      <c r="F1222" s="68" t="s">
        <v>136</v>
      </c>
      <c r="G1222" s="67" t="s">
        <v>198</v>
      </c>
      <c r="H1222" s="69">
        <v>-0.95</v>
      </c>
    </row>
    <row r="1223" spans="6:8">
      <c r="F1223" s="68" t="s">
        <v>137</v>
      </c>
      <c r="G1223" s="67" t="s">
        <v>198</v>
      </c>
      <c r="H1223" s="69">
        <v>-0.5</v>
      </c>
    </row>
    <row r="1224" spans="6:8">
      <c r="F1224" s="68" t="s">
        <v>138</v>
      </c>
      <c r="G1224" s="67" t="s">
        <v>198</v>
      </c>
      <c r="H1224" s="69">
        <v>-0.7</v>
      </c>
    </row>
    <row r="1225" spans="6:8">
      <c r="F1225" s="68" t="s">
        <v>138</v>
      </c>
      <c r="G1225" s="67" t="s">
        <v>199</v>
      </c>
      <c r="H1225" s="69">
        <v>-0.7</v>
      </c>
    </row>
    <row r="1226" spans="6:8">
      <c r="F1226" s="68" t="s">
        <v>137</v>
      </c>
      <c r="G1226" s="67" t="s">
        <v>199</v>
      </c>
      <c r="H1226" s="69">
        <v>-0.5</v>
      </c>
    </row>
    <row r="1227" spans="6:8">
      <c r="F1227" s="68" t="s">
        <v>136</v>
      </c>
      <c r="G1227" s="67" t="s">
        <v>199</v>
      </c>
      <c r="H1227" s="69">
        <v>-0.95</v>
      </c>
    </row>
    <row r="1228" spans="6:8">
      <c r="F1228" s="68" t="s">
        <v>135</v>
      </c>
      <c r="G1228" s="67" t="s">
        <v>199</v>
      </c>
      <c r="H1228" s="69">
        <v>-0.35</v>
      </c>
    </row>
    <row r="1229" spans="6:8">
      <c r="F1229" s="68" t="s">
        <v>134</v>
      </c>
      <c r="G1229" s="67" t="s">
        <v>199</v>
      </c>
      <c r="H1229" s="69">
        <v>-1</v>
      </c>
    </row>
    <row r="1230" spans="6:8">
      <c r="F1230" s="68" t="s">
        <v>133</v>
      </c>
      <c r="G1230" s="67" t="s">
        <v>199</v>
      </c>
      <c r="H1230" s="69">
        <v>-0.35</v>
      </c>
    </row>
    <row r="1231" spans="6:8">
      <c r="F1231" s="68" t="s">
        <v>132</v>
      </c>
      <c r="G1231" s="67" t="s">
        <v>199</v>
      </c>
      <c r="H1231" s="69">
        <v>-0.95</v>
      </c>
    </row>
    <row r="1232" spans="6:8">
      <c r="F1232" s="68" t="s">
        <v>131</v>
      </c>
      <c r="G1232" s="67" t="s">
        <v>199</v>
      </c>
      <c r="H1232" s="69">
        <v>-0.35</v>
      </c>
    </row>
    <row r="1233" spans="6:8">
      <c r="F1233" s="68" t="s">
        <v>130</v>
      </c>
      <c r="G1233" s="67" t="s">
        <v>199</v>
      </c>
      <c r="H1233" s="69">
        <v>-0.95</v>
      </c>
    </row>
    <row r="1234" spans="6:8">
      <c r="F1234" s="68" t="s">
        <v>129</v>
      </c>
      <c r="G1234" s="67" t="s">
        <v>199</v>
      </c>
      <c r="H1234" s="69">
        <v>-0.25</v>
      </c>
    </row>
    <row r="1235" spans="6:8">
      <c r="F1235" s="68" t="s">
        <v>128</v>
      </c>
      <c r="G1235" s="67" t="s">
        <v>199</v>
      </c>
      <c r="H1235" s="69">
        <v>-0.55000000000000004</v>
      </c>
    </row>
    <row r="1236" spans="6:8">
      <c r="F1236" s="68" t="s">
        <v>127</v>
      </c>
      <c r="G1236" s="67" t="s">
        <v>199</v>
      </c>
      <c r="H1236" s="69">
        <v>-0.15</v>
      </c>
    </row>
    <row r="1237" spans="6:8">
      <c r="F1237" s="68" t="s">
        <v>126</v>
      </c>
      <c r="G1237" s="67" t="s">
        <v>199</v>
      </c>
      <c r="H1237" s="69">
        <v>-0.55000000000000004</v>
      </c>
    </row>
    <row r="1238" spans="6:8">
      <c r="F1238" s="68" t="s">
        <v>125</v>
      </c>
      <c r="G1238" s="67" t="s">
        <v>199</v>
      </c>
      <c r="H1238" s="69">
        <v>-1.1000000000000001</v>
      </c>
    </row>
    <row r="1239" spans="6:8">
      <c r="F1239" s="68" t="s">
        <v>124</v>
      </c>
      <c r="G1239" s="67" t="s">
        <v>199</v>
      </c>
      <c r="H1239" s="69">
        <v>-0.7</v>
      </c>
    </row>
    <row r="1240" spans="6:8">
      <c r="F1240" s="68" t="s">
        <v>123</v>
      </c>
      <c r="G1240" s="67" t="s">
        <v>199</v>
      </c>
      <c r="H1240" s="69">
        <v>-0.6</v>
      </c>
    </row>
    <row r="1241" spans="6:8">
      <c r="F1241" s="68" t="s">
        <v>122</v>
      </c>
      <c r="G1241" s="67" t="s">
        <v>199</v>
      </c>
      <c r="H1241" s="69">
        <v>-1.05</v>
      </c>
    </row>
    <row r="1242" spans="6:8">
      <c r="F1242" s="68" t="s">
        <v>121</v>
      </c>
      <c r="G1242" s="67" t="s">
        <v>199</v>
      </c>
      <c r="H1242" s="69">
        <v>-0.75</v>
      </c>
    </row>
    <row r="1243" spans="6:8">
      <c r="F1243" s="68" t="s">
        <v>120</v>
      </c>
      <c r="G1243" s="67" t="s">
        <v>199</v>
      </c>
      <c r="H1243" s="69">
        <v>-0.5</v>
      </c>
    </row>
    <row r="1244" spans="6:8">
      <c r="F1244" s="68" t="s">
        <v>119</v>
      </c>
      <c r="G1244" s="67" t="s">
        <v>199</v>
      </c>
      <c r="H1244" s="69">
        <v>-1</v>
      </c>
    </row>
    <row r="1245" spans="6:8">
      <c r="F1245" s="68" t="s">
        <v>119</v>
      </c>
      <c r="G1245" s="67" t="s">
        <v>200</v>
      </c>
      <c r="H1245" s="69">
        <v>-1</v>
      </c>
    </row>
    <row r="1246" spans="6:8">
      <c r="F1246" s="68" t="s">
        <v>120</v>
      </c>
      <c r="G1246" s="67" t="s">
        <v>200</v>
      </c>
      <c r="H1246" s="69">
        <v>-0.5</v>
      </c>
    </row>
    <row r="1247" spans="6:8">
      <c r="F1247" s="68" t="s">
        <v>121</v>
      </c>
      <c r="G1247" s="67" t="s">
        <v>200</v>
      </c>
      <c r="H1247" s="69">
        <v>-0.75</v>
      </c>
    </row>
    <row r="1248" spans="6:8">
      <c r="F1248" s="68" t="s">
        <v>122</v>
      </c>
      <c r="G1248" s="67" t="s">
        <v>200</v>
      </c>
      <c r="H1248" s="69">
        <v>-1.05</v>
      </c>
    </row>
    <row r="1249" spans="6:8">
      <c r="F1249" s="68" t="s">
        <v>123</v>
      </c>
      <c r="G1249" s="67" t="s">
        <v>200</v>
      </c>
      <c r="H1249" s="69">
        <v>-0.6</v>
      </c>
    </row>
    <row r="1250" spans="6:8">
      <c r="F1250" s="68" t="s">
        <v>124</v>
      </c>
      <c r="G1250" s="67" t="s">
        <v>200</v>
      </c>
      <c r="H1250" s="69">
        <v>-0.7</v>
      </c>
    </row>
    <row r="1251" spans="6:8">
      <c r="F1251" s="68" t="s">
        <v>125</v>
      </c>
      <c r="G1251" s="67" t="s">
        <v>200</v>
      </c>
      <c r="H1251" s="69">
        <v>-1.1000000000000001</v>
      </c>
    </row>
    <row r="1252" spans="6:8">
      <c r="F1252" s="68" t="s">
        <v>126</v>
      </c>
      <c r="G1252" s="67" t="s">
        <v>200</v>
      </c>
      <c r="H1252" s="69">
        <v>-0.55000000000000004</v>
      </c>
    </row>
    <row r="1253" spans="6:8">
      <c r="F1253" s="68" t="s">
        <v>127</v>
      </c>
      <c r="G1253" s="67" t="s">
        <v>200</v>
      </c>
      <c r="H1253" s="69">
        <v>-0.15</v>
      </c>
    </row>
    <row r="1254" spans="6:8">
      <c r="F1254" s="68" t="s">
        <v>128</v>
      </c>
      <c r="G1254" s="67" t="s">
        <v>200</v>
      </c>
      <c r="H1254" s="69">
        <v>-0.55000000000000004</v>
      </c>
    </row>
    <row r="1255" spans="6:8">
      <c r="F1255" s="68" t="s">
        <v>129</v>
      </c>
      <c r="G1255" s="67" t="s">
        <v>200</v>
      </c>
      <c r="H1255" s="69">
        <v>-0.25</v>
      </c>
    </row>
    <row r="1256" spans="6:8">
      <c r="F1256" s="68" t="s">
        <v>130</v>
      </c>
      <c r="G1256" s="67" t="s">
        <v>200</v>
      </c>
      <c r="H1256" s="69">
        <v>-0.95</v>
      </c>
    </row>
    <row r="1257" spans="6:8">
      <c r="F1257" s="68" t="s">
        <v>131</v>
      </c>
      <c r="G1257" s="67" t="s">
        <v>200</v>
      </c>
      <c r="H1257" s="69">
        <v>-0.35</v>
      </c>
    </row>
    <row r="1258" spans="6:8">
      <c r="F1258" s="68" t="s">
        <v>132</v>
      </c>
      <c r="G1258" s="67" t="s">
        <v>200</v>
      </c>
      <c r="H1258" s="69">
        <v>-0.95</v>
      </c>
    </row>
    <row r="1259" spans="6:8">
      <c r="F1259" s="68" t="s">
        <v>133</v>
      </c>
      <c r="G1259" s="67" t="s">
        <v>200</v>
      </c>
      <c r="H1259" s="69">
        <v>-0.35</v>
      </c>
    </row>
    <row r="1260" spans="6:8">
      <c r="F1260" s="68" t="s">
        <v>134</v>
      </c>
      <c r="G1260" s="67" t="s">
        <v>200</v>
      </c>
      <c r="H1260" s="69">
        <v>-1</v>
      </c>
    </row>
    <row r="1261" spans="6:8">
      <c r="F1261" s="68" t="s">
        <v>135</v>
      </c>
      <c r="G1261" s="67" t="s">
        <v>200</v>
      </c>
      <c r="H1261" s="69">
        <v>-0.35</v>
      </c>
    </row>
    <row r="1262" spans="6:8">
      <c r="F1262" s="68" t="s">
        <v>136</v>
      </c>
      <c r="G1262" s="67" t="s">
        <v>200</v>
      </c>
      <c r="H1262" s="69">
        <v>-0.95</v>
      </c>
    </row>
    <row r="1263" spans="6:8">
      <c r="F1263" s="68" t="s">
        <v>137</v>
      </c>
      <c r="G1263" s="67" t="s">
        <v>200</v>
      </c>
      <c r="H1263" s="69">
        <v>-0.5</v>
      </c>
    </row>
    <row r="1264" spans="6:8">
      <c r="F1264" s="68" t="s">
        <v>138</v>
      </c>
      <c r="G1264" s="67" t="s">
        <v>200</v>
      </c>
      <c r="H1264" s="69">
        <v>-0.7</v>
      </c>
    </row>
    <row r="1265" spans="6:8">
      <c r="F1265" s="68" t="s">
        <v>138</v>
      </c>
      <c r="G1265" s="67" t="s">
        <v>201</v>
      </c>
      <c r="H1265" s="69">
        <v>-0.7</v>
      </c>
    </row>
    <row r="1266" spans="6:8">
      <c r="F1266" s="68" t="s">
        <v>137</v>
      </c>
      <c r="G1266" s="67" t="s">
        <v>201</v>
      </c>
      <c r="H1266" s="69">
        <v>-0.5</v>
      </c>
    </row>
    <row r="1267" spans="6:8">
      <c r="F1267" s="68" t="s">
        <v>136</v>
      </c>
      <c r="G1267" s="67" t="s">
        <v>201</v>
      </c>
      <c r="H1267" s="69">
        <v>-0.95</v>
      </c>
    </row>
    <row r="1268" spans="6:8">
      <c r="F1268" s="68" t="s">
        <v>135</v>
      </c>
      <c r="G1268" s="67" t="s">
        <v>201</v>
      </c>
      <c r="H1268" s="69">
        <v>-0.35</v>
      </c>
    </row>
    <row r="1269" spans="6:8">
      <c r="F1269" s="68" t="s">
        <v>134</v>
      </c>
      <c r="G1269" s="67" t="s">
        <v>201</v>
      </c>
      <c r="H1269" s="69">
        <v>-1</v>
      </c>
    </row>
    <row r="1270" spans="6:8">
      <c r="F1270" s="68" t="s">
        <v>133</v>
      </c>
      <c r="G1270" s="67" t="s">
        <v>201</v>
      </c>
      <c r="H1270" s="69">
        <v>-0.35</v>
      </c>
    </row>
    <row r="1271" spans="6:8">
      <c r="F1271" s="68" t="s">
        <v>132</v>
      </c>
      <c r="G1271" s="67" t="s">
        <v>201</v>
      </c>
      <c r="H1271" s="69">
        <v>-0.95</v>
      </c>
    </row>
    <row r="1272" spans="6:8">
      <c r="F1272" s="68" t="s">
        <v>131</v>
      </c>
      <c r="G1272" s="67" t="s">
        <v>201</v>
      </c>
      <c r="H1272" s="69">
        <v>-0.35</v>
      </c>
    </row>
    <row r="1273" spans="6:8">
      <c r="F1273" s="68" t="s">
        <v>130</v>
      </c>
      <c r="G1273" s="67" t="s">
        <v>201</v>
      </c>
      <c r="H1273" s="69">
        <v>-0.95</v>
      </c>
    </row>
    <row r="1274" spans="6:8">
      <c r="F1274" s="68" t="s">
        <v>129</v>
      </c>
      <c r="G1274" s="67" t="s">
        <v>201</v>
      </c>
      <c r="H1274" s="69">
        <v>-0.25</v>
      </c>
    </row>
    <row r="1275" spans="6:8">
      <c r="F1275" s="68" t="s">
        <v>128</v>
      </c>
      <c r="G1275" s="67" t="s">
        <v>201</v>
      </c>
      <c r="H1275" s="69">
        <v>-0.55000000000000004</v>
      </c>
    </row>
    <row r="1276" spans="6:8">
      <c r="F1276" s="68" t="s">
        <v>127</v>
      </c>
      <c r="G1276" s="67" t="s">
        <v>201</v>
      </c>
      <c r="H1276" s="69">
        <v>-0.15</v>
      </c>
    </row>
    <row r="1277" spans="6:8">
      <c r="F1277" s="68" t="s">
        <v>126</v>
      </c>
      <c r="G1277" s="67" t="s">
        <v>201</v>
      </c>
      <c r="H1277" s="69">
        <v>-0.55000000000000004</v>
      </c>
    </row>
    <row r="1278" spans="6:8">
      <c r="F1278" s="68" t="s">
        <v>125</v>
      </c>
      <c r="G1278" s="67" t="s">
        <v>201</v>
      </c>
      <c r="H1278" s="69">
        <v>-1.1000000000000001</v>
      </c>
    </row>
    <row r="1279" spans="6:8">
      <c r="F1279" s="68" t="s">
        <v>124</v>
      </c>
      <c r="G1279" s="67" t="s">
        <v>201</v>
      </c>
      <c r="H1279" s="69">
        <v>-0.7</v>
      </c>
    </row>
    <row r="1280" spans="6:8">
      <c r="F1280" s="68" t="s">
        <v>123</v>
      </c>
      <c r="G1280" s="67" t="s">
        <v>201</v>
      </c>
      <c r="H1280" s="69">
        <v>-0.6</v>
      </c>
    </row>
    <row r="1281" spans="6:8">
      <c r="F1281" s="68" t="s">
        <v>122</v>
      </c>
      <c r="G1281" s="67" t="s">
        <v>201</v>
      </c>
      <c r="H1281" s="69">
        <v>-1.05</v>
      </c>
    </row>
    <row r="1282" spans="6:8">
      <c r="F1282" s="68" t="s">
        <v>121</v>
      </c>
      <c r="G1282" s="67" t="s">
        <v>201</v>
      </c>
      <c r="H1282" s="69">
        <v>-0.75</v>
      </c>
    </row>
    <row r="1283" spans="6:8">
      <c r="F1283" s="68" t="s">
        <v>120</v>
      </c>
      <c r="G1283" s="67" t="s">
        <v>201</v>
      </c>
      <c r="H1283" s="69">
        <v>-0.5</v>
      </c>
    </row>
    <row r="1284" spans="6:8">
      <c r="F1284" s="68" t="s">
        <v>119</v>
      </c>
      <c r="G1284" s="67" t="s">
        <v>201</v>
      </c>
      <c r="H1284" s="69">
        <v>-1</v>
      </c>
    </row>
    <row r="1285" spans="6:8">
      <c r="F1285" s="68" t="s">
        <v>119</v>
      </c>
      <c r="G1285" s="67" t="s">
        <v>202</v>
      </c>
      <c r="H1285" s="69">
        <v>-1</v>
      </c>
    </row>
    <row r="1286" spans="6:8">
      <c r="F1286" s="68" t="s">
        <v>120</v>
      </c>
      <c r="G1286" s="67" t="s">
        <v>202</v>
      </c>
      <c r="H1286" s="69">
        <v>-0.5</v>
      </c>
    </row>
    <row r="1287" spans="6:8">
      <c r="F1287" s="68" t="s">
        <v>121</v>
      </c>
      <c r="G1287" s="67" t="s">
        <v>202</v>
      </c>
      <c r="H1287" s="69">
        <v>-0.75</v>
      </c>
    </row>
    <row r="1288" spans="6:8">
      <c r="F1288" s="68" t="s">
        <v>122</v>
      </c>
      <c r="G1288" s="67" t="s">
        <v>202</v>
      </c>
      <c r="H1288" s="69">
        <v>-1.05</v>
      </c>
    </row>
    <row r="1289" spans="6:8">
      <c r="F1289" s="68" t="s">
        <v>123</v>
      </c>
      <c r="G1289" s="67" t="s">
        <v>202</v>
      </c>
      <c r="H1289" s="69">
        <v>-0.6</v>
      </c>
    </row>
    <row r="1290" spans="6:8">
      <c r="F1290" s="68" t="s">
        <v>124</v>
      </c>
      <c r="G1290" s="67" t="s">
        <v>202</v>
      </c>
      <c r="H1290" s="69">
        <v>-0.7</v>
      </c>
    </row>
    <row r="1291" spans="6:8">
      <c r="F1291" s="68" t="s">
        <v>125</v>
      </c>
      <c r="G1291" s="67" t="s">
        <v>202</v>
      </c>
      <c r="H1291" s="69">
        <v>-1.1000000000000001</v>
      </c>
    </row>
    <row r="1292" spans="6:8">
      <c r="F1292" s="68" t="s">
        <v>126</v>
      </c>
      <c r="G1292" s="67" t="s">
        <v>202</v>
      </c>
      <c r="H1292" s="69">
        <v>-0.55000000000000004</v>
      </c>
    </row>
    <row r="1293" spans="6:8">
      <c r="F1293" s="68" t="s">
        <v>127</v>
      </c>
      <c r="G1293" s="67" t="s">
        <v>202</v>
      </c>
      <c r="H1293" s="69">
        <v>-0.15</v>
      </c>
    </row>
    <row r="1294" spans="6:8">
      <c r="F1294" s="68" t="s">
        <v>128</v>
      </c>
      <c r="G1294" s="67" t="s">
        <v>202</v>
      </c>
      <c r="H1294" s="69">
        <v>-0.55000000000000004</v>
      </c>
    </row>
    <row r="1295" spans="6:8">
      <c r="F1295" s="68" t="s">
        <v>129</v>
      </c>
      <c r="G1295" s="67" t="s">
        <v>202</v>
      </c>
      <c r="H1295" s="69">
        <v>-0.25</v>
      </c>
    </row>
    <row r="1296" spans="6:8">
      <c r="F1296" s="68" t="s">
        <v>130</v>
      </c>
      <c r="G1296" s="67" t="s">
        <v>202</v>
      </c>
      <c r="H1296" s="69">
        <v>-0.95</v>
      </c>
    </row>
    <row r="1297" spans="6:8">
      <c r="F1297" s="68" t="s">
        <v>131</v>
      </c>
      <c r="G1297" s="67" t="s">
        <v>202</v>
      </c>
      <c r="H1297" s="69">
        <v>-0.35</v>
      </c>
    </row>
    <row r="1298" spans="6:8">
      <c r="F1298" s="68" t="s">
        <v>132</v>
      </c>
      <c r="G1298" s="67" t="s">
        <v>202</v>
      </c>
      <c r="H1298" s="69">
        <v>-0.95</v>
      </c>
    </row>
    <row r="1299" spans="6:8">
      <c r="F1299" s="68" t="s">
        <v>133</v>
      </c>
      <c r="G1299" s="67" t="s">
        <v>202</v>
      </c>
      <c r="H1299" s="69">
        <v>-0.35</v>
      </c>
    </row>
    <row r="1300" spans="6:8">
      <c r="F1300" s="68" t="s">
        <v>134</v>
      </c>
      <c r="G1300" s="67" t="s">
        <v>202</v>
      </c>
      <c r="H1300" s="69">
        <v>-1</v>
      </c>
    </row>
    <row r="1301" spans="6:8">
      <c r="F1301" s="68" t="s">
        <v>135</v>
      </c>
      <c r="G1301" s="67" t="s">
        <v>202</v>
      </c>
      <c r="H1301" s="69">
        <v>-0.35</v>
      </c>
    </row>
    <row r="1302" spans="6:8">
      <c r="F1302" s="68" t="s">
        <v>136</v>
      </c>
      <c r="G1302" s="67" t="s">
        <v>202</v>
      </c>
      <c r="H1302" s="69">
        <v>-0.95</v>
      </c>
    </row>
    <row r="1303" spans="6:8">
      <c r="F1303" s="68" t="s">
        <v>137</v>
      </c>
      <c r="G1303" s="67" t="s">
        <v>202</v>
      </c>
      <c r="H1303" s="69">
        <v>-0.5</v>
      </c>
    </row>
    <row r="1304" spans="6:8">
      <c r="F1304" s="68" t="s">
        <v>138</v>
      </c>
      <c r="G1304" s="67" t="s">
        <v>202</v>
      </c>
      <c r="H1304" s="69">
        <v>-0.7</v>
      </c>
    </row>
    <row r="1305" spans="6:8">
      <c r="F1305" s="68" t="s">
        <v>138</v>
      </c>
      <c r="G1305" s="67" t="s">
        <v>203</v>
      </c>
      <c r="H1305" s="69">
        <v>-0.7</v>
      </c>
    </row>
    <row r="1306" spans="6:8">
      <c r="F1306" s="68" t="s">
        <v>137</v>
      </c>
      <c r="G1306" s="67" t="s">
        <v>203</v>
      </c>
      <c r="H1306" s="69">
        <v>-0.5</v>
      </c>
    </row>
    <row r="1307" spans="6:8">
      <c r="F1307" s="68" t="s">
        <v>136</v>
      </c>
      <c r="G1307" s="67" t="s">
        <v>203</v>
      </c>
      <c r="H1307" s="69">
        <v>-0.95</v>
      </c>
    </row>
    <row r="1308" spans="6:8">
      <c r="F1308" s="68" t="s">
        <v>135</v>
      </c>
      <c r="G1308" s="67" t="s">
        <v>203</v>
      </c>
      <c r="H1308" s="69">
        <v>-0.35</v>
      </c>
    </row>
    <row r="1309" spans="6:8">
      <c r="F1309" s="68" t="s">
        <v>134</v>
      </c>
      <c r="G1309" s="67" t="s">
        <v>203</v>
      </c>
      <c r="H1309" s="69">
        <v>-1</v>
      </c>
    </row>
    <row r="1310" spans="6:8">
      <c r="F1310" s="68" t="s">
        <v>133</v>
      </c>
      <c r="G1310" s="67" t="s">
        <v>203</v>
      </c>
      <c r="H1310" s="69">
        <v>-0.35</v>
      </c>
    </row>
    <row r="1311" spans="6:8">
      <c r="F1311" s="68" t="s">
        <v>132</v>
      </c>
      <c r="G1311" s="67" t="s">
        <v>203</v>
      </c>
      <c r="H1311" s="69">
        <v>-0.95</v>
      </c>
    </row>
    <row r="1312" spans="6:8">
      <c r="F1312" s="68" t="s">
        <v>131</v>
      </c>
      <c r="G1312" s="67" t="s">
        <v>203</v>
      </c>
      <c r="H1312" s="69">
        <v>-0.35</v>
      </c>
    </row>
    <row r="1313" spans="6:8">
      <c r="F1313" s="68" t="s">
        <v>130</v>
      </c>
      <c r="G1313" s="67" t="s">
        <v>203</v>
      </c>
      <c r="H1313" s="69">
        <v>-0.95</v>
      </c>
    </row>
    <row r="1314" spans="6:8">
      <c r="F1314" s="68" t="s">
        <v>129</v>
      </c>
      <c r="G1314" s="67" t="s">
        <v>203</v>
      </c>
      <c r="H1314" s="69">
        <v>-0.25</v>
      </c>
    </row>
    <row r="1315" spans="6:8">
      <c r="F1315" s="68" t="s">
        <v>128</v>
      </c>
      <c r="G1315" s="67" t="s">
        <v>203</v>
      </c>
      <c r="H1315" s="69">
        <v>-0.55000000000000004</v>
      </c>
    </row>
    <row r="1316" spans="6:8">
      <c r="F1316" s="68" t="s">
        <v>127</v>
      </c>
      <c r="G1316" s="67" t="s">
        <v>203</v>
      </c>
      <c r="H1316" s="69">
        <v>-0.15</v>
      </c>
    </row>
    <row r="1317" spans="6:8">
      <c r="F1317" s="68" t="s">
        <v>126</v>
      </c>
      <c r="G1317" s="67" t="s">
        <v>203</v>
      </c>
      <c r="H1317" s="69">
        <v>-0.55000000000000004</v>
      </c>
    </row>
    <row r="1318" spans="6:8">
      <c r="F1318" s="68" t="s">
        <v>125</v>
      </c>
      <c r="G1318" s="67" t="s">
        <v>203</v>
      </c>
      <c r="H1318" s="69">
        <v>-1.1000000000000001</v>
      </c>
    </row>
    <row r="1319" spans="6:8">
      <c r="F1319" s="68" t="s">
        <v>124</v>
      </c>
      <c r="G1319" s="67" t="s">
        <v>203</v>
      </c>
      <c r="H1319" s="69">
        <v>-0.7</v>
      </c>
    </row>
    <row r="1320" spans="6:8">
      <c r="F1320" s="68" t="s">
        <v>123</v>
      </c>
      <c r="G1320" s="67" t="s">
        <v>203</v>
      </c>
      <c r="H1320" s="69">
        <v>-0.6</v>
      </c>
    </row>
    <row r="1321" spans="6:8">
      <c r="F1321" s="68" t="s">
        <v>122</v>
      </c>
      <c r="G1321" s="67" t="s">
        <v>203</v>
      </c>
      <c r="H1321" s="69">
        <v>-1.05</v>
      </c>
    </row>
    <row r="1322" spans="6:8">
      <c r="F1322" s="68" t="s">
        <v>121</v>
      </c>
      <c r="G1322" s="67" t="s">
        <v>203</v>
      </c>
      <c r="H1322" s="69">
        <v>-0.75</v>
      </c>
    </row>
    <row r="1323" spans="6:8">
      <c r="F1323" s="68" t="s">
        <v>120</v>
      </c>
      <c r="G1323" s="67" t="s">
        <v>203</v>
      </c>
      <c r="H1323" s="69">
        <v>-0.5</v>
      </c>
    </row>
    <row r="1324" spans="6:8">
      <c r="F1324" s="68" t="s">
        <v>119</v>
      </c>
      <c r="G1324" s="67" t="s">
        <v>203</v>
      </c>
      <c r="H1324" s="69">
        <v>-1</v>
      </c>
    </row>
    <row r="1325" spans="6:8">
      <c r="F1325" s="68" t="s">
        <v>119</v>
      </c>
      <c r="G1325" s="67" t="s">
        <v>204</v>
      </c>
      <c r="H1325" s="69">
        <v>-1</v>
      </c>
    </row>
    <row r="1326" spans="6:8">
      <c r="F1326" s="68" t="s">
        <v>120</v>
      </c>
      <c r="G1326" s="67" t="s">
        <v>204</v>
      </c>
      <c r="H1326" s="69">
        <v>-0.5</v>
      </c>
    </row>
    <row r="1327" spans="6:8">
      <c r="F1327" s="68" t="s">
        <v>121</v>
      </c>
      <c r="G1327" s="67" t="s">
        <v>204</v>
      </c>
      <c r="H1327" s="69">
        <v>-0.75</v>
      </c>
    </row>
    <row r="1328" spans="6:8">
      <c r="F1328" s="68" t="s">
        <v>122</v>
      </c>
      <c r="G1328" s="67" t="s">
        <v>204</v>
      </c>
      <c r="H1328" s="69">
        <v>-1.05</v>
      </c>
    </row>
    <row r="1329" spans="6:8">
      <c r="F1329" s="68" t="s">
        <v>123</v>
      </c>
      <c r="G1329" s="67" t="s">
        <v>204</v>
      </c>
      <c r="H1329" s="69">
        <v>-0.6</v>
      </c>
    </row>
    <row r="1330" spans="6:8">
      <c r="F1330" s="68" t="s">
        <v>124</v>
      </c>
      <c r="G1330" s="67" t="s">
        <v>204</v>
      </c>
      <c r="H1330" s="69">
        <v>-0.7</v>
      </c>
    </row>
    <row r="1331" spans="6:8">
      <c r="F1331" s="68" t="s">
        <v>125</v>
      </c>
      <c r="G1331" s="67" t="s">
        <v>204</v>
      </c>
      <c r="H1331" s="69">
        <v>-1.1000000000000001</v>
      </c>
    </row>
    <row r="1332" spans="6:8">
      <c r="F1332" s="68" t="s">
        <v>126</v>
      </c>
      <c r="G1332" s="67" t="s">
        <v>204</v>
      </c>
      <c r="H1332" s="69">
        <v>-0.55000000000000004</v>
      </c>
    </row>
    <row r="1333" spans="6:8">
      <c r="F1333" s="68" t="s">
        <v>127</v>
      </c>
      <c r="G1333" s="67" t="s">
        <v>204</v>
      </c>
      <c r="H1333" s="69">
        <v>-0.15</v>
      </c>
    </row>
    <row r="1334" spans="6:8">
      <c r="F1334" s="68" t="s">
        <v>128</v>
      </c>
      <c r="G1334" s="67" t="s">
        <v>204</v>
      </c>
      <c r="H1334" s="69">
        <v>-0.55000000000000004</v>
      </c>
    </row>
    <row r="1335" spans="6:8">
      <c r="F1335" s="68" t="s">
        <v>129</v>
      </c>
      <c r="G1335" s="67" t="s">
        <v>204</v>
      </c>
      <c r="H1335" s="69">
        <v>-0.25</v>
      </c>
    </row>
    <row r="1336" spans="6:8">
      <c r="F1336" s="68" t="s">
        <v>130</v>
      </c>
      <c r="G1336" s="67" t="s">
        <v>204</v>
      </c>
      <c r="H1336" s="69">
        <v>-0.95</v>
      </c>
    </row>
    <row r="1337" spans="6:8">
      <c r="F1337" s="68" t="s">
        <v>131</v>
      </c>
      <c r="G1337" s="67" t="s">
        <v>204</v>
      </c>
      <c r="H1337" s="69">
        <v>-0.35</v>
      </c>
    </row>
    <row r="1338" spans="6:8">
      <c r="F1338" s="68" t="s">
        <v>132</v>
      </c>
      <c r="G1338" s="67" t="s">
        <v>204</v>
      </c>
      <c r="H1338" s="69">
        <v>-0.95</v>
      </c>
    </row>
    <row r="1339" spans="6:8">
      <c r="F1339" s="68" t="s">
        <v>133</v>
      </c>
      <c r="G1339" s="67" t="s">
        <v>204</v>
      </c>
      <c r="H1339" s="69">
        <v>-0.35</v>
      </c>
    </row>
    <row r="1340" spans="6:8">
      <c r="F1340" s="68" t="s">
        <v>134</v>
      </c>
      <c r="G1340" s="67" t="s">
        <v>204</v>
      </c>
      <c r="H1340" s="69">
        <v>-1</v>
      </c>
    </row>
    <row r="1341" spans="6:8">
      <c r="F1341" s="68" t="s">
        <v>135</v>
      </c>
      <c r="G1341" s="67" t="s">
        <v>204</v>
      </c>
      <c r="H1341" s="69">
        <v>-0.35</v>
      </c>
    </row>
    <row r="1342" spans="6:8">
      <c r="F1342" s="68" t="s">
        <v>136</v>
      </c>
      <c r="G1342" s="67" t="s">
        <v>204</v>
      </c>
      <c r="H1342" s="69">
        <v>-0.95</v>
      </c>
    </row>
    <row r="1343" spans="6:8">
      <c r="F1343" s="68" t="s">
        <v>137</v>
      </c>
      <c r="G1343" s="67" t="s">
        <v>204</v>
      </c>
      <c r="H1343" s="69">
        <v>-0.5</v>
      </c>
    </row>
    <row r="1344" spans="6:8">
      <c r="F1344" s="68" t="s">
        <v>138</v>
      </c>
      <c r="G1344" s="67" t="s">
        <v>204</v>
      </c>
      <c r="H1344" s="69">
        <v>-0.7</v>
      </c>
    </row>
    <row r="1345" spans="6:8">
      <c r="F1345" s="68" t="s">
        <v>138</v>
      </c>
      <c r="G1345" s="67" t="s">
        <v>205</v>
      </c>
      <c r="H1345" s="69">
        <v>-0.7</v>
      </c>
    </row>
    <row r="1346" spans="6:8">
      <c r="F1346" s="68" t="s">
        <v>137</v>
      </c>
      <c r="G1346" s="67" t="s">
        <v>205</v>
      </c>
      <c r="H1346" s="69">
        <v>-0.5</v>
      </c>
    </row>
    <row r="1347" spans="6:8">
      <c r="F1347" s="68" t="s">
        <v>136</v>
      </c>
      <c r="G1347" s="67" t="s">
        <v>205</v>
      </c>
      <c r="H1347" s="69">
        <v>-0.95</v>
      </c>
    </row>
    <row r="1348" spans="6:8">
      <c r="F1348" s="68" t="s">
        <v>135</v>
      </c>
      <c r="G1348" s="67" t="s">
        <v>205</v>
      </c>
      <c r="H1348" s="69">
        <v>-0.35</v>
      </c>
    </row>
    <row r="1349" spans="6:8">
      <c r="F1349" s="68" t="s">
        <v>134</v>
      </c>
      <c r="G1349" s="67" t="s">
        <v>205</v>
      </c>
      <c r="H1349" s="69">
        <v>-1</v>
      </c>
    </row>
    <row r="1350" spans="6:8">
      <c r="F1350" s="68" t="s">
        <v>133</v>
      </c>
      <c r="G1350" s="67" t="s">
        <v>205</v>
      </c>
      <c r="H1350" s="69">
        <v>-0.35</v>
      </c>
    </row>
    <row r="1351" spans="6:8">
      <c r="F1351" s="68" t="s">
        <v>132</v>
      </c>
      <c r="G1351" s="67" t="s">
        <v>205</v>
      </c>
      <c r="H1351" s="69">
        <v>-0.95</v>
      </c>
    </row>
    <row r="1352" spans="6:8">
      <c r="F1352" s="68" t="s">
        <v>131</v>
      </c>
      <c r="G1352" s="67" t="s">
        <v>205</v>
      </c>
      <c r="H1352" s="69">
        <v>-0.35</v>
      </c>
    </row>
    <row r="1353" spans="6:8">
      <c r="F1353" s="68" t="s">
        <v>130</v>
      </c>
      <c r="G1353" s="67" t="s">
        <v>205</v>
      </c>
      <c r="H1353" s="69">
        <v>-0.95</v>
      </c>
    </row>
    <row r="1354" spans="6:8">
      <c r="F1354" s="68" t="s">
        <v>129</v>
      </c>
      <c r="G1354" s="67" t="s">
        <v>205</v>
      </c>
      <c r="H1354" s="69">
        <v>-0.25</v>
      </c>
    </row>
    <row r="1355" spans="6:8">
      <c r="F1355" s="68" t="s">
        <v>128</v>
      </c>
      <c r="G1355" s="67" t="s">
        <v>205</v>
      </c>
      <c r="H1355" s="69">
        <v>-0.55000000000000004</v>
      </c>
    </row>
    <row r="1356" spans="6:8">
      <c r="F1356" s="68" t="s">
        <v>127</v>
      </c>
      <c r="G1356" s="67" t="s">
        <v>205</v>
      </c>
      <c r="H1356" s="69">
        <v>-0.15</v>
      </c>
    </row>
    <row r="1357" spans="6:8">
      <c r="F1357" s="68" t="s">
        <v>126</v>
      </c>
      <c r="G1357" s="67" t="s">
        <v>205</v>
      </c>
      <c r="H1357" s="69">
        <v>-0.55000000000000004</v>
      </c>
    </row>
    <row r="1358" spans="6:8">
      <c r="F1358" s="68" t="s">
        <v>125</v>
      </c>
      <c r="G1358" s="67" t="s">
        <v>205</v>
      </c>
      <c r="H1358" s="69">
        <v>-1.1000000000000001</v>
      </c>
    </row>
    <row r="1359" spans="6:8">
      <c r="F1359" s="68" t="s">
        <v>124</v>
      </c>
      <c r="G1359" s="67" t="s">
        <v>205</v>
      </c>
      <c r="H1359" s="69">
        <v>-0.7</v>
      </c>
    </row>
    <row r="1360" spans="6:8">
      <c r="F1360" s="68" t="s">
        <v>123</v>
      </c>
      <c r="G1360" s="67" t="s">
        <v>205</v>
      </c>
      <c r="H1360" s="69">
        <v>-0.6</v>
      </c>
    </row>
    <row r="1361" spans="6:8">
      <c r="F1361" s="68" t="s">
        <v>122</v>
      </c>
      <c r="G1361" s="67" t="s">
        <v>205</v>
      </c>
      <c r="H1361" s="69">
        <v>-1.05</v>
      </c>
    </row>
    <row r="1362" spans="6:8">
      <c r="F1362" s="68" t="s">
        <v>121</v>
      </c>
      <c r="G1362" s="67" t="s">
        <v>205</v>
      </c>
      <c r="H1362" s="69">
        <v>-0.75</v>
      </c>
    </row>
    <row r="1363" spans="6:8">
      <c r="F1363" s="68" t="s">
        <v>120</v>
      </c>
      <c r="G1363" s="67" t="s">
        <v>205</v>
      </c>
      <c r="H1363" s="69">
        <v>-0.5</v>
      </c>
    </row>
    <row r="1364" spans="6:8">
      <c r="F1364" s="68" t="s">
        <v>119</v>
      </c>
      <c r="G1364" s="67" t="s">
        <v>205</v>
      </c>
      <c r="H1364" s="69">
        <v>-1</v>
      </c>
    </row>
    <row r="1365" spans="6:8">
      <c r="F1365" s="68" t="s">
        <v>119</v>
      </c>
      <c r="G1365" s="67" t="s">
        <v>206</v>
      </c>
      <c r="H1365" s="69">
        <v>-1</v>
      </c>
    </row>
    <row r="1366" spans="6:8">
      <c r="F1366" s="68" t="s">
        <v>120</v>
      </c>
      <c r="G1366" s="67" t="s">
        <v>206</v>
      </c>
      <c r="H1366" s="69">
        <v>-0.5</v>
      </c>
    </row>
    <row r="1367" spans="6:8">
      <c r="F1367" s="68" t="s">
        <v>121</v>
      </c>
      <c r="G1367" s="67" t="s">
        <v>206</v>
      </c>
      <c r="H1367" s="69">
        <v>-0.75</v>
      </c>
    </row>
    <row r="1368" spans="6:8">
      <c r="F1368" s="68" t="s">
        <v>122</v>
      </c>
      <c r="G1368" s="67" t="s">
        <v>206</v>
      </c>
      <c r="H1368" s="69">
        <v>-1.05</v>
      </c>
    </row>
    <row r="1369" spans="6:8">
      <c r="F1369" s="68" t="s">
        <v>123</v>
      </c>
      <c r="G1369" s="67" t="s">
        <v>206</v>
      </c>
      <c r="H1369" s="69">
        <v>-0.6</v>
      </c>
    </row>
    <row r="1370" spans="6:8">
      <c r="F1370" s="68" t="s">
        <v>124</v>
      </c>
      <c r="G1370" s="67" t="s">
        <v>206</v>
      </c>
      <c r="H1370" s="69">
        <v>-0.7</v>
      </c>
    </row>
    <row r="1371" spans="6:8">
      <c r="F1371" s="68" t="s">
        <v>125</v>
      </c>
      <c r="G1371" s="67" t="s">
        <v>206</v>
      </c>
      <c r="H1371" s="69">
        <v>-1.1000000000000001</v>
      </c>
    </row>
    <row r="1372" spans="6:8">
      <c r="F1372" s="68" t="s">
        <v>126</v>
      </c>
      <c r="G1372" s="67" t="s">
        <v>206</v>
      </c>
      <c r="H1372" s="69">
        <v>-0.55000000000000004</v>
      </c>
    </row>
    <row r="1373" spans="6:8">
      <c r="F1373" s="68" t="s">
        <v>127</v>
      </c>
      <c r="G1373" s="67" t="s">
        <v>206</v>
      </c>
      <c r="H1373" s="69">
        <v>-0.15</v>
      </c>
    </row>
    <row r="1374" spans="6:8">
      <c r="F1374" s="68" t="s">
        <v>128</v>
      </c>
      <c r="G1374" s="67" t="s">
        <v>206</v>
      </c>
      <c r="H1374" s="69">
        <v>-0.55000000000000004</v>
      </c>
    </row>
    <row r="1375" spans="6:8">
      <c r="F1375" s="68" t="s">
        <v>129</v>
      </c>
      <c r="G1375" s="67" t="s">
        <v>206</v>
      </c>
      <c r="H1375" s="69">
        <v>-0.25</v>
      </c>
    </row>
    <row r="1376" spans="6:8">
      <c r="F1376" s="68" t="s">
        <v>130</v>
      </c>
      <c r="G1376" s="67" t="s">
        <v>206</v>
      </c>
      <c r="H1376" s="69">
        <v>-0.95</v>
      </c>
    </row>
    <row r="1377" spans="6:8">
      <c r="F1377" s="68" t="s">
        <v>131</v>
      </c>
      <c r="G1377" s="67" t="s">
        <v>206</v>
      </c>
      <c r="H1377" s="69">
        <v>-0.35</v>
      </c>
    </row>
    <row r="1378" spans="6:8">
      <c r="F1378" s="68" t="s">
        <v>132</v>
      </c>
      <c r="G1378" s="67" t="s">
        <v>206</v>
      </c>
      <c r="H1378" s="69">
        <v>-0.95</v>
      </c>
    </row>
    <row r="1379" spans="6:8">
      <c r="F1379" s="68" t="s">
        <v>133</v>
      </c>
      <c r="G1379" s="67" t="s">
        <v>206</v>
      </c>
      <c r="H1379" s="69">
        <v>-0.35</v>
      </c>
    </row>
    <row r="1380" spans="6:8">
      <c r="F1380" s="68" t="s">
        <v>134</v>
      </c>
      <c r="G1380" s="67" t="s">
        <v>206</v>
      </c>
      <c r="H1380" s="69">
        <v>-1</v>
      </c>
    </row>
    <row r="1381" spans="6:8">
      <c r="F1381" s="68" t="s">
        <v>135</v>
      </c>
      <c r="G1381" s="67" t="s">
        <v>206</v>
      </c>
      <c r="H1381" s="69">
        <v>-0.35</v>
      </c>
    </row>
    <row r="1382" spans="6:8">
      <c r="F1382" s="68" t="s">
        <v>136</v>
      </c>
      <c r="G1382" s="67" t="s">
        <v>206</v>
      </c>
      <c r="H1382" s="69">
        <v>-0.95</v>
      </c>
    </row>
    <row r="1383" spans="6:8">
      <c r="F1383" s="68" t="s">
        <v>137</v>
      </c>
      <c r="G1383" s="67" t="s">
        <v>206</v>
      </c>
      <c r="H1383" s="69">
        <v>-0.5</v>
      </c>
    </row>
    <row r="1384" spans="6:8">
      <c r="F1384" s="68" t="s">
        <v>138</v>
      </c>
      <c r="G1384" s="67" t="s">
        <v>206</v>
      </c>
      <c r="H1384" s="69">
        <v>-0.7</v>
      </c>
    </row>
    <row r="1385" spans="6:8">
      <c r="F1385" s="68" t="s">
        <v>138</v>
      </c>
      <c r="G1385" s="67" t="s">
        <v>207</v>
      </c>
      <c r="H1385" s="69">
        <v>-0.7</v>
      </c>
    </row>
    <row r="1386" spans="6:8">
      <c r="F1386" s="68" t="s">
        <v>137</v>
      </c>
      <c r="G1386" s="67" t="s">
        <v>207</v>
      </c>
      <c r="H1386" s="69">
        <v>-0.5</v>
      </c>
    </row>
    <row r="1387" spans="6:8">
      <c r="F1387" s="68" t="s">
        <v>136</v>
      </c>
      <c r="G1387" s="67" t="s">
        <v>207</v>
      </c>
      <c r="H1387" s="69">
        <v>-0.95</v>
      </c>
    </row>
    <row r="1388" spans="6:8">
      <c r="F1388" s="68" t="s">
        <v>135</v>
      </c>
      <c r="G1388" s="67" t="s">
        <v>207</v>
      </c>
      <c r="H1388" s="69">
        <v>-0.35</v>
      </c>
    </row>
    <row r="1389" spans="6:8">
      <c r="F1389" s="68" t="s">
        <v>134</v>
      </c>
      <c r="G1389" s="67" t="s">
        <v>207</v>
      </c>
      <c r="H1389" s="69">
        <v>-1</v>
      </c>
    </row>
    <row r="1390" spans="6:8">
      <c r="F1390" s="68" t="s">
        <v>133</v>
      </c>
      <c r="G1390" s="67" t="s">
        <v>207</v>
      </c>
      <c r="H1390" s="69">
        <v>-0.35</v>
      </c>
    </row>
    <row r="1391" spans="6:8">
      <c r="F1391" s="68" t="s">
        <v>132</v>
      </c>
      <c r="G1391" s="67" t="s">
        <v>207</v>
      </c>
      <c r="H1391" s="69">
        <v>-0.95</v>
      </c>
    </row>
    <row r="1392" spans="6:8">
      <c r="F1392" s="68" t="s">
        <v>131</v>
      </c>
      <c r="G1392" s="67" t="s">
        <v>207</v>
      </c>
      <c r="H1392" s="69">
        <v>-0.35</v>
      </c>
    </row>
    <row r="1393" spans="6:8">
      <c r="F1393" s="68" t="s">
        <v>130</v>
      </c>
      <c r="G1393" s="67" t="s">
        <v>207</v>
      </c>
      <c r="H1393" s="69">
        <v>-0.95</v>
      </c>
    </row>
    <row r="1394" spans="6:8">
      <c r="F1394" s="68" t="s">
        <v>129</v>
      </c>
      <c r="G1394" s="67" t="s">
        <v>207</v>
      </c>
      <c r="H1394" s="69">
        <v>-0.25</v>
      </c>
    </row>
    <row r="1395" spans="6:8">
      <c r="F1395" s="68" t="s">
        <v>128</v>
      </c>
      <c r="G1395" s="67" t="s">
        <v>207</v>
      </c>
      <c r="H1395" s="69">
        <v>-0.55000000000000004</v>
      </c>
    </row>
    <row r="1396" spans="6:8">
      <c r="F1396" s="68" t="s">
        <v>127</v>
      </c>
      <c r="G1396" s="67" t="s">
        <v>207</v>
      </c>
      <c r="H1396" s="69">
        <v>-0.15</v>
      </c>
    </row>
    <row r="1397" spans="6:8">
      <c r="F1397" s="68" t="s">
        <v>126</v>
      </c>
      <c r="G1397" s="67" t="s">
        <v>207</v>
      </c>
      <c r="H1397" s="69">
        <v>-0.55000000000000004</v>
      </c>
    </row>
    <row r="1398" spans="6:8">
      <c r="F1398" s="68" t="s">
        <v>125</v>
      </c>
      <c r="G1398" s="67" t="s">
        <v>207</v>
      </c>
      <c r="H1398" s="69">
        <v>-1.1000000000000001</v>
      </c>
    </row>
    <row r="1399" spans="6:8">
      <c r="F1399" s="68" t="s">
        <v>124</v>
      </c>
      <c r="G1399" s="67" t="s">
        <v>207</v>
      </c>
      <c r="H1399" s="69">
        <v>-0.7</v>
      </c>
    </row>
    <row r="1400" spans="6:8">
      <c r="F1400" s="68" t="s">
        <v>123</v>
      </c>
      <c r="G1400" s="67" t="s">
        <v>207</v>
      </c>
      <c r="H1400" s="69">
        <v>-0.6</v>
      </c>
    </row>
    <row r="1401" spans="6:8">
      <c r="F1401" s="68" t="s">
        <v>122</v>
      </c>
      <c r="G1401" s="67" t="s">
        <v>207</v>
      </c>
      <c r="H1401" s="69">
        <v>-1.05</v>
      </c>
    </row>
    <row r="1402" spans="6:8">
      <c r="F1402" s="68" t="s">
        <v>121</v>
      </c>
      <c r="G1402" s="67" t="s">
        <v>207</v>
      </c>
      <c r="H1402" s="69">
        <v>-0.75</v>
      </c>
    </row>
    <row r="1403" spans="6:8">
      <c r="F1403" s="68" t="s">
        <v>120</v>
      </c>
      <c r="G1403" s="67" t="s">
        <v>207</v>
      </c>
      <c r="H1403" s="69">
        <v>-0.5</v>
      </c>
    </row>
    <row r="1404" spans="6:8">
      <c r="F1404" s="68" t="s">
        <v>119</v>
      </c>
      <c r="G1404" s="67" t="s">
        <v>207</v>
      </c>
      <c r="H1404" s="69">
        <v>-1</v>
      </c>
    </row>
    <row r="1405" spans="6:8">
      <c r="F1405" s="68" t="s">
        <v>119</v>
      </c>
      <c r="G1405" s="67" t="s">
        <v>208</v>
      </c>
      <c r="H1405" s="69">
        <v>-1</v>
      </c>
    </row>
    <row r="1406" spans="6:8">
      <c r="F1406" s="68" t="s">
        <v>120</v>
      </c>
      <c r="G1406" s="67" t="s">
        <v>208</v>
      </c>
      <c r="H1406" s="69">
        <v>-0.5</v>
      </c>
    </row>
    <row r="1407" spans="6:8">
      <c r="F1407" s="68" t="s">
        <v>121</v>
      </c>
      <c r="G1407" s="67" t="s">
        <v>208</v>
      </c>
      <c r="H1407" s="69">
        <v>-0.75</v>
      </c>
    </row>
    <row r="1408" spans="6:8">
      <c r="F1408" s="68" t="s">
        <v>122</v>
      </c>
      <c r="G1408" s="67" t="s">
        <v>208</v>
      </c>
      <c r="H1408" s="69">
        <v>-1.05</v>
      </c>
    </row>
    <row r="1409" spans="6:8">
      <c r="F1409" s="68" t="s">
        <v>123</v>
      </c>
      <c r="G1409" s="67" t="s">
        <v>208</v>
      </c>
      <c r="H1409" s="69">
        <v>-0.6</v>
      </c>
    </row>
    <row r="1410" spans="6:8">
      <c r="F1410" s="68" t="s">
        <v>124</v>
      </c>
      <c r="G1410" s="67" t="s">
        <v>208</v>
      </c>
      <c r="H1410" s="69">
        <v>-0.7</v>
      </c>
    </row>
    <row r="1411" spans="6:8">
      <c r="F1411" s="68" t="s">
        <v>125</v>
      </c>
      <c r="G1411" s="67" t="s">
        <v>208</v>
      </c>
      <c r="H1411" s="69">
        <v>-1.1000000000000001</v>
      </c>
    </row>
    <row r="1412" spans="6:8">
      <c r="F1412" s="68" t="s">
        <v>126</v>
      </c>
      <c r="G1412" s="67" t="s">
        <v>208</v>
      </c>
      <c r="H1412" s="69">
        <v>-0.55000000000000004</v>
      </c>
    </row>
    <row r="1413" spans="6:8">
      <c r="F1413" s="68" t="s">
        <v>127</v>
      </c>
      <c r="G1413" s="67" t="s">
        <v>208</v>
      </c>
      <c r="H1413" s="69">
        <v>-0.15</v>
      </c>
    </row>
    <row r="1414" spans="6:8">
      <c r="F1414" s="68" t="s">
        <v>128</v>
      </c>
      <c r="G1414" s="67" t="s">
        <v>208</v>
      </c>
      <c r="H1414" s="69">
        <v>-0.55000000000000004</v>
      </c>
    </row>
    <row r="1415" spans="6:8">
      <c r="F1415" s="68" t="s">
        <v>129</v>
      </c>
      <c r="G1415" s="67" t="s">
        <v>208</v>
      </c>
      <c r="H1415" s="69">
        <v>-0.25</v>
      </c>
    </row>
    <row r="1416" spans="6:8">
      <c r="F1416" s="68" t="s">
        <v>130</v>
      </c>
      <c r="G1416" s="67" t="s">
        <v>208</v>
      </c>
      <c r="H1416" s="69">
        <v>-0.95</v>
      </c>
    </row>
    <row r="1417" spans="6:8">
      <c r="F1417" s="68" t="s">
        <v>131</v>
      </c>
      <c r="G1417" s="67" t="s">
        <v>208</v>
      </c>
      <c r="H1417" s="69">
        <v>-0.35</v>
      </c>
    </row>
    <row r="1418" spans="6:8">
      <c r="F1418" s="68" t="s">
        <v>132</v>
      </c>
      <c r="G1418" s="67" t="s">
        <v>208</v>
      </c>
      <c r="H1418" s="69">
        <v>-0.95</v>
      </c>
    </row>
    <row r="1419" spans="6:8">
      <c r="F1419" s="68" t="s">
        <v>133</v>
      </c>
      <c r="G1419" s="67" t="s">
        <v>208</v>
      </c>
      <c r="H1419" s="69">
        <v>-0.35</v>
      </c>
    </row>
    <row r="1420" spans="6:8">
      <c r="F1420" s="68" t="s">
        <v>134</v>
      </c>
      <c r="G1420" s="67" t="s">
        <v>208</v>
      </c>
      <c r="H1420" s="69">
        <v>-1</v>
      </c>
    </row>
    <row r="1421" spans="6:8">
      <c r="F1421" s="68" t="s">
        <v>135</v>
      </c>
      <c r="G1421" s="67" t="s">
        <v>208</v>
      </c>
      <c r="H1421" s="69">
        <v>-0.35</v>
      </c>
    </row>
    <row r="1422" spans="6:8">
      <c r="F1422" s="68" t="s">
        <v>136</v>
      </c>
      <c r="G1422" s="67" t="s">
        <v>208</v>
      </c>
      <c r="H1422" s="69">
        <v>-0.95</v>
      </c>
    </row>
    <row r="1423" spans="6:8">
      <c r="F1423" s="68" t="s">
        <v>137</v>
      </c>
      <c r="G1423" s="67" t="s">
        <v>208</v>
      </c>
      <c r="H1423" s="69">
        <v>-0.5</v>
      </c>
    </row>
    <row r="1424" spans="6:8">
      <c r="F1424" s="68" t="s">
        <v>138</v>
      </c>
      <c r="G1424" s="67" t="s">
        <v>208</v>
      </c>
      <c r="H1424" s="69">
        <v>-0.7</v>
      </c>
    </row>
    <row r="1425" spans="6:8">
      <c r="F1425" s="68" t="s">
        <v>138</v>
      </c>
      <c r="G1425" s="67" t="s">
        <v>209</v>
      </c>
      <c r="H1425" s="69">
        <v>-0.7</v>
      </c>
    </row>
    <row r="1426" spans="6:8">
      <c r="F1426" s="68" t="s">
        <v>137</v>
      </c>
      <c r="G1426" s="67" t="s">
        <v>209</v>
      </c>
      <c r="H1426" s="69">
        <v>-0.5</v>
      </c>
    </row>
    <row r="1427" spans="6:8">
      <c r="F1427" s="68" t="s">
        <v>136</v>
      </c>
      <c r="G1427" s="67" t="s">
        <v>209</v>
      </c>
      <c r="H1427" s="69">
        <v>-0.95</v>
      </c>
    </row>
    <row r="1428" spans="6:8">
      <c r="F1428" s="68" t="s">
        <v>135</v>
      </c>
      <c r="G1428" s="67" t="s">
        <v>209</v>
      </c>
      <c r="H1428" s="69">
        <v>-0.35</v>
      </c>
    </row>
    <row r="1429" spans="6:8">
      <c r="F1429" s="68" t="s">
        <v>134</v>
      </c>
      <c r="G1429" s="67" t="s">
        <v>209</v>
      </c>
      <c r="H1429" s="69">
        <v>-1</v>
      </c>
    </row>
    <row r="1430" spans="6:8">
      <c r="F1430" s="68" t="s">
        <v>133</v>
      </c>
      <c r="G1430" s="67" t="s">
        <v>209</v>
      </c>
      <c r="H1430" s="69">
        <v>-0.35</v>
      </c>
    </row>
    <row r="1431" spans="6:8">
      <c r="F1431" s="68" t="s">
        <v>132</v>
      </c>
      <c r="G1431" s="67" t="s">
        <v>209</v>
      </c>
      <c r="H1431" s="69">
        <v>-0.95</v>
      </c>
    </row>
    <row r="1432" spans="6:8">
      <c r="F1432" s="68" t="s">
        <v>131</v>
      </c>
      <c r="G1432" s="67" t="s">
        <v>209</v>
      </c>
      <c r="H1432" s="69">
        <v>-0.35</v>
      </c>
    </row>
    <row r="1433" spans="6:8">
      <c r="F1433" s="68" t="s">
        <v>130</v>
      </c>
      <c r="G1433" s="67" t="s">
        <v>209</v>
      </c>
      <c r="H1433" s="69">
        <v>-0.95</v>
      </c>
    </row>
    <row r="1434" spans="6:8">
      <c r="F1434" s="68" t="s">
        <v>129</v>
      </c>
      <c r="G1434" s="67" t="s">
        <v>209</v>
      </c>
      <c r="H1434" s="69">
        <v>-0.25</v>
      </c>
    </row>
    <row r="1435" spans="6:8">
      <c r="F1435" s="68" t="s">
        <v>128</v>
      </c>
      <c r="G1435" s="67" t="s">
        <v>209</v>
      </c>
      <c r="H1435" s="69">
        <v>-0.55000000000000004</v>
      </c>
    </row>
    <row r="1436" spans="6:8">
      <c r="F1436" s="68" t="s">
        <v>127</v>
      </c>
      <c r="G1436" s="67" t="s">
        <v>209</v>
      </c>
      <c r="H1436" s="69">
        <v>-0.15</v>
      </c>
    </row>
    <row r="1437" spans="6:8">
      <c r="F1437" s="68" t="s">
        <v>126</v>
      </c>
      <c r="G1437" s="67" t="s">
        <v>209</v>
      </c>
      <c r="H1437" s="69">
        <v>-0.55000000000000004</v>
      </c>
    </row>
    <row r="1438" spans="6:8">
      <c r="F1438" s="68" t="s">
        <v>125</v>
      </c>
      <c r="G1438" s="67" t="s">
        <v>209</v>
      </c>
      <c r="H1438" s="69">
        <v>-1.1000000000000001</v>
      </c>
    </row>
    <row r="1439" spans="6:8">
      <c r="F1439" s="68" t="s">
        <v>124</v>
      </c>
      <c r="G1439" s="67" t="s">
        <v>209</v>
      </c>
      <c r="H1439" s="69">
        <v>-0.7</v>
      </c>
    </row>
    <row r="1440" spans="6:8">
      <c r="F1440" s="68" t="s">
        <v>123</v>
      </c>
      <c r="G1440" s="67" t="s">
        <v>209</v>
      </c>
      <c r="H1440" s="69">
        <v>-0.6</v>
      </c>
    </row>
    <row r="1441" spans="6:8">
      <c r="F1441" s="68" t="s">
        <v>122</v>
      </c>
      <c r="G1441" s="67" t="s">
        <v>209</v>
      </c>
      <c r="H1441" s="69">
        <v>-1.05</v>
      </c>
    </row>
    <row r="1442" spans="6:8">
      <c r="F1442" s="68" t="s">
        <v>121</v>
      </c>
      <c r="G1442" s="67" t="s">
        <v>209</v>
      </c>
      <c r="H1442" s="69">
        <v>-0.75</v>
      </c>
    </row>
    <row r="1443" spans="6:8">
      <c r="F1443" s="68" t="s">
        <v>120</v>
      </c>
      <c r="G1443" s="67" t="s">
        <v>209</v>
      </c>
      <c r="H1443" s="69">
        <v>-0.5</v>
      </c>
    </row>
    <row r="1444" spans="6:8">
      <c r="F1444" s="68" t="s">
        <v>119</v>
      </c>
      <c r="G1444" s="67" t="s">
        <v>209</v>
      </c>
      <c r="H1444" s="69">
        <v>-1</v>
      </c>
    </row>
    <row r="1445" spans="6:8">
      <c r="F1445" s="68" t="s">
        <v>119</v>
      </c>
      <c r="G1445" s="67" t="s">
        <v>210</v>
      </c>
      <c r="H1445" s="69">
        <v>-1</v>
      </c>
    </row>
    <row r="1446" spans="6:8">
      <c r="F1446" s="68" t="s">
        <v>120</v>
      </c>
      <c r="G1446" s="67" t="s">
        <v>210</v>
      </c>
      <c r="H1446" s="69">
        <v>-0.5</v>
      </c>
    </row>
    <row r="1447" spans="6:8">
      <c r="F1447" s="68" t="s">
        <v>121</v>
      </c>
      <c r="G1447" s="67" t="s">
        <v>210</v>
      </c>
      <c r="H1447" s="69">
        <v>-0.75</v>
      </c>
    </row>
    <row r="1448" spans="6:8">
      <c r="F1448" s="68" t="s">
        <v>122</v>
      </c>
      <c r="G1448" s="67" t="s">
        <v>210</v>
      </c>
      <c r="H1448" s="69">
        <v>-1.05</v>
      </c>
    </row>
    <row r="1449" spans="6:8">
      <c r="F1449" s="68" t="s">
        <v>123</v>
      </c>
      <c r="G1449" s="67" t="s">
        <v>210</v>
      </c>
      <c r="H1449" s="69">
        <v>-0.6</v>
      </c>
    </row>
    <row r="1450" spans="6:8">
      <c r="F1450" s="68" t="s">
        <v>124</v>
      </c>
      <c r="G1450" s="67" t="s">
        <v>210</v>
      </c>
      <c r="H1450" s="69">
        <v>-0.7</v>
      </c>
    </row>
    <row r="1451" spans="6:8">
      <c r="F1451" s="68" t="s">
        <v>125</v>
      </c>
      <c r="G1451" s="67" t="s">
        <v>210</v>
      </c>
      <c r="H1451" s="69">
        <v>-1.1000000000000001</v>
      </c>
    </row>
    <row r="1452" spans="6:8">
      <c r="F1452" s="68" t="s">
        <v>126</v>
      </c>
      <c r="G1452" s="67" t="s">
        <v>210</v>
      </c>
      <c r="H1452" s="69">
        <v>-0.55000000000000004</v>
      </c>
    </row>
    <row r="1453" spans="6:8">
      <c r="F1453" s="68" t="s">
        <v>127</v>
      </c>
      <c r="G1453" s="67" t="s">
        <v>210</v>
      </c>
      <c r="H1453" s="69">
        <v>-0.15</v>
      </c>
    </row>
    <row r="1454" spans="6:8">
      <c r="F1454" s="68" t="s">
        <v>128</v>
      </c>
      <c r="G1454" s="67" t="s">
        <v>210</v>
      </c>
      <c r="H1454" s="69">
        <v>-0.55000000000000004</v>
      </c>
    </row>
    <row r="1455" spans="6:8">
      <c r="F1455" s="68" t="s">
        <v>129</v>
      </c>
      <c r="G1455" s="67" t="s">
        <v>210</v>
      </c>
      <c r="H1455" s="69">
        <v>-0.25</v>
      </c>
    </row>
    <row r="1456" spans="6:8">
      <c r="F1456" s="68" t="s">
        <v>130</v>
      </c>
      <c r="G1456" s="67" t="s">
        <v>210</v>
      </c>
      <c r="H1456" s="69">
        <v>-0.95</v>
      </c>
    </row>
    <row r="1457" spans="6:8">
      <c r="F1457" s="68" t="s">
        <v>131</v>
      </c>
      <c r="G1457" s="67" t="s">
        <v>210</v>
      </c>
      <c r="H1457" s="69">
        <v>-0.35</v>
      </c>
    </row>
    <row r="1458" spans="6:8">
      <c r="F1458" s="68" t="s">
        <v>132</v>
      </c>
      <c r="G1458" s="67" t="s">
        <v>210</v>
      </c>
      <c r="H1458" s="69">
        <v>-0.95</v>
      </c>
    </row>
    <row r="1459" spans="6:8">
      <c r="F1459" s="68" t="s">
        <v>133</v>
      </c>
      <c r="G1459" s="67" t="s">
        <v>210</v>
      </c>
      <c r="H1459" s="69">
        <v>-0.35</v>
      </c>
    </row>
    <row r="1460" spans="6:8">
      <c r="F1460" s="68" t="s">
        <v>134</v>
      </c>
      <c r="G1460" s="67" t="s">
        <v>210</v>
      </c>
      <c r="H1460" s="69">
        <v>-1</v>
      </c>
    </row>
    <row r="1461" spans="6:8">
      <c r="F1461" s="68" t="s">
        <v>135</v>
      </c>
      <c r="G1461" s="67" t="s">
        <v>210</v>
      </c>
      <c r="H1461" s="69">
        <v>-0.35</v>
      </c>
    </row>
    <row r="1462" spans="6:8">
      <c r="F1462" s="68" t="s">
        <v>136</v>
      </c>
      <c r="G1462" s="67" t="s">
        <v>210</v>
      </c>
      <c r="H1462" s="69">
        <v>-0.95</v>
      </c>
    </row>
    <row r="1463" spans="6:8">
      <c r="F1463" s="68" t="s">
        <v>137</v>
      </c>
      <c r="G1463" s="67" t="s">
        <v>210</v>
      </c>
      <c r="H1463" s="69">
        <v>-0.5</v>
      </c>
    </row>
    <row r="1464" spans="6:8">
      <c r="F1464" s="68" t="s">
        <v>138</v>
      </c>
      <c r="G1464" s="67" t="s">
        <v>210</v>
      </c>
      <c r="H1464" s="69">
        <v>-0.7</v>
      </c>
    </row>
    <row r="1465" spans="6:8">
      <c r="F1465" s="68" t="s">
        <v>138</v>
      </c>
      <c r="G1465" s="67" t="s">
        <v>211</v>
      </c>
      <c r="H1465" s="69">
        <v>-0.7</v>
      </c>
    </row>
    <row r="1466" spans="6:8">
      <c r="F1466" s="68" t="s">
        <v>137</v>
      </c>
      <c r="G1466" s="67" t="s">
        <v>211</v>
      </c>
      <c r="H1466" s="69">
        <v>-0.5</v>
      </c>
    </row>
    <row r="1467" spans="6:8">
      <c r="F1467" s="68" t="s">
        <v>136</v>
      </c>
      <c r="G1467" s="67" t="s">
        <v>211</v>
      </c>
      <c r="H1467" s="69">
        <v>-0.95</v>
      </c>
    </row>
    <row r="1468" spans="6:8">
      <c r="F1468" s="68" t="s">
        <v>135</v>
      </c>
      <c r="G1468" s="67" t="s">
        <v>211</v>
      </c>
      <c r="H1468" s="69">
        <v>-0.35</v>
      </c>
    </row>
    <row r="1469" spans="6:8">
      <c r="F1469" s="68" t="s">
        <v>134</v>
      </c>
      <c r="G1469" s="67" t="s">
        <v>211</v>
      </c>
      <c r="H1469" s="69">
        <v>-1</v>
      </c>
    </row>
    <row r="1470" spans="6:8">
      <c r="F1470" s="68" t="s">
        <v>133</v>
      </c>
      <c r="G1470" s="67" t="s">
        <v>211</v>
      </c>
      <c r="H1470" s="69">
        <v>-0.35</v>
      </c>
    </row>
    <row r="1471" spans="6:8">
      <c r="F1471" s="68" t="s">
        <v>132</v>
      </c>
      <c r="G1471" s="67" t="s">
        <v>211</v>
      </c>
      <c r="H1471" s="69">
        <v>-0.95</v>
      </c>
    </row>
    <row r="1472" spans="6:8">
      <c r="F1472" s="68" t="s">
        <v>131</v>
      </c>
      <c r="G1472" s="67" t="s">
        <v>211</v>
      </c>
      <c r="H1472" s="69">
        <v>-0.35</v>
      </c>
    </row>
    <row r="1473" spans="6:8">
      <c r="F1473" s="68" t="s">
        <v>130</v>
      </c>
      <c r="G1473" s="67" t="s">
        <v>211</v>
      </c>
      <c r="H1473" s="69">
        <v>-0.95</v>
      </c>
    </row>
    <row r="1474" spans="6:8">
      <c r="F1474" s="68" t="s">
        <v>129</v>
      </c>
      <c r="G1474" s="67" t="s">
        <v>211</v>
      </c>
      <c r="H1474" s="69">
        <v>-0.25</v>
      </c>
    </row>
    <row r="1475" spans="6:8">
      <c r="F1475" s="68" t="s">
        <v>128</v>
      </c>
      <c r="G1475" s="67" t="s">
        <v>211</v>
      </c>
      <c r="H1475" s="69">
        <v>-0.55000000000000004</v>
      </c>
    </row>
    <row r="1476" spans="6:8">
      <c r="F1476" s="68" t="s">
        <v>127</v>
      </c>
      <c r="G1476" s="67" t="s">
        <v>211</v>
      </c>
      <c r="H1476" s="69">
        <v>-0.15</v>
      </c>
    </row>
    <row r="1477" spans="6:8">
      <c r="F1477" s="68" t="s">
        <v>126</v>
      </c>
      <c r="G1477" s="67" t="s">
        <v>211</v>
      </c>
      <c r="H1477" s="69">
        <v>-0.55000000000000004</v>
      </c>
    </row>
    <row r="1478" spans="6:8">
      <c r="F1478" s="68" t="s">
        <v>125</v>
      </c>
      <c r="G1478" s="67" t="s">
        <v>211</v>
      </c>
      <c r="H1478" s="69">
        <v>-1.1000000000000001</v>
      </c>
    </row>
    <row r="1479" spans="6:8">
      <c r="F1479" s="68" t="s">
        <v>124</v>
      </c>
      <c r="G1479" s="67" t="s">
        <v>211</v>
      </c>
      <c r="H1479" s="69">
        <v>-0.7</v>
      </c>
    </row>
    <row r="1480" spans="6:8">
      <c r="F1480" s="68" t="s">
        <v>123</v>
      </c>
      <c r="G1480" s="67" t="s">
        <v>211</v>
      </c>
      <c r="H1480" s="69">
        <v>-0.6</v>
      </c>
    </row>
    <row r="1481" spans="6:8">
      <c r="F1481" s="68" t="s">
        <v>122</v>
      </c>
      <c r="G1481" s="67" t="s">
        <v>211</v>
      </c>
      <c r="H1481" s="69">
        <v>-1.05</v>
      </c>
    </row>
    <row r="1482" spans="6:8">
      <c r="F1482" s="68" t="s">
        <v>121</v>
      </c>
      <c r="G1482" s="67" t="s">
        <v>211</v>
      </c>
      <c r="H1482" s="69">
        <v>-0.75</v>
      </c>
    </row>
    <row r="1483" spans="6:8">
      <c r="F1483" s="68" t="s">
        <v>120</v>
      </c>
      <c r="G1483" s="67" t="s">
        <v>211</v>
      </c>
      <c r="H1483" s="69">
        <v>-0.5</v>
      </c>
    </row>
    <row r="1484" spans="6:8">
      <c r="F1484" s="68" t="s">
        <v>119</v>
      </c>
      <c r="G1484" s="67" t="s">
        <v>211</v>
      </c>
      <c r="H1484" s="69">
        <v>-1</v>
      </c>
    </row>
    <row r="1485" spans="6:8">
      <c r="F1485" s="68" t="s">
        <v>119</v>
      </c>
      <c r="G1485" s="67" t="s">
        <v>212</v>
      </c>
      <c r="H1485" s="69">
        <v>-1</v>
      </c>
    </row>
    <row r="1486" spans="6:8">
      <c r="F1486" s="68" t="s">
        <v>120</v>
      </c>
      <c r="G1486" s="67" t="s">
        <v>212</v>
      </c>
      <c r="H1486" s="69">
        <v>-0.5</v>
      </c>
    </row>
    <row r="1487" spans="6:8">
      <c r="F1487" s="68" t="s">
        <v>121</v>
      </c>
      <c r="G1487" s="67" t="s">
        <v>212</v>
      </c>
      <c r="H1487" s="69">
        <v>-0.75</v>
      </c>
    </row>
    <row r="1488" spans="6:8">
      <c r="F1488" s="68" t="s">
        <v>122</v>
      </c>
      <c r="G1488" s="67" t="s">
        <v>212</v>
      </c>
      <c r="H1488" s="69">
        <v>-1.05</v>
      </c>
    </row>
    <row r="1489" spans="6:8">
      <c r="F1489" s="68" t="s">
        <v>123</v>
      </c>
      <c r="G1489" s="67" t="s">
        <v>212</v>
      </c>
      <c r="H1489" s="69">
        <v>-0.6</v>
      </c>
    </row>
    <row r="1490" spans="6:8">
      <c r="F1490" s="68" t="s">
        <v>124</v>
      </c>
      <c r="G1490" s="67" t="s">
        <v>212</v>
      </c>
      <c r="H1490" s="69">
        <v>-0.7</v>
      </c>
    </row>
    <row r="1491" spans="6:8">
      <c r="F1491" s="68" t="s">
        <v>125</v>
      </c>
      <c r="G1491" s="67" t="s">
        <v>212</v>
      </c>
      <c r="H1491" s="69">
        <v>-1.1000000000000001</v>
      </c>
    </row>
    <row r="1492" spans="6:8">
      <c r="F1492" s="68" t="s">
        <v>126</v>
      </c>
      <c r="G1492" s="67" t="s">
        <v>212</v>
      </c>
      <c r="H1492" s="69">
        <v>-0.55000000000000004</v>
      </c>
    </row>
    <row r="1493" spans="6:8">
      <c r="F1493" s="68" t="s">
        <v>127</v>
      </c>
      <c r="G1493" s="67" t="s">
        <v>212</v>
      </c>
      <c r="H1493" s="69">
        <v>-0.15</v>
      </c>
    </row>
    <row r="1494" spans="6:8">
      <c r="F1494" s="68" t="s">
        <v>128</v>
      </c>
      <c r="G1494" s="67" t="s">
        <v>212</v>
      </c>
      <c r="H1494" s="69">
        <v>-0.55000000000000004</v>
      </c>
    </row>
    <row r="1495" spans="6:8">
      <c r="F1495" s="68" t="s">
        <v>129</v>
      </c>
      <c r="G1495" s="67" t="s">
        <v>212</v>
      </c>
      <c r="H1495" s="69">
        <v>-0.25</v>
      </c>
    </row>
    <row r="1496" spans="6:8">
      <c r="F1496" s="68" t="s">
        <v>130</v>
      </c>
      <c r="G1496" s="67" t="s">
        <v>212</v>
      </c>
      <c r="H1496" s="69">
        <v>-0.95</v>
      </c>
    </row>
    <row r="1497" spans="6:8">
      <c r="F1497" s="68" t="s">
        <v>131</v>
      </c>
      <c r="G1497" s="67" t="s">
        <v>212</v>
      </c>
      <c r="H1497" s="69">
        <v>-0.35</v>
      </c>
    </row>
    <row r="1498" spans="6:8">
      <c r="F1498" s="68" t="s">
        <v>132</v>
      </c>
      <c r="G1498" s="67" t="s">
        <v>212</v>
      </c>
      <c r="H1498" s="69">
        <v>-0.95</v>
      </c>
    </row>
    <row r="1499" spans="6:8">
      <c r="F1499" s="68" t="s">
        <v>133</v>
      </c>
      <c r="G1499" s="67" t="s">
        <v>212</v>
      </c>
      <c r="H1499" s="69">
        <v>-0.35</v>
      </c>
    </row>
    <row r="1500" spans="6:8">
      <c r="F1500" s="68" t="s">
        <v>134</v>
      </c>
      <c r="G1500" s="67" t="s">
        <v>212</v>
      </c>
      <c r="H1500" s="69">
        <v>-1</v>
      </c>
    </row>
    <row r="1501" spans="6:8">
      <c r="F1501" s="68" t="s">
        <v>135</v>
      </c>
      <c r="G1501" s="67" t="s">
        <v>212</v>
      </c>
      <c r="H1501" s="69">
        <v>-0.35</v>
      </c>
    </row>
    <row r="1502" spans="6:8">
      <c r="F1502" s="68" t="s">
        <v>136</v>
      </c>
      <c r="G1502" s="67" t="s">
        <v>212</v>
      </c>
      <c r="H1502" s="69">
        <v>-0.95</v>
      </c>
    </row>
    <row r="1503" spans="6:8">
      <c r="F1503" s="68" t="s">
        <v>137</v>
      </c>
      <c r="G1503" s="67" t="s">
        <v>212</v>
      </c>
      <c r="H1503" s="69">
        <v>-0.5</v>
      </c>
    </row>
    <row r="1504" spans="6:8">
      <c r="F1504" s="68" t="s">
        <v>138</v>
      </c>
      <c r="G1504" s="67" t="s">
        <v>212</v>
      </c>
      <c r="H1504" s="69">
        <v>-0.7</v>
      </c>
    </row>
    <row r="1505" spans="6:8">
      <c r="F1505" s="68" t="s">
        <v>138</v>
      </c>
      <c r="G1505" s="67" t="s">
        <v>213</v>
      </c>
      <c r="H1505" s="69">
        <v>-0.7</v>
      </c>
    </row>
    <row r="1506" spans="6:8">
      <c r="F1506" s="68" t="s">
        <v>137</v>
      </c>
      <c r="G1506" s="67" t="s">
        <v>213</v>
      </c>
      <c r="H1506" s="69">
        <v>-0.5</v>
      </c>
    </row>
    <row r="1507" spans="6:8">
      <c r="F1507" s="68" t="s">
        <v>136</v>
      </c>
      <c r="G1507" s="67" t="s">
        <v>213</v>
      </c>
      <c r="H1507" s="69">
        <v>-0.95</v>
      </c>
    </row>
    <row r="1508" spans="6:8">
      <c r="F1508" s="68" t="s">
        <v>135</v>
      </c>
      <c r="G1508" s="67" t="s">
        <v>213</v>
      </c>
      <c r="H1508" s="69">
        <v>-0.35</v>
      </c>
    </row>
    <row r="1509" spans="6:8">
      <c r="F1509" s="68" t="s">
        <v>134</v>
      </c>
      <c r="G1509" s="67" t="s">
        <v>213</v>
      </c>
      <c r="H1509" s="69">
        <v>-1</v>
      </c>
    </row>
    <row r="1510" spans="6:8">
      <c r="F1510" s="68" t="s">
        <v>133</v>
      </c>
      <c r="G1510" s="67" t="s">
        <v>213</v>
      </c>
      <c r="H1510" s="69">
        <v>-0.35</v>
      </c>
    </row>
    <row r="1511" spans="6:8">
      <c r="F1511" s="68" t="s">
        <v>132</v>
      </c>
      <c r="G1511" s="67" t="s">
        <v>213</v>
      </c>
      <c r="H1511" s="69">
        <v>-0.95</v>
      </c>
    </row>
    <row r="1512" spans="6:8">
      <c r="F1512" s="68" t="s">
        <v>131</v>
      </c>
      <c r="G1512" s="67" t="s">
        <v>213</v>
      </c>
      <c r="H1512" s="69">
        <v>-0.35</v>
      </c>
    </row>
    <row r="1513" spans="6:8">
      <c r="F1513" s="68" t="s">
        <v>130</v>
      </c>
      <c r="G1513" s="67" t="s">
        <v>213</v>
      </c>
      <c r="H1513" s="69">
        <v>-0.95</v>
      </c>
    </row>
    <row r="1514" spans="6:8">
      <c r="F1514" s="68" t="s">
        <v>129</v>
      </c>
      <c r="G1514" s="67" t="s">
        <v>213</v>
      </c>
      <c r="H1514" s="69">
        <v>-0.25</v>
      </c>
    </row>
    <row r="1515" spans="6:8">
      <c r="F1515" s="68" t="s">
        <v>128</v>
      </c>
      <c r="G1515" s="67" t="s">
        <v>213</v>
      </c>
      <c r="H1515" s="69">
        <v>-0.55000000000000004</v>
      </c>
    </row>
    <row r="1516" spans="6:8">
      <c r="F1516" s="68" t="s">
        <v>127</v>
      </c>
      <c r="G1516" s="67" t="s">
        <v>213</v>
      </c>
      <c r="H1516" s="69">
        <v>-0.15</v>
      </c>
    </row>
    <row r="1517" spans="6:8">
      <c r="F1517" s="68" t="s">
        <v>126</v>
      </c>
      <c r="G1517" s="67" t="s">
        <v>213</v>
      </c>
      <c r="H1517" s="69">
        <v>-0.55000000000000004</v>
      </c>
    </row>
    <row r="1518" spans="6:8">
      <c r="F1518" s="68" t="s">
        <v>125</v>
      </c>
      <c r="G1518" s="67" t="s">
        <v>213</v>
      </c>
      <c r="H1518" s="69">
        <v>-1.1000000000000001</v>
      </c>
    </row>
    <row r="1519" spans="6:8">
      <c r="F1519" s="68" t="s">
        <v>124</v>
      </c>
      <c r="G1519" s="67" t="s">
        <v>213</v>
      </c>
      <c r="H1519" s="69">
        <v>-0.7</v>
      </c>
    </row>
    <row r="1520" spans="6:8">
      <c r="F1520" s="68" t="s">
        <v>123</v>
      </c>
      <c r="G1520" s="67" t="s">
        <v>213</v>
      </c>
      <c r="H1520" s="69">
        <v>-0.6</v>
      </c>
    </row>
    <row r="1521" spans="6:8">
      <c r="F1521" s="68" t="s">
        <v>122</v>
      </c>
      <c r="G1521" s="67" t="s">
        <v>213</v>
      </c>
      <c r="H1521" s="69">
        <v>-1.05</v>
      </c>
    </row>
    <row r="1522" spans="6:8">
      <c r="F1522" s="68" t="s">
        <v>121</v>
      </c>
      <c r="G1522" s="67" t="s">
        <v>213</v>
      </c>
      <c r="H1522" s="69">
        <v>-0.75</v>
      </c>
    </row>
    <row r="1523" spans="6:8">
      <c r="F1523" s="68" t="s">
        <v>120</v>
      </c>
      <c r="G1523" s="67" t="s">
        <v>213</v>
      </c>
      <c r="H1523" s="69">
        <v>-0.5</v>
      </c>
    </row>
    <row r="1524" spans="6:8">
      <c r="F1524" s="68" t="s">
        <v>119</v>
      </c>
      <c r="G1524" s="67" t="s">
        <v>213</v>
      </c>
      <c r="H1524" s="69">
        <v>-1</v>
      </c>
    </row>
    <row r="1525" spans="6:8">
      <c r="F1525" s="68" t="s">
        <v>119</v>
      </c>
      <c r="G1525" s="67" t="s">
        <v>214</v>
      </c>
      <c r="H1525" s="69">
        <v>-1</v>
      </c>
    </row>
    <row r="1526" spans="6:8">
      <c r="F1526" s="68" t="s">
        <v>120</v>
      </c>
      <c r="G1526" s="67" t="s">
        <v>214</v>
      </c>
      <c r="H1526" s="69">
        <v>-0.5</v>
      </c>
    </row>
    <row r="1527" spans="6:8">
      <c r="F1527" s="68" t="s">
        <v>121</v>
      </c>
      <c r="G1527" s="67" t="s">
        <v>214</v>
      </c>
      <c r="H1527" s="69">
        <v>-0.75</v>
      </c>
    </row>
    <row r="1528" spans="6:8">
      <c r="F1528" s="68" t="s">
        <v>122</v>
      </c>
      <c r="G1528" s="67" t="s">
        <v>214</v>
      </c>
      <c r="H1528" s="69">
        <v>-1.05</v>
      </c>
    </row>
    <row r="1529" spans="6:8">
      <c r="F1529" s="68" t="s">
        <v>123</v>
      </c>
      <c r="G1529" s="67" t="s">
        <v>214</v>
      </c>
      <c r="H1529" s="69">
        <v>-0.6</v>
      </c>
    </row>
    <row r="1530" spans="6:8">
      <c r="F1530" s="68" t="s">
        <v>124</v>
      </c>
      <c r="G1530" s="67" t="s">
        <v>214</v>
      </c>
      <c r="H1530" s="69">
        <v>-0.7</v>
      </c>
    </row>
    <row r="1531" spans="6:8">
      <c r="F1531" s="68" t="s">
        <v>125</v>
      </c>
      <c r="G1531" s="67" t="s">
        <v>214</v>
      </c>
      <c r="H1531" s="69">
        <v>-1.1000000000000001</v>
      </c>
    </row>
    <row r="1532" spans="6:8">
      <c r="F1532" s="68" t="s">
        <v>126</v>
      </c>
      <c r="G1532" s="67" t="s">
        <v>214</v>
      </c>
      <c r="H1532" s="69">
        <v>-0.55000000000000004</v>
      </c>
    </row>
    <row r="1533" spans="6:8">
      <c r="F1533" s="68" t="s">
        <v>127</v>
      </c>
      <c r="G1533" s="67" t="s">
        <v>214</v>
      </c>
      <c r="H1533" s="69">
        <v>-0.15</v>
      </c>
    </row>
    <row r="1534" spans="6:8">
      <c r="F1534" s="68" t="s">
        <v>128</v>
      </c>
      <c r="G1534" s="67" t="s">
        <v>214</v>
      </c>
      <c r="H1534" s="69">
        <v>-0.55000000000000004</v>
      </c>
    </row>
    <row r="1535" spans="6:8">
      <c r="F1535" s="68" t="s">
        <v>129</v>
      </c>
      <c r="G1535" s="67" t="s">
        <v>214</v>
      </c>
      <c r="H1535" s="69">
        <v>-0.25</v>
      </c>
    </row>
    <row r="1536" spans="6:8">
      <c r="F1536" s="68" t="s">
        <v>130</v>
      </c>
      <c r="G1536" s="67" t="s">
        <v>214</v>
      </c>
      <c r="H1536" s="69">
        <v>-0.95</v>
      </c>
    </row>
    <row r="1537" spans="6:8">
      <c r="F1537" s="68" t="s">
        <v>131</v>
      </c>
      <c r="G1537" s="67" t="s">
        <v>214</v>
      </c>
      <c r="H1537" s="69">
        <v>-0.35</v>
      </c>
    </row>
    <row r="1538" spans="6:8">
      <c r="F1538" s="68" t="s">
        <v>132</v>
      </c>
      <c r="G1538" s="67" t="s">
        <v>214</v>
      </c>
      <c r="H1538" s="69">
        <v>-0.95</v>
      </c>
    </row>
    <row r="1539" spans="6:8">
      <c r="F1539" s="68" t="s">
        <v>133</v>
      </c>
      <c r="G1539" s="67" t="s">
        <v>214</v>
      </c>
      <c r="H1539" s="69">
        <v>-0.35</v>
      </c>
    </row>
    <row r="1540" spans="6:8">
      <c r="F1540" s="68" t="s">
        <v>134</v>
      </c>
      <c r="G1540" s="67" t="s">
        <v>214</v>
      </c>
      <c r="H1540" s="69">
        <v>-1</v>
      </c>
    </row>
    <row r="1541" spans="6:8">
      <c r="F1541" s="68" t="s">
        <v>135</v>
      </c>
      <c r="G1541" s="67" t="s">
        <v>214</v>
      </c>
      <c r="H1541" s="69">
        <v>-0.35</v>
      </c>
    </row>
    <row r="1542" spans="6:8">
      <c r="F1542" s="68" t="s">
        <v>136</v>
      </c>
      <c r="G1542" s="67" t="s">
        <v>214</v>
      </c>
      <c r="H1542" s="69">
        <v>-0.95</v>
      </c>
    </row>
    <row r="1543" spans="6:8">
      <c r="F1543" s="68" t="s">
        <v>137</v>
      </c>
      <c r="G1543" s="67" t="s">
        <v>214</v>
      </c>
      <c r="H1543" s="69">
        <v>-0.5</v>
      </c>
    </row>
    <row r="1544" spans="6:8">
      <c r="F1544" s="68" t="s">
        <v>138</v>
      </c>
      <c r="G1544" s="67" t="s">
        <v>214</v>
      </c>
      <c r="H1544" s="69">
        <v>-0.7</v>
      </c>
    </row>
    <row r="1545" spans="6:8">
      <c r="F1545" s="68" t="s">
        <v>138</v>
      </c>
      <c r="G1545" s="67" t="s">
        <v>215</v>
      </c>
      <c r="H1545" s="69">
        <v>-0.7</v>
      </c>
    </row>
    <row r="1546" spans="6:8">
      <c r="F1546" s="68" t="s">
        <v>137</v>
      </c>
      <c r="G1546" s="67" t="s">
        <v>215</v>
      </c>
      <c r="H1546" s="69">
        <v>-0.5</v>
      </c>
    </row>
    <row r="1547" spans="6:8">
      <c r="F1547" s="68" t="s">
        <v>136</v>
      </c>
      <c r="G1547" s="67" t="s">
        <v>215</v>
      </c>
      <c r="H1547" s="69">
        <v>-0.95</v>
      </c>
    </row>
    <row r="1548" spans="6:8">
      <c r="F1548" s="68" t="s">
        <v>135</v>
      </c>
      <c r="G1548" s="67" t="s">
        <v>215</v>
      </c>
      <c r="H1548" s="69">
        <v>-0.35</v>
      </c>
    </row>
    <row r="1549" spans="6:8">
      <c r="F1549" s="68" t="s">
        <v>134</v>
      </c>
      <c r="G1549" s="67" t="s">
        <v>215</v>
      </c>
      <c r="H1549" s="69">
        <v>-1</v>
      </c>
    </row>
    <row r="1550" spans="6:8">
      <c r="F1550" s="68" t="s">
        <v>133</v>
      </c>
      <c r="G1550" s="67" t="s">
        <v>215</v>
      </c>
      <c r="H1550" s="69">
        <v>-0.35</v>
      </c>
    </row>
    <row r="1551" spans="6:8">
      <c r="F1551" s="68" t="s">
        <v>132</v>
      </c>
      <c r="G1551" s="67" t="s">
        <v>215</v>
      </c>
      <c r="H1551" s="69">
        <v>-0.95</v>
      </c>
    </row>
    <row r="1552" spans="6:8">
      <c r="F1552" s="68" t="s">
        <v>131</v>
      </c>
      <c r="G1552" s="67" t="s">
        <v>215</v>
      </c>
      <c r="H1552" s="69">
        <v>-0.35</v>
      </c>
    </row>
    <row r="1553" spans="6:8">
      <c r="F1553" s="68" t="s">
        <v>130</v>
      </c>
      <c r="G1553" s="67" t="s">
        <v>215</v>
      </c>
      <c r="H1553" s="69">
        <v>-0.95</v>
      </c>
    </row>
    <row r="1554" spans="6:8">
      <c r="F1554" s="68" t="s">
        <v>129</v>
      </c>
      <c r="G1554" s="67" t="s">
        <v>215</v>
      </c>
      <c r="H1554" s="69">
        <v>-0.25</v>
      </c>
    </row>
    <row r="1555" spans="6:8">
      <c r="F1555" s="68" t="s">
        <v>128</v>
      </c>
      <c r="G1555" s="67" t="s">
        <v>215</v>
      </c>
      <c r="H1555" s="69">
        <v>-0.55000000000000004</v>
      </c>
    </row>
    <row r="1556" spans="6:8">
      <c r="F1556" s="68" t="s">
        <v>127</v>
      </c>
      <c r="G1556" s="67" t="s">
        <v>215</v>
      </c>
      <c r="H1556" s="69">
        <v>-0.15</v>
      </c>
    </row>
    <row r="1557" spans="6:8">
      <c r="F1557" s="68" t="s">
        <v>126</v>
      </c>
      <c r="G1557" s="67" t="s">
        <v>215</v>
      </c>
      <c r="H1557" s="69">
        <v>-0.55000000000000004</v>
      </c>
    </row>
    <row r="1558" spans="6:8">
      <c r="F1558" s="68" t="s">
        <v>125</v>
      </c>
      <c r="G1558" s="67" t="s">
        <v>215</v>
      </c>
      <c r="H1558" s="69">
        <v>-1.1000000000000001</v>
      </c>
    </row>
    <row r="1559" spans="6:8">
      <c r="F1559" s="68" t="s">
        <v>124</v>
      </c>
      <c r="G1559" s="67" t="s">
        <v>215</v>
      </c>
      <c r="H1559" s="69">
        <v>-0.7</v>
      </c>
    </row>
    <row r="1560" spans="6:8">
      <c r="F1560" s="68" t="s">
        <v>123</v>
      </c>
      <c r="G1560" s="67" t="s">
        <v>215</v>
      </c>
      <c r="H1560" s="69">
        <v>-0.6</v>
      </c>
    </row>
    <row r="1561" spans="6:8">
      <c r="F1561" s="68" t="s">
        <v>122</v>
      </c>
      <c r="G1561" s="67" t="s">
        <v>215</v>
      </c>
      <c r="H1561" s="69">
        <v>-1.05</v>
      </c>
    </row>
    <row r="1562" spans="6:8">
      <c r="F1562" s="68" t="s">
        <v>121</v>
      </c>
      <c r="G1562" s="67" t="s">
        <v>215</v>
      </c>
      <c r="H1562" s="69">
        <v>-0.75</v>
      </c>
    </row>
    <row r="1563" spans="6:8">
      <c r="F1563" s="68" t="s">
        <v>120</v>
      </c>
      <c r="G1563" s="67" t="s">
        <v>215</v>
      </c>
      <c r="H1563" s="69">
        <v>-0.5</v>
      </c>
    </row>
    <row r="1564" spans="6:8">
      <c r="F1564" s="68" t="s">
        <v>119</v>
      </c>
      <c r="G1564" s="67" t="s">
        <v>215</v>
      </c>
      <c r="H1564" s="69">
        <v>-1</v>
      </c>
    </row>
    <row r="1565" spans="6:8">
      <c r="F1565" s="68" t="s">
        <v>119</v>
      </c>
      <c r="G1565" s="67" t="s">
        <v>216</v>
      </c>
      <c r="H1565" s="69">
        <v>-1</v>
      </c>
    </row>
    <row r="1566" spans="6:8">
      <c r="F1566" s="68" t="s">
        <v>120</v>
      </c>
      <c r="G1566" s="67" t="s">
        <v>216</v>
      </c>
      <c r="H1566" s="69">
        <v>-0.5</v>
      </c>
    </row>
    <row r="1567" spans="6:8">
      <c r="F1567" s="68" t="s">
        <v>121</v>
      </c>
      <c r="G1567" s="67" t="s">
        <v>216</v>
      </c>
      <c r="H1567" s="69">
        <v>-0.75</v>
      </c>
    </row>
    <row r="1568" spans="6:8">
      <c r="F1568" s="68" t="s">
        <v>122</v>
      </c>
      <c r="G1568" s="67" t="s">
        <v>216</v>
      </c>
      <c r="H1568" s="69">
        <v>-1.05</v>
      </c>
    </row>
    <row r="1569" spans="6:8">
      <c r="F1569" s="68" t="s">
        <v>123</v>
      </c>
      <c r="G1569" s="67" t="s">
        <v>216</v>
      </c>
      <c r="H1569" s="69">
        <v>-0.6</v>
      </c>
    </row>
    <row r="1570" spans="6:8">
      <c r="F1570" s="68" t="s">
        <v>124</v>
      </c>
      <c r="G1570" s="67" t="s">
        <v>216</v>
      </c>
      <c r="H1570" s="69">
        <v>-0.7</v>
      </c>
    </row>
    <row r="1571" spans="6:8">
      <c r="F1571" s="68" t="s">
        <v>125</v>
      </c>
      <c r="G1571" s="67" t="s">
        <v>216</v>
      </c>
      <c r="H1571" s="69">
        <v>-1.1000000000000001</v>
      </c>
    </row>
    <row r="1572" spans="6:8">
      <c r="F1572" s="68" t="s">
        <v>126</v>
      </c>
      <c r="G1572" s="67" t="s">
        <v>216</v>
      </c>
      <c r="H1572" s="69">
        <v>-0.55000000000000004</v>
      </c>
    </row>
    <row r="1573" spans="6:8">
      <c r="F1573" s="68" t="s">
        <v>127</v>
      </c>
      <c r="G1573" s="67" t="s">
        <v>216</v>
      </c>
      <c r="H1573" s="69">
        <v>-0.15</v>
      </c>
    </row>
    <row r="1574" spans="6:8">
      <c r="F1574" s="68" t="s">
        <v>128</v>
      </c>
      <c r="G1574" s="67" t="s">
        <v>216</v>
      </c>
      <c r="H1574" s="69">
        <v>-0.55000000000000004</v>
      </c>
    </row>
    <row r="1575" spans="6:8">
      <c r="F1575" s="68" t="s">
        <v>129</v>
      </c>
      <c r="G1575" s="67" t="s">
        <v>216</v>
      </c>
      <c r="H1575" s="69">
        <v>-0.25</v>
      </c>
    </row>
    <row r="1576" spans="6:8">
      <c r="F1576" s="68" t="s">
        <v>130</v>
      </c>
      <c r="G1576" s="67" t="s">
        <v>216</v>
      </c>
      <c r="H1576" s="69">
        <v>-0.95</v>
      </c>
    </row>
    <row r="1577" spans="6:8">
      <c r="F1577" s="68" t="s">
        <v>131</v>
      </c>
      <c r="G1577" s="67" t="s">
        <v>216</v>
      </c>
      <c r="H1577" s="69">
        <v>-0.35</v>
      </c>
    </row>
    <row r="1578" spans="6:8">
      <c r="F1578" s="68" t="s">
        <v>132</v>
      </c>
      <c r="G1578" s="67" t="s">
        <v>216</v>
      </c>
      <c r="H1578" s="69">
        <v>-0.95</v>
      </c>
    </row>
    <row r="1579" spans="6:8">
      <c r="F1579" s="68" t="s">
        <v>133</v>
      </c>
      <c r="G1579" s="67" t="s">
        <v>216</v>
      </c>
      <c r="H1579" s="69">
        <v>-0.35</v>
      </c>
    </row>
    <row r="1580" spans="6:8">
      <c r="F1580" s="68" t="s">
        <v>134</v>
      </c>
      <c r="G1580" s="67" t="s">
        <v>216</v>
      </c>
      <c r="H1580" s="69">
        <v>-1</v>
      </c>
    </row>
    <row r="1581" spans="6:8">
      <c r="F1581" s="68" t="s">
        <v>135</v>
      </c>
      <c r="G1581" s="67" t="s">
        <v>216</v>
      </c>
      <c r="H1581" s="69">
        <v>-0.35</v>
      </c>
    </row>
    <row r="1582" spans="6:8">
      <c r="F1582" s="68" t="s">
        <v>136</v>
      </c>
      <c r="G1582" s="67" t="s">
        <v>216</v>
      </c>
      <c r="H1582" s="69">
        <v>-0.95</v>
      </c>
    </row>
    <row r="1583" spans="6:8">
      <c r="F1583" s="68" t="s">
        <v>137</v>
      </c>
      <c r="G1583" s="67" t="s">
        <v>216</v>
      </c>
      <c r="H1583" s="69">
        <v>-0.5</v>
      </c>
    </row>
    <row r="1584" spans="6:8">
      <c r="F1584" s="68" t="s">
        <v>138</v>
      </c>
      <c r="G1584" s="67" t="s">
        <v>216</v>
      </c>
      <c r="H1584" s="69">
        <v>-0.7</v>
      </c>
    </row>
    <row r="1585" spans="6:8">
      <c r="F1585" s="68" t="s">
        <v>138</v>
      </c>
      <c r="G1585" s="67" t="s">
        <v>217</v>
      </c>
      <c r="H1585" s="69">
        <v>-0.7</v>
      </c>
    </row>
    <row r="1586" spans="6:8">
      <c r="F1586" s="68" t="s">
        <v>137</v>
      </c>
      <c r="G1586" s="67" t="s">
        <v>217</v>
      </c>
      <c r="H1586" s="69">
        <v>-0.5</v>
      </c>
    </row>
    <row r="1587" spans="6:8">
      <c r="F1587" s="68" t="s">
        <v>136</v>
      </c>
      <c r="G1587" s="67" t="s">
        <v>217</v>
      </c>
      <c r="H1587" s="69">
        <v>-0.95</v>
      </c>
    </row>
    <row r="1588" spans="6:8">
      <c r="F1588" s="68" t="s">
        <v>135</v>
      </c>
      <c r="G1588" s="67" t="s">
        <v>217</v>
      </c>
      <c r="H1588" s="69">
        <v>-0.35</v>
      </c>
    </row>
    <row r="1589" spans="6:8">
      <c r="F1589" s="68" t="s">
        <v>134</v>
      </c>
      <c r="G1589" s="67" t="s">
        <v>217</v>
      </c>
      <c r="H1589" s="69">
        <v>-1</v>
      </c>
    </row>
    <row r="1590" spans="6:8">
      <c r="F1590" s="68" t="s">
        <v>133</v>
      </c>
      <c r="G1590" s="67" t="s">
        <v>217</v>
      </c>
      <c r="H1590" s="69">
        <v>-0.35</v>
      </c>
    </row>
    <row r="1591" spans="6:8">
      <c r="F1591" s="68" t="s">
        <v>132</v>
      </c>
      <c r="G1591" s="67" t="s">
        <v>217</v>
      </c>
      <c r="H1591" s="69">
        <v>-0.95</v>
      </c>
    </row>
    <row r="1592" spans="6:8">
      <c r="F1592" s="68" t="s">
        <v>131</v>
      </c>
      <c r="G1592" s="67" t="s">
        <v>217</v>
      </c>
      <c r="H1592" s="69">
        <v>-0.35</v>
      </c>
    </row>
    <row r="1593" spans="6:8">
      <c r="F1593" s="68" t="s">
        <v>130</v>
      </c>
      <c r="G1593" s="67" t="s">
        <v>217</v>
      </c>
      <c r="H1593" s="69">
        <v>-0.95</v>
      </c>
    </row>
    <row r="1594" spans="6:8">
      <c r="F1594" s="68" t="s">
        <v>129</v>
      </c>
      <c r="G1594" s="67" t="s">
        <v>217</v>
      </c>
      <c r="H1594" s="69">
        <v>-0.25</v>
      </c>
    </row>
    <row r="1595" spans="6:8">
      <c r="F1595" s="68" t="s">
        <v>128</v>
      </c>
      <c r="G1595" s="67" t="s">
        <v>217</v>
      </c>
      <c r="H1595" s="69">
        <v>-0.55000000000000004</v>
      </c>
    </row>
    <row r="1596" spans="6:8">
      <c r="F1596" s="68" t="s">
        <v>127</v>
      </c>
      <c r="G1596" s="67" t="s">
        <v>217</v>
      </c>
      <c r="H1596" s="69">
        <v>-0.15</v>
      </c>
    </row>
    <row r="1597" spans="6:8">
      <c r="F1597" s="68" t="s">
        <v>126</v>
      </c>
      <c r="G1597" s="67" t="s">
        <v>217</v>
      </c>
      <c r="H1597" s="69">
        <v>-0.55000000000000004</v>
      </c>
    </row>
    <row r="1598" spans="6:8">
      <c r="F1598" s="68" t="s">
        <v>125</v>
      </c>
      <c r="G1598" s="67" t="s">
        <v>217</v>
      </c>
      <c r="H1598" s="69">
        <v>-1.1000000000000001</v>
      </c>
    </row>
    <row r="1599" spans="6:8">
      <c r="F1599" s="68" t="s">
        <v>124</v>
      </c>
      <c r="G1599" s="67" t="s">
        <v>217</v>
      </c>
      <c r="H1599" s="69">
        <v>-0.7</v>
      </c>
    </row>
    <row r="1600" spans="6:8">
      <c r="F1600" s="68" t="s">
        <v>123</v>
      </c>
      <c r="G1600" s="67" t="s">
        <v>217</v>
      </c>
      <c r="H1600" s="69">
        <v>-0.6</v>
      </c>
    </row>
    <row r="1601" spans="6:8">
      <c r="F1601" s="68" t="s">
        <v>122</v>
      </c>
      <c r="G1601" s="67" t="s">
        <v>217</v>
      </c>
      <c r="H1601" s="69">
        <v>-1.05</v>
      </c>
    </row>
    <row r="1602" spans="6:8">
      <c r="F1602" s="68" t="s">
        <v>121</v>
      </c>
      <c r="G1602" s="67" t="s">
        <v>217</v>
      </c>
      <c r="H1602" s="69">
        <v>-0.75</v>
      </c>
    </row>
    <row r="1603" spans="6:8">
      <c r="F1603" s="68" t="s">
        <v>120</v>
      </c>
      <c r="G1603" s="67" t="s">
        <v>217</v>
      </c>
      <c r="H1603" s="69">
        <v>-0.5</v>
      </c>
    </row>
    <row r="1604" spans="6:8">
      <c r="F1604" s="68" t="s">
        <v>119</v>
      </c>
      <c r="G1604" s="67" t="s">
        <v>217</v>
      </c>
      <c r="H1604" s="69">
        <v>-1</v>
      </c>
    </row>
    <row r="1605" spans="6:8">
      <c r="F1605" s="68" t="s">
        <v>119</v>
      </c>
      <c r="G1605" s="67" t="s">
        <v>218</v>
      </c>
      <c r="H1605" s="69">
        <v>-1</v>
      </c>
    </row>
    <row r="1606" spans="6:8">
      <c r="F1606" s="68" t="s">
        <v>120</v>
      </c>
      <c r="G1606" s="67" t="s">
        <v>218</v>
      </c>
      <c r="H1606" s="69">
        <v>-0.5</v>
      </c>
    </row>
    <row r="1607" spans="6:8">
      <c r="F1607" s="68" t="s">
        <v>121</v>
      </c>
      <c r="G1607" s="67" t="s">
        <v>218</v>
      </c>
      <c r="H1607" s="69">
        <v>-0.75</v>
      </c>
    </row>
    <row r="1608" spans="6:8">
      <c r="F1608" s="68" t="s">
        <v>122</v>
      </c>
      <c r="G1608" s="67" t="s">
        <v>218</v>
      </c>
      <c r="H1608" s="69">
        <v>-1.05</v>
      </c>
    </row>
    <row r="1609" spans="6:8">
      <c r="F1609" s="68" t="s">
        <v>123</v>
      </c>
      <c r="G1609" s="67" t="s">
        <v>218</v>
      </c>
      <c r="H1609" s="69">
        <v>-0.6</v>
      </c>
    </row>
    <row r="1610" spans="6:8">
      <c r="F1610" s="68" t="s">
        <v>124</v>
      </c>
      <c r="G1610" s="67" t="s">
        <v>218</v>
      </c>
      <c r="H1610" s="69">
        <v>-0.7</v>
      </c>
    </row>
    <row r="1611" spans="6:8">
      <c r="F1611" s="68" t="s">
        <v>125</v>
      </c>
      <c r="G1611" s="67" t="s">
        <v>218</v>
      </c>
      <c r="H1611" s="69">
        <v>-1.1000000000000001</v>
      </c>
    </row>
    <row r="1612" spans="6:8">
      <c r="F1612" s="68" t="s">
        <v>126</v>
      </c>
      <c r="G1612" s="67" t="s">
        <v>218</v>
      </c>
      <c r="H1612" s="69">
        <v>-0.55000000000000004</v>
      </c>
    </row>
    <row r="1613" spans="6:8">
      <c r="F1613" s="68" t="s">
        <v>127</v>
      </c>
      <c r="G1613" s="67" t="s">
        <v>218</v>
      </c>
      <c r="H1613" s="69">
        <v>-0.15</v>
      </c>
    </row>
    <row r="1614" spans="6:8">
      <c r="F1614" s="68" t="s">
        <v>128</v>
      </c>
      <c r="G1614" s="67" t="s">
        <v>218</v>
      </c>
      <c r="H1614" s="69">
        <v>-0.55000000000000004</v>
      </c>
    </row>
    <row r="1615" spans="6:8">
      <c r="F1615" s="68" t="s">
        <v>129</v>
      </c>
      <c r="G1615" s="67" t="s">
        <v>218</v>
      </c>
      <c r="H1615" s="69">
        <v>-0.25</v>
      </c>
    </row>
    <row r="1616" spans="6:8">
      <c r="F1616" s="68" t="s">
        <v>130</v>
      </c>
      <c r="G1616" s="67" t="s">
        <v>218</v>
      </c>
      <c r="H1616" s="69">
        <v>-0.95</v>
      </c>
    </row>
    <row r="1617" spans="6:8">
      <c r="F1617" s="68" t="s">
        <v>131</v>
      </c>
      <c r="G1617" s="67" t="s">
        <v>218</v>
      </c>
      <c r="H1617" s="69">
        <v>-0.35</v>
      </c>
    </row>
    <row r="1618" spans="6:8">
      <c r="F1618" s="68" t="s">
        <v>132</v>
      </c>
      <c r="G1618" s="67" t="s">
        <v>218</v>
      </c>
      <c r="H1618" s="69">
        <v>-0.95</v>
      </c>
    </row>
    <row r="1619" spans="6:8">
      <c r="F1619" s="68" t="s">
        <v>133</v>
      </c>
      <c r="G1619" s="67" t="s">
        <v>218</v>
      </c>
      <c r="H1619" s="69">
        <v>-0.35</v>
      </c>
    </row>
    <row r="1620" spans="6:8">
      <c r="F1620" s="68" t="s">
        <v>134</v>
      </c>
      <c r="G1620" s="67" t="s">
        <v>218</v>
      </c>
      <c r="H1620" s="69">
        <v>-1</v>
      </c>
    </row>
    <row r="1621" spans="6:8">
      <c r="F1621" s="68" t="s">
        <v>135</v>
      </c>
      <c r="G1621" s="67" t="s">
        <v>218</v>
      </c>
      <c r="H1621" s="69">
        <v>-0.35</v>
      </c>
    </row>
    <row r="1622" spans="6:8">
      <c r="F1622" s="68" t="s">
        <v>136</v>
      </c>
      <c r="G1622" s="67" t="s">
        <v>218</v>
      </c>
      <c r="H1622" s="69">
        <v>-0.95</v>
      </c>
    </row>
    <row r="1623" spans="6:8">
      <c r="F1623" s="68" t="s">
        <v>137</v>
      </c>
      <c r="G1623" s="67" t="s">
        <v>218</v>
      </c>
      <c r="H1623" s="69">
        <v>-0.5</v>
      </c>
    </row>
    <row r="1624" spans="6:8">
      <c r="F1624" s="68" t="s">
        <v>138</v>
      </c>
      <c r="G1624" s="67" t="s">
        <v>218</v>
      </c>
      <c r="H1624" s="69">
        <v>-0.7</v>
      </c>
    </row>
    <row r="1625" spans="6:8">
      <c r="F1625" s="68" t="s">
        <v>138</v>
      </c>
      <c r="G1625" s="67" t="s">
        <v>219</v>
      </c>
      <c r="H1625" s="69">
        <v>-0.7</v>
      </c>
    </row>
    <row r="1626" spans="6:8">
      <c r="F1626" s="68" t="s">
        <v>137</v>
      </c>
      <c r="G1626" s="67" t="s">
        <v>219</v>
      </c>
      <c r="H1626" s="69">
        <v>-0.5</v>
      </c>
    </row>
    <row r="1627" spans="6:8">
      <c r="F1627" s="68" t="s">
        <v>136</v>
      </c>
      <c r="G1627" s="67" t="s">
        <v>219</v>
      </c>
      <c r="H1627" s="69">
        <v>-0.95</v>
      </c>
    </row>
    <row r="1628" spans="6:8">
      <c r="F1628" s="68" t="s">
        <v>135</v>
      </c>
      <c r="G1628" s="67" t="s">
        <v>219</v>
      </c>
      <c r="H1628" s="69">
        <v>-0.35</v>
      </c>
    </row>
    <row r="1629" spans="6:8">
      <c r="F1629" s="68" t="s">
        <v>134</v>
      </c>
      <c r="G1629" s="67" t="s">
        <v>219</v>
      </c>
      <c r="H1629" s="69">
        <v>-1</v>
      </c>
    </row>
    <row r="1630" spans="6:8">
      <c r="F1630" s="68" t="s">
        <v>133</v>
      </c>
      <c r="G1630" s="67" t="s">
        <v>219</v>
      </c>
      <c r="H1630" s="69">
        <v>-0.35</v>
      </c>
    </row>
    <row r="1631" spans="6:8">
      <c r="F1631" s="68" t="s">
        <v>132</v>
      </c>
      <c r="G1631" s="67" t="s">
        <v>219</v>
      </c>
      <c r="H1631" s="69">
        <v>-0.95</v>
      </c>
    </row>
    <row r="1632" spans="6:8">
      <c r="F1632" s="68" t="s">
        <v>131</v>
      </c>
      <c r="G1632" s="67" t="s">
        <v>219</v>
      </c>
      <c r="H1632" s="69">
        <v>-0.35</v>
      </c>
    </row>
    <row r="1633" spans="6:8">
      <c r="F1633" s="68" t="s">
        <v>130</v>
      </c>
      <c r="G1633" s="67" t="s">
        <v>219</v>
      </c>
      <c r="H1633" s="69">
        <v>-0.95</v>
      </c>
    </row>
    <row r="1634" spans="6:8">
      <c r="F1634" s="68" t="s">
        <v>129</v>
      </c>
      <c r="G1634" s="67" t="s">
        <v>219</v>
      </c>
      <c r="H1634" s="69">
        <v>-0.25</v>
      </c>
    </row>
    <row r="1635" spans="6:8">
      <c r="F1635" s="68" t="s">
        <v>128</v>
      </c>
      <c r="G1635" s="67" t="s">
        <v>219</v>
      </c>
      <c r="H1635" s="69">
        <v>-0.55000000000000004</v>
      </c>
    </row>
    <row r="1636" spans="6:8">
      <c r="F1636" s="68" t="s">
        <v>127</v>
      </c>
      <c r="G1636" s="67" t="s">
        <v>219</v>
      </c>
      <c r="H1636" s="69">
        <v>-0.15</v>
      </c>
    </row>
    <row r="1637" spans="6:8">
      <c r="F1637" s="68" t="s">
        <v>126</v>
      </c>
      <c r="G1637" s="67" t="s">
        <v>219</v>
      </c>
      <c r="H1637" s="69">
        <v>-0.55000000000000004</v>
      </c>
    </row>
    <row r="1638" spans="6:8">
      <c r="F1638" s="68" t="s">
        <v>125</v>
      </c>
      <c r="G1638" s="67" t="s">
        <v>219</v>
      </c>
      <c r="H1638" s="69">
        <v>-1.1000000000000001</v>
      </c>
    </row>
    <row r="1639" spans="6:8">
      <c r="F1639" s="68" t="s">
        <v>124</v>
      </c>
      <c r="G1639" s="67" t="s">
        <v>219</v>
      </c>
      <c r="H1639" s="69">
        <v>-0.7</v>
      </c>
    </row>
    <row r="1640" spans="6:8">
      <c r="F1640" s="68" t="s">
        <v>123</v>
      </c>
      <c r="G1640" s="67" t="s">
        <v>219</v>
      </c>
      <c r="H1640" s="69">
        <v>-0.6</v>
      </c>
    </row>
    <row r="1641" spans="6:8">
      <c r="F1641" s="68" t="s">
        <v>122</v>
      </c>
      <c r="G1641" s="67" t="s">
        <v>219</v>
      </c>
      <c r="H1641" s="69">
        <v>-1.05</v>
      </c>
    </row>
    <row r="1642" spans="6:8">
      <c r="F1642" s="68" t="s">
        <v>121</v>
      </c>
      <c r="G1642" s="67" t="s">
        <v>219</v>
      </c>
      <c r="H1642" s="69">
        <v>-0.75</v>
      </c>
    </row>
    <row r="1643" spans="6:8">
      <c r="F1643" s="68" t="s">
        <v>120</v>
      </c>
      <c r="G1643" s="67" t="s">
        <v>219</v>
      </c>
      <c r="H1643" s="69">
        <v>-0.5</v>
      </c>
    </row>
    <row r="1644" spans="6:8">
      <c r="F1644" s="68" t="s">
        <v>119</v>
      </c>
      <c r="G1644" s="67" t="s">
        <v>219</v>
      </c>
      <c r="H1644" s="69">
        <v>-1</v>
      </c>
    </row>
    <row r="1645" spans="6:8">
      <c r="F1645" s="68" t="s">
        <v>119</v>
      </c>
      <c r="G1645" s="67" t="s">
        <v>220</v>
      </c>
      <c r="H1645" s="69">
        <v>-1</v>
      </c>
    </row>
    <row r="1646" spans="6:8">
      <c r="F1646" s="68" t="s">
        <v>120</v>
      </c>
      <c r="G1646" s="67" t="s">
        <v>220</v>
      </c>
      <c r="H1646" s="69">
        <v>-0.5</v>
      </c>
    </row>
    <row r="1647" spans="6:8">
      <c r="F1647" s="68" t="s">
        <v>121</v>
      </c>
      <c r="G1647" s="67" t="s">
        <v>220</v>
      </c>
      <c r="H1647" s="69">
        <v>-0.75</v>
      </c>
    </row>
    <row r="1648" spans="6:8">
      <c r="F1648" s="68" t="s">
        <v>122</v>
      </c>
      <c r="G1648" s="67" t="s">
        <v>220</v>
      </c>
      <c r="H1648" s="69">
        <v>-1.05</v>
      </c>
    </row>
    <row r="1649" spans="6:8">
      <c r="F1649" s="68" t="s">
        <v>123</v>
      </c>
      <c r="G1649" s="67" t="s">
        <v>220</v>
      </c>
      <c r="H1649" s="69">
        <v>-0.6</v>
      </c>
    </row>
    <row r="1650" spans="6:8">
      <c r="F1650" s="68" t="s">
        <v>124</v>
      </c>
      <c r="G1650" s="67" t="s">
        <v>220</v>
      </c>
      <c r="H1650" s="69">
        <v>-0.7</v>
      </c>
    </row>
    <row r="1651" spans="6:8">
      <c r="F1651" s="68" t="s">
        <v>125</v>
      </c>
      <c r="G1651" s="67" t="s">
        <v>220</v>
      </c>
      <c r="H1651" s="69">
        <v>-1.1000000000000001</v>
      </c>
    </row>
    <row r="1652" spans="6:8">
      <c r="F1652" s="68" t="s">
        <v>126</v>
      </c>
      <c r="G1652" s="67" t="s">
        <v>220</v>
      </c>
      <c r="H1652" s="69">
        <v>-0.55000000000000004</v>
      </c>
    </row>
    <row r="1653" spans="6:8">
      <c r="F1653" s="68" t="s">
        <v>127</v>
      </c>
      <c r="G1653" s="67" t="s">
        <v>220</v>
      </c>
      <c r="H1653" s="69">
        <v>-0.15</v>
      </c>
    </row>
    <row r="1654" spans="6:8">
      <c r="F1654" s="68" t="s">
        <v>128</v>
      </c>
      <c r="G1654" s="67" t="s">
        <v>220</v>
      </c>
      <c r="H1654" s="69">
        <v>-0.55000000000000004</v>
      </c>
    </row>
    <row r="1655" spans="6:8">
      <c r="F1655" s="68" t="s">
        <v>129</v>
      </c>
      <c r="G1655" s="67" t="s">
        <v>220</v>
      </c>
      <c r="H1655" s="69">
        <v>-0.25</v>
      </c>
    </row>
    <row r="1656" spans="6:8">
      <c r="F1656" s="68" t="s">
        <v>130</v>
      </c>
      <c r="G1656" s="67" t="s">
        <v>220</v>
      </c>
      <c r="H1656" s="69">
        <v>-0.95</v>
      </c>
    </row>
    <row r="1657" spans="6:8">
      <c r="F1657" s="68" t="s">
        <v>131</v>
      </c>
      <c r="G1657" s="67" t="s">
        <v>220</v>
      </c>
      <c r="H1657" s="69">
        <v>-0.35</v>
      </c>
    </row>
    <row r="1658" spans="6:8">
      <c r="F1658" s="68" t="s">
        <v>132</v>
      </c>
      <c r="G1658" s="67" t="s">
        <v>220</v>
      </c>
      <c r="H1658" s="69">
        <v>-0.95</v>
      </c>
    </row>
    <row r="1659" spans="6:8">
      <c r="F1659" s="68" t="s">
        <v>133</v>
      </c>
      <c r="G1659" s="67" t="s">
        <v>220</v>
      </c>
      <c r="H1659" s="69">
        <v>-0.35</v>
      </c>
    </row>
    <row r="1660" spans="6:8">
      <c r="F1660" s="68" t="s">
        <v>134</v>
      </c>
      <c r="G1660" s="67" t="s">
        <v>220</v>
      </c>
      <c r="H1660" s="69">
        <v>-1</v>
      </c>
    </row>
    <row r="1661" spans="6:8">
      <c r="F1661" s="68" t="s">
        <v>135</v>
      </c>
      <c r="G1661" s="67" t="s">
        <v>220</v>
      </c>
      <c r="H1661" s="69">
        <v>-0.35</v>
      </c>
    </row>
    <row r="1662" spans="6:8">
      <c r="F1662" s="68" t="s">
        <v>136</v>
      </c>
      <c r="G1662" s="67" t="s">
        <v>220</v>
      </c>
      <c r="H1662" s="69">
        <v>-0.95</v>
      </c>
    </row>
    <row r="1663" spans="6:8">
      <c r="F1663" s="68" t="s">
        <v>137</v>
      </c>
      <c r="G1663" s="67" t="s">
        <v>220</v>
      </c>
      <c r="H1663" s="69">
        <v>-0.5</v>
      </c>
    </row>
    <row r="1664" spans="6:8">
      <c r="F1664" s="68" t="s">
        <v>138</v>
      </c>
      <c r="G1664" s="67" t="s">
        <v>220</v>
      </c>
      <c r="H1664" s="69">
        <v>-0.7</v>
      </c>
    </row>
    <row r="1665" spans="6:8">
      <c r="F1665" s="68" t="s">
        <v>138</v>
      </c>
      <c r="G1665" s="67" t="s">
        <v>221</v>
      </c>
      <c r="H1665" s="69">
        <v>-0.7</v>
      </c>
    </row>
    <row r="1666" spans="6:8">
      <c r="F1666" s="68" t="s">
        <v>137</v>
      </c>
      <c r="G1666" s="67" t="s">
        <v>221</v>
      </c>
      <c r="H1666" s="69">
        <v>-0.5</v>
      </c>
    </row>
    <row r="1667" spans="6:8">
      <c r="F1667" s="68" t="s">
        <v>136</v>
      </c>
      <c r="G1667" s="67" t="s">
        <v>221</v>
      </c>
      <c r="H1667" s="69">
        <v>-0.95</v>
      </c>
    </row>
    <row r="1668" spans="6:8">
      <c r="F1668" s="68" t="s">
        <v>135</v>
      </c>
      <c r="G1668" s="67" t="s">
        <v>221</v>
      </c>
      <c r="H1668" s="69">
        <v>-0.35</v>
      </c>
    </row>
    <row r="1669" spans="6:8">
      <c r="F1669" s="68" t="s">
        <v>134</v>
      </c>
      <c r="G1669" s="67" t="s">
        <v>221</v>
      </c>
      <c r="H1669" s="69">
        <v>-1</v>
      </c>
    </row>
    <row r="1670" spans="6:8">
      <c r="F1670" s="68" t="s">
        <v>133</v>
      </c>
      <c r="G1670" s="67" t="s">
        <v>221</v>
      </c>
      <c r="H1670" s="69">
        <v>-0.35</v>
      </c>
    </row>
    <row r="1671" spans="6:8">
      <c r="F1671" s="68" t="s">
        <v>132</v>
      </c>
      <c r="G1671" s="67" t="s">
        <v>221</v>
      </c>
      <c r="H1671" s="69">
        <v>-0.95</v>
      </c>
    </row>
    <row r="1672" spans="6:8">
      <c r="F1672" s="68" t="s">
        <v>131</v>
      </c>
      <c r="G1672" s="67" t="s">
        <v>221</v>
      </c>
      <c r="H1672" s="69">
        <v>-0.35</v>
      </c>
    </row>
    <row r="1673" spans="6:8">
      <c r="F1673" s="68" t="s">
        <v>130</v>
      </c>
      <c r="G1673" s="67" t="s">
        <v>221</v>
      </c>
      <c r="H1673" s="69">
        <v>-0.95</v>
      </c>
    </row>
    <row r="1674" spans="6:8">
      <c r="F1674" s="68" t="s">
        <v>129</v>
      </c>
      <c r="G1674" s="67" t="s">
        <v>221</v>
      </c>
      <c r="H1674" s="69">
        <v>-0.25</v>
      </c>
    </row>
    <row r="1675" spans="6:8">
      <c r="F1675" s="68" t="s">
        <v>128</v>
      </c>
      <c r="G1675" s="67" t="s">
        <v>221</v>
      </c>
      <c r="H1675" s="69">
        <v>-0.55000000000000004</v>
      </c>
    </row>
    <row r="1676" spans="6:8">
      <c r="F1676" s="68" t="s">
        <v>127</v>
      </c>
      <c r="G1676" s="67" t="s">
        <v>221</v>
      </c>
      <c r="H1676" s="69">
        <v>-0.15</v>
      </c>
    </row>
    <row r="1677" spans="6:8">
      <c r="F1677" s="68" t="s">
        <v>126</v>
      </c>
      <c r="G1677" s="67" t="s">
        <v>221</v>
      </c>
      <c r="H1677" s="69">
        <v>-0.55000000000000004</v>
      </c>
    </row>
    <row r="1678" spans="6:8">
      <c r="F1678" s="68" t="s">
        <v>125</v>
      </c>
      <c r="G1678" s="67" t="s">
        <v>221</v>
      </c>
      <c r="H1678" s="69">
        <v>-1.1000000000000001</v>
      </c>
    </row>
    <row r="1679" spans="6:8">
      <c r="F1679" s="68" t="s">
        <v>124</v>
      </c>
      <c r="G1679" s="67" t="s">
        <v>221</v>
      </c>
      <c r="H1679" s="69">
        <v>-0.7</v>
      </c>
    </row>
    <row r="1680" spans="6:8">
      <c r="F1680" s="68" t="s">
        <v>123</v>
      </c>
      <c r="G1680" s="67" t="s">
        <v>221</v>
      </c>
      <c r="H1680" s="69">
        <v>-0.6</v>
      </c>
    </row>
    <row r="1681" spans="6:8">
      <c r="F1681" s="68" t="s">
        <v>122</v>
      </c>
      <c r="G1681" s="67" t="s">
        <v>221</v>
      </c>
      <c r="H1681" s="69">
        <v>-1.05</v>
      </c>
    </row>
    <row r="1682" spans="6:8">
      <c r="F1682" s="68" t="s">
        <v>121</v>
      </c>
      <c r="G1682" s="67" t="s">
        <v>221</v>
      </c>
      <c r="H1682" s="69">
        <v>-0.75</v>
      </c>
    </row>
    <row r="1683" spans="6:8">
      <c r="F1683" s="68" t="s">
        <v>120</v>
      </c>
      <c r="G1683" s="67" t="s">
        <v>221</v>
      </c>
      <c r="H1683" s="69">
        <v>-0.5</v>
      </c>
    </row>
    <row r="1684" spans="6:8">
      <c r="F1684" s="68" t="s">
        <v>119</v>
      </c>
      <c r="G1684" s="67" t="s">
        <v>221</v>
      </c>
      <c r="H1684" s="69">
        <v>-1</v>
      </c>
    </row>
    <row r="1685" spans="6:8">
      <c r="F1685" s="68" t="s">
        <v>119</v>
      </c>
      <c r="G1685" s="67" t="s">
        <v>222</v>
      </c>
      <c r="H1685" s="69">
        <v>-1</v>
      </c>
    </row>
    <row r="1686" spans="6:8">
      <c r="F1686" s="68" t="s">
        <v>120</v>
      </c>
      <c r="G1686" s="67" t="s">
        <v>222</v>
      </c>
      <c r="H1686" s="69">
        <v>-0.5</v>
      </c>
    </row>
    <row r="1687" spans="6:8">
      <c r="F1687" s="68" t="s">
        <v>121</v>
      </c>
      <c r="G1687" s="67" t="s">
        <v>222</v>
      </c>
      <c r="H1687" s="69">
        <v>-0.75</v>
      </c>
    </row>
    <row r="1688" spans="6:8">
      <c r="F1688" s="68" t="s">
        <v>122</v>
      </c>
      <c r="G1688" s="67" t="s">
        <v>222</v>
      </c>
      <c r="H1688" s="69">
        <v>-1.05</v>
      </c>
    </row>
    <row r="1689" spans="6:8">
      <c r="F1689" s="68" t="s">
        <v>123</v>
      </c>
      <c r="G1689" s="67" t="s">
        <v>222</v>
      </c>
      <c r="H1689" s="69">
        <v>-0.6</v>
      </c>
    </row>
    <row r="1690" spans="6:8">
      <c r="F1690" s="68" t="s">
        <v>124</v>
      </c>
      <c r="G1690" s="67" t="s">
        <v>222</v>
      </c>
      <c r="H1690" s="69">
        <v>-0.7</v>
      </c>
    </row>
    <row r="1691" spans="6:8">
      <c r="F1691" s="68" t="s">
        <v>125</v>
      </c>
      <c r="G1691" s="67" t="s">
        <v>222</v>
      </c>
      <c r="H1691" s="69">
        <v>-1.1000000000000001</v>
      </c>
    </row>
    <row r="1692" spans="6:8">
      <c r="F1692" s="68" t="s">
        <v>126</v>
      </c>
      <c r="G1692" s="67" t="s">
        <v>222</v>
      </c>
      <c r="H1692" s="69">
        <v>-0.55000000000000004</v>
      </c>
    </row>
    <row r="1693" spans="6:8">
      <c r="F1693" s="68" t="s">
        <v>127</v>
      </c>
      <c r="G1693" s="67" t="s">
        <v>222</v>
      </c>
      <c r="H1693" s="69">
        <v>-0.15</v>
      </c>
    </row>
    <row r="1694" spans="6:8">
      <c r="F1694" s="68" t="s">
        <v>128</v>
      </c>
      <c r="G1694" s="67" t="s">
        <v>222</v>
      </c>
      <c r="H1694" s="69">
        <v>-0.55000000000000004</v>
      </c>
    </row>
    <row r="1695" spans="6:8">
      <c r="F1695" s="68" t="s">
        <v>129</v>
      </c>
      <c r="G1695" s="67" t="s">
        <v>222</v>
      </c>
      <c r="H1695" s="69">
        <v>-0.25</v>
      </c>
    </row>
    <row r="1696" spans="6:8">
      <c r="F1696" s="68" t="s">
        <v>130</v>
      </c>
      <c r="G1696" s="67" t="s">
        <v>222</v>
      </c>
      <c r="H1696" s="69">
        <v>-0.95</v>
      </c>
    </row>
    <row r="1697" spans="6:8">
      <c r="F1697" s="68" t="s">
        <v>131</v>
      </c>
      <c r="G1697" s="67" t="s">
        <v>222</v>
      </c>
      <c r="H1697" s="69">
        <v>-0.35</v>
      </c>
    </row>
    <row r="1698" spans="6:8">
      <c r="F1698" s="68" t="s">
        <v>132</v>
      </c>
      <c r="G1698" s="67" t="s">
        <v>222</v>
      </c>
      <c r="H1698" s="69">
        <v>-0.95</v>
      </c>
    </row>
    <row r="1699" spans="6:8">
      <c r="F1699" s="68" t="s">
        <v>133</v>
      </c>
      <c r="G1699" s="67" t="s">
        <v>222</v>
      </c>
      <c r="H1699" s="69">
        <v>-0.35</v>
      </c>
    </row>
    <row r="1700" spans="6:8">
      <c r="F1700" s="68" t="s">
        <v>134</v>
      </c>
      <c r="G1700" s="67" t="s">
        <v>222</v>
      </c>
      <c r="H1700" s="69">
        <v>-1</v>
      </c>
    </row>
    <row r="1701" spans="6:8">
      <c r="F1701" s="68" t="s">
        <v>135</v>
      </c>
      <c r="G1701" s="67" t="s">
        <v>222</v>
      </c>
      <c r="H1701" s="69">
        <v>-0.35</v>
      </c>
    </row>
    <row r="1702" spans="6:8">
      <c r="F1702" s="68" t="s">
        <v>136</v>
      </c>
      <c r="G1702" s="67" t="s">
        <v>222</v>
      </c>
      <c r="H1702" s="69">
        <v>-0.95</v>
      </c>
    </row>
    <row r="1703" spans="6:8">
      <c r="F1703" s="68" t="s">
        <v>137</v>
      </c>
      <c r="G1703" s="67" t="s">
        <v>222</v>
      </c>
      <c r="H1703" s="69">
        <v>-0.5</v>
      </c>
    </row>
    <row r="1704" spans="6:8">
      <c r="F1704" s="68" t="s">
        <v>138</v>
      </c>
      <c r="G1704" s="67" t="s">
        <v>222</v>
      </c>
      <c r="H1704" s="69">
        <v>-0.7</v>
      </c>
    </row>
    <row r="1705" spans="6:8">
      <c r="F1705" s="68" t="s">
        <v>138</v>
      </c>
      <c r="G1705" s="67" t="s">
        <v>223</v>
      </c>
      <c r="H1705" s="69">
        <v>-0.7</v>
      </c>
    </row>
    <row r="1706" spans="6:8">
      <c r="F1706" s="68" t="s">
        <v>137</v>
      </c>
      <c r="G1706" s="67" t="s">
        <v>223</v>
      </c>
      <c r="H1706" s="69">
        <v>-0.5</v>
      </c>
    </row>
    <row r="1707" spans="6:8">
      <c r="F1707" s="68" t="s">
        <v>136</v>
      </c>
      <c r="G1707" s="67" t="s">
        <v>223</v>
      </c>
      <c r="H1707" s="69">
        <v>-0.95</v>
      </c>
    </row>
    <row r="1708" spans="6:8">
      <c r="F1708" s="68" t="s">
        <v>135</v>
      </c>
      <c r="G1708" s="67" t="s">
        <v>223</v>
      </c>
      <c r="H1708" s="69">
        <v>-0.35</v>
      </c>
    </row>
    <row r="1709" spans="6:8">
      <c r="F1709" s="68" t="s">
        <v>134</v>
      </c>
      <c r="G1709" s="67" t="s">
        <v>223</v>
      </c>
      <c r="H1709" s="69">
        <v>-1</v>
      </c>
    </row>
    <row r="1710" spans="6:8">
      <c r="F1710" s="68" t="s">
        <v>133</v>
      </c>
      <c r="G1710" s="67" t="s">
        <v>223</v>
      </c>
      <c r="H1710" s="69">
        <v>-0.35</v>
      </c>
    </row>
    <row r="1711" spans="6:8">
      <c r="F1711" s="68" t="s">
        <v>132</v>
      </c>
      <c r="G1711" s="67" t="s">
        <v>223</v>
      </c>
      <c r="H1711" s="69">
        <v>-0.95</v>
      </c>
    </row>
    <row r="1712" spans="6:8">
      <c r="F1712" s="68" t="s">
        <v>131</v>
      </c>
      <c r="G1712" s="67" t="s">
        <v>223</v>
      </c>
      <c r="H1712" s="69">
        <v>-0.35</v>
      </c>
    </row>
    <row r="1713" spans="6:8">
      <c r="F1713" s="68" t="s">
        <v>130</v>
      </c>
      <c r="G1713" s="67" t="s">
        <v>223</v>
      </c>
      <c r="H1713" s="69">
        <v>-0.95</v>
      </c>
    </row>
    <row r="1714" spans="6:8">
      <c r="F1714" s="68" t="s">
        <v>129</v>
      </c>
      <c r="G1714" s="67" t="s">
        <v>223</v>
      </c>
      <c r="H1714" s="69">
        <v>-0.25</v>
      </c>
    </row>
    <row r="1715" spans="6:8">
      <c r="F1715" s="68" t="s">
        <v>128</v>
      </c>
      <c r="G1715" s="67" t="s">
        <v>223</v>
      </c>
      <c r="H1715" s="69">
        <v>-0.55000000000000004</v>
      </c>
    </row>
    <row r="1716" spans="6:8">
      <c r="F1716" s="68" t="s">
        <v>127</v>
      </c>
      <c r="G1716" s="67" t="s">
        <v>223</v>
      </c>
      <c r="H1716" s="69">
        <v>-0.15</v>
      </c>
    </row>
    <row r="1717" spans="6:8">
      <c r="F1717" s="68" t="s">
        <v>126</v>
      </c>
      <c r="G1717" s="67" t="s">
        <v>223</v>
      </c>
      <c r="H1717" s="69">
        <v>-0.55000000000000004</v>
      </c>
    </row>
    <row r="1718" spans="6:8">
      <c r="F1718" s="68" t="s">
        <v>125</v>
      </c>
      <c r="G1718" s="67" t="s">
        <v>223</v>
      </c>
      <c r="H1718" s="69">
        <v>-1.1000000000000001</v>
      </c>
    </row>
    <row r="1719" spans="6:8">
      <c r="F1719" s="68" t="s">
        <v>124</v>
      </c>
      <c r="G1719" s="67" t="s">
        <v>223</v>
      </c>
      <c r="H1719" s="69">
        <v>-0.7</v>
      </c>
    </row>
    <row r="1720" spans="6:8">
      <c r="F1720" s="68" t="s">
        <v>123</v>
      </c>
      <c r="G1720" s="67" t="s">
        <v>223</v>
      </c>
      <c r="H1720" s="69">
        <v>-0.6</v>
      </c>
    </row>
    <row r="1721" spans="6:8">
      <c r="F1721" s="68" t="s">
        <v>122</v>
      </c>
      <c r="G1721" s="67" t="s">
        <v>223</v>
      </c>
      <c r="H1721" s="69">
        <v>-1.05</v>
      </c>
    </row>
    <row r="1722" spans="6:8">
      <c r="F1722" s="68" t="s">
        <v>121</v>
      </c>
      <c r="G1722" s="67" t="s">
        <v>223</v>
      </c>
      <c r="H1722" s="69">
        <v>-0.75</v>
      </c>
    </row>
    <row r="1723" spans="6:8">
      <c r="F1723" s="68" t="s">
        <v>120</v>
      </c>
      <c r="G1723" s="67" t="s">
        <v>223</v>
      </c>
      <c r="H1723" s="69">
        <v>-0.5</v>
      </c>
    </row>
    <row r="1724" spans="6:8">
      <c r="F1724" s="68" t="s">
        <v>119</v>
      </c>
      <c r="G1724" s="67" t="s">
        <v>223</v>
      </c>
      <c r="H1724" s="69">
        <v>-1</v>
      </c>
    </row>
    <row r="1725" spans="6:8">
      <c r="F1725" s="68" t="s">
        <v>119</v>
      </c>
      <c r="G1725" s="67" t="s">
        <v>224</v>
      </c>
      <c r="H1725" s="69">
        <v>-1</v>
      </c>
    </row>
    <row r="1726" spans="6:8">
      <c r="F1726" s="68" t="s">
        <v>120</v>
      </c>
      <c r="G1726" s="67" t="s">
        <v>224</v>
      </c>
      <c r="H1726" s="69">
        <v>-0.5</v>
      </c>
    </row>
    <row r="1727" spans="6:8">
      <c r="F1727" s="68" t="s">
        <v>121</v>
      </c>
      <c r="G1727" s="67" t="s">
        <v>224</v>
      </c>
      <c r="H1727" s="69">
        <v>-0.75</v>
      </c>
    </row>
    <row r="1728" spans="6:8">
      <c r="F1728" s="68" t="s">
        <v>122</v>
      </c>
      <c r="G1728" s="67" t="s">
        <v>224</v>
      </c>
      <c r="H1728" s="69">
        <v>-1.05</v>
      </c>
    </row>
    <row r="1729" spans="6:8">
      <c r="F1729" s="68" t="s">
        <v>123</v>
      </c>
      <c r="G1729" s="67" t="s">
        <v>224</v>
      </c>
      <c r="H1729" s="69">
        <v>-0.6</v>
      </c>
    </row>
    <row r="1730" spans="6:8">
      <c r="F1730" s="68" t="s">
        <v>124</v>
      </c>
      <c r="G1730" s="67" t="s">
        <v>224</v>
      </c>
      <c r="H1730" s="69">
        <v>-0.7</v>
      </c>
    </row>
    <row r="1731" spans="6:8">
      <c r="F1731" s="68" t="s">
        <v>125</v>
      </c>
      <c r="G1731" s="67" t="s">
        <v>224</v>
      </c>
      <c r="H1731" s="69">
        <v>-1.1000000000000001</v>
      </c>
    </row>
    <row r="1732" spans="6:8">
      <c r="F1732" s="68" t="s">
        <v>126</v>
      </c>
      <c r="G1732" s="67" t="s">
        <v>224</v>
      </c>
      <c r="H1732" s="69">
        <v>-0.55000000000000004</v>
      </c>
    </row>
    <row r="1733" spans="6:8">
      <c r="F1733" s="68" t="s">
        <v>127</v>
      </c>
      <c r="G1733" s="67" t="s">
        <v>224</v>
      </c>
      <c r="H1733" s="69">
        <v>-0.15</v>
      </c>
    </row>
    <row r="1734" spans="6:8">
      <c r="F1734" s="68" t="s">
        <v>128</v>
      </c>
      <c r="G1734" s="67" t="s">
        <v>224</v>
      </c>
      <c r="H1734" s="69">
        <v>-0.55000000000000004</v>
      </c>
    </row>
    <row r="1735" spans="6:8">
      <c r="F1735" s="68" t="s">
        <v>129</v>
      </c>
      <c r="G1735" s="67" t="s">
        <v>224</v>
      </c>
      <c r="H1735" s="69">
        <v>-0.25</v>
      </c>
    </row>
    <row r="1736" spans="6:8">
      <c r="F1736" s="68" t="s">
        <v>130</v>
      </c>
      <c r="G1736" s="67" t="s">
        <v>224</v>
      </c>
      <c r="H1736" s="69">
        <v>-0.95</v>
      </c>
    </row>
    <row r="1737" spans="6:8">
      <c r="F1737" s="68" t="s">
        <v>131</v>
      </c>
      <c r="G1737" s="67" t="s">
        <v>224</v>
      </c>
      <c r="H1737" s="69">
        <v>-0.35</v>
      </c>
    </row>
    <row r="1738" spans="6:8">
      <c r="F1738" s="68" t="s">
        <v>132</v>
      </c>
      <c r="G1738" s="67" t="s">
        <v>224</v>
      </c>
      <c r="H1738" s="69">
        <v>-0.95</v>
      </c>
    </row>
    <row r="1739" spans="6:8">
      <c r="F1739" s="68" t="s">
        <v>133</v>
      </c>
      <c r="G1739" s="67" t="s">
        <v>224</v>
      </c>
      <c r="H1739" s="69">
        <v>-0.35</v>
      </c>
    </row>
    <row r="1740" spans="6:8">
      <c r="F1740" s="68" t="s">
        <v>134</v>
      </c>
      <c r="G1740" s="67" t="s">
        <v>224</v>
      </c>
      <c r="H1740" s="69">
        <v>-1</v>
      </c>
    </row>
    <row r="1741" spans="6:8">
      <c r="F1741" s="68" t="s">
        <v>135</v>
      </c>
      <c r="G1741" s="67" t="s">
        <v>224</v>
      </c>
      <c r="H1741" s="69">
        <v>-0.35</v>
      </c>
    </row>
    <row r="1742" spans="6:8">
      <c r="F1742" s="68" t="s">
        <v>136</v>
      </c>
      <c r="G1742" s="67" t="s">
        <v>224</v>
      </c>
      <c r="H1742" s="69">
        <v>-0.95</v>
      </c>
    </row>
    <row r="1743" spans="6:8">
      <c r="F1743" s="68" t="s">
        <v>137</v>
      </c>
      <c r="G1743" s="67" t="s">
        <v>224</v>
      </c>
      <c r="H1743" s="69">
        <v>-0.5</v>
      </c>
    </row>
    <row r="1744" spans="6:8">
      <c r="F1744" s="68" t="s">
        <v>138</v>
      </c>
      <c r="G1744" s="67" t="s">
        <v>224</v>
      </c>
      <c r="H1744" s="69">
        <v>-0.7</v>
      </c>
    </row>
    <row r="1745" spans="6:8">
      <c r="F1745" s="68" t="s">
        <v>138</v>
      </c>
      <c r="G1745" s="67" t="s">
        <v>225</v>
      </c>
      <c r="H1745" s="69">
        <v>-0.7</v>
      </c>
    </row>
    <row r="1746" spans="6:8">
      <c r="F1746" s="68" t="s">
        <v>137</v>
      </c>
      <c r="G1746" s="67" t="s">
        <v>225</v>
      </c>
      <c r="H1746" s="69">
        <v>-0.5</v>
      </c>
    </row>
    <row r="1747" spans="6:8">
      <c r="F1747" s="68" t="s">
        <v>136</v>
      </c>
      <c r="G1747" s="67" t="s">
        <v>225</v>
      </c>
      <c r="H1747" s="69">
        <v>-0.95</v>
      </c>
    </row>
    <row r="1748" spans="6:8">
      <c r="F1748" s="68" t="s">
        <v>135</v>
      </c>
      <c r="G1748" s="67" t="s">
        <v>225</v>
      </c>
      <c r="H1748" s="69">
        <v>-0.35</v>
      </c>
    </row>
    <row r="1749" spans="6:8">
      <c r="F1749" s="68" t="s">
        <v>134</v>
      </c>
      <c r="G1749" s="67" t="s">
        <v>225</v>
      </c>
      <c r="H1749" s="69">
        <v>-1</v>
      </c>
    </row>
    <row r="1750" spans="6:8">
      <c r="F1750" s="68" t="s">
        <v>133</v>
      </c>
      <c r="G1750" s="67" t="s">
        <v>225</v>
      </c>
      <c r="H1750" s="69">
        <v>-0.35</v>
      </c>
    </row>
    <row r="1751" spans="6:8">
      <c r="F1751" s="68" t="s">
        <v>132</v>
      </c>
      <c r="G1751" s="67" t="s">
        <v>225</v>
      </c>
      <c r="H1751" s="69">
        <v>-0.95</v>
      </c>
    </row>
    <row r="1752" spans="6:8">
      <c r="F1752" s="68" t="s">
        <v>131</v>
      </c>
      <c r="G1752" s="67" t="s">
        <v>225</v>
      </c>
      <c r="H1752" s="69">
        <v>-0.35</v>
      </c>
    </row>
    <row r="1753" spans="6:8">
      <c r="F1753" s="68" t="s">
        <v>130</v>
      </c>
      <c r="G1753" s="67" t="s">
        <v>225</v>
      </c>
      <c r="H1753" s="69">
        <v>-0.95</v>
      </c>
    </row>
    <row r="1754" spans="6:8">
      <c r="F1754" s="68" t="s">
        <v>129</v>
      </c>
      <c r="G1754" s="67" t="s">
        <v>225</v>
      </c>
      <c r="H1754" s="69">
        <v>-0.25</v>
      </c>
    </row>
    <row r="1755" spans="6:8">
      <c r="F1755" s="68" t="s">
        <v>128</v>
      </c>
      <c r="G1755" s="67" t="s">
        <v>225</v>
      </c>
      <c r="H1755" s="69">
        <v>-0.55000000000000004</v>
      </c>
    </row>
    <row r="1756" spans="6:8">
      <c r="F1756" s="68" t="s">
        <v>127</v>
      </c>
      <c r="G1756" s="67" t="s">
        <v>225</v>
      </c>
      <c r="H1756" s="69">
        <v>-0.15</v>
      </c>
    </row>
    <row r="1757" spans="6:8">
      <c r="F1757" s="68" t="s">
        <v>126</v>
      </c>
      <c r="G1757" s="67" t="s">
        <v>225</v>
      </c>
      <c r="H1757" s="69">
        <v>-0.55000000000000004</v>
      </c>
    </row>
    <row r="1758" spans="6:8">
      <c r="F1758" s="68" t="s">
        <v>125</v>
      </c>
      <c r="G1758" s="67" t="s">
        <v>225</v>
      </c>
      <c r="H1758" s="69">
        <v>-1.1000000000000001</v>
      </c>
    </row>
    <row r="1759" spans="6:8">
      <c r="F1759" s="68" t="s">
        <v>124</v>
      </c>
      <c r="G1759" s="67" t="s">
        <v>225</v>
      </c>
      <c r="H1759" s="69">
        <v>-0.7</v>
      </c>
    </row>
    <row r="1760" spans="6:8">
      <c r="F1760" s="68" t="s">
        <v>123</v>
      </c>
      <c r="G1760" s="67" t="s">
        <v>225</v>
      </c>
      <c r="H1760" s="69">
        <v>-0.6</v>
      </c>
    </row>
    <row r="1761" spans="6:8">
      <c r="F1761" s="68" t="s">
        <v>122</v>
      </c>
      <c r="G1761" s="67" t="s">
        <v>225</v>
      </c>
      <c r="H1761" s="69">
        <v>-1.05</v>
      </c>
    </row>
    <row r="1762" spans="6:8">
      <c r="F1762" s="68" t="s">
        <v>121</v>
      </c>
      <c r="G1762" s="67" t="s">
        <v>225</v>
      </c>
      <c r="H1762" s="69">
        <v>-0.75</v>
      </c>
    </row>
    <row r="1763" spans="6:8">
      <c r="F1763" s="68" t="s">
        <v>120</v>
      </c>
      <c r="G1763" s="67" t="s">
        <v>225</v>
      </c>
      <c r="H1763" s="69">
        <v>-0.5</v>
      </c>
    </row>
    <row r="1764" spans="6:8">
      <c r="F1764" s="68" t="s">
        <v>119</v>
      </c>
      <c r="G1764" s="67" t="s">
        <v>225</v>
      </c>
      <c r="H1764" s="69">
        <v>-1</v>
      </c>
    </row>
    <row r="1765" spans="6:8">
      <c r="F1765" s="68" t="s">
        <v>119</v>
      </c>
      <c r="G1765" s="67" t="s">
        <v>226</v>
      </c>
      <c r="H1765" s="69">
        <v>-1</v>
      </c>
    </row>
    <row r="1766" spans="6:8">
      <c r="F1766" s="68" t="s">
        <v>120</v>
      </c>
      <c r="G1766" s="67" t="s">
        <v>226</v>
      </c>
      <c r="H1766" s="69">
        <v>-0.5</v>
      </c>
    </row>
    <row r="1767" spans="6:8">
      <c r="F1767" s="68" t="s">
        <v>121</v>
      </c>
      <c r="G1767" s="67" t="s">
        <v>226</v>
      </c>
      <c r="H1767" s="69">
        <v>-0.75</v>
      </c>
    </row>
    <row r="1768" spans="6:8">
      <c r="F1768" s="68" t="s">
        <v>122</v>
      </c>
      <c r="G1768" s="67" t="s">
        <v>226</v>
      </c>
      <c r="H1768" s="69">
        <v>-1.05</v>
      </c>
    </row>
    <row r="1769" spans="6:8">
      <c r="F1769" s="68" t="s">
        <v>123</v>
      </c>
      <c r="G1769" s="67" t="s">
        <v>226</v>
      </c>
      <c r="H1769" s="69">
        <v>-0.6</v>
      </c>
    </row>
    <row r="1770" spans="6:8">
      <c r="F1770" s="68" t="s">
        <v>124</v>
      </c>
      <c r="G1770" s="67" t="s">
        <v>226</v>
      </c>
      <c r="H1770" s="69">
        <v>-0.7</v>
      </c>
    </row>
    <row r="1771" spans="6:8">
      <c r="F1771" s="68" t="s">
        <v>125</v>
      </c>
      <c r="G1771" s="67" t="s">
        <v>226</v>
      </c>
      <c r="H1771" s="69">
        <v>-1.1000000000000001</v>
      </c>
    </row>
    <row r="1772" spans="6:8">
      <c r="F1772" s="68" t="s">
        <v>126</v>
      </c>
      <c r="G1772" s="67" t="s">
        <v>226</v>
      </c>
      <c r="H1772" s="69">
        <v>-0.55000000000000004</v>
      </c>
    </row>
    <row r="1773" spans="6:8">
      <c r="F1773" s="68" t="s">
        <v>127</v>
      </c>
      <c r="G1773" s="67" t="s">
        <v>226</v>
      </c>
      <c r="H1773" s="69">
        <v>-0.15</v>
      </c>
    </row>
    <row r="1774" spans="6:8">
      <c r="F1774" s="68" t="s">
        <v>128</v>
      </c>
      <c r="G1774" s="67" t="s">
        <v>226</v>
      </c>
      <c r="H1774" s="69">
        <v>-0.55000000000000004</v>
      </c>
    </row>
    <row r="1775" spans="6:8">
      <c r="F1775" s="68" t="s">
        <v>129</v>
      </c>
      <c r="G1775" s="67" t="s">
        <v>226</v>
      </c>
      <c r="H1775" s="69">
        <v>-0.25</v>
      </c>
    </row>
    <row r="1776" spans="6:8">
      <c r="F1776" s="68" t="s">
        <v>130</v>
      </c>
      <c r="G1776" s="67" t="s">
        <v>226</v>
      </c>
      <c r="H1776" s="69">
        <v>-0.95</v>
      </c>
    </row>
    <row r="1777" spans="6:8">
      <c r="F1777" s="68" t="s">
        <v>131</v>
      </c>
      <c r="G1777" s="67" t="s">
        <v>226</v>
      </c>
      <c r="H1777" s="69">
        <v>-0.35</v>
      </c>
    </row>
    <row r="1778" spans="6:8">
      <c r="F1778" s="68" t="s">
        <v>132</v>
      </c>
      <c r="G1778" s="67" t="s">
        <v>226</v>
      </c>
      <c r="H1778" s="69">
        <v>-0.95</v>
      </c>
    </row>
    <row r="1779" spans="6:8">
      <c r="F1779" s="68" t="s">
        <v>133</v>
      </c>
      <c r="G1779" s="67" t="s">
        <v>226</v>
      </c>
      <c r="H1779" s="69">
        <v>-0.35</v>
      </c>
    </row>
    <row r="1780" spans="6:8">
      <c r="F1780" s="68" t="s">
        <v>134</v>
      </c>
      <c r="G1780" s="67" t="s">
        <v>226</v>
      </c>
      <c r="H1780" s="69">
        <v>-1</v>
      </c>
    </row>
    <row r="1781" spans="6:8">
      <c r="F1781" s="68" t="s">
        <v>135</v>
      </c>
      <c r="G1781" s="67" t="s">
        <v>226</v>
      </c>
      <c r="H1781" s="69">
        <v>-0.35</v>
      </c>
    </row>
    <row r="1782" spans="6:8">
      <c r="F1782" s="68" t="s">
        <v>136</v>
      </c>
      <c r="G1782" s="67" t="s">
        <v>226</v>
      </c>
      <c r="H1782" s="69">
        <v>-0.95</v>
      </c>
    </row>
    <row r="1783" spans="6:8">
      <c r="F1783" s="68" t="s">
        <v>137</v>
      </c>
      <c r="G1783" s="67" t="s">
        <v>226</v>
      </c>
      <c r="H1783" s="69">
        <v>-0.5</v>
      </c>
    </row>
    <row r="1784" spans="6:8">
      <c r="F1784" s="68" t="s">
        <v>138</v>
      </c>
      <c r="G1784" s="67" t="s">
        <v>226</v>
      </c>
      <c r="H1784" s="69">
        <v>-0.7</v>
      </c>
    </row>
    <row r="1785" spans="6:8">
      <c r="F1785" s="68" t="s">
        <v>138</v>
      </c>
      <c r="G1785" s="67" t="s">
        <v>227</v>
      </c>
      <c r="H1785" s="69">
        <v>-0.7</v>
      </c>
    </row>
    <row r="1786" spans="6:8">
      <c r="F1786" s="68" t="s">
        <v>137</v>
      </c>
      <c r="G1786" s="67" t="s">
        <v>227</v>
      </c>
      <c r="H1786" s="69">
        <v>-0.5</v>
      </c>
    </row>
    <row r="1787" spans="6:8">
      <c r="F1787" s="68" t="s">
        <v>136</v>
      </c>
      <c r="G1787" s="67" t="s">
        <v>227</v>
      </c>
      <c r="H1787" s="69">
        <v>-0.95</v>
      </c>
    </row>
    <row r="1788" spans="6:8">
      <c r="F1788" s="68" t="s">
        <v>135</v>
      </c>
      <c r="G1788" s="67" t="s">
        <v>227</v>
      </c>
      <c r="H1788" s="69">
        <v>-0.35</v>
      </c>
    </row>
    <row r="1789" spans="6:8">
      <c r="F1789" s="68" t="s">
        <v>134</v>
      </c>
      <c r="G1789" s="67" t="s">
        <v>227</v>
      </c>
      <c r="H1789" s="69">
        <v>-1</v>
      </c>
    </row>
    <row r="1790" spans="6:8">
      <c r="F1790" s="68" t="s">
        <v>133</v>
      </c>
      <c r="G1790" s="67" t="s">
        <v>227</v>
      </c>
      <c r="H1790" s="69">
        <v>-0.35</v>
      </c>
    </row>
    <row r="1791" spans="6:8">
      <c r="F1791" s="68" t="s">
        <v>132</v>
      </c>
      <c r="G1791" s="67" t="s">
        <v>227</v>
      </c>
      <c r="H1791" s="69">
        <v>-0.95</v>
      </c>
    </row>
    <row r="1792" spans="6:8">
      <c r="F1792" s="68" t="s">
        <v>131</v>
      </c>
      <c r="G1792" s="67" t="s">
        <v>227</v>
      </c>
      <c r="H1792" s="69">
        <v>-0.35</v>
      </c>
    </row>
    <row r="1793" spans="6:8">
      <c r="F1793" s="68" t="s">
        <v>130</v>
      </c>
      <c r="G1793" s="67" t="s">
        <v>227</v>
      </c>
      <c r="H1793" s="69">
        <v>-0.95</v>
      </c>
    </row>
    <row r="1794" spans="6:8">
      <c r="F1794" s="68" t="s">
        <v>129</v>
      </c>
      <c r="G1794" s="67" t="s">
        <v>227</v>
      </c>
      <c r="H1794" s="69">
        <v>-0.25</v>
      </c>
    </row>
    <row r="1795" spans="6:8">
      <c r="F1795" s="68" t="s">
        <v>128</v>
      </c>
      <c r="G1795" s="67" t="s">
        <v>227</v>
      </c>
      <c r="H1795" s="69">
        <v>-0.55000000000000004</v>
      </c>
    </row>
    <row r="1796" spans="6:8">
      <c r="F1796" s="68" t="s">
        <v>127</v>
      </c>
      <c r="G1796" s="67" t="s">
        <v>227</v>
      </c>
      <c r="H1796" s="69">
        <v>-0.15</v>
      </c>
    </row>
    <row r="1797" spans="6:8">
      <c r="F1797" s="68" t="s">
        <v>126</v>
      </c>
      <c r="G1797" s="67" t="s">
        <v>227</v>
      </c>
      <c r="H1797" s="69">
        <v>-0.55000000000000004</v>
      </c>
    </row>
    <row r="1798" spans="6:8">
      <c r="F1798" s="68" t="s">
        <v>125</v>
      </c>
      <c r="G1798" s="67" t="s">
        <v>227</v>
      </c>
      <c r="H1798" s="69">
        <v>-1.1000000000000001</v>
      </c>
    </row>
    <row r="1799" spans="6:8">
      <c r="F1799" s="68" t="s">
        <v>124</v>
      </c>
      <c r="G1799" s="67" t="s">
        <v>227</v>
      </c>
      <c r="H1799" s="69">
        <v>-0.7</v>
      </c>
    </row>
    <row r="1800" spans="6:8">
      <c r="F1800" s="68" t="s">
        <v>123</v>
      </c>
      <c r="G1800" s="67" t="s">
        <v>227</v>
      </c>
      <c r="H1800" s="69">
        <v>-0.6</v>
      </c>
    </row>
    <row r="1801" spans="6:8">
      <c r="F1801" s="68" t="s">
        <v>122</v>
      </c>
      <c r="G1801" s="67" t="s">
        <v>227</v>
      </c>
      <c r="H1801" s="69">
        <v>-1.05</v>
      </c>
    </row>
    <row r="1802" spans="6:8">
      <c r="F1802" s="68" t="s">
        <v>121</v>
      </c>
      <c r="G1802" s="67" t="s">
        <v>227</v>
      </c>
      <c r="H1802" s="69">
        <v>-0.75</v>
      </c>
    </row>
    <row r="1803" spans="6:8">
      <c r="F1803" s="68" t="s">
        <v>120</v>
      </c>
      <c r="G1803" s="67" t="s">
        <v>227</v>
      </c>
      <c r="H1803" s="69">
        <v>-0.5</v>
      </c>
    </row>
    <row r="1804" spans="6:8">
      <c r="F1804" s="68" t="s">
        <v>119</v>
      </c>
      <c r="G1804" s="67" t="s">
        <v>227</v>
      </c>
      <c r="H1804" s="69">
        <v>-1</v>
      </c>
    </row>
    <row r="1805" spans="6:8">
      <c r="F1805" s="68" t="s">
        <v>119</v>
      </c>
      <c r="G1805" s="67" t="s">
        <v>228</v>
      </c>
      <c r="H1805" s="69">
        <v>-1</v>
      </c>
    </row>
    <row r="1806" spans="6:8">
      <c r="F1806" s="68" t="s">
        <v>120</v>
      </c>
      <c r="G1806" s="67" t="s">
        <v>228</v>
      </c>
      <c r="H1806" s="69">
        <v>-0.5</v>
      </c>
    </row>
    <row r="1807" spans="6:8">
      <c r="F1807" s="68" t="s">
        <v>121</v>
      </c>
      <c r="G1807" s="67" t="s">
        <v>228</v>
      </c>
      <c r="H1807" s="69">
        <v>-0.75</v>
      </c>
    </row>
    <row r="1808" spans="6:8">
      <c r="F1808" s="68" t="s">
        <v>122</v>
      </c>
      <c r="G1808" s="67" t="s">
        <v>228</v>
      </c>
      <c r="H1808" s="69">
        <v>-1.05</v>
      </c>
    </row>
    <row r="1809" spans="6:8">
      <c r="F1809" s="68" t="s">
        <v>123</v>
      </c>
      <c r="G1809" s="67" t="s">
        <v>228</v>
      </c>
      <c r="H1809" s="69">
        <v>-0.6</v>
      </c>
    </row>
    <row r="1810" spans="6:8">
      <c r="F1810" s="68" t="s">
        <v>124</v>
      </c>
      <c r="G1810" s="67" t="s">
        <v>228</v>
      </c>
      <c r="H1810" s="69">
        <v>-0.7</v>
      </c>
    </row>
    <row r="1811" spans="6:8">
      <c r="F1811" s="68" t="s">
        <v>125</v>
      </c>
      <c r="G1811" s="67" t="s">
        <v>228</v>
      </c>
      <c r="H1811" s="69">
        <v>-1.1000000000000001</v>
      </c>
    </row>
    <row r="1812" spans="6:8">
      <c r="F1812" s="68" t="s">
        <v>126</v>
      </c>
      <c r="G1812" s="67" t="s">
        <v>228</v>
      </c>
      <c r="H1812" s="69">
        <v>-0.55000000000000004</v>
      </c>
    </row>
    <row r="1813" spans="6:8">
      <c r="F1813" s="68" t="s">
        <v>127</v>
      </c>
      <c r="G1813" s="67" t="s">
        <v>228</v>
      </c>
      <c r="H1813" s="69">
        <v>-0.15</v>
      </c>
    </row>
    <row r="1814" spans="6:8">
      <c r="F1814" s="68" t="s">
        <v>128</v>
      </c>
      <c r="G1814" s="67" t="s">
        <v>228</v>
      </c>
      <c r="H1814" s="69">
        <v>-0.55000000000000004</v>
      </c>
    </row>
    <row r="1815" spans="6:8">
      <c r="F1815" s="68" t="s">
        <v>129</v>
      </c>
      <c r="G1815" s="67" t="s">
        <v>228</v>
      </c>
      <c r="H1815" s="69">
        <v>-0.25</v>
      </c>
    </row>
    <row r="1816" spans="6:8">
      <c r="F1816" s="68" t="s">
        <v>130</v>
      </c>
      <c r="G1816" s="67" t="s">
        <v>228</v>
      </c>
      <c r="H1816" s="69">
        <v>-0.95</v>
      </c>
    </row>
    <row r="1817" spans="6:8">
      <c r="F1817" s="68" t="s">
        <v>131</v>
      </c>
      <c r="G1817" s="67" t="s">
        <v>228</v>
      </c>
      <c r="H1817" s="69">
        <v>-0.35</v>
      </c>
    </row>
    <row r="1818" spans="6:8">
      <c r="F1818" s="68" t="s">
        <v>132</v>
      </c>
      <c r="G1818" s="67" t="s">
        <v>228</v>
      </c>
      <c r="H1818" s="69">
        <v>-0.95</v>
      </c>
    </row>
    <row r="1819" spans="6:8">
      <c r="F1819" s="68" t="s">
        <v>133</v>
      </c>
      <c r="G1819" s="67" t="s">
        <v>228</v>
      </c>
      <c r="H1819" s="69">
        <v>-0.35</v>
      </c>
    </row>
    <row r="1820" spans="6:8">
      <c r="F1820" s="68" t="s">
        <v>134</v>
      </c>
      <c r="G1820" s="67" t="s">
        <v>228</v>
      </c>
      <c r="H1820" s="69">
        <v>-1</v>
      </c>
    </row>
    <row r="1821" spans="6:8">
      <c r="F1821" s="68" t="s">
        <v>135</v>
      </c>
      <c r="G1821" s="67" t="s">
        <v>228</v>
      </c>
      <c r="H1821" s="69">
        <v>-0.35</v>
      </c>
    </row>
    <row r="1822" spans="6:8">
      <c r="F1822" s="68" t="s">
        <v>136</v>
      </c>
      <c r="G1822" s="67" t="s">
        <v>228</v>
      </c>
      <c r="H1822" s="69">
        <v>-0.95</v>
      </c>
    </row>
    <row r="1823" spans="6:8">
      <c r="F1823" s="68" t="s">
        <v>137</v>
      </c>
      <c r="G1823" s="67" t="s">
        <v>228</v>
      </c>
      <c r="H1823" s="69">
        <v>-0.5</v>
      </c>
    </row>
    <row r="1824" spans="6:8">
      <c r="F1824" s="68" t="s">
        <v>138</v>
      </c>
      <c r="G1824" s="67" t="s">
        <v>228</v>
      </c>
      <c r="H1824" s="69">
        <v>-0.7</v>
      </c>
    </row>
    <row r="1825" spans="6:8">
      <c r="F1825" s="68" t="s">
        <v>138</v>
      </c>
      <c r="G1825" s="67" t="s">
        <v>229</v>
      </c>
      <c r="H1825" s="69">
        <v>-0.7</v>
      </c>
    </row>
    <row r="1826" spans="6:8">
      <c r="F1826" s="68" t="s">
        <v>137</v>
      </c>
      <c r="G1826" s="67" t="s">
        <v>229</v>
      </c>
      <c r="H1826" s="69">
        <v>-0.5</v>
      </c>
    </row>
    <row r="1827" spans="6:8">
      <c r="F1827" s="68" t="s">
        <v>136</v>
      </c>
      <c r="G1827" s="67" t="s">
        <v>229</v>
      </c>
      <c r="H1827" s="69">
        <v>-0.95</v>
      </c>
    </row>
    <row r="1828" spans="6:8">
      <c r="F1828" s="68" t="s">
        <v>135</v>
      </c>
      <c r="G1828" s="67" t="s">
        <v>229</v>
      </c>
      <c r="H1828" s="69">
        <v>-0.35</v>
      </c>
    </row>
    <row r="1829" spans="6:8">
      <c r="F1829" s="68" t="s">
        <v>134</v>
      </c>
      <c r="G1829" s="67" t="s">
        <v>229</v>
      </c>
      <c r="H1829" s="69">
        <v>-1</v>
      </c>
    </row>
    <row r="1830" spans="6:8">
      <c r="F1830" s="68" t="s">
        <v>133</v>
      </c>
      <c r="G1830" s="67" t="s">
        <v>229</v>
      </c>
      <c r="H1830" s="69">
        <v>-0.35</v>
      </c>
    </row>
    <row r="1831" spans="6:8">
      <c r="F1831" s="68" t="s">
        <v>132</v>
      </c>
      <c r="G1831" s="67" t="s">
        <v>229</v>
      </c>
      <c r="H1831" s="69">
        <v>-0.95</v>
      </c>
    </row>
    <row r="1832" spans="6:8">
      <c r="F1832" s="68" t="s">
        <v>131</v>
      </c>
      <c r="G1832" s="67" t="s">
        <v>229</v>
      </c>
      <c r="H1832" s="69">
        <v>-0.35</v>
      </c>
    </row>
    <row r="1833" spans="6:8">
      <c r="F1833" s="68" t="s">
        <v>130</v>
      </c>
      <c r="G1833" s="67" t="s">
        <v>229</v>
      </c>
      <c r="H1833" s="69">
        <v>-0.95</v>
      </c>
    </row>
    <row r="1834" spans="6:8">
      <c r="F1834" s="68" t="s">
        <v>129</v>
      </c>
      <c r="G1834" s="67" t="s">
        <v>229</v>
      </c>
      <c r="H1834" s="69">
        <v>-0.25</v>
      </c>
    </row>
    <row r="1835" spans="6:8">
      <c r="F1835" s="68" t="s">
        <v>128</v>
      </c>
      <c r="G1835" s="67" t="s">
        <v>229</v>
      </c>
      <c r="H1835" s="69">
        <v>-0.55000000000000004</v>
      </c>
    </row>
    <row r="1836" spans="6:8">
      <c r="F1836" s="68" t="s">
        <v>127</v>
      </c>
      <c r="G1836" s="67" t="s">
        <v>229</v>
      </c>
      <c r="H1836" s="69">
        <v>-0.15</v>
      </c>
    </row>
    <row r="1837" spans="6:8">
      <c r="F1837" s="68" t="s">
        <v>126</v>
      </c>
      <c r="G1837" s="67" t="s">
        <v>229</v>
      </c>
      <c r="H1837" s="69">
        <v>-0.55000000000000004</v>
      </c>
    </row>
    <row r="1838" spans="6:8">
      <c r="F1838" s="68" t="s">
        <v>125</v>
      </c>
      <c r="G1838" s="67" t="s">
        <v>229</v>
      </c>
      <c r="H1838" s="69">
        <v>-1.1000000000000001</v>
      </c>
    </row>
    <row r="1839" spans="6:8">
      <c r="F1839" s="68" t="s">
        <v>124</v>
      </c>
      <c r="G1839" s="67" t="s">
        <v>229</v>
      </c>
      <c r="H1839" s="69">
        <v>-0.7</v>
      </c>
    </row>
    <row r="1840" spans="6:8">
      <c r="F1840" s="68" t="s">
        <v>123</v>
      </c>
      <c r="G1840" s="67" t="s">
        <v>229</v>
      </c>
      <c r="H1840" s="69">
        <v>-0.6</v>
      </c>
    </row>
    <row r="1841" spans="6:8">
      <c r="F1841" s="68" t="s">
        <v>122</v>
      </c>
      <c r="G1841" s="67" t="s">
        <v>229</v>
      </c>
      <c r="H1841" s="69">
        <v>-1.05</v>
      </c>
    </row>
    <row r="1842" spans="6:8">
      <c r="F1842" s="68" t="s">
        <v>121</v>
      </c>
      <c r="G1842" s="67" t="s">
        <v>229</v>
      </c>
      <c r="H1842" s="69">
        <v>-0.75</v>
      </c>
    </row>
    <row r="1843" spans="6:8">
      <c r="F1843" s="68" t="s">
        <v>120</v>
      </c>
      <c r="G1843" s="67" t="s">
        <v>229</v>
      </c>
      <c r="H1843" s="69">
        <v>-0.5</v>
      </c>
    </row>
    <row r="1844" spans="6:8">
      <c r="F1844" s="68" t="s">
        <v>119</v>
      </c>
      <c r="G1844" s="67" t="s">
        <v>229</v>
      </c>
      <c r="H1844" s="69">
        <v>-1</v>
      </c>
    </row>
    <row r="1845" spans="6:8">
      <c r="F1845" s="68" t="s">
        <v>119</v>
      </c>
      <c r="G1845" s="67" t="s">
        <v>230</v>
      </c>
      <c r="H1845" s="69">
        <v>-1.05</v>
      </c>
    </row>
    <row r="1846" spans="6:8">
      <c r="F1846" s="68" t="s">
        <v>120</v>
      </c>
      <c r="G1846" s="67" t="s">
        <v>230</v>
      </c>
      <c r="H1846" s="69">
        <v>-0.5</v>
      </c>
    </row>
    <row r="1847" spans="6:8">
      <c r="F1847" s="68" t="s">
        <v>121</v>
      </c>
      <c r="G1847" s="67" t="s">
        <v>230</v>
      </c>
      <c r="H1847" s="69">
        <v>-0.8</v>
      </c>
    </row>
    <row r="1848" spans="6:8">
      <c r="F1848" s="68" t="s">
        <v>122</v>
      </c>
      <c r="G1848" s="67" t="s">
        <v>230</v>
      </c>
      <c r="H1848" s="69">
        <v>-1.1000000000000001</v>
      </c>
    </row>
    <row r="1849" spans="6:8">
      <c r="F1849" s="68" t="s">
        <v>123</v>
      </c>
      <c r="G1849" s="67" t="s">
        <v>230</v>
      </c>
      <c r="H1849" s="69">
        <v>-0.6</v>
      </c>
    </row>
    <row r="1850" spans="6:8">
      <c r="F1850" s="68" t="s">
        <v>124</v>
      </c>
      <c r="G1850" s="67" t="s">
        <v>230</v>
      </c>
      <c r="H1850" s="69">
        <v>-0.75</v>
      </c>
    </row>
    <row r="1851" spans="6:8">
      <c r="F1851" s="68" t="s">
        <v>125</v>
      </c>
      <c r="G1851" s="67" t="s">
        <v>230</v>
      </c>
      <c r="H1851" s="69">
        <v>-1.2</v>
      </c>
    </row>
    <row r="1852" spans="6:8">
      <c r="F1852" s="68" t="s">
        <v>126</v>
      </c>
      <c r="G1852" s="67" t="s">
        <v>230</v>
      </c>
      <c r="H1852" s="69">
        <v>-0.55000000000000004</v>
      </c>
    </row>
    <row r="1853" spans="6:8">
      <c r="F1853" s="68" t="s">
        <v>127</v>
      </c>
      <c r="G1853" s="67" t="s">
        <v>230</v>
      </c>
      <c r="H1853" s="69">
        <v>-0.15</v>
      </c>
    </row>
    <row r="1854" spans="6:8">
      <c r="F1854" s="68" t="s">
        <v>128</v>
      </c>
      <c r="G1854" s="67" t="s">
        <v>230</v>
      </c>
      <c r="H1854" s="69">
        <v>-0.5</v>
      </c>
    </row>
    <row r="1855" spans="6:8">
      <c r="F1855" s="68" t="s">
        <v>129</v>
      </c>
      <c r="G1855" s="67" t="s">
        <v>230</v>
      </c>
      <c r="H1855" s="69">
        <v>-0.25</v>
      </c>
    </row>
    <row r="1856" spans="6:8">
      <c r="F1856" s="68" t="s">
        <v>130</v>
      </c>
      <c r="G1856" s="67" t="s">
        <v>230</v>
      </c>
      <c r="H1856" s="69">
        <v>-0.95</v>
      </c>
    </row>
    <row r="1857" spans="6:8">
      <c r="F1857" s="68" t="s">
        <v>131</v>
      </c>
      <c r="G1857" s="67" t="s">
        <v>230</v>
      </c>
      <c r="H1857" s="69">
        <v>-0.35</v>
      </c>
    </row>
    <row r="1858" spans="6:8">
      <c r="F1858" s="68" t="s">
        <v>132</v>
      </c>
      <c r="G1858" s="67" t="s">
        <v>230</v>
      </c>
      <c r="H1858" s="69">
        <v>-0.95</v>
      </c>
    </row>
    <row r="1859" spans="6:8">
      <c r="F1859" s="68" t="s">
        <v>133</v>
      </c>
      <c r="G1859" s="67" t="s">
        <v>230</v>
      </c>
      <c r="H1859" s="69">
        <v>-0.35</v>
      </c>
    </row>
    <row r="1860" spans="6:8">
      <c r="F1860" s="68" t="s">
        <v>134</v>
      </c>
      <c r="G1860" s="67" t="s">
        <v>230</v>
      </c>
      <c r="H1860" s="69">
        <v>-1</v>
      </c>
    </row>
    <row r="1861" spans="6:8">
      <c r="F1861" s="68" t="s">
        <v>135</v>
      </c>
      <c r="G1861" s="67" t="s">
        <v>230</v>
      </c>
      <c r="H1861" s="69">
        <v>-0.4</v>
      </c>
    </row>
    <row r="1862" spans="6:8">
      <c r="F1862" s="68" t="s">
        <v>136</v>
      </c>
      <c r="G1862" s="67" t="s">
        <v>230</v>
      </c>
      <c r="H1862" s="69">
        <v>-1</v>
      </c>
    </row>
    <row r="1863" spans="6:8">
      <c r="F1863" s="68" t="s">
        <v>137</v>
      </c>
      <c r="G1863" s="67" t="s">
        <v>230</v>
      </c>
      <c r="H1863" s="69">
        <v>-0.5</v>
      </c>
    </row>
    <row r="1864" spans="6:8">
      <c r="F1864" s="68" t="s">
        <v>138</v>
      </c>
      <c r="G1864" s="67" t="s">
        <v>230</v>
      </c>
      <c r="H1864" s="69">
        <v>-0.75</v>
      </c>
    </row>
    <row r="1865" spans="6:8">
      <c r="F1865" s="68" t="s">
        <v>138</v>
      </c>
      <c r="G1865" s="67" t="s">
        <v>231</v>
      </c>
      <c r="H1865" s="69">
        <v>-0.75</v>
      </c>
    </row>
    <row r="1866" spans="6:8">
      <c r="F1866" s="68" t="s">
        <v>137</v>
      </c>
      <c r="G1866" s="67" t="s">
        <v>231</v>
      </c>
      <c r="H1866" s="69">
        <v>-0.5</v>
      </c>
    </row>
    <row r="1867" spans="6:8">
      <c r="F1867" s="68" t="s">
        <v>136</v>
      </c>
      <c r="G1867" s="67" t="s">
        <v>231</v>
      </c>
      <c r="H1867" s="69">
        <v>-1</v>
      </c>
    </row>
    <row r="1868" spans="6:8">
      <c r="F1868" s="68" t="s">
        <v>135</v>
      </c>
      <c r="G1868" s="67" t="s">
        <v>231</v>
      </c>
      <c r="H1868" s="69">
        <v>-0.4</v>
      </c>
    </row>
    <row r="1869" spans="6:8">
      <c r="F1869" s="68" t="s">
        <v>134</v>
      </c>
      <c r="G1869" s="67" t="s">
        <v>231</v>
      </c>
      <c r="H1869" s="69">
        <v>-1</v>
      </c>
    </row>
    <row r="1870" spans="6:8">
      <c r="F1870" s="68" t="s">
        <v>133</v>
      </c>
      <c r="G1870" s="67" t="s">
        <v>231</v>
      </c>
      <c r="H1870" s="69">
        <v>-0.35</v>
      </c>
    </row>
    <row r="1871" spans="6:8">
      <c r="F1871" s="68" t="s">
        <v>132</v>
      </c>
      <c r="G1871" s="67" t="s">
        <v>231</v>
      </c>
      <c r="H1871" s="69">
        <v>-0.95</v>
      </c>
    </row>
    <row r="1872" spans="6:8">
      <c r="F1872" s="68" t="s">
        <v>131</v>
      </c>
      <c r="G1872" s="67" t="s">
        <v>231</v>
      </c>
      <c r="H1872" s="69">
        <v>-0.35</v>
      </c>
    </row>
    <row r="1873" spans="6:8">
      <c r="F1873" s="68" t="s">
        <v>130</v>
      </c>
      <c r="G1873" s="67" t="s">
        <v>231</v>
      </c>
      <c r="H1873" s="69">
        <v>-0.95</v>
      </c>
    </row>
    <row r="1874" spans="6:8">
      <c r="F1874" s="68" t="s">
        <v>129</v>
      </c>
      <c r="G1874" s="67" t="s">
        <v>231</v>
      </c>
      <c r="H1874" s="69">
        <v>-0.25</v>
      </c>
    </row>
    <row r="1875" spans="6:8">
      <c r="F1875" s="68" t="s">
        <v>128</v>
      </c>
      <c r="G1875" s="67" t="s">
        <v>231</v>
      </c>
      <c r="H1875" s="69">
        <v>-0.5</v>
      </c>
    </row>
    <row r="1876" spans="6:8">
      <c r="F1876" s="68" t="s">
        <v>127</v>
      </c>
      <c r="G1876" s="67" t="s">
        <v>231</v>
      </c>
      <c r="H1876" s="69">
        <v>-0.15</v>
      </c>
    </row>
    <row r="1877" spans="6:8">
      <c r="F1877" s="68" t="s">
        <v>126</v>
      </c>
      <c r="G1877" s="67" t="s">
        <v>231</v>
      </c>
      <c r="H1877" s="69">
        <v>-0.55000000000000004</v>
      </c>
    </row>
    <row r="1878" spans="6:8">
      <c r="F1878" s="68" t="s">
        <v>125</v>
      </c>
      <c r="G1878" s="67" t="s">
        <v>231</v>
      </c>
      <c r="H1878" s="69">
        <v>-1.2</v>
      </c>
    </row>
    <row r="1879" spans="6:8">
      <c r="F1879" s="68" t="s">
        <v>124</v>
      </c>
      <c r="G1879" s="67" t="s">
        <v>231</v>
      </c>
      <c r="H1879" s="69">
        <v>-0.75</v>
      </c>
    </row>
    <row r="1880" spans="6:8">
      <c r="F1880" s="68" t="s">
        <v>123</v>
      </c>
      <c r="G1880" s="67" t="s">
        <v>231</v>
      </c>
      <c r="H1880" s="69">
        <v>-0.6</v>
      </c>
    </row>
    <row r="1881" spans="6:8">
      <c r="F1881" s="68" t="s">
        <v>122</v>
      </c>
      <c r="G1881" s="67" t="s">
        <v>231</v>
      </c>
      <c r="H1881" s="69">
        <v>-1.1000000000000001</v>
      </c>
    </row>
    <row r="1882" spans="6:8">
      <c r="F1882" s="68" t="s">
        <v>121</v>
      </c>
      <c r="G1882" s="67" t="s">
        <v>231</v>
      </c>
      <c r="H1882" s="69">
        <v>-0.8</v>
      </c>
    </row>
    <row r="1883" spans="6:8">
      <c r="F1883" s="68" t="s">
        <v>120</v>
      </c>
      <c r="G1883" s="67" t="s">
        <v>231</v>
      </c>
      <c r="H1883" s="69">
        <v>-0.5</v>
      </c>
    </row>
    <row r="1884" spans="6:8">
      <c r="F1884" s="68" t="s">
        <v>119</v>
      </c>
      <c r="G1884" s="67" t="s">
        <v>231</v>
      </c>
      <c r="H1884" s="69">
        <v>-1.05</v>
      </c>
    </row>
    <row r="1885" spans="6:8">
      <c r="F1885" s="68" t="s">
        <v>119</v>
      </c>
      <c r="G1885" s="67" t="s">
        <v>232</v>
      </c>
      <c r="H1885" s="69">
        <v>-1.05</v>
      </c>
    </row>
    <row r="1886" spans="6:8">
      <c r="F1886" s="68" t="s">
        <v>120</v>
      </c>
      <c r="G1886" s="67" t="s">
        <v>232</v>
      </c>
      <c r="H1886" s="69">
        <v>-0.5</v>
      </c>
    </row>
    <row r="1887" spans="6:8">
      <c r="F1887" s="68" t="s">
        <v>121</v>
      </c>
      <c r="G1887" s="67" t="s">
        <v>232</v>
      </c>
      <c r="H1887" s="69">
        <v>-0.8</v>
      </c>
    </row>
    <row r="1888" spans="6:8">
      <c r="F1888" s="68" t="s">
        <v>122</v>
      </c>
      <c r="G1888" s="67" t="s">
        <v>232</v>
      </c>
      <c r="H1888" s="69">
        <v>-1.1000000000000001</v>
      </c>
    </row>
    <row r="1889" spans="6:8">
      <c r="F1889" s="68" t="s">
        <v>123</v>
      </c>
      <c r="G1889" s="67" t="s">
        <v>232</v>
      </c>
      <c r="H1889" s="69">
        <v>-0.6</v>
      </c>
    </row>
    <row r="1890" spans="6:8">
      <c r="F1890" s="68" t="s">
        <v>124</v>
      </c>
      <c r="G1890" s="67" t="s">
        <v>232</v>
      </c>
      <c r="H1890" s="69">
        <v>-0.75</v>
      </c>
    </row>
    <row r="1891" spans="6:8">
      <c r="F1891" s="68" t="s">
        <v>125</v>
      </c>
      <c r="G1891" s="67" t="s">
        <v>232</v>
      </c>
      <c r="H1891" s="69">
        <v>-1.2</v>
      </c>
    </row>
    <row r="1892" spans="6:8">
      <c r="F1892" s="68" t="s">
        <v>126</v>
      </c>
      <c r="G1892" s="67" t="s">
        <v>232</v>
      </c>
      <c r="H1892" s="69">
        <v>-0.55000000000000004</v>
      </c>
    </row>
    <row r="1893" spans="6:8">
      <c r="F1893" s="68" t="s">
        <v>127</v>
      </c>
      <c r="G1893" s="67" t="s">
        <v>232</v>
      </c>
      <c r="H1893" s="69">
        <v>-0.15</v>
      </c>
    </row>
    <row r="1894" spans="6:8">
      <c r="F1894" s="68" t="s">
        <v>128</v>
      </c>
      <c r="G1894" s="67" t="s">
        <v>232</v>
      </c>
      <c r="H1894" s="69">
        <v>-0.5</v>
      </c>
    </row>
    <row r="1895" spans="6:8">
      <c r="F1895" s="68" t="s">
        <v>129</v>
      </c>
      <c r="G1895" s="67" t="s">
        <v>232</v>
      </c>
      <c r="H1895" s="69">
        <v>-0.25</v>
      </c>
    </row>
    <row r="1896" spans="6:8">
      <c r="F1896" s="68" t="s">
        <v>130</v>
      </c>
      <c r="G1896" s="67" t="s">
        <v>232</v>
      </c>
      <c r="H1896" s="69">
        <v>-0.95</v>
      </c>
    </row>
    <row r="1897" spans="6:8">
      <c r="F1897" s="68" t="s">
        <v>131</v>
      </c>
      <c r="G1897" s="67" t="s">
        <v>232</v>
      </c>
      <c r="H1897" s="69">
        <v>-0.35</v>
      </c>
    </row>
    <row r="1898" spans="6:8">
      <c r="F1898" s="68" t="s">
        <v>132</v>
      </c>
      <c r="G1898" s="67" t="s">
        <v>232</v>
      </c>
      <c r="H1898" s="69">
        <v>-0.95</v>
      </c>
    </row>
    <row r="1899" spans="6:8">
      <c r="F1899" s="68" t="s">
        <v>133</v>
      </c>
      <c r="G1899" s="67" t="s">
        <v>232</v>
      </c>
      <c r="H1899" s="69">
        <v>-0.35</v>
      </c>
    </row>
    <row r="1900" spans="6:8">
      <c r="F1900" s="68" t="s">
        <v>134</v>
      </c>
      <c r="G1900" s="67" t="s">
        <v>232</v>
      </c>
      <c r="H1900" s="69">
        <v>-1</v>
      </c>
    </row>
    <row r="1901" spans="6:8">
      <c r="F1901" s="68" t="s">
        <v>135</v>
      </c>
      <c r="G1901" s="67" t="s">
        <v>232</v>
      </c>
      <c r="H1901" s="69">
        <v>-0.4</v>
      </c>
    </row>
    <row r="1902" spans="6:8">
      <c r="F1902" s="68" t="s">
        <v>136</v>
      </c>
      <c r="G1902" s="67" t="s">
        <v>232</v>
      </c>
      <c r="H1902" s="69">
        <v>-1</v>
      </c>
    </row>
    <row r="1903" spans="6:8">
      <c r="F1903" s="68" t="s">
        <v>137</v>
      </c>
      <c r="G1903" s="67" t="s">
        <v>232</v>
      </c>
      <c r="H1903" s="69">
        <v>-0.5</v>
      </c>
    </row>
    <row r="1904" spans="6:8">
      <c r="F1904" s="68" t="s">
        <v>138</v>
      </c>
      <c r="G1904" s="67" t="s">
        <v>232</v>
      </c>
      <c r="H1904" s="69">
        <v>-0.75</v>
      </c>
    </row>
    <row r="1905" spans="6:8">
      <c r="F1905" s="68" t="s">
        <v>138</v>
      </c>
      <c r="G1905" s="67" t="s">
        <v>233</v>
      </c>
      <c r="H1905" s="69">
        <v>-0.75</v>
      </c>
    </row>
    <row r="1906" spans="6:8">
      <c r="F1906" s="68" t="s">
        <v>137</v>
      </c>
      <c r="G1906" s="67" t="s">
        <v>233</v>
      </c>
      <c r="H1906" s="69">
        <v>-0.5</v>
      </c>
    </row>
    <row r="1907" spans="6:8">
      <c r="F1907" s="68" t="s">
        <v>136</v>
      </c>
      <c r="G1907" s="67" t="s">
        <v>233</v>
      </c>
      <c r="H1907" s="69">
        <v>-1</v>
      </c>
    </row>
    <row r="1908" spans="6:8">
      <c r="F1908" s="68" t="s">
        <v>135</v>
      </c>
      <c r="G1908" s="67" t="s">
        <v>233</v>
      </c>
      <c r="H1908" s="69">
        <v>-0.4</v>
      </c>
    </row>
    <row r="1909" spans="6:8">
      <c r="F1909" s="68" t="s">
        <v>134</v>
      </c>
      <c r="G1909" s="67" t="s">
        <v>233</v>
      </c>
      <c r="H1909" s="69">
        <v>-1</v>
      </c>
    </row>
    <row r="1910" spans="6:8">
      <c r="F1910" s="68" t="s">
        <v>133</v>
      </c>
      <c r="G1910" s="67" t="s">
        <v>233</v>
      </c>
      <c r="H1910" s="69">
        <v>-0.35</v>
      </c>
    </row>
    <row r="1911" spans="6:8">
      <c r="F1911" s="68" t="s">
        <v>132</v>
      </c>
      <c r="G1911" s="67" t="s">
        <v>233</v>
      </c>
      <c r="H1911" s="69">
        <v>-0.95</v>
      </c>
    </row>
    <row r="1912" spans="6:8">
      <c r="F1912" s="68" t="s">
        <v>131</v>
      </c>
      <c r="G1912" s="67" t="s">
        <v>233</v>
      </c>
      <c r="H1912" s="69">
        <v>-0.35</v>
      </c>
    </row>
    <row r="1913" spans="6:8">
      <c r="F1913" s="68" t="s">
        <v>130</v>
      </c>
      <c r="G1913" s="67" t="s">
        <v>233</v>
      </c>
      <c r="H1913" s="69">
        <v>-0.95</v>
      </c>
    </row>
    <row r="1914" spans="6:8">
      <c r="F1914" s="68" t="s">
        <v>129</v>
      </c>
      <c r="G1914" s="67" t="s">
        <v>233</v>
      </c>
      <c r="H1914" s="69">
        <v>-0.25</v>
      </c>
    </row>
    <row r="1915" spans="6:8">
      <c r="F1915" s="68" t="s">
        <v>128</v>
      </c>
      <c r="G1915" s="67" t="s">
        <v>233</v>
      </c>
      <c r="H1915" s="69">
        <v>-0.5</v>
      </c>
    </row>
    <row r="1916" spans="6:8">
      <c r="F1916" s="68" t="s">
        <v>127</v>
      </c>
      <c r="G1916" s="67" t="s">
        <v>233</v>
      </c>
      <c r="H1916" s="69">
        <v>-0.15</v>
      </c>
    </row>
    <row r="1917" spans="6:8">
      <c r="F1917" s="68" t="s">
        <v>126</v>
      </c>
      <c r="G1917" s="67" t="s">
        <v>233</v>
      </c>
      <c r="H1917" s="69">
        <v>-0.55000000000000004</v>
      </c>
    </row>
    <row r="1918" spans="6:8">
      <c r="F1918" s="68" t="s">
        <v>125</v>
      </c>
      <c r="G1918" s="67" t="s">
        <v>233</v>
      </c>
      <c r="H1918" s="69">
        <v>-1.2</v>
      </c>
    </row>
    <row r="1919" spans="6:8">
      <c r="F1919" s="68" t="s">
        <v>124</v>
      </c>
      <c r="G1919" s="67" t="s">
        <v>233</v>
      </c>
      <c r="H1919" s="69">
        <v>-0.75</v>
      </c>
    </row>
    <row r="1920" spans="6:8">
      <c r="F1920" s="68" t="s">
        <v>123</v>
      </c>
      <c r="G1920" s="67" t="s">
        <v>233</v>
      </c>
      <c r="H1920" s="69">
        <v>-0.6</v>
      </c>
    </row>
    <row r="1921" spans="6:8">
      <c r="F1921" s="68" t="s">
        <v>122</v>
      </c>
      <c r="G1921" s="67" t="s">
        <v>233</v>
      </c>
      <c r="H1921" s="69">
        <v>-1.1000000000000001</v>
      </c>
    </row>
    <row r="1922" spans="6:8">
      <c r="F1922" s="68" t="s">
        <v>121</v>
      </c>
      <c r="G1922" s="67" t="s">
        <v>233</v>
      </c>
      <c r="H1922" s="69">
        <v>-0.8</v>
      </c>
    </row>
    <row r="1923" spans="6:8">
      <c r="F1923" s="68" t="s">
        <v>120</v>
      </c>
      <c r="G1923" s="67" t="s">
        <v>233</v>
      </c>
      <c r="H1923" s="69">
        <v>-0.5</v>
      </c>
    </row>
    <row r="1924" spans="6:8">
      <c r="F1924" s="68" t="s">
        <v>119</v>
      </c>
      <c r="G1924" s="67" t="s">
        <v>233</v>
      </c>
      <c r="H1924" s="69">
        <v>-1.05</v>
      </c>
    </row>
    <row r="1925" spans="6:8">
      <c r="F1925" s="68" t="s">
        <v>119</v>
      </c>
      <c r="G1925" s="67" t="s">
        <v>234</v>
      </c>
      <c r="H1925" s="69">
        <v>-1.05</v>
      </c>
    </row>
    <row r="1926" spans="6:8">
      <c r="F1926" s="68" t="s">
        <v>120</v>
      </c>
      <c r="G1926" s="67" t="s">
        <v>234</v>
      </c>
      <c r="H1926" s="69">
        <v>-0.5</v>
      </c>
    </row>
    <row r="1927" spans="6:8">
      <c r="F1927" s="68" t="s">
        <v>121</v>
      </c>
      <c r="G1927" s="67" t="s">
        <v>234</v>
      </c>
      <c r="H1927" s="69">
        <v>-0.8</v>
      </c>
    </row>
    <row r="1928" spans="6:8">
      <c r="F1928" s="68" t="s">
        <v>122</v>
      </c>
      <c r="G1928" s="67" t="s">
        <v>234</v>
      </c>
      <c r="H1928" s="69">
        <v>-1.1000000000000001</v>
      </c>
    </row>
    <row r="1929" spans="6:8">
      <c r="F1929" s="68" t="s">
        <v>123</v>
      </c>
      <c r="G1929" s="67" t="s">
        <v>234</v>
      </c>
      <c r="H1929" s="69">
        <v>-0.6</v>
      </c>
    </row>
    <row r="1930" spans="6:8">
      <c r="F1930" s="68" t="s">
        <v>124</v>
      </c>
      <c r="G1930" s="67" t="s">
        <v>234</v>
      </c>
      <c r="H1930" s="69">
        <v>-0.75</v>
      </c>
    </row>
    <row r="1931" spans="6:8">
      <c r="F1931" s="68" t="s">
        <v>125</v>
      </c>
      <c r="G1931" s="67" t="s">
        <v>234</v>
      </c>
      <c r="H1931" s="69">
        <v>-1.2</v>
      </c>
    </row>
    <row r="1932" spans="6:8">
      <c r="F1932" s="68" t="s">
        <v>126</v>
      </c>
      <c r="G1932" s="67" t="s">
        <v>234</v>
      </c>
      <c r="H1932" s="69">
        <v>-0.55000000000000004</v>
      </c>
    </row>
    <row r="1933" spans="6:8">
      <c r="F1933" s="68" t="s">
        <v>127</v>
      </c>
      <c r="G1933" s="67" t="s">
        <v>234</v>
      </c>
      <c r="H1933" s="69">
        <v>-0.15</v>
      </c>
    </row>
    <row r="1934" spans="6:8">
      <c r="F1934" s="68" t="s">
        <v>128</v>
      </c>
      <c r="G1934" s="67" t="s">
        <v>234</v>
      </c>
      <c r="H1934" s="69">
        <v>-0.5</v>
      </c>
    </row>
    <row r="1935" spans="6:8">
      <c r="F1935" s="68" t="s">
        <v>129</v>
      </c>
      <c r="G1935" s="67" t="s">
        <v>234</v>
      </c>
      <c r="H1935" s="69">
        <v>-0.25</v>
      </c>
    </row>
    <row r="1936" spans="6:8">
      <c r="F1936" s="68" t="s">
        <v>130</v>
      </c>
      <c r="G1936" s="67" t="s">
        <v>234</v>
      </c>
      <c r="H1936" s="69">
        <v>-0.95</v>
      </c>
    </row>
    <row r="1937" spans="6:8">
      <c r="F1937" s="68" t="s">
        <v>131</v>
      </c>
      <c r="G1937" s="67" t="s">
        <v>234</v>
      </c>
      <c r="H1937" s="69">
        <v>-0.35</v>
      </c>
    </row>
    <row r="1938" spans="6:8">
      <c r="F1938" s="68" t="s">
        <v>132</v>
      </c>
      <c r="G1938" s="67" t="s">
        <v>234</v>
      </c>
      <c r="H1938" s="69">
        <v>-0.95</v>
      </c>
    </row>
    <row r="1939" spans="6:8">
      <c r="F1939" s="68" t="s">
        <v>133</v>
      </c>
      <c r="G1939" s="67" t="s">
        <v>234</v>
      </c>
      <c r="H1939" s="69">
        <v>-0.35</v>
      </c>
    </row>
    <row r="1940" spans="6:8">
      <c r="F1940" s="68" t="s">
        <v>134</v>
      </c>
      <c r="G1940" s="67" t="s">
        <v>234</v>
      </c>
      <c r="H1940" s="69">
        <v>-1</v>
      </c>
    </row>
    <row r="1941" spans="6:8">
      <c r="F1941" s="68" t="s">
        <v>135</v>
      </c>
      <c r="G1941" s="67" t="s">
        <v>234</v>
      </c>
      <c r="H1941" s="69">
        <v>-0.4</v>
      </c>
    </row>
    <row r="1942" spans="6:8">
      <c r="F1942" s="68" t="s">
        <v>136</v>
      </c>
      <c r="G1942" s="67" t="s">
        <v>234</v>
      </c>
      <c r="H1942" s="69">
        <v>-1</v>
      </c>
    </row>
    <row r="1943" spans="6:8">
      <c r="F1943" s="68" t="s">
        <v>137</v>
      </c>
      <c r="G1943" s="67" t="s">
        <v>234</v>
      </c>
      <c r="H1943" s="69">
        <v>-0.5</v>
      </c>
    </row>
    <row r="1944" spans="6:8">
      <c r="F1944" s="68" t="s">
        <v>138</v>
      </c>
      <c r="G1944" s="67" t="s">
        <v>234</v>
      </c>
      <c r="H1944" s="69">
        <v>-0.75</v>
      </c>
    </row>
    <row r="1945" spans="6:8">
      <c r="F1945" s="68" t="s">
        <v>138</v>
      </c>
      <c r="G1945" s="67" t="s">
        <v>235</v>
      </c>
      <c r="H1945" s="69">
        <v>-0.75</v>
      </c>
    </row>
    <row r="1946" spans="6:8">
      <c r="F1946" s="68" t="s">
        <v>137</v>
      </c>
      <c r="G1946" s="67" t="s">
        <v>235</v>
      </c>
      <c r="H1946" s="69">
        <v>-0.5</v>
      </c>
    </row>
    <row r="1947" spans="6:8">
      <c r="F1947" s="68" t="s">
        <v>136</v>
      </c>
      <c r="G1947" s="67" t="s">
        <v>235</v>
      </c>
      <c r="H1947" s="69">
        <v>-1</v>
      </c>
    </row>
    <row r="1948" spans="6:8">
      <c r="F1948" s="68" t="s">
        <v>135</v>
      </c>
      <c r="G1948" s="67" t="s">
        <v>235</v>
      </c>
      <c r="H1948" s="69">
        <v>-0.4</v>
      </c>
    </row>
    <row r="1949" spans="6:8">
      <c r="F1949" s="68" t="s">
        <v>134</v>
      </c>
      <c r="G1949" s="67" t="s">
        <v>235</v>
      </c>
      <c r="H1949" s="69">
        <v>-1</v>
      </c>
    </row>
    <row r="1950" spans="6:8">
      <c r="F1950" s="68" t="s">
        <v>133</v>
      </c>
      <c r="G1950" s="67" t="s">
        <v>235</v>
      </c>
      <c r="H1950" s="69">
        <v>-0.35</v>
      </c>
    </row>
    <row r="1951" spans="6:8">
      <c r="F1951" s="68" t="s">
        <v>132</v>
      </c>
      <c r="G1951" s="67" t="s">
        <v>235</v>
      </c>
      <c r="H1951" s="69">
        <v>-0.95</v>
      </c>
    </row>
    <row r="1952" spans="6:8">
      <c r="F1952" s="68" t="s">
        <v>131</v>
      </c>
      <c r="G1952" s="67" t="s">
        <v>235</v>
      </c>
      <c r="H1952" s="69">
        <v>-0.35</v>
      </c>
    </row>
    <row r="1953" spans="6:8">
      <c r="F1953" s="68" t="s">
        <v>130</v>
      </c>
      <c r="G1953" s="67" t="s">
        <v>235</v>
      </c>
      <c r="H1953" s="69">
        <v>-0.95</v>
      </c>
    </row>
    <row r="1954" spans="6:8">
      <c r="F1954" s="68" t="s">
        <v>129</v>
      </c>
      <c r="G1954" s="67" t="s">
        <v>235</v>
      </c>
      <c r="H1954" s="69">
        <v>-0.25</v>
      </c>
    </row>
    <row r="1955" spans="6:8">
      <c r="F1955" s="68" t="s">
        <v>128</v>
      </c>
      <c r="G1955" s="67" t="s">
        <v>235</v>
      </c>
      <c r="H1955" s="69">
        <v>-0.5</v>
      </c>
    </row>
    <row r="1956" spans="6:8">
      <c r="F1956" s="68" t="s">
        <v>127</v>
      </c>
      <c r="G1956" s="67" t="s">
        <v>235</v>
      </c>
      <c r="H1956" s="69">
        <v>-0.15</v>
      </c>
    </row>
    <row r="1957" spans="6:8">
      <c r="F1957" s="68" t="s">
        <v>126</v>
      </c>
      <c r="G1957" s="67" t="s">
        <v>235</v>
      </c>
      <c r="H1957" s="69">
        <v>-0.55000000000000004</v>
      </c>
    </row>
    <row r="1958" spans="6:8">
      <c r="F1958" s="68" t="s">
        <v>125</v>
      </c>
      <c r="G1958" s="67" t="s">
        <v>235</v>
      </c>
      <c r="H1958" s="69">
        <v>-1.1499999999999999</v>
      </c>
    </row>
    <row r="1959" spans="6:8">
      <c r="F1959" s="68" t="s">
        <v>124</v>
      </c>
      <c r="G1959" s="67" t="s">
        <v>235</v>
      </c>
      <c r="H1959" s="69">
        <v>-0.75</v>
      </c>
    </row>
    <row r="1960" spans="6:8">
      <c r="F1960" s="68" t="s">
        <v>123</v>
      </c>
      <c r="G1960" s="67" t="s">
        <v>235</v>
      </c>
      <c r="H1960" s="69">
        <v>-0.6</v>
      </c>
    </row>
    <row r="1961" spans="6:8">
      <c r="F1961" s="68" t="s">
        <v>122</v>
      </c>
      <c r="G1961" s="67" t="s">
        <v>235</v>
      </c>
      <c r="H1961" s="69">
        <v>-1.05</v>
      </c>
    </row>
    <row r="1962" spans="6:8">
      <c r="F1962" s="68" t="s">
        <v>121</v>
      </c>
      <c r="G1962" s="67" t="s">
        <v>235</v>
      </c>
      <c r="H1962" s="69">
        <v>-0.8</v>
      </c>
    </row>
    <row r="1963" spans="6:8">
      <c r="F1963" s="68" t="s">
        <v>120</v>
      </c>
      <c r="G1963" s="67" t="s">
        <v>235</v>
      </c>
      <c r="H1963" s="69">
        <v>-0.5</v>
      </c>
    </row>
    <row r="1964" spans="6:8">
      <c r="F1964" s="68" t="s">
        <v>119</v>
      </c>
      <c r="G1964" s="67" t="s">
        <v>235</v>
      </c>
      <c r="H1964" s="69">
        <v>-1</v>
      </c>
    </row>
    <row r="1965" spans="6:8">
      <c r="F1965" s="68" t="s">
        <v>119</v>
      </c>
      <c r="G1965" s="67" t="s">
        <v>236</v>
      </c>
      <c r="H1965" s="69">
        <v>-0.9</v>
      </c>
    </row>
    <row r="1966" spans="6:8">
      <c r="F1966" s="68" t="s">
        <v>120</v>
      </c>
      <c r="G1966" s="67" t="s">
        <v>236</v>
      </c>
      <c r="H1966" s="69">
        <v>-0.5</v>
      </c>
    </row>
    <row r="1967" spans="6:8">
      <c r="F1967" s="68" t="s">
        <v>121</v>
      </c>
      <c r="G1967" s="67" t="s">
        <v>236</v>
      </c>
      <c r="H1967" s="69">
        <v>-0.7</v>
      </c>
    </row>
    <row r="1968" spans="6:8">
      <c r="F1968" s="68" t="s">
        <v>122</v>
      </c>
      <c r="G1968" s="67" t="s">
        <v>236</v>
      </c>
      <c r="H1968" s="69">
        <v>-0.95</v>
      </c>
    </row>
    <row r="1969" spans="6:8">
      <c r="F1969" s="68" t="s">
        <v>123</v>
      </c>
      <c r="G1969" s="67" t="s">
        <v>236</v>
      </c>
      <c r="H1969" s="69">
        <v>-0.6</v>
      </c>
    </row>
    <row r="1970" spans="6:8">
      <c r="F1970" s="68" t="s">
        <v>124</v>
      </c>
      <c r="G1970" s="67" t="s">
        <v>236</v>
      </c>
      <c r="H1970" s="69">
        <v>-0.65</v>
      </c>
    </row>
    <row r="1971" spans="6:8">
      <c r="F1971" s="68" t="s">
        <v>125</v>
      </c>
      <c r="G1971" s="67" t="s">
        <v>236</v>
      </c>
      <c r="H1971" s="69">
        <v>-1.05</v>
      </c>
    </row>
    <row r="1972" spans="6:8">
      <c r="F1972" s="68" t="s">
        <v>126</v>
      </c>
      <c r="G1972" s="67" t="s">
        <v>236</v>
      </c>
      <c r="H1972" s="69">
        <v>-0.55000000000000004</v>
      </c>
    </row>
    <row r="1973" spans="6:8">
      <c r="F1973" s="68" t="s">
        <v>127</v>
      </c>
      <c r="G1973" s="67" t="s">
        <v>236</v>
      </c>
      <c r="H1973" s="69">
        <v>-0.15</v>
      </c>
    </row>
    <row r="1974" spans="6:8">
      <c r="F1974" s="68" t="s">
        <v>128</v>
      </c>
      <c r="G1974" s="67" t="s">
        <v>236</v>
      </c>
      <c r="H1974" s="69">
        <v>-0.5</v>
      </c>
    </row>
    <row r="1975" spans="6:8">
      <c r="F1975" s="68" t="s">
        <v>129</v>
      </c>
      <c r="G1975" s="67" t="s">
        <v>236</v>
      </c>
      <c r="H1975" s="69">
        <v>-0.25</v>
      </c>
    </row>
    <row r="1976" spans="6:8">
      <c r="F1976" s="68" t="s">
        <v>130</v>
      </c>
      <c r="G1976" s="67" t="s">
        <v>236</v>
      </c>
      <c r="H1976" s="69">
        <v>-0.85</v>
      </c>
    </row>
    <row r="1977" spans="6:8">
      <c r="F1977" s="68" t="s">
        <v>131</v>
      </c>
      <c r="G1977" s="67" t="s">
        <v>236</v>
      </c>
      <c r="H1977" s="69">
        <v>-0.35</v>
      </c>
    </row>
    <row r="1978" spans="6:8">
      <c r="F1978" s="68" t="s">
        <v>132</v>
      </c>
      <c r="G1978" s="67" t="s">
        <v>236</v>
      </c>
      <c r="H1978" s="69">
        <v>-0.85</v>
      </c>
    </row>
    <row r="1979" spans="6:8">
      <c r="F1979" s="68" t="s">
        <v>133</v>
      </c>
      <c r="G1979" s="67" t="s">
        <v>236</v>
      </c>
      <c r="H1979" s="69">
        <v>-0.35</v>
      </c>
    </row>
    <row r="1980" spans="6:8">
      <c r="F1980" s="68" t="s">
        <v>134</v>
      </c>
      <c r="G1980" s="67" t="s">
        <v>236</v>
      </c>
      <c r="H1980" s="69">
        <v>-0.9</v>
      </c>
    </row>
    <row r="1981" spans="6:8">
      <c r="F1981" s="68" t="s">
        <v>135</v>
      </c>
      <c r="G1981" s="67" t="s">
        <v>236</v>
      </c>
      <c r="H1981" s="69">
        <v>-0.4</v>
      </c>
    </row>
    <row r="1982" spans="6:8">
      <c r="F1982" s="68" t="s">
        <v>136</v>
      </c>
      <c r="G1982" s="67" t="s">
        <v>236</v>
      </c>
      <c r="H1982" s="69">
        <v>-0.9</v>
      </c>
    </row>
    <row r="1983" spans="6:8">
      <c r="F1983" s="68" t="s">
        <v>137</v>
      </c>
      <c r="G1983" s="67" t="s">
        <v>236</v>
      </c>
      <c r="H1983" s="69">
        <v>-0.5</v>
      </c>
    </row>
    <row r="1984" spans="6:8">
      <c r="F1984" s="68" t="s">
        <v>138</v>
      </c>
      <c r="G1984" s="67" t="s">
        <v>236</v>
      </c>
      <c r="H1984" s="69">
        <v>-0.65</v>
      </c>
    </row>
    <row r="1985" spans="6:8">
      <c r="F1985" s="68" t="s">
        <v>138</v>
      </c>
      <c r="G1985" s="67" t="s">
        <v>237</v>
      </c>
      <c r="H1985" s="69">
        <v>-0.7</v>
      </c>
    </row>
    <row r="1986" spans="6:8">
      <c r="F1986" s="68" t="s">
        <v>137</v>
      </c>
      <c r="G1986" s="67" t="s">
        <v>237</v>
      </c>
      <c r="H1986" s="69">
        <v>-0.55000000000000004</v>
      </c>
    </row>
    <row r="1987" spans="6:8">
      <c r="F1987" s="68" t="s">
        <v>136</v>
      </c>
      <c r="G1987" s="67" t="s">
        <v>237</v>
      </c>
      <c r="H1987" s="69">
        <v>-0.95</v>
      </c>
    </row>
    <row r="1988" spans="6:8">
      <c r="F1988" s="68" t="s">
        <v>135</v>
      </c>
      <c r="G1988" s="67" t="s">
        <v>237</v>
      </c>
      <c r="H1988" s="69">
        <v>-0.4</v>
      </c>
    </row>
    <row r="1989" spans="6:8">
      <c r="F1989" s="68" t="s">
        <v>134</v>
      </c>
      <c r="G1989" s="67" t="s">
        <v>237</v>
      </c>
      <c r="H1989" s="69">
        <v>-0.95</v>
      </c>
    </row>
    <row r="1990" spans="6:8">
      <c r="F1990" s="68" t="s">
        <v>133</v>
      </c>
      <c r="G1990" s="67" t="s">
        <v>237</v>
      </c>
      <c r="H1990" s="69">
        <v>-0.35</v>
      </c>
    </row>
    <row r="1991" spans="6:8">
      <c r="F1991" s="68" t="s">
        <v>132</v>
      </c>
      <c r="G1991" s="67" t="s">
        <v>237</v>
      </c>
      <c r="H1991" s="69">
        <v>-0.9</v>
      </c>
    </row>
    <row r="1992" spans="6:8">
      <c r="F1992" s="68" t="s">
        <v>131</v>
      </c>
      <c r="G1992" s="67" t="s">
        <v>237</v>
      </c>
      <c r="H1992" s="69">
        <v>-0.35</v>
      </c>
    </row>
    <row r="1993" spans="6:8">
      <c r="F1993" s="68" t="s">
        <v>130</v>
      </c>
      <c r="G1993" s="67" t="s">
        <v>237</v>
      </c>
      <c r="H1993" s="69">
        <v>-0.9</v>
      </c>
    </row>
    <row r="1994" spans="6:8">
      <c r="F1994" s="68" t="s">
        <v>129</v>
      </c>
      <c r="G1994" s="67" t="s">
        <v>237</v>
      </c>
      <c r="H1994" s="69">
        <v>-0.25</v>
      </c>
    </row>
    <row r="1995" spans="6:8">
      <c r="F1995" s="68" t="s">
        <v>128</v>
      </c>
      <c r="G1995" s="67" t="s">
        <v>237</v>
      </c>
      <c r="H1995" s="69">
        <v>-0.55000000000000004</v>
      </c>
    </row>
    <row r="1996" spans="6:8">
      <c r="F1996" s="68" t="s">
        <v>127</v>
      </c>
      <c r="G1996" s="67" t="s">
        <v>237</v>
      </c>
      <c r="H1996" s="69">
        <v>-0.15</v>
      </c>
    </row>
    <row r="1997" spans="6:8">
      <c r="F1997" s="68" t="s">
        <v>126</v>
      </c>
      <c r="G1997" s="67" t="s">
        <v>237</v>
      </c>
      <c r="H1997" s="69">
        <v>-0.6</v>
      </c>
    </row>
    <row r="1998" spans="6:8">
      <c r="F1998" s="68" t="s">
        <v>125</v>
      </c>
      <c r="G1998" s="67" t="s">
        <v>237</v>
      </c>
      <c r="H1998" s="69">
        <v>-1.1000000000000001</v>
      </c>
    </row>
    <row r="1999" spans="6:8">
      <c r="F1999" s="68" t="s">
        <v>124</v>
      </c>
      <c r="G1999" s="67" t="s">
        <v>237</v>
      </c>
      <c r="H1999" s="69">
        <v>-0.7</v>
      </c>
    </row>
    <row r="2000" spans="6:8">
      <c r="F2000" s="68" t="s">
        <v>123</v>
      </c>
      <c r="G2000" s="67" t="s">
        <v>237</v>
      </c>
      <c r="H2000" s="69">
        <v>-0.65</v>
      </c>
    </row>
    <row r="2001" spans="6:8">
      <c r="F2001" s="68" t="s">
        <v>122</v>
      </c>
      <c r="G2001" s="67" t="s">
        <v>237</v>
      </c>
      <c r="H2001" s="69">
        <v>-1</v>
      </c>
    </row>
    <row r="2002" spans="6:8">
      <c r="F2002" s="68" t="s">
        <v>121</v>
      </c>
      <c r="G2002" s="67" t="s">
        <v>237</v>
      </c>
      <c r="H2002" s="69">
        <v>-0.75</v>
      </c>
    </row>
    <row r="2003" spans="6:8">
      <c r="F2003" s="68" t="s">
        <v>120</v>
      </c>
      <c r="G2003" s="67" t="s">
        <v>237</v>
      </c>
      <c r="H2003" s="69">
        <v>-0.55000000000000004</v>
      </c>
    </row>
    <row r="2004" spans="6:8">
      <c r="F2004" s="68" t="s">
        <v>119</v>
      </c>
      <c r="G2004" s="67" t="s">
        <v>237</v>
      </c>
      <c r="H2004" s="69">
        <v>-0.95</v>
      </c>
    </row>
    <row r="2005" spans="6:8">
      <c r="F2005" s="68" t="s">
        <v>119</v>
      </c>
      <c r="G2005" s="67" t="s">
        <v>238</v>
      </c>
      <c r="H2005" s="69">
        <v>-0.9</v>
      </c>
    </row>
    <row r="2006" spans="6:8">
      <c r="F2006" s="68" t="s">
        <v>120</v>
      </c>
      <c r="G2006" s="67" t="s">
        <v>238</v>
      </c>
      <c r="H2006" s="69">
        <v>-0.5</v>
      </c>
    </row>
    <row r="2007" spans="6:8">
      <c r="F2007" s="68" t="s">
        <v>121</v>
      </c>
      <c r="G2007" s="67" t="s">
        <v>238</v>
      </c>
      <c r="H2007" s="69">
        <v>-0.7</v>
      </c>
    </row>
    <row r="2008" spans="6:8">
      <c r="F2008" s="68" t="s">
        <v>122</v>
      </c>
      <c r="G2008" s="67" t="s">
        <v>238</v>
      </c>
      <c r="H2008" s="69">
        <v>-0.95</v>
      </c>
    </row>
    <row r="2009" spans="6:8">
      <c r="F2009" s="68" t="s">
        <v>123</v>
      </c>
      <c r="G2009" s="67" t="s">
        <v>238</v>
      </c>
      <c r="H2009" s="69">
        <v>-0.6</v>
      </c>
    </row>
    <row r="2010" spans="6:8">
      <c r="F2010" s="68" t="s">
        <v>124</v>
      </c>
      <c r="G2010" s="67" t="s">
        <v>238</v>
      </c>
      <c r="H2010" s="69">
        <v>-0.65</v>
      </c>
    </row>
    <row r="2011" spans="6:8">
      <c r="F2011" s="68" t="s">
        <v>125</v>
      </c>
      <c r="G2011" s="67" t="s">
        <v>238</v>
      </c>
      <c r="H2011" s="69">
        <v>-1.05</v>
      </c>
    </row>
    <row r="2012" spans="6:8">
      <c r="F2012" s="68" t="s">
        <v>126</v>
      </c>
      <c r="G2012" s="67" t="s">
        <v>238</v>
      </c>
      <c r="H2012" s="69">
        <v>-0.55000000000000004</v>
      </c>
    </row>
    <row r="2013" spans="6:8">
      <c r="F2013" s="68" t="s">
        <v>127</v>
      </c>
      <c r="G2013" s="67" t="s">
        <v>238</v>
      </c>
      <c r="H2013" s="69">
        <v>-0.15</v>
      </c>
    </row>
    <row r="2014" spans="6:8">
      <c r="F2014" s="68" t="s">
        <v>128</v>
      </c>
      <c r="G2014" s="67" t="s">
        <v>238</v>
      </c>
      <c r="H2014" s="69">
        <v>-0.5</v>
      </c>
    </row>
    <row r="2015" spans="6:8">
      <c r="F2015" s="68" t="s">
        <v>129</v>
      </c>
      <c r="G2015" s="67" t="s">
        <v>238</v>
      </c>
      <c r="H2015" s="69">
        <v>-0.25</v>
      </c>
    </row>
    <row r="2016" spans="6:8">
      <c r="F2016" s="68" t="s">
        <v>130</v>
      </c>
      <c r="G2016" s="67" t="s">
        <v>238</v>
      </c>
      <c r="H2016" s="69">
        <v>-0.85</v>
      </c>
    </row>
    <row r="2017" spans="6:8">
      <c r="F2017" s="68" t="s">
        <v>131</v>
      </c>
      <c r="G2017" s="67" t="s">
        <v>238</v>
      </c>
      <c r="H2017" s="69">
        <v>-0.35</v>
      </c>
    </row>
    <row r="2018" spans="6:8">
      <c r="F2018" s="68" t="s">
        <v>132</v>
      </c>
      <c r="G2018" s="67" t="s">
        <v>238</v>
      </c>
      <c r="H2018" s="69">
        <v>-0.85</v>
      </c>
    </row>
    <row r="2019" spans="6:8">
      <c r="F2019" s="68" t="s">
        <v>133</v>
      </c>
      <c r="G2019" s="67" t="s">
        <v>238</v>
      </c>
      <c r="H2019" s="69">
        <v>-0.35</v>
      </c>
    </row>
    <row r="2020" spans="6:8">
      <c r="F2020" s="68" t="s">
        <v>134</v>
      </c>
      <c r="G2020" s="67" t="s">
        <v>238</v>
      </c>
      <c r="H2020" s="69">
        <v>-0.9</v>
      </c>
    </row>
    <row r="2021" spans="6:8">
      <c r="F2021" s="68" t="s">
        <v>135</v>
      </c>
      <c r="G2021" s="67" t="s">
        <v>238</v>
      </c>
      <c r="H2021" s="69">
        <v>-0.4</v>
      </c>
    </row>
    <row r="2022" spans="6:8">
      <c r="F2022" s="68" t="s">
        <v>136</v>
      </c>
      <c r="G2022" s="67" t="s">
        <v>238</v>
      </c>
      <c r="H2022" s="69">
        <v>-0.9</v>
      </c>
    </row>
    <row r="2023" spans="6:8">
      <c r="F2023" s="68" t="s">
        <v>137</v>
      </c>
      <c r="G2023" s="67" t="s">
        <v>238</v>
      </c>
      <c r="H2023" s="69">
        <v>-0.5</v>
      </c>
    </row>
    <row r="2024" spans="6:8">
      <c r="F2024" s="68" t="s">
        <v>138</v>
      </c>
      <c r="G2024" s="67" t="s">
        <v>238</v>
      </c>
      <c r="H2024" s="69">
        <v>-0.65</v>
      </c>
    </row>
    <row r="2025" spans="6:8">
      <c r="F2025" s="68" t="s">
        <v>138</v>
      </c>
      <c r="G2025" s="67" t="s">
        <v>239</v>
      </c>
      <c r="H2025" s="69">
        <v>-0.7</v>
      </c>
    </row>
    <row r="2026" spans="6:8">
      <c r="F2026" s="68" t="s">
        <v>137</v>
      </c>
      <c r="G2026" s="67" t="s">
        <v>239</v>
      </c>
      <c r="H2026" s="69">
        <v>-0.55000000000000004</v>
      </c>
    </row>
    <row r="2027" spans="6:8">
      <c r="F2027" s="68" t="s">
        <v>136</v>
      </c>
      <c r="G2027" s="67" t="s">
        <v>239</v>
      </c>
      <c r="H2027" s="69">
        <v>-0.95</v>
      </c>
    </row>
    <row r="2028" spans="6:8">
      <c r="F2028" s="68" t="s">
        <v>135</v>
      </c>
      <c r="G2028" s="67" t="s">
        <v>239</v>
      </c>
      <c r="H2028" s="69">
        <v>-0.4</v>
      </c>
    </row>
    <row r="2029" spans="6:8">
      <c r="F2029" s="68" t="s">
        <v>134</v>
      </c>
      <c r="G2029" s="67" t="s">
        <v>239</v>
      </c>
      <c r="H2029" s="69">
        <v>-0.95</v>
      </c>
    </row>
    <row r="2030" spans="6:8">
      <c r="F2030" s="68" t="s">
        <v>133</v>
      </c>
      <c r="G2030" s="67" t="s">
        <v>239</v>
      </c>
      <c r="H2030" s="69">
        <v>-0.35</v>
      </c>
    </row>
    <row r="2031" spans="6:8">
      <c r="F2031" s="68" t="s">
        <v>132</v>
      </c>
      <c r="G2031" s="67" t="s">
        <v>239</v>
      </c>
      <c r="H2031" s="69">
        <v>-0.9</v>
      </c>
    </row>
    <row r="2032" spans="6:8">
      <c r="F2032" s="68" t="s">
        <v>131</v>
      </c>
      <c r="G2032" s="67" t="s">
        <v>239</v>
      </c>
      <c r="H2032" s="69">
        <v>-0.35</v>
      </c>
    </row>
    <row r="2033" spans="6:8">
      <c r="F2033" s="68" t="s">
        <v>130</v>
      </c>
      <c r="G2033" s="67" t="s">
        <v>239</v>
      </c>
      <c r="H2033" s="69">
        <v>-0.9</v>
      </c>
    </row>
    <row r="2034" spans="6:8">
      <c r="F2034" s="68" t="s">
        <v>129</v>
      </c>
      <c r="G2034" s="67" t="s">
        <v>239</v>
      </c>
      <c r="H2034" s="69">
        <v>-0.25</v>
      </c>
    </row>
    <row r="2035" spans="6:8">
      <c r="F2035" s="68" t="s">
        <v>128</v>
      </c>
      <c r="G2035" s="67" t="s">
        <v>239</v>
      </c>
      <c r="H2035" s="69">
        <v>-0.55000000000000004</v>
      </c>
    </row>
    <row r="2036" spans="6:8">
      <c r="F2036" s="68" t="s">
        <v>127</v>
      </c>
      <c r="G2036" s="67" t="s">
        <v>239</v>
      </c>
      <c r="H2036" s="69">
        <v>-0.15</v>
      </c>
    </row>
    <row r="2037" spans="6:8">
      <c r="F2037" s="68" t="s">
        <v>126</v>
      </c>
      <c r="G2037" s="67" t="s">
        <v>239</v>
      </c>
      <c r="H2037" s="69">
        <v>-0.6</v>
      </c>
    </row>
    <row r="2038" spans="6:8">
      <c r="F2038" s="68" t="s">
        <v>125</v>
      </c>
      <c r="G2038" s="67" t="s">
        <v>239</v>
      </c>
      <c r="H2038" s="69">
        <v>-1.1000000000000001</v>
      </c>
    </row>
    <row r="2039" spans="6:8">
      <c r="F2039" s="68" t="s">
        <v>124</v>
      </c>
      <c r="G2039" s="67" t="s">
        <v>239</v>
      </c>
      <c r="H2039" s="69">
        <v>-0.7</v>
      </c>
    </row>
    <row r="2040" spans="6:8">
      <c r="F2040" s="68" t="s">
        <v>123</v>
      </c>
      <c r="G2040" s="67" t="s">
        <v>239</v>
      </c>
      <c r="H2040" s="69">
        <v>-0.65</v>
      </c>
    </row>
    <row r="2041" spans="6:8">
      <c r="F2041" s="68" t="s">
        <v>122</v>
      </c>
      <c r="G2041" s="67" t="s">
        <v>239</v>
      </c>
      <c r="H2041" s="69">
        <v>-1</v>
      </c>
    </row>
    <row r="2042" spans="6:8">
      <c r="F2042" s="68" t="s">
        <v>121</v>
      </c>
      <c r="G2042" s="67" t="s">
        <v>239</v>
      </c>
      <c r="H2042" s="69">
        <v>-0.75</v>
      </c>
    </row>
    <row r="2043" spans="6:8">
      <c r="F2043" s="68" t="s">
        <v>120</v>
      </c>
      <c r="G2043" s="67" t="s">
        <v>239</v>
      </c>
      <c r="H2043" s="69">
        <v>-0.55000000000000004</v>
      </c>
    </row>
    <row r="2044" spans="6:8">
      <c r="F2044" s="68" t="s">
        <v>119</v>
      </c>
      <c r="G2044" s="67" t="s">
        <v>239</v>
      </c>
      <c r="H2044" s="69">
        <v>-0.95</v>
      </c>
    </row>
    <row r="2045" spans="6:8">
      <c r="F2045" s="68" t="s">
        <v>119</v>
      </c>
      <c r="G2045" s="67" t="s">
        <v>240</v>
      </c>
      <c r="H2045" s="69">
        <v>-0.95</v>
      </c>
    </row>
    <row r="2046" spans="6:8">
      <c r="F2046" s="68" t="s">
        <v>120</v>
      </c>
      <c r="G2046" s="67" t="s">
        <v>240</v>
      </c>
      <c r="H2046" s="69">
        <v>-0.55000000000000004</v>
      </c>
    </row>
    <row r="2047" spans="6:8">
      <c r="F2047" s="68" t="s">
        <v>121</v>
      </c>
      <c r="G2047" s="67" t="s">
        <v>240</v>
      </c>
      <c r="H2047" s="69">
        <v>-0.75</v>
      </c>
    </row>
    <row r="2048" spans="6:8">
      <c r="F2048" s="68" t="s">
        <v>122</v>
      </c>
      <c r="G2048" s="67" t="s">
        <v>240</v>
      </c>
      <c r="H2048" s="69">
        <v>-1</v>
      </c>
    </row>
    <row r="2049" spans="6:8">
      <c r="F2049" s="68" t="s">
        <v>123</v>
      </c>
      <c r="G2049" s="67" t="s">
        <v>240</v>
      </c>
      <c r="H2049" s="69">
        <v>-0.65</v>
      </c>
    </row>
    <row r="2050" spans="6:8">
      <c r="F2050" s="68" t="s">
        <v>124</v>
      </c>
      <c r="G2050" s="67" t="s">
        <v>240</v>
      </c>
      <c r="H2050" s="69">
        <v>-0.7</v>
      </c>
    </row>
    <row r="2051" spans="6:8">
      <c r="F2051" s="68" t="s">
        <v>125</v>
      </c>
      <c r="G2051" s="67" t="s">
        <v>240</v>
      </c>
      <c r="H2051" s="69">
        <v>-1.1000000000000001</v>
      </c>
    </row>
    <row r="2052" spans="6:8">
      <c r="F2052" s="68" t="s">
        <v>126</v>
      </c>
      <c r="G2052" s="67" t="s">
        <v>240</v>
      </c>
      <c r="H2052" s="69">
        <v>-0.6</v>
      </c>
    </row>
    <row r="2053" spans="6:8">
      <c r="F2053" s="68" t="s">
        <v>127</v>
      </c>
      <c r="G2053" s="67" t="s">
        <v>240</v>
      </c>
      <c r="H2053" s="69">
        <v>-0.15</v>
      </c>
    </row>
    <row r="2054" spans="6:8">
      <c r="F2054" s="68" t="s">
        <v>128</v>
      </c>
      <c r="G2054" s="67" t="s">
        <v>240</v>
      </c>
      <c r="H2054" s="69">
        <v>-0.55000000000000004</v>
      </c>
    </row>
    <row r="2055" spans="6:8">
      <c r="F2055" s="68" t="s">
        <v>129</v>
      </c>
      <c r="G2055" s="67" t="s">
        <v>240</v>
      </c>
      <c r="H2055" s="69">
        <v>-0.25</v>
      </c>
    </row>
    <row r="2056" spans="6:8">
      <c r="F2056" s="68" t="s">
        <v>130</v>
      </c>
      <c r="G2056" s="67" t="s">
        <v>240</v>
      </c>
      <c r="H2056" s="69">
        <v>-0.9</v>
      </c>
    </row>
    <row r="2057" spans="6:8">
      <c r="F2057" s="68" t="s">
        <v>131</v>
      </c>
      <c r="G2057" s="67" t="s">
        <v>240</v>
      </c>
      <c r="H2057" s="69">
        <v>-0.35</v>
      </c>
    </row>
    <row r="2058" spans="6:8">
      <c r="F2058" s="68" t="s">
        <v>132</v>
      </c>
      <c r="G2058" s="67" t="s">
        <v>240</v>
      </c>
      <c r="H2058" s="69">
        <v>-0.9</v>
      </c>
    </row>
    <row r="2059" spans="6:8">
      <c r="F2059" s="68" t="s">
        <v>133</v>
      </c>
      <c r="G2059" s="67" t="s">
        <v>240</v>
      </c>
      <c r="H2059" s="69">
        <v>-0.35</v>
      </c>
    </row>
    <row r="2060" spans="6:8">
      <c r="F2060" s="68" t="s">
        <v>134</v>
      </c>
      <c r="G2060" s="67" t="s">
        <v>240</v>
      </c>
      <c r="H2060" s="69">
        <v>-0.95</v>
      </c>
    </row>
    <row r="2061" spans="6:8">
      <c r="F2061" s="68" t="s">
        <v>135</v>
      </c>
      <c r="G2061" s="67" t="s">
        <v>240</v>
      </c>
      <c r="H2061" s="69">
        <v>-0.4</v>
      </c>
    </row>
    <row r="2062" spans="6:8">
      <c r="F2062" s="68" t="s">
        <v>136</v>
      </c>
      <c r="G2062" s="67" t="s">
        <v>240</v>
      </c>
      <c r="H2062" s="69">
        <v>-0.95</v>
      </c>
    </row>
    <row r="2063" spans="6:8">
      <c r="F2063" s="68" t="s">
        <v>137</v>
      </c>
      <c r="G2063" s="67" t="s">
        <v>240</v>
      </c>
      <c r="H2063" s="69">
        <v>-0.55000000000000004</v>
      </c>
    </row>
    <row r="2064" spans="6:8">
      <c r="F2064" s="68" t="s">
        <v>138</v>
      </c>
      <c r="G2064" s="67" t="s">
        <v>240</v>
      </c>
      <c r="H2064" s="69">
        <v>-0.7</v>
      </c>
    </row>
    <row r="2065" spans="6:8">
      <c r="F2065" s="68" t="s">
        <v>138</v>
      </c>
      <c r="G2065" s="67" t="s">
        <v>241</v>
      </c>
      <c r="H2065" s="69">
        <v>-0.75</v>
      </c>
    </row>
    <row r="2066" spans="6:8">
      <c r="F2066" s="68" t="s">
        <v>137</v>
      </c>
      <c r="G2066" s="67" t="s">
        <v>241</v>
      </c>
      <c r="H2066" s="69">
        <v>-0.55000000000000004</v>
      </c>
    </row>
    <row r="2067" spans="6:8">
      <c r="F2067" s="68" t="s">
        <v>136</v>
      </c>
      <c r="G2067" s="67" t="s">
        <v>241</v>
      </c>
      <c r="H2067" s="69">
        <v>-1</v>
      </c>
    </row>
    <row r="2068" spans="6:8">
      <c r="F2068" s="68" t="s">
        <v>135</v>
      </c>
      <c r="G2068" s="67" t="s">
        <v>241</v>
      </c>
      <c r="H2068" s="69">
        <v>-0.4</v>
      </c>
    </row>
    <row r="2069" spans="6:8">
      <c r="F2069" s="68" t="s">
        <v>134</v>
      </c>
      <c r="G2069" s="67" t="s">
        <v>241</v>
      </c>
      <c r="H2069" s="69">
        <v>-1</v>
      </c>
    </row>
    <row r="2070" spans="6:8">
      <c r="F2070" s="68" t="s">
        <v>133</v>
      </c>
      <c r="G2070" s="67" t="s">
        <v>241</v>
      </c>
      <c r="H2070" s="69">
        <v>-0.35</v>
      </c>
    </row>
    <row r="2071" spans="6:8">
      <c r="F2071" s="68" t="s">
        <v>132</v>
      </c>
      <c r="G2071" s="67" t="s">
        <v>241</v>
      </c>
      <c r="H2071" s="69">
        <v>-0.95</v>
      </c>
    </row>
    <row r="2072" spans="6:8">
      <c r="F2072" s="68" t="s">
        <v>131</v>
      </c>
      <c r="G2072" s="67" t="s">
        <v>241</v>
      </c>
      <c r="H2072" s="69">
        <v>-0.35</v>
      </c>
    </row>
    <row r="2073" spans="6:8">
      <c r="F2073" s="68" t="s">
        <v>130</v>
      </c>
      <c r="G2073" s="67" t="s">
        <v>241</v>
      </c>
      <c r="H2073" s="69">
        <v>-0.95</v>
      </c>
    </row>
    <row r="2074" spans="6:8">
      <c r="F2074" s="68" t="s">
        <v>129</v>
      </c>
      <c r="G2074" s="67" t="s">
        <v>241</v>
      </c>
      <c r="H2074" s="69">
        <v>-0.25</v>
      </c>
    </row>
    <row r="2075" spans="6:8">
      <c r="F2075" s="68" t="s">
        <v>128</v>
      </c>
      <c r="G2075" s="67" t="s">
        <v>241</v>
      </c>
      <c r="H2075" s="69">
        <v>-0.55000000000000004</v>
      </c>
    </row>
    <row r="2076" spans="6:8">
      <c r="F2076" s="68" t="s">
        <v>127</v>
      </c>
      <c r="G2076" s="67" t="s">
        <v>241</v>
      </c>
      <c r="H2076" s="69">
        <v>-0.15</v>
      </c>
    </row>
    <row r="2077" spans="6:8">
      <c r="F2077" s="68" t="s">
        <v>126</v>
      </c>
      <c r="G2077" s="67" t="s">
        <v>241</v>
      </c>
      <c r="H2077" s="69">
        <v>-0.6</v>
      </c>
    </row>
    <row r="2078" spans="6:8">
      <c r="F2078" s="68" t="s">
        <v>125</v>
      </c>
      <c r="G2078" s="67" t="s">
        <v>241</v>
      </c>
      <c r="H2078" s="69">
        <v>-1.1499999999999999</v>
      </c>
    </row>
    <row r="2079" spans="6:8">
      <c r="F2079" s="68" t="s">
        <v>124</v>
      </c>
      <c r="G2079" s="67" t="s">
        <v>241</v>
      </c>
      <c r="H2079" s="69">
        <v>-0.75</v>
      </c>
    </row>
    <row r="2080" spans="6:8">
      <c r="F2080" s="68" t="s">
        <v>123</v>
      </c>
      <c r="G2080" s="67" t="s">
        <v>241</v>
      </c>
      <c r="H2080" s="69">
        <v>-0.65</v>
      </c>
    </row>
    <row r="2081" spans="6:8">
      <c r="F2081" s="68" t="s">
        <v>122</v>
      </c>
      <c r="G2081" s="67" t="s">
        <v>241</v>
      </c>
      <c r="H2081" s="69">
        <v>-1.05</v>
      </c>
    </row>
    <row r="2082" spans="6:8">
      <c r="F2082" s="68" t="s">
        <v>121</v>
      </c>
      <c r="G2082" s="67" t="s">
        <v>241</v>
      </c>
      <c r="H2082" s="69">
        <v>-0.8</v>
      </c>
    </row>
    <row r="2083" spans="6:8">
      <c r="F2083" s="68" t="s">
        <v>120</v>
      </c>
      <c r="G2083" s="67" t="s">
        <v>241</v>
      </c>
      <c r="H2083" s="69">
        <v>-0.55000000000000004</v>
      </c>
    </row>
    <row r="2084" spans="6:8">
      <c r="F2084" s="68" t="s">
        <v>119</v>
      </c>
      <c r="G2084" s="67" t="s">
        <v>241</v>
      </c>
      <c r="H2084" s="69">
        <v>-1</v>
      </c>
    </row>
    <row r="2085" spans="6:8">
      <c r="F2085" s="68" t="s">
        <v>119</v>
      </c>
      <c r="G2085" s="67" t="s">
        <v>242</v>
      </c>
      <c r="H2085" s="69">
        <v>-1</v>
      </c>
    </row>
    <row r="2086" spans="6:8">
      <c r="F2086" s="68" t="s">
        <v>120</v>
      </c>
      <c r="G2086" s="67" t="s">
        <v>242</v>
      </c>
      <c r="H2086" s="69">
        <v>-0.55000000000000004</v>
      </c>
    </row>
    <row r="2087" spans="6:8">
      <c r="F2087" s="68" t="s">
        <v>121</v>
      </c>
      <c r="G2087" s="67" t="s">
        <v>242</v>
      </c>
      <c r="H2087" s="69">
        <v>-0.8</v>
      </c>
    </row>
    <row r="2088" spans="6:8">
      <c r="F2088" s="68" t="s">
        <v>122</v>
      </c>
      <c r="G2088" s="67" t="s">
        <v>242</v>
      </c>
      <c r="H2088" s="69">
        <v>-1.05</v>
      </c>
    </row>
    <row r="2089" spans="6:8">
      <c r="F2089" s="68" t="s">
        <v>123</v>
      </c>
      <c r="G2089" s="67" t="s">
        <v>242</v>
      </c>
      <c r="H2089" s="69">
        <v>-0.65</v>
      </c>
    </row>
    <row r="2090" spans="6:8">
      <c r="F2090" s="68" t="s">
        <v>124</v>
      </c>
      <c r="G2090" s="67" t="s">
        <v>242</v>
      </c>
      <c r="H2090" s="69">
        <v>-0.75</v>
      </c>
    </row>
    <row r="2091" spans="6:8">
      <c r="F2091" s="68" t="s">
        <v>125</v>
      </c>
      <c r="G2091" s="67" t="s">
        <v>242</v>
      </c>
      <c r="H2091" s="69">
        <v>-1.1499999999999999</v>
      </c>
    </row>
    <row r="2092" spans="6:8">
      <c r="F2092" s="68" t="s">
        <v>126</v>
      </c>
      <c r="G2092" s="67" t="s">
        <v>242</v>
      </c>
      <c r="H2092" s="69">
        <v>-0.6</v>
      </c>
    </row>
    <row r="2093" spans="6:8">
      <c r="F2093" s="68" t="s">
        <v>127</v>
      </c>
      <c r="G2093" s="67" t="s">
        <v>242</v>
      </c>
      <c r="H2093" s="69">
        <v>-0.15</v>
      </c>
    </row>
    <row r="2094" spans="6:8">
      <c r="F2094" s="68" t="s">
        <v>128</v>
      </c>
      <c r="G2094" s="67" t="s">
        <v>242</v>
      </c>
      <c r="H2094" s="69">
        <v>-0.55000000000000004</v>
      </c>
    </row>
    <row r="2095" spans="6:8">
      <c r="F2095" s="68" t="s">
        <v>129</v>
      </c>
      <c r="G2095" s="67" t="s">
        <v>242</v>
      </c>
      <c r="H2095" s="69">
        <v>-0.25</v>
      </c>
    </row>
    <row r="2096" spans="6:8">
      <c r="F2096" s="68" t="s">
        <v>130</v>
      </c>
      <c r="G2096" s="67" t="s">
        <v>242</v>
      </c>
      <c r="H2096" s="69">
        <v>-0.95</v>
      </c>
    </row>
    <row r="2097" spans="6:8">
      <c r="F2097" s="68" t="s">
        <v>131</v>
      </c>
      <c r="G2097" s="67" t="s">
        <v>242</v>
      </c>
      <c r="H2097" s="69">
        <v>-0.35</v>
      </c>
    </row>
    <row r="2098" spans="6:8">
      <c r="F2098" s="68" t="s">
        <v>132</v>
      </c>
      <c r="G2098" s="67" t="s">
        <v>242</v>
      </c>
      <c r="H2098" s="69">
        <v>-0.95</v>
      </c>
    </row>
    <row r="2099" spans="6:8">
      <c r="F2099" s="68" t="s">
        <v>133</v>
      </c>
      <c r="G2099" s="67" t="s">
        <v>242</v>
      </c>
      <c r="H2099" s="69">
        <v>-0.35</v>
      </c>
    </row>
    <row r="2100" spans="6:8">
      <c r="F2100" s="68" t="s">
        <v>134</v>
      </c>
      <c r="G2100" s="67" t="s">
        <v>242</v>
      </c>
      <c r="H2100" s="69">
        <v>-1</v>
      </c>
    </row>
    <row r="2101" spans="6:8">
      <c r="F2101" s="68" t="s">
        <v>135</v>
      </c>
      <c r="G2101" s="67" t="s">
        <v>242</v>
      </c>
      <c r="H2101" s="69">
        <v>-0.4</v>
      </c>
    </row>
    <row r="2102" spans="6:8">
      <c r="F2102" s="68" t="s">
        <v>136</v>
      </c>
      <c r="G2102" s="67" t="s">
        <v>242</v>
      </c>
      <c r="H2102" s="69">
        <v>-1</v>
      </c>
    </row>
    <row r="2103" spans="6:8">
      <c r="F2103" s="68" t="s">
        <v>137</v>
      </c>
      <c r="G2103" s="67" t="s">
        <v>242</v>
      </c>
      <c r="H2103" s="69">
        <v>-0.55000000000000004</v>
      </c>
    </row>
    <row r="2104" spans="6:8">
      <c r="F2104" s="68" t="s">
        <v>138</v>
      </c>
      <c r="G2104" s="67" t="s">
        <v>242</v>
      </c>
      <c r="H2104" s="69">
        <v>-0.75</v>
      </c>
    </row>
    <row r="2105" spans="6:8">
      <c r="F2105" s="68" t="s">
        <v>138</v>
      </c>
      <c r="G2105" s="67" t="s">
        <v>243</v>
      </c>
      <c r="H2105" s="69">
        <v>-0.7</v>
      </c>
    </row>
    <row r="2106" spans="6:8">
      <c r="F2106" s="68" t="s">
        <v>137</v>
      </c>
      <c r="G2106" s="67" t="s">
        <v>243</v>
      </c>
      <c r="H2106" s="69">
        <v>-0.5</v>
      </c>
    </row>
    <row r="2107" spans="6:8">
      <c r="F2107" s="68" t="s">
        <v>136</v>
      </c>
      <c r="G2107" s="67" t="s">
        <v>243</v>
      </c>
      <c r="H2107" s="69">
        <v>-0.95</v>
      </c>
    </row>
    <row r="2108" spans="6:8">
      <c r="F2108" s="68" t="s">
        <v>135</v>
      </c>
      <c r="G2108" s="67" t="s">
        <v>243</v>
      </c>
      <c r="H2108" s="69">
        <v>-0.4</v>
      </c>
    </row>
    <row r="2109" spans="6:8">
      <c r="F2109" s="68" t="s">
        <v>134</v>
      </c>
      <c r="G2109" s="67" t="s">
        <v>243</v>
      </c>
      <c r="H2109" s="69">
        <v>-0.95</v>
      </c>
    </row>
    <row r="2110" spans="6:8">
      <c r="F2110" s="68" t="s">
        <v>133</v>
      </c>
      <c r="G2110" s="67" t="s">
        <v>243</v>
      </c>
      <c r="H2110" s="69">
        <v>-0.35</v>
      </c>
    </row>
    <row r="2111" spans="6:8">
      <c r="F2111" s="68" t="s">
        <v>132</v>
      </c>
      <c r="G2111" s="67" t="s">
        <v>243</v>
      </c>
      <c r="H2111" s="69">
        <v>-0.9</v>
      </c>
    </row>
    <row r="2112" spans="6:8">
      <c r="F2112" s="68" t="s">
        <v>131</v>
      </c>
      <c r="G2112" s="67" t="s">
        <v>243</v>
      </c>
      <c r="H2112" s="69">
        <v>-0.35</v>
      </c>
    </row>
    <row r="2113" spans="6:8">
      <c r="F2113" s="68" t="s">
        <v>130</v>
      </c>
      <c r="G2113" s="67" t="s">
        <v>243</v>
      </c>
      <c r="H2113" s="69">
        <v>-0.9</v>
      </c>
    </row>
    <row r="2114" spans="6:8">
      <c r="F2114" s="68" t="s">
        <v>129</v>
      </c>
      <c r="G2114" s="67" t="s">
        <v>243</v>
      </c>
      <c r="H2114" s="69">
        <v>-0.25</v>
      </c>
    </row>
    <row r="2115" spans="6:8">
      <c r="F2115" s="68" t="s">
        <v>128</v>
      </c>
      <c r="G2115" s="67" t="s">
        <v>243</v>
      </c>
      <c r="H2115" s="69">
        <v>-0.5</v>
      </c>
    </row>
    <row r="2116" spans="6:8">
      <c r="F2116" s="68" t="s">
        <v>127</v>
      </c>
      <c r="G2116" s="67" t="s">
        <v>243</v>
      </c>
      <c r="H2116" s="69">
        <v>-0.15</v>
      </c>
    </row>
    <row r="2117" spans="6:8">
      <c r="F2117" s="68" t="s">
        <v>126</v>
      </c>
      <c r="G2117" s="67" t="s">
        <v>243</v>
      </c>
      <c r="H2117" s="69">
        <v>-0.55000000000000004</v>
      </c>
    </row>
    <row r="2118" spans="6:8">
      <c r="F2118" s="68" t="s">
        <v>125</v>
      </c>
      <c r="G2118" s="67" t="s">
        <v>243</v>
      </c>
      <c r="H2118" s="69">
        <v>-1.1000000000000001</v>
      </c>
    </row>
    <row r="2119" spans="6:8">
      <c r="F2119" s="68" t="s">
        <v>124</v>
      </c>
      <c r="G2119" s="67" t="s">
        <v>243</v>
      </c>
      <c r="H2119" s="69">
        <v>-0.7</v>
      </c>
    </row>
    <row r="2120" spans="6:8">
      <c r="F2120" s="68" t="s">
        <v>123</v>
      </c>
      <c r="G2120" s="67" t="s">
        <v>243</v>
      </c>
      <c r="H2120" s="69">
        <v>-0.6</v>
      </c>
    </row>
    <row r="2121" spans="6:8">
      <c r="F2121" s="68" t="s">
        <v>122</v>
      </c>
      <c r="G2121" s="67" t="s">
        <v>243</v>
      </c>
      <c r="H2121" s="69">
        <v>-1</v>
      </c>
    </row>
    <row r="2122" spans="6:8">
      <c r="F2122" s="68" t="s">
        <v>121</v>
      </c>
      <c r="G2122" s="67" t="s">
        <v>243</v>
      </c>
      <c r="H2122" s="69">
        <v>-0.75</v>
      </c>
    </row>
    <row r="2123" spans="6:8">
      <c r="F2123" s="68" t="s">
        <v>120</v>
      </c>
      <c r="G2123" s="67" t="s">
        <v>243</v>
      </c>
      <c r="H2123" s="69">
        <v>-0.5</v>
      </c>
    </row>
    <row r="2124" spans="6:8">
      <c r="F2124" s="68" t="s">
        <v>119</v>
      </c>
      <c r="G2124" s="67" t="s">
        <v>243</v>
      </c>
      <c r="H2124" s="69">
        <v>-0.95</v>
      </c>
    </row>
    <row r="2125" spans="6:8">
      <c r="F2125" s="68" t="s">
        <v>119</v>
      </c>
      <c r="G2125" s="67" t="s">
        <v>244</v>
      </c>
      <c r="H2125" s="69">
        <v>-1</v>
      </c>
    </row>
    <row r="2126" spans="6:8">
      <c r="F2126" s="68" t="s">
        <v>120</v>
      </c>
      <c r="G2126" s="67" t="s">
        <v>244</v>
      </c>
      <c r="H2126" s="69">
        <v>-0.55000000000000004</v>
      </c>
    </row>
    <row r="2127" spans="6:8">
      <c r="F2127" s="68" t="s">
        <v>121</v>
      </c>
      <c r="G2127" s="67" t="s">
        <v>244</v>
      </c>
      <c r="H2127" s="69">
        <v>-0.8</v>
      </c>
    </row>
    <row r="2128" spans="6:8">
      <c r="F2128" s="68" t="s">
        <v>122</v>
      </c>
      <c r="G2128" s="67" t="s">
        <v>244</v>
      </c>
      <c r="H2128" s="69">
        <v>-1.05</v>
      </c>
    </row>
    <row r="2129" spans="6:8">
      <c r="F2129" s="68" t="s">
        <v>123</v>
      </c>
      <c r="G2129" s="67" t="s">
        <v>244</v>
      </c>
      <c r="H2129" s="69">
        <v>-0.65</v>
      </c>
    </row>
    <row r="2130" spans="6:8">
      <c r="F2130" s="68" t="s">
        <v>124</v>
      </c>
      <c r="G2130" s="67" t="s">
        <v>244</v>
      </c>
      <c r="H2130" s="69">
        <v>-0.75</v>
      </c>
    </row>
    <row r="2131" spans="6:8">
      <c r="F2131" s="68" t="s">
        <v>125</v>
      </c>
      <c r="G2131" s="67" t="s">
        <v>244</v>
      </c>
      <c r="H2131" s="69">
        <v>-1.1499999999999999</v>
      </c>
    </row>
    <row r="2132" spans="6:8">
      <c r="F2132" s="68" t="s">
        <v>126</v>
      </c>
      <c r="G2132" s="67" t="s">
        <v>244</v>
      </c>
      <c r="H2132" s="69">
        <v>-0.6</v>
      </c>
    </row>
    <row r="2133" spans="6:8">
      <c r="F2133" s="68" t="s">
        <v>127</v>
      </c>
      <c r="G2133" s="67" t="s">
        <v>244</v>
      </c>
      <c r="H2133" s="69">
        <v>-0.15</v>
      </c>
    </row>
    <row r="2134" spans="6:8">
      <c r="F2134" s="68" t="s">
        <v>128</v>
      </c>
      <c r="G2134" s="67" t="s">
        <v>244</v>
      </c>
      <c r="H2134" s="69">
        <v>-0.55000000000000004</v>
      </c>
    </row>
    <row r="2135" spans="6:8">
      <c r="F2135" s="68" t="s">
        <v>129</v>
      </c>
      <c r="G2135" s="67" t="s">
        <v>244</v>
      </c>
      <c r="H2135" s="69">
        <v>-0.25</v>
      </c>
    </row>
    <row r="2136" spans="6:8">
      <c r="F2136" s="68" t="s">
        <v>130</v>
      </c>
      <c r="G2136" s="67" t="s">
        <v>244</v>
      </c>
      <c r="H2136" s="69">
        <v>-0.95</v>
      </c>
    </row>
    <row r="2137" spans="6:8">
      <c r="F2137" s="68" t="s">
        <v>131</v>
      </c>
      <c r="G2137" s="67" t="s">
        <v>244</v>
      </c>
      <c r="H2137" s="69">
        <v>-0.35</v>
      </c>
    </row>
    <row r="2138" spans="6:8">
      <c r="F2138" s="68" t="s">
        <v>132</v>
      </c>
      <c r="G2138" s="67" t="s">
        <v>244</v>
      </c>
      <c r="H2138" s="69">
        <v>-0.95</v>
      </c>
    </row>
    <row r="2139" spans="6:8">
      <c r="F2139" s="68" t="s">
        <v>133</v>
      </c>
      <c r="G2139" s="67" t="s">
        <v>244</v>
      </c>
      <c r="H2139" s="69">
        <v>-0.35</v>
      </c>
    </row>
    <row r="2140" spans="6:8">
      <c r="F2140" s="68" t="s">
        <v>134</v>
      </c>
      <c r="G2140" s="67" t="s">
        <v>244</v>
      </c>
      <c r="H2140" s="69">
        <v>-1</v>
      </c>
    </row>
    <row r="2141" spans="6:8">
      <c r="F2141" s="68" t="s">
        <v>135</v>
      </c>
      <c r="G2141" s="67" t="s">
        <v>244</v>
      </c>
      <c r="H2141" s="69">
        <v>-0.4</v>
      </c>
    </row>
    <row r="2142" spans="6:8">
      <c r="F2142" s="68" t="s">
        <v>136</v>
      </c>
      <c r="G2142" s="67" t="s">
        <v>244</v>
      </c>
      <c r="H2142" s="69">
        <v>-1</v>
      </c>
    </row>
    <row r="2143" spans="6:8">
      <c r="F2143" s="68" t="s">
        <v>137</v>
      </c>
      <c r="G2143" s="67" t="s">
        <v>244</v>
      </c>
      <c r="H2143" s="69">
        <v>-0.55000000000000004</v>
      </c>
    </row>
    <row r="2144" spans="6:8">
      <c r="F2144" s="68" t="s">
        <v>138</v>
      </c>
      <c r="G2144" s="67" t="s">
        <v>244</v>
      </c>
      <c r="H2144" s="69">
        <v>-0.75</v>
      </c>
    </row>
    <row r="2145" spans="6:8">
      <c r="F2145" s="68" t="s">
        <v>138</v>
      </c>
      <c r="G2145" s="67" t="s">
        <v>245</v>
      </c>
      <c r="H2145" s="69">
        <v>-0.75</v>
      </c>
    </row>
    <row r="2146" spans="6:8">
      <c r="F2146" s="68" t="s">
        <v>137</v>
      </c>
      <c r="G2146" s="67" t="s">
        <v>245</v>
      </c>
      <c r="H2146" s="69">
        <v>-0.55000000000000004</v>
      </c>
    </row>
    <row r="2147" spans="6:8">
      <c r="F2147" s="68" t="s">
        <v>136</v>
      </c>
      <c r="G2147" s="67" t="s">
        <v>245</v>
      </c>
      <c r="H2147" s="69">
        <v>-1</v>
      </c>
    </row>
    <row r="2148" spans="6:8">
      <c r="F2148" s="68" t="s">
        <v>135</v>
      </c>
      <c r="G2148" s="67" t="s">
        <v>245</v>
      </c>
      <c r="H2148" s="69">
        <v>-0.4</v>
      </c>
    </row>
    <row r="2149" spans="6:8">
      <c r="F2149" s="68" t="s">
        <v>134</v>
      </c>
      <c r="G2149" s="67" t="s">
        <v>245</v>
      </c>
      <c r="H2149" s="69">
        <v>-1</v>
      </c>
    </row>
    <row r="2150" spans="6:8">
      <c r="F2150" s="68" t="s">
        <v>133</v>
      </c>
      <c r="G2150" s="67" t="s">
        <v>245</v>
      </c>
      <c r="H2150" s="69">
        <v>-0.35</v>
      </c>
    </row>
    <row r="2151" spans="6:8">
      <c r="F2151" s="68" t="s">
        <v>132</v>
      </c>
      <c r="G2151" s="67" t="s">
        <v>245</v>
      </c>
      <c r="H2151" s="69">
        <v>-0.95</v>
      </c>
    </row>
    <row r="2152" spans="6:8">
      <c r="F2152" s="68" t="s">
        <v>131</v>
      </c>
      <c r="G2152" s="67" t="s">
        <v>245</v>
      </c>
      <c r="H2152" s="69">
        <v>-0.35</v>
      </c>
    </row>
    <row r="2153" spans="6:8">
      <c r="F2153" s="68" t="s">
        <v>130</v>
      </c>
      <c r="G2153" s="67" t="s">
        <v>245</v>
      </c>
      <c r="H2153" s="69">
        <v>-0.95</v>
      </c>
    </row>
    <row r="2154" spans="6:8">
      <c r="F2154" s="68" t="s">
        <v>129</v>
      </c>
      <c r="G2154" s="67" t="s">
        <v>245</v>
      </c>
      <c r="H2154" s="69">
        <v>-0.25</v>
      </c>
    </row>
    <row r="2155" spans="6:8">
      <c r="F2155" s="68" t="s">
        <v>128</v>
      </c>
      <c r="G2155" s="67" t="s">
        <v>245</v>
      </c>
      <c r="H2155" s="69">
        <v>-0.55000000000000004</v>
      </c>
    </row>
    <row r="2156" spans="6:8">
      <c r="F2156" s="68" t="s">
        <v>127</v>
      </c>
      <c r="G2156" s="67" t="s">
        <v>245</v>
      </c>
      <c r="H2156" s="69">
        <v>-0.15</v>
      </c>
    </row>
    <row r="2157" spans="6:8">
      <c r="F2157" s="68" t="s">
        <v>126</v>
      </c>
      <c r="G2157" s="67" t="s">
        <v>245</v>
      </c>
      <c r="H2157" s="69">
        <v>-0.6</v>
      </c>
    </row>
    <row r="2158" spans="6:8">
      <c r="F2158" s="68" t="s">
        <v>125</v>
      </c>
      <c r="G2158" s="67" t="s">
        <v>245</v>
      </c>
      <c r="H2158" s="69">
        <v>-1.1499999999999999</v>
      </c>
    </row>
    <row r="2159" spans="6:8">
      <c r="F2159" s="68" t="s">
        <v>124</v>
      </c>
      <c r="G2159" s="67" t="s">
        <v>245</v>
      </c>
      <c r="H2159" s="69">
        <v>-0.75</v>
      </c>
    </row>
    <row r="2160" spans="6:8">
      <c r="F2160" s="68" t="s">
        <v>123</v>
      </c>
      <c r="G2160" s="67" t="s">
        <v>245</v>
      </c>
      <c r="H2160" s="69">
        <v>-0.65</v>
      </c>
    </row>
    <row r="2161" spans="6:8">
      <c r="F2161" s="68" t="s">
        <v>122</v>
      </c>
      <c r="G2161" s="67" t="s">
        <v>245</v>
      </c>
      <c r="H2161" s="69">
        <v>-1.05</v>
      </c>
    </row>
    <row r="2162" spans="6:8">
      <c r="F2162" s="68" t="s">
        <v>121</v>
      </c>
      <c r="G2162" s="67" t="s">
        <v>245</v>
      </c>
      <c r="H2162" s="69">
        <v>-0.8</v>
      </c>
    </row>
    <row r="2163" spans="6:8">
      <c r="F2163" s="68" t="s">
        <v>120</v>
      </c>
      <c r="G2163" s="67" t="s">
        <v>245</v>
      </c>
      <c r="H2163" s="69">
        <v>-0.55000000000000004</v>
      </c>
    </row>
    <row r="2164" spans="6:8">
      <c r="F2164" s="68" t="s">
        <v>119</v>
      </c>
      <c r="G2164" s="67" t="s">
        <v>245</v>
      </c>
      <c r="H2164" s="69">
        <v>-1</v>
      </c>
    </row>
    <row r="2165" spans="6:8">
      <c r="F2165" s="68" t="s">
        <v>119</v>
      </c>
      <c r="G2165" s="67" t="s">
        <v>246</v>
      </c>
      <c r="H2165" s="69">
        <v>-1</v>
      </c>
    </row>
    <row r="2166" spans="6:8">
      <c r="F2166" s="68" t="s">
        <v>120</v>
      </c>
      <c r="G2166" s="67" t="s">
        <v>246</v>
      </c>
      <c r="H2166" s="69">
        <v>-0.55000000000000004</v>
      </c>
    </row>
    <row r="2167" spans="6:8">
      <c r="F2167" s="68" t="s">
        <v>121</v>
      </c>
      <c r="G2167" s="67" t="s">
        <v>246</v>
      </c>
      <c r="H2167" s="69">
        <v>-0.8</v>
      </c>
    </row>
    <row r="2168" spans="6:8">
      <c r="F2168" s="68" t="s">
        <v>122</v>
      </c>
      <c r="G2168" s="67" t="s">
        <v>246</v>
      </c>
      <c r="H2168" s="69">
        <v>-1.05</v>
      </c>
    </row>
    <row r="2169" spans="6:8">
      <c r="F2169" s="68" t="s">
        <v>123</v>
      </c>
      <c r="G2169" s="67" t="s">
        <v>246</v>
      </c>
      <c r="H2169" s="69">
        <v>-0.65</v>
      </c>
    </row>
    <row r="2170" spans="6:8">
      <c r="F2170" s="68" t="s">
        <v>124</v>
      </c>
      <c r="G2170" s="67" t="s">
        <v>246</v>
      </c>
      <c r="H2170" s="69">
        <v>-0.75</v>
      </c>
    </row>
    <row r="2171" spans="6:8">
      <c r="F2171" s="68" t="s">
        <v>125</v>
      </c>
      <c r="G2171" s="67" t="s">
        <v>246</v>
      </c>
      <c r="H2171" s="69">
        <v>-1.1499999999999999</v>
      </c>
    </row>
    <row r="2172" spans="6:8">
      <c r="F2172" s="68" t="s">
        <v>126</v>
      </c>
      <c r="G2172" s="67" t="s">
        <v>246</v>
      </c>
      <c r="H2172" s="69">
        <v>-0.6</v>
      </c>
    </row>
    <row r="2173" spans="6:8">
      <c r="F2173" s="68" t="s">
        <v>127</v>
      </c>
      <c r="G2173" s="67" t="s">
        <v>246</v>
      </c>
      <c r="H2173" s="69">
        <v>-0.15</v>
      </c>
    </row>
    <row r="2174" spans="6:8">
      <c r="F2174" s="68" t="s">
        <v>128</v>
      </c>
      <c r="G2174" s="67" t="s">
        <v>246</v>
      </c>
      <c r="H2174" s="69">
        <v>-0.55000000000000004</v>
      </c>
    </row>
    <row r="2175" spans="6:8">
      <c r="F2175" s="68" t="s">
        <v>129</v>
      </c>
      <c r="G2175" s="67" t="s">
        <v>246</v>
      </c>
      <c r="H2175" s="69">
        <v>-0.25</v>
      </c>
    </row>
    <row r="2176" spans="6:8">
      <c r="F2176" s="68" t="s">
        <v>130</v>
      </c>
      <c r="G2176" s="67" t="s">
        <v>246</v>
      </c>
      <c r="H2176" s="69">
        <v>-0.95</v>
      </c>
    </row>
    <row r="2177" spans="6:8">
      <c r="F2177" s="68" t="s">
        <v>131</v>
      </c>
      <c r="G2177" s="67" t="s">
        <v>246</v>
      </c>
      <c r="H2177" s="69">
        <v>-0.35</v>
      </c>
    </row>
    <row r="2178" spans="6:8">
      <c r="F2178" s="68" t="s">
        <v>132</v>
      </c>
      <c r="G2178" s="67" t="s">
        <v>246</v>
      </c>
      <c r="H2178" s="69">
        <v>-0.95</v>
      </c>
    </row>
    <row r="2179" spans="6:8">
      <c r="F2179" s="68" t="s">
        <v>133</v>
      </c>
      <c r="G2179" s="67" t="s">
        <v>246</v>
      </c>
      <c r="H2179" s="69">
        <v>-0.35</v>
      </c>
    </row>
    <row r="2180" spans="6:8">
      <c r="F2180" s="68" t="s">
        <v>134</v>
      </c>
      <c r="G2180" s="67" t="s">
        <v>246</v>
      </c>
      <c r="H2180" s="69">
        <v>-1</v>
      </c>
    </row>
    <row r="2181" spans="6:8">
      <c r="F2181" s="68" t="s">
        <v>135</v>
      </c>
      <c r="G2181" s="67" t="s">
        <v>246</v>
      </c>
      <c r="H2181" s="69">
        <v>-0.4</v>
      </c>
    </row>
    <row r="2182" spans="6:8">
      <c r="F2182" s="68" t="s">
        <v>136</v>
      </c>
      <c r="G2182" s="67" t="s">
        <v>246</v>
      </c>
      <c r="H2182" s="69">
        <v>-1</v>
      </c>
    </row>
    <row r="2183" spans="6:8">
      <c r="F2183" s="68" t="s">
        <v>137</v>
      </c>
      <c r="G2183" s="67" t="s">
        <v>246</v>
      </c>
      <c r="H2183" s="69">
        <v>-0.55000000000000004</v>
      </c>
    </row>
    <row r="2184" spans="6:8">
      <c r="F2184" s="68" t="s">
        <v>138</v>
      </c>
      <c r="G2184" s="67" t="s">
        <v>246</v>
      </c>
      <c r="H2184" s="69">
        <v>-0.75</v>
      </c>
    </row>
    <row r="2185" spans="6:8">
      <c r="F2185" s="68" t="s">
        <v>138</v>
      </c>
      <c r="G2185" s="67" t="s">
        <v>247</v>
      </c>
      <c r="H2185" s="69">
        <v>-0.65</v>
      </c>
    </row>
    <row r="2186" spans="6:8">
      <c r="F2186" s="68" t="s">
        <v>137</v>
      </c>
      <c r="G2186" s="67" t="s">
        <v>247</v>
      </c>
      <c r="H2186" s="69">
        <v>-0.5</v>
      </c>
    </row>
    <row r="2187" spans="6:8">
      <c r="F2187" s="68" t="s">
        <v>136</v>
      </c>
      <c r="G2187" s="67" t="s">
        <v>247</v>
      </c>
      <c r="H2187" s="69">
        <v>-0.9</v>
      </c>
    </row>
    <row r="2188" spans="6:8">
      <c r="F2188" s="68" t="s">
        <v>135</v>
      </c>
      <c r="G2188" s="67" t="s">
        <v>247</v>
      </c>
      <c r="H2188" s="69">
        <v>-0.4</v>
      </c>
    </row>
    <row r="2189" spans="6:8">
      <c r="F2189" s="68" t="s">
        <v>134</v>
      </c>
      <c r="G2189" s="67" t="s">
        <v>247</v>
      </c>
      <c r="H2189" s="69">
        <v>-0.9</v>
      </c>
    </row>
    <row r="2190" spans="6:8">
      <c r="F2190" s="68" t="s">
        <v>133</v>
      </c>
      <c r="G2190" s="67" t="s">
        <v>247</v>
      </c>
      <c r="H2190" s="69">
        <v>-0.35</v>
      </c>
    </row>
    <row r="2191" spans="6:8">
      <c r="F2191" s="68" t="s">
        <v>132</v>
      </c>
      <c r="G2191" s="67" t="s">
        <v>247</v>
      </c>
      <c r="H2191" s="69">
        <v>-0.85</v>
      </c>
    </row>
    <row r="2192" spans="6:8">
      <c r="F2192" s="68" t="s">
        <v>131</v>
      </c>
      <c r="G2192" s="67" t="s">
        <v>247</v>
      </c>
      <c r="H2192" s="69">
        <v>-0.35</v>
      </c>
    </row>
    <row r="2193" spans="6:8">
      <c r="F2193" s="68" t="s">
        <v>130</v>
      </c>
      <c r="G2193" s="67" t="s">
        <v>247</v>
      </c>
      <c r="H2193" s="69">
        <v>-0.85</v>
      </c>
    </row>
    <row r="2194" spans="6:8">
      <c r="F2194" s="68" t="s">
        <v>129</v>
      </c>
      <c r="G2194" s="67" t="s">
        <v>247</v>
      </c>
      <c r="H2194" s="69">
        <v>-0.25</v>
      </c>
    </row>
    <row r="2195" spans="6:8">
      <c r="F2195" s="68" t="s">
        <v>128</v>
      </c>
      <c r="G2195" s="67" t="s">
        <v>247</v>
      </c>
      <c r="H2195" s="69">
        <v>-0.5</v>
      </c>
    </row>
    <row r="2196" spans="6:8">
      <c r="F2196" s="68" t="s">
        <v>127</v>
      </c>
      <c r="G2196" s="67" t="s">
        <v>247</v>
      </c>
      <c r="H2196" s="69">
        <v>-0.15</v>
      </c>
    </row>
    <row r="2197" spans="6:8">
      <c r="F2197" s="68" t="s">
        <v>126</v>
      </c>
      <c r="G2197" s="67" t="s">
        <v>247</v>
      </c>
      <c r="H2197" s="69">
        <v>-0.55000000000000004</v>
      </c>
    </row>
    <row r="2198" spans="6:8">
      <c r="F2198" s="68" t="s">
        <v>125</v>
      </c>
      <c r="G2198" s="67" t="s">
        <v>247</v>
      </c>
      <c r="H2198" s="69">
        <v>-1.05</v>
      </c>
    </row>
    <row r="2199" spans="6:8">
      <c r="F2199" s="68" t="s">
        <v>124</v>
      </c>
      <c r="G2199" s="67" t="s">
        <v>247</v>
      </c>
      <c r="H2199" s="69">
        <v>-0.65</v>
      </c>
    </row>
    <row r="2200" spans="6:8">
      <c r="F2200" s="68" t="s">
        <v>123</v>
      </c>
      <c r="G2200" s="67" t="s">
        <v>247</v>
      </c>
      <c r="H2200" s="69">
        <v>-0.6</v>
      </c>
    </row>
    <row r="2201" spans="6:8">
      <c r="F2201" s="68" t="s">
        <v>122</v>
      </c>
      <c r="G2201" s="67" t="s">
        <v>247</v>
      </c>
      <c r="H2201" s="69">
        <v>-0.95</v>
      </c>
    </row>
    <row r="2202" spans="6:8">
      <c r="F2202" s="68" t="s">
        <v>121</v>
      </c>
      <c r="G2202" s="67" t="s">
        <v>247</v>
      </c>
      <c r="H2202" s="69">
        <v>-0.7</v>
      </c>
    </row>
    <row r="2203" spans="6:8">
      <c r="F2203" s="68" t="s">
        <v>120</v>
      </c>
      <c r="G2203" s="67" t="s">
        <v>247</v>
      </c>
      <c r="H2203" s="69">
        <v>-0.5</v>
      </c>
    </row>
    <row r="2204" spans="6:8">
      <c r="F2204" s="68" t="s">
        <v>119</v>
      </c>
      <c r="G2204" s="67" t="s">
        <v>247</v>
      </c>
      <c r="H2204" s="69">
        <v>-0.9</v>
      </c>
    </row>
    <row r="2205" spans="6:8">
      <c r="F2205" s="68" t="s">
        <v>119</v>
      </c>
      <c r="G2205" s="67" t="s">
        <v>248</v>
      </c>
      <c r="H2205" s="69">
        <v>-0.95</v>
      </c>
    </row>
    <row r="2206" spans="6:8">
      <c r="F2206" s="68" t="s">
        <v>120</v>
      </c>
      <c r="G2206" s="67" t="s">
        <v>248</v>
      </c>
      <c r="H2206" s="69">
        <v>-0.55000000000000004</v>
      </c>
    </row>
    <row r="2207" spans="6:8">
      <c r="F2207" s="68" t="s">
        <v>121</v>
      </c>
      <c r="G2207" s="67" t="s">
        <v>248</v>
      </c>
      <c r="H2207" s="69">
        <v>-0.75</v>
      </c>
    </row>
    <row r="2208" spans="6:8">
      <c r="F2208" s="68" t="s">
        <v>122</v>
      </c>
      <c r="G2208" s="67" t="s">
        <v>248</v>
      </c>
      <c r="H2208" s="69">
        <v>-1</v>
      </c>
    </row>
    <row r="2209" spans="6:8">
      <c r="F2209" s="68" t="s">
        <v>123</v>
      </c>
      <c r="G2209" s="67" t="s">
        <v>248</v>
      </c>
      <c r="H2209" s="69">
        <v>-0.65</v>
      </c>
    </row>
    <row r="2210" spans="6:8">
      <c r="F2210" s="68" t="s">
        <v>124</v>
      </c>
      <c r="G2210" s="67" t="s">
        <v>248</v>
      </c>
      <c r="H2210" s="69">
        <v>-0.7</v>
      </c>
    </row>
    <row r="2211" spans="6:8">
      <c r="F2211" s="68" t="s">
        <v>125</v>
      </c>
      <c r="G2211" s="67" t="s">
        <v>248</v>
      </c>
      <c r="H2211" s="69">
        <v>-1.1000000000000001</v>
      </c>
    </row>
    <row r="2212" spans="6:8">
      <c r="F2212" s="68" t="s">
        <v>126</v>
      </c>
      <c r="G2212" s="67" t="s">
        <v>248</v>
      </c>
      <c r="H2212" s="69">
        <v>-0.6</v>
      </c>
    </row>
    <row r="2213" spans="6:8">
      <c r="F2213" s="68" t="s">
        <v>127</v>
      </c>
      <c r="G2213" s="67" t="s">
        <v>248</v>
      </c>
      <c r="H2213" s="69">
        <v>-0.15</v>
      </c>
    </row>
    <row r="2214" spans="6:8">
      <c r="F2214" s="68" t="s">
        <v>128</v>
      </c>
      <c r="G2214" s="67" t="s">
        <v>248</v>
      </c>
      <c r="H2214" s="69">
        <v>-0.55000000000000004</v>
      </c>
    </row>
    <row r="2215" spans="6:8">
      <c r="F2215" s="68" t="s">
        <v>129</v>
      </c>
      <c r="G2215" s="67" t="s">
        <v>248</v>
      </c>
      <c r="H2215" s="69">
        <v>-0.25</v>
      </c>
    </row>
    <row r="2216" spans="6:8">
      <c r="F2216" s="68" t="s">
        <v>130</v>
      </c>
      <c r="G2216" s="67" t="s">
        <v>248</v>
      </c>
      <c r="H2216" s="69">
        <v>-0.9</v>
      </c>
    </row>
    <row r="2217" spans="6:8">
      <c r="F2217" s="68" t="s">
        <v>131</v>
      </c>
      <c r="G2217" s="67" t="s">
        <v>248</v>
      </c>
      <c r="H2217" s="69">
        <v>-0.35</v>
      </c>
    </row>
    <row r="2218" spans="6:8">
      <c r="F2218" s="68" t="s">
        <v>132</v>
      </c>
      <c r="G2218" s="67" t="s">
        <v>248</v>
      </c>
      <c r="H2218" s="69">
        <v>-0.9</v>
      </c>
    </row>
    <row r="2219" spans="6:8">
      <c r="F2219" s="68" t="s">
        <v>133</v>
      </c>
      <c r="G2219" s="67" t="s">
        <v>248</v>
      </c>
      <c r="H2219" s="69">
        <v>-0.35</v>
      </c>
    </row>
    <row r="2220" spans="6:8">
      <c r="F2220" s="68" t="s">
        <v>134</v>
      </c>
      <c r="G2220" s="67" t="s">
        <v>248</v>
      </c>
      <c r="H2220" s="69">
        <v>-0.95</v>
      </c>
    </row>
    <row r="2221" spans="6:8">
      <c r="F2221" s="68" t="s">
        <v>135</v>
      </c>
      <c r="G2221" s="67" t="s">
        <v>248</v>
      </c>
      <c r="H2221" s="69">
        <v>-0.4</v>
      </c>
    </row>
    <row r="2222" spans="6:8">
      <c r="F2222" s="68" t="s">
        <v>136</v>
      </c>
      <c r="G2222" s="67" t="s">
        <v>248</v>
      </c>
      <c r="H2222" s="69">
        <v>-0.95</v>
      </c>
    </row>
    <row r="2223" spans="6:8">
      <c r="F2223" s="68" t="s">
        <v>137</v>
      </c>
      <c r="G2223" s="67" t="s">
        <v>248</v>
      </c>
      <c r="H2223" s="69">
        <v>-0.55000000000000004</v>
      </c>
    </row>
    <row r="2224" spans="6:8">
      <c r="F2224" s="68" t="s">
        <v>138</v>
      </c>
      <c r="G2224" s="67" t="s">
        <v>248</v>
      </c>
      <c r="H2224" s="69">
        <v>-0.7</v>
      </c>
    </row>
    <row r="2225" spans="6:8">
      <c r="F2225" s="68" t="s">
        <v>138</v>
      </c>
      <c r="G2225" s="67" t="s">
        <v>249</v>
      </c>
      <c r="H2225" s="69">
        <v>-0.7</v>
      </c>
    </row>
    <row r="2226" spans="6:8">
      <c r="F2226" s="68" t="s">
        <v>137</v>
      </c>
      <c r="G2226" s="67" t="s">
        <v>249</v>
      </c>
      <c r="H2226" s="69">
        <v>-0.55000000000000004</v>
      </c>
    </row>
    <row r="2227" spans="6:8">
      <c r="F2227" s="68" t="s">
        <v>136</v>
      </c>
      <c r="G2227" s="67" t="s">
        <v>249</v>
      </c>
      <c r="H2227" s="69">
        <v>-0.95</v>
      </c>
    </row>
    <row r="2228" spans="6:8">
      <c r="F2228" s="68" t="s">
        <v>135</v>
      </c>
      <c r="G2228" s="67" t="s">
        <v>249</v>
      </c>
      <c r="H2228" s="69">
        <v>-0.4</v>
      </c>
    </row>
    <row r="2229" spans="6:8">
      <c r="F2229" s="68" t="s">
        <v>134</v>
      </c>
      <c r="G2229" s="67" t="s">
        <v>249</v>
      </c>
      <c r="H2229" s="69">
        <v>-0.95</v>
      </c>
    </row>
    <row r="2230" spans="6:8">
      <c r="F2230" s="68" t="s">
        <v>133</v>
      </c>
      <c r="G2230" s="67" t="s">
        <v>249</v>
      </c>
      <c r="H2230" s="69">
        <v>-0.35</v>
      </c>
    </row>
    <row r="2231" spans="6:8">
      <c r="F2231" s="68" t="s">
        <v>132</v>
      </c>
      <c r="G2231" s="67" t="s">
        <v>249</v>
      </c>
      <c r="H2231" s="69">
        <v>-0.9</v>
      </c>
    </row>
    <row r="2232" spans="6:8">
      <c r="F2232" s="68" t="s">
        <v>131</v>
      </c>
      <c r="G2232" s="67" t="s">
        <v>249</v>
      </c>
      <c r="H2232" s="69">
        <v>-0.35</v>
      </c>
    </row>
    <row r="2233" spans="6:8">
      <c r="F2233" s="68" t="s">
        <v>130</v>
      </c>
      <c r="G2233" s="67" t="s">
        <v>249</v>
      </c>
      <c r="H2233" s="69">
        <v>-0.9</v>
      </c>
    </row>
    <row r="2234" spans="6:8">
      <c r="F2234" s="68" t="s">
        <v>129</v>
      </c>
      <c r="G2234" s="67" t="s">
        <v>249</v>
      </c>
      <c r="H2234" s="69">
        <v>-0.25</v>
      </c>
    </row>
    <row r="2235" spans="6:8">
      <c r="F2235" s="68" t="s">
        <v>128</v>
      </c>
      <c r="G2235" s="67" t="s">
        <v>249</v>
      </c>
      <c r="H2235" s="69">
        <v>-0.55000000000000004</v>
      </c>
    </row>
    <row r="2236" spans="6:8">
      <c r="F2236" s="68" t="s">
        <v>127</v>
      </c>
      <c r="G2236" s="67" t="s">
        <v>249</v>
      </c>
      <c r="H2236" s="69">
        <v>-0.15</v>
      </c>
    </row>
    <row r="2237" spans="6:8">
      <c r="F2237" s="68" t="s">
        <v>126</v>
      </c>
      <c r="G2237" s="67" t="s">
        <v>249</v>
      </c>
      <c r="H2237" s="69">
        <v>-0.6</v>
      </c>
    </row>
    <row r="2238" spans="6:8">
      <c r="F2238" s="68" t="s">
        <v>125</v>
      </c>
      <c r="G2238" s="67" t="s">
        <v>249</v>
      </c>
      <c r="H2238" s="69">
        <v>-1.1000000000000001</v>
      </c>
    </row>
    <row r="2239" spans="6:8">
      <c r="F2239" s="68" t="s">
        <v>124</v>
      </c>
      <c r="G2239" s="67" t="s">
        <v>249</v>
      </c>
      <c r="H2239" s="69">
        <v>-0.7</v>
      </c>
    </row>
    <row r="2240" spans="6:8">
      <c r="F2240" s="68" t="s">
        <v>123</v>
      </c>
      <c r="G2240" s="67" t="s">
        <v>249</v>
      </c>
      <c r="H2240" s="69">
        <v>-0.65</v>
      </c>
    </row>
    <row r="2241" spans="6:8">
      <c r="F2241" s="68" t="s">
        <v>122</v>
      </c>
      <c r="G2241" s="67" t="s">
        <v>249</v>
      </c>
      <c r="H2241" s="69">
        <v>-1</v>
      </c>
    </row>
    <row r="2242" spans="6:8">
      <c r="F2242" s="68" t="s">
        <v>121</v>
      </c>
      <c r="G2242" s="67" t="s">
        <v>249</v>
      </c>
      <c r="H2242" s="69">
        <v>-0.75</v>
      </c>
    </row>
    <row r="2243" spans="6:8">
      <c r="F2243" s="68" t="s">
        <v>120</v>
      </c>
      <c r="G2243" s="67" t="s">
        <v>249</v>
      </c>
      <c r="H2243" s="69">
        <v>-0.55000000000000004</v>
      </c>
    </row>
    <row r="2244" spans="6:8">
      <c r="F2244" s="68" t="s">
        <v>119</v>
      </c>
      <c r="G2244" s="67" t="s">
        <v>249</v>
      </c>
      <c r="H2244" s="69">
        <v>-0.95</v>
      </c>
    </row>
    <row r="2245" spans="6:8">
      <c r="F2245" s="68" t="s">
        <v>119</v>
      </c>
      <c r="G2245" s="67" t="s">
        <v>250</v>
      </c>
      <c r="H2245" s="69">
        <v>-0.9</v>
      </c>
    </row>
    <row r="2246" spans="6:8">
      <c r="F2246" s="68" t="s">
        <v>120</v>
      </c>
      <c r="G2246" s="67" t="s">
        <v>250</v>
      </c>
      <c r="H2246" s="69">
        <v>-0.5</v>
      </c>
    </row>
    <row r="2247" spans="6:8">
      <c r="F2247" s="68" t="s">
        <v>121</v>
      </c>
      <c r="G2247" s="67" t="s">
        <v>250</v>
      </c>
      <c r="H2247" s="69">
        <v>-0.7</v>
      </c>
    </row>
    <row r="2248" spans="6:8">
      <c r="F2248" s="68" t="s">
        <v>251</v>
      </c>
      <c r="G2248" s="67" t="s">
        <v>250</v>
      </c>
      <c r="H2248" s="69">
        <v>0.15</v>
      </c>
    </row>
    <row r="2249" spans="6:8">
      <c r="F2249" s="68" t="s">
        <v>122</v>
      </c>
      <c r="G2249" s="67" t="s">
        <v>250</v>
      </c>
      <c r="H2249" s="69">
        <v>-0.95</v>
      </c>
    </row>
    <row r="2250" spans="6:8">
      <c r="F2250" s="68" t="s">
        <v>123</v>
      </c>
      <c r="G2250" s="67" t="s">
        <v>250</v>
      </c>
      <c r="H2250" s="69">
        <v>-0.6</v>
      </c>
    </row>
    <row r="2251" spans="6:8">
      <c r="F2251" s="68" t="s">
        <v>124</v>
      </c>
      <c r="G2251" s="67" t="s">
        <v>250</v>
      </c>
      <c r="H2251" s="69">
        <v>-0.65</v>
      </c>
    </row>
    <row r="2252" spans="6:8">
      <c r="F2252" s="68" t="s">
        <v>252</v>
      </c>
      <c r="G2252" s="67" t="s">
        <v>250</v>
      </c>
      <c r="H2252" s="69">
        <v>0.19</v>
      </c>
    </row>
    <row r="2253" spans="6:8">
      <c r="F2253" s="68" t="s">
        <v>125</v>
      </c>
      <c r="G2253" s="67" t="s">
        <v>250</v>
      </c>
      <c r="H2253" s="69">
        <v>-1.05</v>
      </c>
    </row>
    <row r="2254" spans="6:8">
      <c r="F2254" s="68" t="s">
        <v>126</v>
      </c>
      <c r="G2254" s="67" t="s">
        <v>250</v>
      </c>
      <c r="H2254" s="69">
        <v>-0.55000000000000004</v>
      </c>
    </row>
    <row r="2255" spans="6:8">
      <c r="F2255" s="68" t="s">
        <v>127</v>
      </c>
      <c r="G2255" s="67" t="s">
        <v>250</v>
      </c>
      <c r="H2255" s="69">
        <v>-0.15</v>
      </c>
    </row>
    <row r="2256" spans="6:8">
      <c r="F2256" s="68" t="s">
        <v>253</v>
      </c>
      <c r="G2256" s="67" t="s">
        <v>250</v>
      </c>
      <c r="H2256" s="69">
        <v>0.22</v>
      </c>
    </row>
    <row r="2257" spans="6:8">
      <c r="F2257" s="68" t="s">
        <v>128</v>
      </c>
      <c r="G2257" s="67" t="s">
        <v>250</v>
      </c>
      <c r="H2257" s="69">
        <v>-0.5</v>
      </c>
    </row>
    <row r="2258" spans="6:8">
      <c r="F2258" s="68" t="s">
        <v>129</v>
      </c>
      <c r="G2258" s="67" t="s">
        <v>250</v>
      </c>
      <c r="H2258" s="69">
        <v>-0.25</v>
      </c>
    </row>
    <row r="2259" spans="6:8">
      <c r="F2259" s="68" t="s">
        <v>254</v>
      </c>
      <c r="G2259" s="67" t="s">
        <v>250</v>
      </c>
      <c r="H2259" s="69">
        <v>0.3</v>
      </c>
    </row>
    <row r="2260" spans="6:8">
      <c r="F2260" s="68" t="s">
        <v>130</v>
      </c>
      <c r="G2260" s="67" t="s">
        <v>250</v>
      </c>
      <c r="H2260" s="69">
        <v>-0.85</v>
      </c>
    </row>
    <row r="2261" spans="6:8">
      <c r="F2261" s="68" t="s">
        <v>131</v>
      </c>
      <c r="G2261" s="67" t="s">
        <v>250</v>
      </c>
      <c r="H2261" s="69">
        <v>-0.35</v>
      </c>
    </row>
    <row r="2262" spans="6:8">
      <c r="F2262" s="68" t="s">
        <v>255</v>
      </c>
      <c r="G2262" s="67" t="s">
        <v>250</v>
      </c>
      <c r="H2262" s="69">
        <v>0.41</v>
      </c>
    </row>
    <row r="2263" spans="6:8">
      <c r="F2263" s="68" t="s">
        <v>132</v>
      </c>
      <c r="G2263" s="67" t="s">
        <v>250</v>
      </c>
      <c r="H2263" s="69">
        <v>-0.85</v>
      </c>
    </row>
    <row r="2264" spans="6:8">
      <c r="F2264" s="68" t="s">
        <v>133</v>
      </c>
      <c r="G2264" s="67" t="s">
        <v>250</v>
      </c>
      <c r="H2264" s="69">
        <v>-0.35</v>
      </c>
    </row>
    <row r="2265" spans="6:8">
      <c r="F2265" s="68" t="s">
        <v>256</v>
      </c>
      <c r="G2265" s="67" t="s">
        <v>250</v>
      </c>
      <c r="H2265" s="69">
        <v>0.59</v>
      </c>
    </row>
    <row r="2266" spans="6:8">
      <c r="F2266" s="68" t="s">
        <v>134</v>
      </c>
      <c r="G2266" s="67" t="s">
        <v>250</v>
      </c>
      <c r="H2266" s="69">
        <v>-0.9</v>
      </c>
    </row>
    <row r="2267" spans="6:8">
      <c r="F2267" s="68" t="s">
        <v>135</v>
      </c>
      <c r="G2267" s="67" t="s">
        <v>250</v>
      </c>
      <c r="H2267" s="69">
        <v>-0.4</v>
      </c>
    </row>
    <row r="2268" spans="6:8">
      <c r="F2268" s="68" t="s">
        <v>257</v>
      </c>
      <c r="G2268" s="67" t="s">
        <v>250</v>
      </c>
      <c r="H2268" s="69">
        <v>0.77</v>
      </c>
    </row>
    <row r="2269" spans="6:8">
      <c r="F2269" s="68" t="s">
        <v>258</v>
      </c>
      <c r="G2269" s="67" t="s">
        <v>250</v>
      </c>
      <c r="H2269" s="69">
        <v>0.1</v>
      </c>
    </row>
    <row r="2270" spans="6:8">
      <c r="F2270" s="68" t="s">
        <v>136</v>
      </c>
      <c r="G2270" s="67" t="s">
        <v>250</v>
      </c>
      <c r="H2270" s="69">
        <v>-0.9</v>
      </c>
    </row>
    <row r="2271" spans="6:8">
      <c r="F2271" s="68" t="s">
        <v>137</v>
      </c>
      <c r="G2271" s="67" t="s">
        <v>250</v>
      </c>
      <c r="H2271" s="69">
        <v>-0.5</v>
      </c>
    </row>
    <row r="2272" spans="6:8">
      <c r="F2272" s="68" t="s">
        <v>138</v>
      </c>
      <c r="G2272" s="67" t="s">
        <v>250</v>
      </c>
      <c r="H2272" s="69">
        <v>-0.65</v>
      </c>
    </row>
    <row r="2273" spans="6:8">
      <c r="F2273" s="68" t="s">
        <v>259</v>
      </c>
      <c r="G2273" s="67" t="s">
        <v>250</v>
      </c>
      <c r="H2273" s="69">
        <v>0.14000000000000001</v>
      </c>
    </row>
    <row r="2274" spans="6:8">
      <c r="F2274" s="68" t="s">
        <v>259</v>
      </c>
      <c r="G2274" s="67" t="s">
        <v>260</v>
      </c>
      <c r="H2274" s="69">
        <v>0.14000000000000001</v>
      </c>
    </row>
    <row r="2275" spans="6:8">
      <c r="F2275" s="68" t="s">
        <v>138</v>
      </c>
      <c r="G2275" s="67" t="s">
        <v>260</v>
      </c>
      <c r="H2275" s="69">
        <v>-0.65</v>
      </c>
    </row>
    <row r="2276" spans="6:8">
      <c r="F2276" s="68" t="s">
        <v>137</v>
      </c>
      <c r="G2276" s="67" t="s">
        <v>260</v>
      </c>
      <c r="H2276" s="69">
        <v>-0.5</v>
      </c>
    </row>
    <row r="2277" spans="6:8">
      <c r="F2277" s="68" t="s">
        <v>136</v>
      </c>
      <c r="G2277" s="67" t="s">
        <v>260</v>
      </c>
      <c r="H2277" s="69">
        <v>-0.9</v>
      </c>
    </row>
    <row r="2278" spans="6:8">
      <c r="F2278" s="68" t="s">
        <v>258</v>
      </c>
      <c r="G2278" s="67" t="s">
        <v>260</v>
      </c>
      <c r="H2278" s="69">
        <v>0.1</v>
      </c>
    </row>
    <row r="2279" spans="6:8">
      <c r="F2279" s="68" t="s">
        <v>257</v>
      </c>
      <c r="G2279" s="67" t="s">
        <v>260</v>
      </c>
      <c r="H2279" s="69">
        <v>0.79</v>
      </c>
    </row>
    <row r="2280" spans="6:8">
      <c r="F2280" s="68" t="s">
        <v>135</v>
      </c>
      <c r="G2280" s="67" t="s">
        <v>260</v>
      </c>
      <c r="H2280" s="69">
        <v>-0.4</v>
      </c>
    </row>
    <row r="2281" spans="6:8">
      <c r="F2281" s="68" t="s">
        <v>134</v>
      </c>
      <c r="G2281" s="67" t="s">
        <v>260</v>
      </c>
      <c r="H2281" s="69">
        <v>-0.9</v>
      </c>
    </row>
    <row r="2282" spans="6:8">
      <c r="F2282" s="68" t="s">
        <v>256</v>
      </c>
      <c r="G2282" s="67" t="s">
        <v>260</v>
      </c>
      <c r="H2282" s="69">
        <v>0.61</v>
      </c>
    </row>
    <row r="2283" spans="6:8">
      <c r="F2283" s="68" t="s">
        <v>133</v>
      </c>
      <c r="G2283" s="67" t="s">
        <v>260</v>
      </c>
      <c r="H2283" s="69">
        <v>-0.35</v>
      </c>
    </row>
    <row r="2284" spans="6:8">
      <c r="F2284" s="68" t="s">
        <v>132</v>
      </c>
      <c r="G2284" s="67" t="s">
        <v>260</v>
      </c>
      <c r="H2284" s="69">
        <v>-0.85</v>
      </c>
    </row>
    <row r="2285" spans="6:8">
      <c r="F2285" s="68" t="s">
        <v>255</v>
      </c>
      <c r="G2285" s="67" t="s">
        <v>260</v>
      </c>
      <c r="H2285" s="69">
        <v>0.43</v>
      </c>
    </row>
    <row r="2286" spans="6:8">
      <c r="F2286" s="68" t="s">
        <v>131</v>
      </c>
      <c r="G2286" s="67" t="s">
        <v>260</v>
      </c>
      <c r="H2286" s="69">
        <v>-0.35</v>
      </c>
    </row>
    <row r="2287" spans="6:8">
      <c r="F2287" s="68" t="s">
        <v>130</v>
      </c>
      <c r="G2287" s="67" t="s">
        <v>260</v>
      </c>
      <c r="H2287" s="69">
        <v>-0.85</v>
      </c>
    </row>
    <row r="2288" spans="6:8">
      <c r="F2288" s="68" t="s">
        <v>254</v>
      </c>
      <c r="G2288" s="67" t="s">
        <v>260</v>
      </c>
      <c r="H2288" s="69">
        <v>0.3</v>
      </c>
    </row>
    <row r="2289" spans="6:8">
      <c r="F2289" s="68" t="s">
        <v>129</v>
      </c>
      <c r="G2289" s="67" t="s">
        <v>260</v>
      </c>
      <c r="H2289" s="69">
        <v>-0.25</v>
      </c>
    </row>
    <row r="2290" spans="6:8">
      <c r="F2290" s="68" t="s">
        <v>128</v>
      </c>
      <c r="G2290" s="67" t="s">
        <v>260</v>
      </c>
      <c r="H2290" s="69">
        <v>-0.5</v>
      </c>
    </row>
    <row r="2291" spans="6:8">
      <c r="F2291" s="68" t="s">
        <v>253</v>
      </c>
      <c r="G2291" s="67" t="s">
        <v>260</v>
      </c>
      <c r="H2291" s="69">
        <v>0.22</v>
      </c>
    </row>
    <row r="2292" spans="6:8">
      <c r="F2292" s="68" t="s">
        <v>127</v>
      </c>
      <c r="G2292" s="67" t="s">
        <v>260</v>
      </c>
      <c r="H2292" s="69">
        <v>-0.15</v>
      </c>
    </row>
    <row r="2293" spans="6:8">
      <c r="F2293" s="68" t="s">
        <v>126</v>
      </c>
      <c r="G2293" s="67" t="s">
        <v>260</v>
      </c>
      <c r="H2293" s="69">
        <v>-0.55000000000000004</v>
      </c>
    </row>
    <row r="2294" spans="6:8">
      <c r="F2294" s="68" t="s">
        <v>125</v>
      </c>
      <c r="G2294" s="67" t="s">
        <v>260</v>
      </c>
      <c r="H2294" s="69">
        <v>-1.05</v>
      </c>
    </row>
    <row r="2295" spans="6:8">
      <c r="F2295" s="68" t="s">
        <v>252</v>
      </c>
      <c r="G2295" s="67" t="s">
        <v>260</v>
      </c>
      <c r="H2295" s="69">
        <v>0.19</v>
      </c>
    </row>
    <row r="2296" spans="6:8">
      <c r="F2296" s="68" t="s">
        <v>124</v>
      </c>
      <c r="G2296" s="67" t="s">
        <v>260</v>
      </c>
      <c r="H2296" s="69">
        <v>-0.65</v>
      </c>
    </row>
    <row r="2297" spans="6:8">
      <c r="F2297" s="68" t="s">
        <v>123</v>
      </c>
      <c r="G2297" s="67" t="s">
        <v>260</v>
      </c>
      <c r="H2297" s="69">
        <v>-0.6</v>
      </c>
    </row>
    <row r="2298" spans="6:8">
      <c r="F2298" s="68" t="s">
        <v>122</v>
      </c>
      <c r="G2298" s="67" t="s">
        <v>260</v>
      </c>
      <c r="H2298" s="69">
        <v>-0.95</v>
      </c>
    </row>
    <row r="2299" spans="6:8">
      <c r="F2299" s="68" t="s">
        <v>251</v>
      </c>
      <c r="G2299" s="67" t="s">
        <v>260</v>
      </c>
      <c r="H2299" s="69">
        <v>0.15</v>
      </c>
    </row>
    <row r="2300" spans="6:8">
      <c r="F2300" s="68" t="s">
        <v>121</v>
      </c>
      <c r="G2300" s="67" t="s">
        <v>260</v>
      </c>
      <c r="H2300" s="69">
        <v>-0.7</v>
      </c>
    </row>
    <row r="2301" spans="6:8">
      <c r="F2301" s="68" t="s">
        <v>120</v>
      </c>
      <c r="G2301" s="67" t="s">
        <v>260</v>
      </c>
      <c r="H2301" s="69">
        <v>-0.5</v>
      </c>
    </row>
    <row r="2302" spans="6:8">
      <c r="F2302" s="68" t="s">
        <v>119</v>
      </c>
      <c r="G2302" s="67" t="s">
        <v>260</v>
      </c>
      <c r="H2302" s="69">
        <v>-0.9</v>
      </c>
    </row>
    <row r="2303" spans="6:8">
      <c r="F2303" s="68" t="s">
        <v>119</v>
      </c>
      <c r="G2303" s="67" t="s">
        <v>261</v>
      </c>
      <c r="H2303" s="69">
        <v>-0.9</v>
      </c>
    </row>
    <row r="2304" spans="6:8">
      <c r="F2304" s="68" t="s">
        <v>120</v>
      </c>
      <c r="G2304" s="67" t="s">
        <v>261</v>
      </c>
      <c r="H2304" s="69">
        <v>-0.5</v>
      </c>
    </row>
    <row r="2305" spans="6:8">
      <c r="F2305" s="68" t="s">
        <v>121</v>
      </c>
      <c r="G2305" s="67" t="s">
        <v>261</v>
      </c>
      <c r="H2305" s="69">
        <v>-0.7</v>
      </c>
    </row>
    <row r="2306" spans="6:8">
      <c r="F2306" s="68" t="s">
        <v>251</v>
      </c>
      <c r="G2306" s="67" t="s">
        <v>261</v>
      </c>
      <c r="H2306" s="69">
        <v>0.15</v>
      </c>
    </row>
    <row r="2307" spans="6:8">
      <c r="F2307" s="68" t="s">
        <v>122</v>
      </c>
      <c r="G2307" s="67" t="s">
        <v>261</v>
      </c>
      <c r="H2307" s="69">
        <v>-0.95</v>
      </c>
    </row>
    <row r="2308" spans="6:8">
      <c r="F2308" s="68" t="s">
        <v>123</v>
      </c>
      <c r="G2308" s="67" t="s">
        <v>261</v>
      </c>
      <c r="H2308" s="69">
        <v>-0.6</v>
      </c>
    </row>
    <row r="2309" spans="6:8">
      <c r="F2309" s="68" t="s">
        <v>124</v>
      </c>
      <c r="G2309" s="67" t="s">
        <v>261</v>
      </c>
      <c r="H2309" s="69">
        <v>-0.65</v>
      </c>
    </row>
    <row r="2310" spans="6:8">
      <c r="F2310" s="68" t="s">
        <v>252</v>
      </c>
      <c r="G2310" s="67" t="s">
        <v>261</v>
      </c>
      <c r="H2310" s="69">
        <v>0.19</v>
      </c>
    </row>
    <row r="2311" spans="6:8">
      <c r="F2311" s="68" t="s">
        <v>125</v>
      </c>
      <c r="G2311" s="67" t="s">
        <v>261</v>
      </c>
      <c r="H2311" s="69">
        <v>-1.05</v>
      </c>
    </row>
    <row r="2312" spans="6:8">
      <c r="F2312" s="68" t="s">
        <v>126</v>
      </c>
      <c r="G2312" s="67" t="s">
        <v>261</v>
      </c>
      <c r="H2312" s="69">
        <v>-0.55000000000000004</v>
      </c>
    </row>
    <row r="2313" spans="6:8">
      <c r="F2313" s="68" t="s">
        <v>127</v>
      </c>
      <c r="G2313" s="67" t="s">
        <v>261</v>
      </c>
      <c r="H2313" s="69">
        <v>-0.15</v>
      </c>
    </row>
    <row r="2314" spans="6:8">
      <c r="F2314" s="68" t="s">
        <v>253</v>
      </c>
      <c r="G2314" s="67" t="s">
        <v>261</v>
      </c>
      <c r="H2314" s="69">
        <v>0.21</v>
      </c>
    </row>
    <row r="2315" spans="6:8">
      <c r="F2315" s="68" t="s">
        <v>128</v>
      </c>
      <c r="G2315" s="67" t="s">
        <v>261</v>
      </c>
      <c r="H2315" s="69">
        <v>-0.5</v>
      </c>
    </row>
    <row r="2316" spans="6:8">
      <c r="F2316" s="68" t="s">
        <v>129</v>
      </c>
      <c r="G2316" s="67" t="s">
        <v>261</v>
      </c>
      <c r="H2316" s="69">
        <v>-0.25</v>
      </c>
    </row>
    <row r="2317" spans="6:8">
      <c r="F2317" s="68" t="s">
        <v>254</v>
      </c>
      <c r="G2317" s="67" t="s">
        <v>261</v>
      </c>
      <c r="H2317" s="69">
        <v>0.28999999999999998</v>
      </c>
    </row>
    <row r="2318" spans="6:8">
      <c r="F2318" s="68" t="s">
        <v>130</v>
      </c>
      <c r="G2318" s="67" t="s">
        <v>261</v>
      </c>
      <c r="H2318" s="69">
        <v>-0.85</v>
      </c>
    </row>
    <row r="2319" spans="6:8">
      <c r="F2319" s="68" t="s">
        <v>131</v>
      </c>
      <c r="G2319" s="67" t="s">
        <v>261</v>
      </c>
      <c r="H2319" s="69">
        <v>-0.35</v>
      </c>
    </row>
    <row r="2320" spans="6:8">
      <c r="F2320" s="68" t="s">
        <v>255</v>
      </c>
      <c r="G2320" s="67" t="s">
        <v>261</v>
      </c>
      <c r="H2320" s="69">
        <v>0.42</v>
      </c>
    </row>
    <row r="2321" spans="6:8">
      <c r="F2321" s="68" t="s">
        <v>132</v>
      </c>
      <c r="G2321" s="67" t="s">
        <v>261</v>
      </c>
      <c r="H2321" s="69">
        <v>-0.85</v>
      </c>
    </row>
    <row r="2322" spans="6:8">
      <c r="F2322" s="68" t="s">
        <v>133</v>
      </c>
      <c r="G2322" s="67" t="s">
        <v>261</v>
      </c>
      <c r="H2322" s="69">
        <v>-0.35</v>
      </c>
    </row>
    <row r="2323" spans="6:8">
      <c r="F2323" s="68" t="s">
        <v>256</v>
      </c>
      <c r="G2323" s="67" t="s">
        <v>261</v>
      </c>
      <c r="H2323" s="69">
        <v>0.6</v>
      </c>
    </row>
    <row r="2324" spans="6:8">
      <c r="F2324" s="68" t="s">
        <v>134</v>
      </c>
      <c r="G2324" s="67" t="s">
        <v>261</v>
      </c>
      <c r="H2324" s="69">
        <v>-0.9</v>
      </c>
    </row>
    <row r="2325" spans="6:8">
      <c r="F2325" s="68" t="s">
        <v>135</v>
      </c>
      <c r="G2325" s="67" t="s">
        <v>261</v>
      </c>
      <c r="H2325" s="69">
        <v>-0.4</v>
      </c>
    </row>
    <row r="2326" spans="6:8">
      <c r="F2326" s="68" t="s">
        <v>257</v>
      </c>
      <c r="G2326" s="67" t="s">
        <v>261</v>
      </c>
      <c r="H2326" s="69">
        <v>0.78</v>
      </c>
    </row>
    <row r="2327" spans="6:8">
      <c r="F2327" s="68" t="s">
        <v>258</v>
      </c>
      <c r="G2327" s="67" t="s">
        <v>261</v>
      </c>
      <c r="H2327" s="69">
        <v>0.1</v>
      </c>
    </row>
    <row r="2328" spans="6:8">
      <c r="F2328" s="68" t="s">
        <v>136</v>
      </c>
      <c r="G2328" s="67" t="s">
        <v>261</v>
      </c>
      <c r="H2328" s="69">
        <v>-0.9</v>
      </c>
    </row>
    <row r="2329" spans="6:8">
      <c r="F2329" s="68" t="s">
        <v>137</v>
      </c>
      <c r="G2329" s="67" t="s">
        <v>261</v>
      </c>
      <c r="H2329" s="69">
        <v>-0.5</v>
      </c>
    </row>
    <row r="2330" spans="6:8">
      <c r="F2330" s="68" t="s">
        <v>138</v>
      </c>
      <c r="G2330" s="67" t="s">
        <v>261</v>
      </c>
      <c r="H2330" s="69">
        <v>-0.65</v>
      </c>
    </row>
    <row r="2331" spans="6:8">
      <c r="F2331" s="68" t="s">
        <v>259</v>
      </c>
      <c r="G2331" s="67" t="s">
        <v>261</v>
      </c>
      <c r="H2331" s="69">
        <v>0.14000000000000001</v>
      </c>
    </row>
    <row r="2332" spans="6:8">
      <c r="F2332" s="68" t="s">
        <v>259</v>
      </c>
      <c r="G2332" s="67" t="s">
        <v>262</v>
      </c>
      <c r="H2332" s="69">
        <v>0.14000000000000001</v>
      </c>
    </row>
    <row r="2333" spans="6:8">
      <c r="F2333" s="68" t="s">
        <v>138</v>
      </c>
      <c r="G2333" s="67" t="s">
        <v>262</v>
      </c>
      <c r="H2333" s="69">
        <v>-0.65</v>
      </c>
    </row>
    <row r="2334" spans="6:8">
      <c r="F2334" s="68" t="s">
        <v>137</v>
      </c>
      <c r="G2334" s="67" t="s">
        <v>262</v>
      </c>
      <c r="H2334" s="69">
        <v>-0.5</v>
      </c>
    </row>
    <row r="2335" spans="6:8">
      <c r="F2335" s="68" t="s">
        <v>136</v>
      </c>
      <c r="G2335" s="67" t="s">
        <v>262</v>
      </c>
      <c r="H2335" s="69">
        <v>-0.9</v>
      </c>
    </row>
    <row r="2336" spans="6:8">
      <c r="F2336" s="68" t="s">
        <v>258</v>
      </c>
      <c r="G2336" s="67" t="s">
        <v>262</v>
      </c>
      <c r="H2336" s="69">
        <v>0.1</v>
      </c>
    </row>
    <row r="2337" spans="6:8">
      <c r="F2337" s="68" t="s">
        <v>257</v>
      </c>
      <c r="G2337" s="67" t="s">
        <v>262</v>
      </c>
      <c r="H2337" s="69">
        <v>0.79</v>
      </c>
    </row>
    <row r="2338" spans="6:8">
      <c r="F2338" s="68" t="s">
        <v>135</v>
      </c>
      <c r="G2338" s="67" t="s">
        <v>262</v>
      </c>
      <c r="H2338" s="69">
        <v>-0.4</v>
      </c>
    </row>
    <row r="2339" spans="6:8">
      <c r="F2339" s="68" t="s">
        <v>134</v>
      </c>
      <c r="G2339" s="67" t="s">
        <v>262</v>
      </c>
      <c r="H2339" s="69">
        <v>-0.9</v>
      </c>
    </row>
    <row r="2340" spans="6:8">
      <c r="F2340" s="68" t="s">
        <v>256</v>
      </c>
      <c r="G2340" s="67" t="s">
        <v>262</v>
      </c>
      <c r="H2340" s="69">
        <v>0.61</v>
      </c>
    </row>
    <row r="2341" spans="6:8">
      <c r="F2341" s="68" t="s">
        <v>133</v>
      </c>
      <c r="G2341" s="67" t="s">
        <v>262</v>
      </c>
      <c r="H2341" s="69">
        <v>-0.35</v>
      </c>
    </row>
    <row r="2342" spans="6:8">
      <c r="F2342" s="68" t="s">
        <v>132</v>
      </c>
      <c r="G2342" s="67" t="s">
        <v>262</v>
      </c>
      <c r="H2342" s="69">
        <v>-0.85</v>
      </c>
    </row>
    <row r="2343" spans="6:8">
      <c r="F2343" s="68" t="s">
        <v>255</v>
      </c>
      <c r="G2343" s="67" t="s">
        <v>262</v>
      </c>
      <c r="H2343" s="69">
        <v>0.43</v>
      </c>
    </row>
    <row r="2344" spans="6:8">
      <c r="F2344" s="68" t="s">
        <v>131</v>
      </c>
      <c r="G2344" s="67" t="s">
        <v>262</v>
      </c>
      <c r="H2344" s="69">
        <v>-0.35</v>
      </c>
    </row>
    <row r="2345" spans="6:8">
      <c r="F2345" s="68" t="s">
        <v>130</v>
      </c>
      <c r="G2345" s="67" t="s">
        <v>262</v>
      </c>
      <c r="H2345" s="69">
        <v>-0.85</v>
      </c>
    </row>
    <row r="2346" spans="6:8">
      <c r="F2346" s="68" t="s">
        <v>254</v>
      </c>
      <c r="G2346" s="67" t="s">
        <v>262</v>
      </c>
      <c r="H2346" s="69">
        <v>0.3</v>
      </c>
    </row>
    <row r="2347" spans="6:8">
      <c r="F2347" s="68" t="s">
        <v>129</v>
      </c>
      <c r="G2347" s="67" t="s">
        <v>262</v>
      </c>
      <c r="H2347" s="69">
        <v>-0.25</v>
      </c>
    </row>
    <row r="2348" spans="6:8">
      <c r="F2348" s="68" t="s">
        <v>128</v>
      </c>
      <c r="G2348" s="67" t="s">
        <v>262</v>
      </c>
      <c r="H2348" s="69">
        <v>-0.5</v>
      </c>
    </row>
    <row r="2349" spans="6:8">
      <c r="F2349" s="68" t="s">
        <v>253</v>
      </c>
      <c r="G2349" s="67" t="s">
        <v>262</v>
      </c>
      <c r="H2349" s="69">
        <v>0.22</v>
      </c>
    </row>
    <row r="2350" spans="6:8">
      <c r="F2350" s="68" t="s">
        <v>127</v>
      </c>
      <c r="G2350" s="67" t="s">
        <v>262</v>
      </c>
      <c r="H2350" s="69">
        <v>-0.15</v>
      </c>
    </row>
    <row r="2351" spans="6:8">
      <c r="F2351" s="68" t="s">
        <v>126</v>
      </c>
      <c r="G2351" s="67" t="s">
        <v>262</v>
      </c>
      <c r="H2351" s="69">
        <v>-0.55000000000000004</v>
      </c>
    </row>
    <row r="2352" spans="6:8">
      <c r="F2352" s="68" t="s">
        <v>125</v>
      </c>
      <c r="G2352" s="67" t="s">
        <v>262</v>
      </c>
      <c r="H2352" s="69">
        <v>-1.05</v>
      </c>
    </row>
    <row r="2353" spans="6:8">
      <c r="F2353" s="68" t="s">
        <v>252</v>
      </c>
      <c r="G2353" s="67" t="s">
        <v>262</v>
      </c>
      <c r="H2353" s="69">
        <v>0.19</v>
      </c>
    </row>
    <row r="2354" spans="6:8">
      <c r="F2354" s="68" t="s">
        <v>124</v>
      </c>
      <c r="G2354" s="67" t="s">
        <v>262</v>
      </c>
      <c r="H2354" s="69">
        <v>-0.65</v>
      </c>
    </row>
    <row r="2355" spans="6:8">
      <c r="F2355" s="68" t="s">
        <v>123</v>
      </c>
      <c r="G2355" s="67" t="s">
        <v>262</v>
      </c>
      <c r="H2355" s="69">
        <v>-0.6</v>
      </c>
    </row>
    <row r="2356" spans="6:8">
      <c r="F2356" s="68" t="s">
        <v>122</v>
      </c>
      <c r="G2356" s="67" t="s">
        <v>262</v>
      </c>
      <c r="H2356" s="69">
        <v>-0.95</v>
      </c>
    </row>
    <row r="2357" spans="6:8">
      <c r="F2357" s="68" t="s">
        <v>251</v>
      </c>
      <c r="G2357" s="67" t="s">
        <v>262</v>
      </c>
      <c r="H2357" s="69">
        <v>0.15</v>
      </c>
    </row>
    <row r="2358" spans="6:8">
      <c r="F2358" s="68" t="s">
        <v>121</v>
      </c>
      <c r="G2358" s="67" t="s">
        <v>262</v>
      </c>
      <c r="H2358" s="69">
        <v>-0.7</v>
      </c>
    </row>
    <row r="2359" spans="6:8">
      <c r="F2359" s="68" t="s">
        <v>120</v>
      </c>
      <c r="G2359" s="67" t="s">
        <v>262</v>
      </c>
      <c r="H2359" s="69">
        <v>-0.5</v>
      </c>
    </row>
    <row r="2360" spans="6:8">
      <c r="F2360" s="68" t="s">
        <v>119</v>
      </c>
      <c r="G2360" s="67" t="s">
        <v>262</v>
      </c>
      <c r="H2360" s="69">
        <v>-0.9</v>
      </c>
    </row>
    <row r="2361" spans="6:8">
      <c r="F2361" s="68" t="s">
        <v>119</v>
      </c>
      <c r="G2361" s="67" t="s">
        <v>263</v>
      </c>
      <c r="H2361" s="69">
        <v>-0.95</v>
      </c>
    </row>
    <row r="2362" spans="6:8">
      <c r="F2362" s="68" t="s">
        <v>120</v>
      </c>
      <c r="G2362" s="67" t="s">
        <v>263</v>
      </c>
      <c r="H2362" s="69">
        <v>-0.55000000000000004</v>
      </c>
    </row>
    <row r="2363" spans="6:8">
      <c r="F2363" s="68" t="s">
        <v>121</v>
      </c>
      <c r="G2363" s="67" t="s">
        <v>263</v>
      </c>
      <c r="H2363" s="69">
        <v>-0.75</v>
      </c>
    </row>
    <row r="2364" spans="6:8">
      <c r="F2364" s="68" t="s">
        <v>251</v>
      </c>
      <c r="G2364" s="67" t="s">
        <v>263</v>
      </c>
      <c r="H2364" s="69">
        <v>0.15</v>
      </c>
    </row>
    <row r="2365" spans="6:8">
      <c r="F2365" s="68" t="s">
        <v>122</v>
      </c>
      <c r="G2365" s="67" t="s">
        <v>263</v>
      </c>
      <c r="H2365" s="69">
        <v>-1</v>
      </c>
    </row>
    <row r="2366" spans="6:8">
      <c r="F2366" s="68" t="s">
        <v>123</v>
      </c>
      <c r="G2366" s="67" t="s">
        <v>263</v>
      </c>
      <c r="H2366" s="69">
        <v>-0.65</v>
      </c>
    </row>
    <row r="2367" spans="6:8">
      <c r="F2367" s="68" t="s">
        <v>124</v>
      </c>
      <c r="G2367" s="67" t="s">
        <v>263</v>
      </c>
      <c r="H2367" s="69">
        <v>-0.7</v>
      </c>
    </row>
    <row r="2368" spans="6:8">
      <c r="F2368" s="68" t="s">
        <v>252</v>
      </c>
      <c r="G2368" s="67" t="s">
        <v>263</v>
      </c>
      <c r="H2368" s="69">
        <v>0.19</v>
      </c>
    </row>
    <row r="2369" spans="6:8">
      <c r="F2369" s="68" t="s">
        <v>125</v>
      </c>
      <c r="G2369" s="67" t="s">
        <v>263</v>
      </c>
      <c r="H2369" s="69">
        <v>-1.1000000000000001</v>
      </c>
    </row>
    <row r="2370" spans="6:8">
      <c r="F2370" s="68" t="s">
        <v>126</v>
      </c>
      <c r="G2370" s="67" t="s">
        <v>263</v>
      </c>
      <c r="H2370" s="69">
        <v>-0.6</v>
      </c>
    </row>
    <row r="2371" spans="6:8">
      <c r="F2371" s="68" t="s">
        <v>127</v>
      </c>
      <c r="G2371" s="67" t="s">
        <v>263</v>
      </c>
      <c r="H2371" s="69">
        <v>-0.15</v>
      </c>
    </row>
    <row r="2372" spans="6:8">
      <c r="F2372" s="68" t="s">
        <v>253</v>
      </c>
      <c r="G2372" s="67" t="s">
        <v>263</v>
      </c>
      <c r="H2372" s="69">
        <v>0.23</v>
      </c>
    </row>
    <row r="2373" spans="6:8">
      <c r="F2373" s="68" t="s">
        <v>128</v>
      </c>
      <c r="G2373" s="67" t="s">
        <v>263</v>
      </c>
      <c r="H2373" s="69">
        <v>-0.55000000000000004</v>
      </c>
    </row>
    <row r="2374" spans="6:8">
      <c r="F2374" s="68" t="s">
        <v>129</v>
      </c>
      <c r="G2374" s="67" t="s">
        <v>263</v>
      </c>
      <c r="H2374" s="69">
        <v>-0.25</v>
      </c>
    </row>
    <row r="2375" spans="6:8">
      <c r="F2375" s="68" t="s">
        <v>254</v>
      </c>
      <c r="G2375" s="67" t="s">
        <v>263</v>
      </c>
      <c r="H2375" s="69">
        <v>0.31</v>
      </c>
    </row>
    <row r="2376" spans="6:8">
      <c r="F2376" s="68" t="s">
        <v>130</v>
      </c>
      <c r="G2376" s="67" t="s">
        <v>263</v>
      </c>
      <c r="H2376" s="69">
        <v>-0.9</v>
      </c>
    </row>
    <row r="2377" spans="6:8">
      <c r="F2377" s="68" t="s">
        <v>131</v>
      </c>
      <c r="G2377" s="67" t="s">
        <v>263</v>
      </c>
      <c r="H2377" s="69">
        <v>-0.35</v>
      </c>
    </row>
    <row r="2378" spans="6:8">
      <c r="F2378" s="68" t="s">
        <v>255</v>
      </c>
      <c r="G2378" s="67" t="s">
        <v>263</v>
      </c>
      <c r="H2378" s="69">
        <v>0.44</v>
      </c>
    </row>
    <row r="2379" spans="6:8">
      <c r="F2379" s="68" t="s">
        <v>132</v>
      </c>
      <c r="G2379" s="67" t="s">
        <v>263</v>
      </c>
      <c r="H2379" s="69">
        <v>-0.9</v>
      </c>
    </row>
    <row r="2380" spans="6:8">
      <c r="F2380" s="68" t="s">
        <v>133</v>
      </c>
      <c r="G2380" s="67" t="s">
        <v>263</v>
      </c>
      <c r="H2380" s="69">
        <v>-0.35</v>
      </c>
    </row>
    <row r="2381" spans="6:8">
      <c r="F2381" s="68" t="s">
        <v>256</v>
      </c>
      <c r="G2381" s="67" t="s">
        <v>263</v>
      </c>
      <c r="H2381" s="69">
        <v>0.62</v>
      </c>
    </row>
    <row r="2382" spans="6:8">
      <c r="F2382" s="68" t="s">
        <v>134</v>
      </c>
      <c r="G2382" s="67" t="s">
        <v>263</v>
      </c>
      <c r="H2382" s="69">
        <v>-0.95</v>
      </c>
    </row>
    <row r="2383" spans="6:8">
      <c r="F2383" s="68" t="s">
        <v>135</v>
      </c>
      <c r="G2383" s="67" t="s">
        <v>263</v>
      </c>
      <c r="H2383" s="69">
        <v>-0.4</v>
      </c>
    </row>
    <row r="2384" spans="6:8">
      <c r="F2384" s="68" t="s">
        <v>257</v>
      </c>
      <c r="G2384" s="67" t="s">
        <v>263</v>
      </c>
      <c r="H2384" s="69">
        <v>0.8</v>
      </c>
    </row>
    <row r="2385" spans="6:8">
      <c r="F2385" s="68" t="s">
        <v>258</v>
      </c>
      <c r="G2385" s="67" t="s">
        <v>263</v>
      </c>
      <c r="H2385" s="69">
        <v>0.1</v>
      </c>
    </row>
    <row r="2386" spans="6:8">
      <c r="F2386" s="68" t="s">
        <v>136</v>
      </c>
      <c r="G2386" s="67" t="s">
        <v>263</v>
      </c>
      <c r="H2386" s="69">
        <v>-0.95</v>
      </c>
    </row>
    <row r="2387" spans="6:8">
      <c r="F2387" s="68" t="s">
        <v>137</v>
      </c>
      <c r="G2387" s="67" t="s">
        <v>263</v>
      </c>
      <c r="H2387" s="69">
        <v>-0.55000000000000004</v>
      </c>
    </row>
    <row r="2388" spans="6:8">
      <c r="F2388" s="68" t="s">
        <v>138</v>
      </c>
      <c r="G2388" s="67" t="s">
        <v>263</v>
      </c>
      <c r="H2388" s="69">
        <v>-0.75</v>
      </c>
    </row>
    <row r="2389" spans="6:8">
      <c r="F2389" s="68" t="s">
        <v>259</v>
      </c>
      <c r="G2389" s="67" t="s">
        <v>263</v>
      </c>
      <c r="H2389" s="69">
        <v>0.14000000000000001</v>
      </c>
    </row>
    <row r="2390" spans="6:8">
      <c r="F2390" s="68" t="s">
        <v>259</v>
      </c>
      <c r="G2390" s="67" t="s">
        <v>264</v>
      </c>
      <c r="H2390" s="69">
        <v>0.14000000000000001</v>
      </c>
    </row>
    <row r="2391" spans="6:8">
      <c r="F2391" s="68" t="s">
        <v>138</v>
      </c>
      <c r="G2391" s="67" t="s">
        <v>264</v>
      </c>
      <c r="H2391" s="69">
        <v>-0.75</v>
      </c>
    </row>
    <row r="2392" spans="6:8">
      <c r="F2392" s="68" t="s">
        <v>137</v>
      </c>
      <c r="G2392" s="67" t="s">
        <v>264</v>
      </c>
      <c r="H2392" s="69">
        <v>-0.55000000000000004</v>
      </c>
    </row>
    <row r="2393" spans="6:8">
      <c r="F2393" s="68" t="s">
        <v>136</v>
      </c>
      <c r="G2393" s="67" t="s">
        <v>264</v>
      </c>
      <c r="H2393" s="69">
        <v>-0.95</v>
      </c>
    </row>
    <row r="2394" spans="6:8">
      <c r="F2394" s="68" t="s">
        <v>258</v>
      </c>
      <c r="G2394" s="67" t="s">
        <v>264</v>
      </c>
      <c r="H2394" s="69">
        <v>0.1</v>
      </c>
    </row>
    <row r="2395" spans="6:8">
      <c r="F2395" s="68" t="s">
        <v>257</v>
      </c>
      <c r="G2395" s="67" t="s">
        <v>264</v>
      </c>
      <c r="H2395" s="69">
        <v>0.8</v>
      </c>
    </row>
    <row r="2396" spans="6:8">
      <c r="F2396" s="68" t="s">
        <v>135</v>
      </c>
      <c r="G2396" s="67" t="s">
        <v>264</v>
      </c>
      <c r="H2396" s="69">
        <v>-0.4</v>
      </c>
    </row>
    <row r="2397" spans="6:8">
      <c r="F2397" s="68" t="s">
        <v>134</v>
      </c>
      <c r="G2397" s="67" t="s">
        <v>264</v>
      </c>
      <c r="H2397" s="69">
        <v>-0.95</v>
      </c>
    </row>
    <row r="2398" spans="6:8">
      <c r="F2398" s="68" t="s">
        <v>256</v>
      </c>
      <c r="G2398" s="67" t="s">
        <v>264</v>
      </c>
      <c r="H2398" s="69">
        <v>0.62</v>
      </c>
    </row>
    <row r="2399" spans="6:8">
      <c r="F2399" s="68" t="s">
        <v>133</v>
      </c>
      <c r="G2399" s="67" t="s">
        <v>264</v>
      </c>
      <c r="H2399" s="69">
        <v>-0.35</v>
      </c>
    </row>
    <row r="2400" spans="6:8">
      <c r="F2400" s="68" t="s">
        <v>132</v>
      </c>
      <c r="G2400" s="67" t="s">
        <v>264</v>
      </c>
      <c r="H2400" s="69">
        <v>-0.9</v>
      </c>
    </row>
    <row r="2401" spans="6:8">
      <c r="F2401" s="68" t="s">
        <v>255</v>
      </c>
      <c r="G2401" s="67" t="s">
        <v>264</v>
      </c>
      <c r="H2401" s="69">
        <v>0.44</v>
      </c>
    </row>
    <row r="2402" spans="6:8">
      <c r="F2402" s="68" t="s">
        <v>131</v>
      </c>
      <c r="G2402" s="67" t="s">
        <v>264</v>
      </c>
      <c r="H2402" s="69">
        <v>-0.35</v>
      </c>
    </row>
    <row r="2403" spans="6:8">
      <c r="F2403" s="68" t="s">
        <v>130</v>
      </c>
      <c r="G2403" s="67" t="s">
        <v>264</v>
      </c>
      <c r="H2403" s="69">
        <v>-0.9</v>
      </c>
    </row>
    <row r="2404" spans="6:8">
      <c r="F2404" s="68" t="s">
        <v>254</v>
      </c>
      <c r="G2404" s="67" t="s">
        <v>264</v>
      </c>
      <c r="H2404" s="69">
        <v>0.31</v>
      </c>
    </row>
    <row r="2405" spans="6:8">
      <c r="F2405" s="68" t="s">
        <v>129</v>
      </c>
      <c r="G2405" s="67" t="s">
        <v>264</v>
      </c>
      <c r="H2405" s="69">
        <v>-0.25</v>
      </c>
    </row>
    <row r="2406" spans="6:8">
      <c r="F2406" s="68" t="s">
        <v>128</v>
      </c>
      <c r="G2406" s="67" t="s">
        <v>264</v>
      </c>
      <c r="H2406" s="69">
        <v>-0.55000000000000004</v>
      </c>
    </row>
    <row r="2407" spans="6:8">
      <c r="F2407" s="68" t="s">
        <v>253</v>
      </c>
      <c r="G2407" s="67" t="s">
        <v>264</v>
      </c>
      <c r="H2407" s="69">
        <v>0.23</v>
      </c>
    </row>
    <row r="2408" spans="6:8">
      <c r="F2408" s="68" t="s">
        <v>127</v>
      </c>
      <c r="G2408" s="67" t="s">
        <v>264</v>
      </c>
      <c r="H2408" s="69">
        <v>-0.15</v>
      </c>
    </row>
    <row r="2409" spans="6:8">
      <c r="F2409" s="68" t="s">
        <v>126</v>
      </c>
      <c r="G2409" s="67" t="s">
        <v>264</v>
      </c>
      <c r="H2409" s="69">
        <v>-0.6</v>
      </c>
    </row>
    <row r="2410" spans="6:8">
      <c r="F2410" s="68" t="s">
        <v>125</v>
      </c>
      <c r="G2410" s="67" t="s">
        <v>264</v>
      </c>
      <c r="H2410" s="69">
        <v>-1.1000000000000001</v>
      </c>
    </row>
    <row r="2411" spans="6:8">
      <c r="F2411" s="68" t="s">
        <v>252</v>
      </c>
      <c r="G2411" s="67" t="s">
        <v>264</v>
      </c>
      <c r="H2411" s="69">
        <v>0.19</v>
      </c>
    </row>
    <row r="2412" spans="6:8">
      <c r="F2412" s="68" t="s">
        <v>124</v>
      </c>
      <c r="G2412" s="67" t="s">
        <v>264</v>
      </c>
      <c r="H2412" s="69">
        <v>-0.7</v>
      </c>
    </row>
    <row r="2413" spans="6:8">
      <c r="F2413" s="68" t="s">
        <v>123</v>
      </c>
      <c r="G2413" s="67" t="s">
        <v>264</v>
      </c>
      <c r="H2413" s="69">
        <v>-0.65</v>
      </c>
    </row>
    <row r="2414" spans="6:8">
      <c r="F2414" s="68" t="s">
        <v>122</v>
      </c>
      <c r="G2414" s="67" t="s">
        <v>264</v>
      </c>
      <c r="H2414" s="69">
        <v>-1</v>
      </c>
    </row>
    <row r="2415" spans="6:8">
      <c r="F2415" s="68" t="s">
        <v>251</v>
      </c>
      <c r="G2415" s="67" t="s">
        <v>264</v>
      </c>
      <c r="H2415" s="69">
        <v>0.15</v>
      </c>
    </row>
    <row r="2416" spans="6:8">
      <c r="F2416" s="68" t="s">
        <v>121</v>
      </c>
      <c r="G2416" s="67" t="s">
        <v>264</v>
      </c>
      <c r="H2416" s="69">
        <v>-0.75</v>
      </c>
    </row>
    <row r="2417" spans="6:8">
      <c r="F2417" s="68" t="s">
        <v>120</v>
      </c>
      <c r="G2417" s="67" t="s">
        <v>264</v>
      </c>
      <c r="H2417" s="69">
        <v>-0.55000000000000004</v>
      </c>
    </row>
    <row r="2418" spans="6:8">
      <c r="F2418" s="68" t="s">
        <v>119</v>
      </c>
      <c r="G2418" s="67" t="s">
        <v>264</v>
      </c>
      <c r="H2418" s="69">
        <v>-0.95</v>
      </c>
    </row>
    <row r="2419" spans="6:8">
      <c r="F2419" s="68" t="s">
        <v>119</v>
      </c>
      <c r="G2419" s="67" t="s">
        <v>265</v>
      </c>
      <c r="H2419" s="69">
        <v>-1</v>
      </c>
    </row>
    <row r="2420" spans="6:8">
      <c r="F2420" s="68" t="s">
        <v>120</v>
      </c>
      <c r="G2420" s="67" t="s">
        <v>265</v>
      </c>
      <c r="H2420" s="69">
        <v>-0.6</v>
      </c>
    </row>
    <row r="2421" spans="6:8">
      <c r="F2421" s="68" t="s">
        <v>121</v>
      </c>
      <c r="G2421" s="67" t="s">
        <v>265</v>
      </c>
      <c r="H2421" s="69">
        <v>-0.8</v>
      </c>
    </row>
    <row r="2422" spans="6:8">
      <c r="F2422" s="68" t="s">
        <v>251</v>
      </c>
      <c r="G2422" s="67" t="s">
        <v>265</v>
      </c>
      <c r="H2422" s="69">
        <v>0.15</v>
      </c>
    </row>
    <row r="2423" spans="6:8">
      <c r="F2423" s="68" t="s">
        <v>122</v>
      </c>
      <c r="G2423" s="67" t="s">
        <v>265</v>
      </c>
      <c r="H2423" s="69">
        <v>-1.05</v>
      </c>
    </row>
    <row r="2424" spans="6:8">
      <c r="F2424" s="68" t="s">
        <v>123</v>
      </c>
      <c r="G2424" s="67" t="s">
        <v>265</v>
      </c>
      <c r="H2424" s="69">
        <v>-0.65</v>
      </c>
    </row>
    <row r="2425" spans="6:8">
      <c r="F2425" s="68" t="s">
        <v>124</v>
      </c>
      <c r="G2425" s="67" t="s">
        <v>265</v>
      </c>
      <c r="H2425" s="69">
        <v>-0.75</v>
      </c>
    </row>
    <row r="2426" spans="6:8">
      <c r="F2426" s="68" t="s">
        <v>252</v>
      </c>
      <c r="G2426" s="67" t="s">
        <v>265</v>
      </c>
      <c r="H2426" s="69">
        <v>0.19</v>
      </c>
    </row>
    <row r="2427" spans="6:8">
      <c r="F2427" s="68" t="s">
        <v>125</v>
      </c>
      <c r="G2427" s="67" t="s">
        <v>265</v>
      </c>
      <c r="H2427" s="69">
        <v>-1.1499999999999999</v>
      </c>
    </row>
    <row r="2428" spans="6:8">
      <c r="F2428" s="68" t="s">
        <v>126</v>
      </c>
      <c r="G2428" s="67" t="s">
        <v>265</v>
      </c>
      <c r="H2428" s="69">
        <v>-0.65</v>
      </c>
    </row>
    <row r="2429" spans="6:8">
      <c r="F2429" s="68" t="s">
        <v>127</v>
      </c>
      <c r="G2429" s="67" t="s">
        <v>265</v>
      </c>
      <c r="H2429" s="69">
        <v>-0.15</v>
      </c>
    </row>
    <row r="2430" spans="6:8">
      <c r="F2430" s="68" t="s">
        <v>253</v>
      </c>
      <c r="G2430" s="67" t="s">
        <v>265</v>
      </c>
      <c r="H2430" s="69">
        <v>0.22</v>
      </c>
    </row>
    <row r="2431" spans="6:8">
      <c r="F2431" s="68" t="s">
        <v>128</v>
      </c>
      <c r="G2431" s="67" t="s">
        <v>265</v>
      </c>
      <c r="H2431" s="69">
        <v>-0.6</v>
      </c>
    </row>
    <row r="2432" spans="6:8">
      <c r="F2432" s="68" t="s">
        <v>129</v>
      </c>
      <c r="G2432" s="67" t="s">
        <v>265</v>
      </c>
      <c r="H2432" s="69">
        <v>-0.25</v>
      </c>
    </row>
    <row r="2433" spans="6:8">
      <c r="F2433" s="68" t="s">
        <v>254</v>
      </c>
      <c r="G2433" s="67" t="s">
        <v>265</v>
      </c>
      <c r="H2433" s="69">
        <v>0.3</v>
      </c>
    </row>
    <row r="2434" spans="6:8">
      <c r="F2434" s="68" t="s">
        <v>130</v>
      </c>
      <c r="G2434" s="67" t="s">
        <v>265</v>
      </c>
      <c r="H2434" s="69">
        <v>-0.95</v>
      </c>
    </row>
    <row r="2435" spans="6:8">
      <c r="F2435" s="68" t="s">
        <v>131</v>
      </c>
      <c r="G2435" s="67" t="s">
        <v>265</v>
      </c>
      <c r="H2435" s="69">
        <v>-0.35</v>
      </c>
    </row>
    <row r="2436" spans="6:8">
      <c r="F2436" s="68" t="s">
        <v>255</v>
      </c>
      <c r="G2436" s="67" t="s">
        <v>265</v>
      </c>
      <c r="H2436" s="69">
        <v>0.43</v>
      </c>
    </row>
    <row r="2437" spans="6:8">
      <c r="F2437" s="68" t="s">
        <v>132</v>
      </c>
      <c r="G2437" s="67" t="s">
        <v>265</v>
      </c>
      <c r="H2437" s="69">
        <v>-0.95</v>
      </c>
    </row>
    <row r="2438" spans="6:8">
      <c r="F2438" s="68" t="s">
        <v>133</v>
      </c>
      <c r="G2438" s="67" t="s">
        <v>265</v>
      </c>
      <c r="H2438" s="69">
        <v>-0.35</v>
      </c>
    </row>
    <row r="2439" spans="6:8">
      <c r="F2439" s="68" t="s">
        <v>256</v>
      </c>
      <c r="G2439" s="67" t="s">
        <v>265</v>
      </c>
      <c r="H2439" s="69">
        <v>0.61</v>
      </c>
    </row>
    <row r="2440" spans="6:8">
      <c r="F2440" s="68" t="s">
        <v>134</v>
      </c>
      <c r="G2440" s="67" t="s">
        <v>265</v>
      </c>
      <c r="H2440" s="69">
        <v>-1</v>
      </c>
    </row>
    <row r="2441" spans="6:8">
      <c r="F2441" s="68" t="s">
        <v>135</v>
      </c>
      <c r="G2441" s="67" t="s">
        <v>265</v>
      </c>
      <c r="H2441" s="69">
        <v>-0.4</v>
      </c>
    </row>
    <row r="2442" spans="6:8">
      <c r="F2442" s="68" t="s">
        <v>257</v>
      </c>
      <c r="G2442" s="67" t="s">
        <v>265</v>
      </c>
      <c r="H2442" s="69">
        <v>0.79</v>
      </c>
    </row>
    <row r="2443" spans="6:8">
      <c r="F2443" s="68" t="s">
        <v>258</v>
      </c>
      <c r="G2443" s="67" t="s">
        <v>265</v>
      </c>
      <c r="H2443" s="69">
        <v>0.1</v>
      </c>
    </row>
    <row r="2444" spans="6:8">
      <c r="F2444" s="68" t="s">
        <v>136</v>
      </c>
      <c r="G2444" s="67" t="s">
        <v>265</v>
      </c>
      <c r="H2444" s="69">
        <v>-1</v>
      </c>
    </row>
    <row r="2445" spans="6:8">
      <c r="F2445" s="68" t="s">
        <v>137</v>
      </c>
      <c r="G2445" s="67" t="s">
        <v>265</v>
      </c>
      <c r="H2445" s="69">
        <v>-0.6</v>
      </c>
    </row>
    <row r="2446" spans="6:8">
      <c r="F2446" s="68" t="s">
        <v>138</v>
      </c>
      <c r="G2446" s="67" t="s">
        <v>265</v>
      </c>
      <c r="H2446" s="69">
        <v>-0.8</v>
      </c>
    </row>
    <row r="2447" spans="6:8">
      <c r="F2447" s="68" t="s">
        <v>259</v>
      </c>
      <c r="G2447" s="67" t="s">
        <v>265</v>
      </c>
      <c r="H2447" s="69">
        <v>0.14000000000000001</v>
      </c>
    </row>
    <row r="2448" spans="6:8">
      <c r="F2448" s="68" t="s">
        <v>259</v>
      </c>
      <c r="G2448" s="67" t="s">
        <v>266</v>
      </c>
      <c r="H2448" s="69">
        <v>0.14000000000000001</v>
      </c>
    </row>
    <row r="2449" spans="6:8">
      <c r="F2449" s="68" t="s">
        <v>138</v>
      </c>
      <c r="G2449" s="67" t="s">
        <v>266</v>
      </c>
      <c r="H2449" s="69">
        <v>-0.85</v>
      </c>
    </row>
    <row r="2450" spans="6:8">
      <c r="F2450" s="68" t="s">
        <v>137</v>
      </c>
      <c r="G2450" s="67" t="s">
        <v>266</v>
      </c>
      <c r="H2450" s="69">
        <v>-0.6</v>
      </c>
    </row>
    <row r="2451" spans="6:8">
      <c r="F2451" s="68" t="s">
        <v>136</v>
      </c>
      <c r="G2451" s="67" t="s">
        <v>266</v>
      </c>
      <c r="H2451" s="69">
        <v>-1.05</v>
      </c>
    </row>
    <row r="2452" spans="6:8">
      <c r="F2452" s="68" t="s">
        <v>258</v>
      </c>
      <c r="G2452" s="67" t="s">
        <v>266</v>
      </c>
      <c r="H2452" s="69">
        <v>0.1</v>
      </c>
    </row>
    <row r="2453" spans="6:8">
      <c r="F2453" s="68" t="s">
        <v>257</v>
      </c>
      <c r="G2453" s="67" t="s">
        <v>266</v>
      </c>
      <c r="H2453" s="69">
        <v>0.78</v>
      </c>
    </row>
    <row r="2454" spans="6:8">
      <c r="F2454" s="68" t="s">
        <v>135</v>
      </c>
      <c r="G2454" s="67" t="s">
        <v>266</v>
      </c>
      <c r="H2454" s="69">
        <v>-0.4</v>
      </c>
    </row>
    <row r="2455" spans="6:8">
      <c r="F2455" s="68" t="s">
        <v>134</v>
      </c>
      <c r="G2455" s="67" t="s">
        <v>266</v>
      </c>
      <c r="H2455" s="69">
        <v>-1.05</v>
      </c>
    </row>
    <row r="2456" spans="6:8">
      <c r="F2456" s="68" t="s">
        <v>256</v>
      </c>
      <c r="G2456" s="67" t="s">
        <v>266</v>
      </c>
      <c r="H2456" s="69">
        <v>0.6</v>
      </c>
    </row>
    <row r="2457" spans="6:8">
      <c r="F2457" s="68" t="s">
        <v>133</v>
      </c>
      <c r="G2457" s="67" t="s">
        <v>266</v>
      </c>
      <c r="H2457" s="69">
        <v>-0.35</v>
      </c>
    </row>
    <row r="2458" spans="6:8">
      <c r="F2458" s="68" t="s">
        <v>132</v>
      </c>
      <c r="G2458" s="67" t="s">
        <v>266</v>
      </c>
      <c r="H2458" s="69">
        <v>-1</v>
      </c>
    </row>
    <row r="2459" spans="6:8">
      <c r="F2459" s="68" t="s">
        <v>255</v>
      </c>
      <c r="G2459" s="67" t="s">
        <v>266</v>
      </c>
      <c r="H2459" s="69">
        <v>0.42</v>
      </c>
    </row>
    <row r="2460" spans="6:8">
      <c r="F2460" s="68" t="s">
        <v>131</v>
      </c>
      <c r="G2460" s="67" t="s">
        <v>266</v>
      </c>
      <c r="H2460" s="69">
        <v>-0.35</v>
      </c>
    </row>
    <row r="2461" spans="6:8">
      <c r="F2461" s="68" t="s">
        <v>130</v>
      </c>
      <c r="G2461" s="67" t="s">
        <v>266</v>
      </c>
      <c r="H2461" s="69">
        <v>-1</v>
      </c>
    </row>
    <row r="2462" spans="6:8">
      <c r="F2462" s="68" t="s">
        <v>254</v>
      </c>
      <c r="G2462" s="67" t="s">
        <v>266</v>
      </c>
      <c r="H2462" s="69">
        <v>0.28999999999999998</v>
      </c>
    </row>
    <row r="2463" spans="6:8">
      <c r="F2463" s="68" t="s">
        <v>129</v>
      </c>
      <c r="G2463" s="67" t="s">
        <v>266</v>
      </c>
      <c r="H2463" s="69">
        <v>-0.25</v>
      </c>
    </row>
    <row r="2464" spans="6:8">
      <c r="F2464" s="68" t="s">
        <v>128</v>
      </c>
      <c r="G2464" s="67" t="s">
        <v>266</v>
      </c>
      <c r="H2464" s="69">
        <v>-0.6</v>
      </c>
    </row>
    <row r="2465" spans="6:8">
      <c r="F2465" s="68" t="s">
        <v>253</v>
      </c>
      <c r="G2465" s="67" t="s">
        <v>266</v>
      </c>
      <c r="H2465" s="69">
        <v>0.21</v>
      </c>
    </row>
    <row r="2466" spans="6:8">
      <c r="F2466" s="68" t="s">
        <v>127</v>
      </c>
      <c r="G2466" s="67" t="s">
        <v>266</v>
      </c>
      <c r="H2466" s="69">
        <v>-0.15</v>
      </c>
    </row>
    <row r="2467" spans="6:8">
      <c r="F2467" s="68" t="s">
        <v>126</v>
      </c>
      <c r="G2467" s="67" t="s">
        <v>266</v>
      </c>
      <c r="H2467" s="69">
        <v>-0.65</v>
      </c>
    </row>
    <row r="2468" spans="6:8">
      <c r="F2468" s="68" t="s">
        <v>125</v>
      </c>
      <c r="G2468" s="67" t="s">
        <v>266</v>
      </c>
      <c r="H2468" s="69">
        <v>-1.2</v>
      </c>
    </row>
    <row r="2469" spans="6:8">
      <c r="F2469" s="68" t="s">
        <v>252</v>
      </c>
      <c r="G2469" s="67" t="s">
        <v>266</v>
      </c>
      <c r="H2469" s="69">
        <v>0.18</v>
      </c>
    </row>
    <row r="2470" spans="6:8">
      <c r="F2470" s="68" t="s">
        <v>124</v>
      </c>
      <c r="G2470" s="67" t="s">
        <v>266</v>
      </c>
      <c r="H2470" s="69">
        <v>-0.8</v>
      </c>
    </row>
    <row r="2471" spans="6:8">
      <c r="F2471" s="68" t="s">
        <v>123</v>
      </c>
      <c r="G2471" s="67" t="s">
        <v>266</v>
      </c>
      <c r="H2471" s="69">
        <v>-0.65</v>
      </c>
    </row>
    <row r="2472" spans="6:8">
      <c r="F2472" s="68" t="s">
        <v>122</v>
      </c>
      <c r="G2472" s="67" t="s">
        <v>266</v>
      </c>
      <c r="H2472" s="69">
        <v>-1.1000000000000001</v>
      </c>
    </row>
    <row r="2473" spans="6:8">
      <c r="F2473" s="68" t="s">
        <v>251</v>
      </c>
      <c r="G2473" s="67" t="s">
        <v>266</v>
      </c>
      <c r="H2473" s="69">
        <v>0.15</v>
      </c>
    </row>
    <row r="2474" spans="6:8">
      <c r="F2474" s="68" t="s">
        <v>121</v>
      </c>
      <c r="G2474" s="67" t="s">
        <v>266</v>
      </c>
      <c r="H2474" s="69">
        <v>-0.85</v>
      </c>
    </row>
    <row r="2475" spans="6:8">
      <c r="F2475" s="68" t="s">
        <v>120</v>
      </c>
      <c r="G2475" s="67" t="s">
        <v>266</v>
      </c>
      <c r="H2475" s="69">
        <v>-0.6</v>
      </c>
    </row>
    <row r="2476" spans="6:8">
      <c r="F2476" s="68" t="s">
        <v>119</v>
      </c>
      <c r="G2476" s="67" t="s">
        <v>266</v>
      </c>
      <c r="H2476" s="69">
        <v>-1.05</v>
      </c>
    </row>
    <row r="2477" spans="6:8">
      <c r="F2477" s="68" t="s">
        <v>119</v>
      </c>
      <c r="G2477" s="67" t="s">
        <v>267</v>
      </c>
      <c r="H2477" s="69">
        <v>-1</v>
      </c>
    </row>
    <row r="2478" spans="6:8">
      <c r="F2478" s="68" t="s">
        <v>120</v>
      </c>
      <c r="G2478" s="67" t="s">
        <v>267</v>
      </c>
      <c r="H2478" s="69">
        <v>-0.55000000000000004</v>
      </c>
    </row>
    <row r="2479" spans="6:8">
      <c r="F2479" s="68" t="s">
        <v>121</v>
      </c>
      <c r="G2479" s="67" t="s">
        <v>267</v>
      </c>
      <c r="H2479" s="69">
        <v>-0.8</v>
      </c>
    </row>
    <row r="2480" spans="6:8">
      <c r="F2480" s="68" t="s">
        <v>251</v>
      </c>
      <c r="G2480" s="67" t="s">
        <v>267</v>
      </c>
      <c r="H2480" s="69">
        <v>0.15</v>
      </c>
    </row>
    <row r="2481" spans="6:8">
      <c r="F2481" s="68" t="s">
        <v>122</v>
      </c>
      <c r="G2481" s="67" t="s">
        <v>267</v>
      </c>
      <c r="H2481" s="69">
        <v>-1.05</v>
      </c>
    </row>
    <row r="2482" spans="6:8">
      <c r="F2482" s="68" t="s">
        <v>123</v>
      </c>
      <c r="G2482" s="67" t="s">
        <v>267</v>
      </c>
      <c r="H2482" s="69">
        <v>-0.6</v>
      </c>
    </row>
    <row r="2483" spans="6:8">
      <c r="F2483" s="68" t="s">
        <v>124</v>
      </c>
      <c r="G2483" s="67" t="s">
        <v>267</v>
      </c>
      <c r="H2483" s="69">
        <v>-0.75</v>
      </c>
    </row>
    <row r="2484" spans="6:8">
      <c r="F2484" s="68" t="s">
        <v>252</v>
      </c>
      <c r="G2484" s="67" t="s">
        <v>267</v>
      </c>
      <c r="H2484" s="69">
        <v>0.18</v>
      </c>
    </row>
    <row r="2485" spans="6:8">
      <c r="F2485" s="68" t="s">
        <v>125</v>
      </c>
      <c r="G2485" s="67" t="s">
        <v>267</v>
      </c>
      <c r="H2485" s="69">
        <v>-1.1499999999999999</v>
      </c>
    </row>
    <row r="2486" spans="6:8">
      <c r="F2486" s="68" t="s">
        <v>126</v>
      </c>
      <c r="G2486" s="67" t="s">
        <v>267</v>
      </c>
      <c r="H2486" s="69">
        <v>-0.6</v>
      </c>
    </row>
    <row r="2487" spans="6:8">
      <c r="F2487" s="68" t="s">
        <v>127</v>
      </c>
      <c r="G2487" s="67" t="s">
        <v>267</v>
      </c>
      <c r="H2487" s="69">
        <v>-0.15</v>
      </c>
    </row>
    <row r="2488" spans="6:8">
      <c r="F2488" s="68" t="s">
        <v>253</v>
      </c>
      <c r="G2488" s="67" t="s">
        <v>267</v>
      </c>
      <c r="H2488" s="69">
        <v>0.21</v>
      </c>
    </row>
    <row r="2489" spans="6:8">
      <c r="F2489" s="68" t="s">
        <v>128</v>
      </c>
      <c r="G2489" s="67" t="s">
        <v>267</v>
      </c>
      <c r="H2489" s="69">
        <v>-0.55000000000000004</v>
      </c>
    </row>
    <row r="2490" spans="6:8">
      <c r="F2490" s="68" t="s">
        <v>129</v>
      </c>
      <c r="G2490" s="67" t="s">
        <v>267</v>
      </c>
      <c r="H2490" s="69">
        <v>-0.25</v>
      </c>
    </row>
    <row r="2491" spans="6:8">
      <c r="F2491" s="68" t="s">
        <v>254</v>
      </c>
      <c r="G2491" s="67" t="s">
        <v>267</v>
      </c>
      <c r="H2491" s="69">
        <v>0.3</v>
      </c>
    </row>
    <row r="2492" spans="6:8">
      <c r="F2492" s="68" t="s">
        <v>130</v>
      </c>
      <c r="G2492" s="67" t="s">
        <v>267</v>
      </c>
      <c r="H2492" s="69">
        <v>-0.95</v>
      </c>
    </row>
    <row r="2493" spans="6:8">
      <c r="F2493" s="68" t="s">
        <v>131</v>
      </c>
      <c r="G2493" s="67" t="s">
        <v>267</v>
      </c>
      <c r="H2493" s="69">
        <v>-0.35</v>
      </c>
    </row>
    <row r="2494" spans="6:8">
      <c r="F2494" s="68" t="s">
        <v>255</v>
      </c>
      <c r="G2494" s="67" t="s">
        <v>267</v>
      </c>
      <c r="H2494" s="69">
        <v>0.43</v>
      </c>
    </row>
    <row r="2495" spans="6:8">
      <c r="F2495" s="68" t="s">
        <v>132</v>
      </c>
      <c r="G2495" s="67" t="s">
        <v>267</v>
      </c>
      <c r="H2495" s="69">
        <v>-0.95</v>
      </c>
    </row>
    <row r="2496" spans="6:8">
      <c r="F2496" s="68" t="s">
        <v>133</v>
      </c>
      <c r="G2496" s="67" t="s">
        <v>267</v>
      </c>
      <c r="H2496" s="69">
        <v>-0.35</v>
      </c>
    </row>
    <row r="2497" spans="6:8">
      <c r="F2497" s="68" t="s">
        <v>256</v>
      </c>
      <c r="G2497" s="67" t="s">
        <v>267</v>
      </c>
      <c r="H2497" s="69">
        <v>0.61</v>
      </c>
    </row>
    <row r="2498" spans="6:8">
      <c r="F2498" s="68" t="s">
        <v>134</v>
      </c>
      <c r="G2498" s="67" t="s">
        <v>267</v>
      </c>
      <c r="H2498" s="69">
        <v>-1</v>
      </c>
    </row>
    <row r="2499" spans="6:8">
      <c r="F2499" s="68" t="s">
        <v>135</v>
      </c>
      <c r="G2499" s="67" t="s">
        <v>267</v>
      </c>
      <c r="H2499" s="69">
        <v>-0.4</v>
      </c>
    </row>
    <row r="2500" spans="6:8">
      <c r="F2500" s="68" t="s">
        <v>257</v>
      </c>
      <c r="G2500" s="67" t="s">
        <v>267</v>
      </c>
      <c r="H2500" s="69">
        <v>0.79</v>
      </c>
    </row>
    <row r="2501" spans="6:8">
      <c r="F2501" s="68" t="s">
        <v>258</v>
      </c>
      <c r="G2501" s="67" t="s">
        <v>267</v>
      </c>
      <c r="H2501" s="69">
        <v>0.1</v>
      </c>
    </row>
    <row r="2502" spans="6:8">
      <c r="F2502" s="68" t="s">
        <v>136</v>
      </c>
      <c r="G2502" s="67" t="s">
        <v>267</v>
      </c>
      <c r="H2502" s="69">
        <v>-1</v>
      </c>
    </row>
    <row r="2503" spans="6:8">
      <c r="F2503" s="68" t="s">
        <v>137</v>
      </c>
      <c r="G2503" s="67" t="s">
        <v>267</v>
      </c>
      <c r="H2503" s="69">
        <v>-0.55000000000000004</v>
      </c>
    </row>
    <row r="2504" spans="6:8">
      <c r="F2504" s="68" t="s">
        <v>138</v>
      </c>
      <c r="G2504" s="67" t="s">
        <v>267</v>
      </c>
      <c r="H2504" s="69">
        <v>-0.8</v>
      </c>
    </row>
    <row r="2505" spans="6:8">
      <c r="F2505" s="68" t="s">
        <v>259</v>
      </c>
      <c r="G2505" s="67" t="s">
        <v>267</v>
      </c>
      <c r="H2505" s="69">
        <v>0.14000000000000001</v>
      </c>
    </row>
    <row r="2506" spans="6:8">
      <c r="F2506" s="68" t="s">
        <v>259</v>
      </c>
      <c r="G2506" s="67" t="s">
        <v>268</v>
      </c>
      <c r="H2506" s="69">
        <v>0.14000000000000001</v>
      </c>
    </row>
    <row r="2507" spans="6:8">
      <c r="F2507" s="68" t="s">
        <v>138</v>
      </c>
      <c r="G2507" s="67" t="s">
        <v>268</v>
      </c>
      <c r="H2507" s="69">
        <v>-0.8</v>
      </c>
    </row>
    <row r="2508" spans="6:8">
      <c r="F2508" s="68" t="s">
        <v>137</v>
      </c>
      <c r="G2508" s="67" t="s">
        <v>268</v>
      </c>
      <c r="H2508" s="69">
        <v>-0.55000000000000004</v>
      </c>
    </row>
    <row r="2509" spans="6:8">
      <c r="F2509" s="68" t="s">
        <v>136</v>
      </c>
      <c r="G2509" s="67" t="s">
        <v>268</v>
      </c>
      <c r="H2509" s="69">
        <v>-1</v>
      </c>
    </row>
    <row r="2510" spans="6:8">
      <c r="F2510" s="68" t="s">
        <v>258</v>
      </c>
      <c r="G2510" s="67" t="s">
        <v>268</v>
      </c>
      <c r="H2510" s="69">
        <v>0.1</v>
      </c>
    </row>
    <row r="2511" spans="6:8">
      <c r="F2511" s="68" t="s">
        <v>257</v>
      </c>
      <c r="G2511" s="67" t="s">
        <v>268</v>
      </c>
      <c r="H2511" s="69">
        <v>0.79</v>
      </c>
    </row>
    <row r="2512" spans="6:8">
      <c r="F2512" s="68" t="s">
        <v>135</v>
      </c>
      <c r="G2512" s="67" t="s">
        <v>268</v>
      </c>
      <c r="H2512" s="69">
        <v>-0.4</v>
      </c>
    </row>
    <row r="2513" spans="6:8">
      <c r="F2513" s="68" t="s">
        <v>134</v>
      </c>
      <c r="G2513" s="67" t="s">
        <v>268</v>
      </c>
      <c r="H2513" s="69">
        <v>-1</v>
      </c>
    </row>
    <row r="2514" spans="6:8">
      <c r="F2514" s="68" t="s">
        <v>256</v>
      </c>
      <c r="G2514" s="67" t="s">
        <v>268</v>
      </c>
      <c r="H2514" s="69">
        <v>0.61</v>
      </c>
    </row>
    <row r="2515" spans="6:8">
      <c r="F2515" s="68" t="s">
        <v>133</v>
      </c>
      <c r="G2515" s="67" t="s">
        <v>268</v>
      </c>
      <c r="H2515" s="69">
        <v>-0.35</v>
      </c>
    </row>
    <row r="2516" spans="6:8">
      <c r="F2516" s="68" t="s">
        <v>132</v>
      </c>
      <c r="G2516" s="67" t="s">
        <v>268</v>
      </c>
      <c r="H2516" s="69">
        <v>-0.95</v>
      </c>
    </row>
    <row r="2517" spans="6:8">
      <c r="F2517" s="68" t="s">
        <v>255</v>
      </c>
      <c r="G2517" s="67" t="s">
        <v>268</v>
      </c>
      <c r="H2517" s="69">
        <v>0.43</v>
      </c>
    </row>
    <row r="2518" spans="6:8">
      <c r="F2518" s="68" t="s">
        <v>131</v>
      </c>
      <c r="G2518" s="67" t="s">
        <v>268</v>
      </c>
      <c r="H2518" s="69">
        <v>-0.35</v>
      </c>
    </row>
    <row r="2519" spans="6:8">
      <c r="F2519" s="68" t="s">
        <v>130</v>
      </c>
      <c r="G2519" s="67" t="s">
        <v>268</v>
      </c>
      <c r="H2519" s="69">
        <v>-0.95</v>
      </c>
    </row>
    <row r="2520" spans="6:8">
      <c r="F2520" s="68" t="s">
        <v>254</v>
      </c>
      <c r="G2520" s="67" t="s">
        <v>268</v>
      </c>
      <c r="H2520" s="69">
        <v>0.3</v>
      </c>
    </row>
    <row r="2521" spans="6:8">
      <c r="F2521" s="68" t="s">
        <v>129</v>
      </c>
      <c r="G2521" s="67" t="s">
        <v>268</v>
      </c>
      <c r="H2521" s="69">
        <v>-0.25</v>
      </c>
    </row>
    <row r="2522" spans="6:8">
      <c r="F2522" s="68" t="s">
        <v>128</v>
      </c>
      <c r="G2522" s="67" t="s">
        <v>268</v>
      </c>
      <c r="H2522" s="69">
        <v>-0.55000000000000004</v>
      </c>
    </row>
    <row r="2523" spans="6:8">
      <c r="F2523" s="68" t="s">
        <v>253</v>
      </c>
      <c r="G2523" s="67" t="s">
        <v>268</v>
      </c>
      <c r="H2523" s="69">
        <v>0.21</v>
      </c>
    </row>
    <row r="2524" spans="6:8">
      <c r="F2524" s="68" t="s">
        <v>127</v>
      </c>
      <c r="G2524" s="67" t="s">
        <v>268</v>
      </c>
      <c r="H2524" s="69">
        <v>-0.15</v>
      </c>
    </row>
    <row r="2525" spans="6:8">
      <c r="F2525" s="68" t="s">
        <v>126</v>
      </c>
      <c r="G2525" s="67" t="s">
        <v>268</v>
      </c>
      <c r="H2525" s="69">
        <v>-0.6</v>
      </c>
    </row>
    <row r="2526" spans="6:8">
      <c r="F2526" s="68" t="s">
        <v>125</v>
      </c>
      <c r="G2526" s="67" t="s">
        <v>268</v>
      </c>
      <c r="H2526" s="69">
        <v>-1.1499999999999999</v>
      </c>
    </row>
    <row r="2527" spans="6:8">
      <c r="F2527" s="68" t="s">
        <v>252</v>
      </c>
      <c r="G2527" s="67" t="s">
        <v>268</v>
      </c>
      <c r="H2527" s="69">
        <v>0.18</v>
      </c>
    </row>
    <row r="2528" spans="6:8">
      <c r="F2528" s="68" t="s">
        <v>124</v>
      </c>
      <c r="G2528" s="67" t="s">
        <v>268</v>
      </c>
      <c r="H2528" s="69">
        <v>-0.75</v>
      </c>
    </row>
    <row r="2529" spans="6:8">
      <c r="F2529" s="68" t="s">
        <v>123</v>
      </c>
      <c r="G2529" s="67" t="s">
        <v>268</v>
      </c>
      <c r="H2529" s="69">
        <v>-0.6</v>
      </c>
    </row>
    <row r="2530" spans="6:8">
      <c r="F2530" s="68" t="s">
        <v>122</v>
      </c>
      <c r="G2530" s="67" t="s">
        <v>268</v>
      </c>
      <c r="H2530" s="69">
        <v>-1.05</v>
      </c>
    </row>
    <row r="2531" spans="6:8">
      <c r="F2531" s="68" t="s">
        <v>251</v>
      </c>
      <c r="G2531" s="67" t="s">
        <v>268</v>
      </c>
      <c r="H2531" s="69">
        <v>0.15</v>
      </c>
    </row>
    <row r="2532" spans="6:8">
      <c r="F2532" s="68" t="s">
        <v>121</v>
      </c>
      <c r="G2532" s="67" t="s">
        <v>268</v>
      </c>
      <c r="H2532" s="69">
        <v>-0.8</v>
      </c>
    </row>
    <row r="2533" spans="6:8">
      <c r="F2533" s="68" t="s">
        <v>120</v>
      </c>
      <c r="G2533" s="67" t="s">
        <v>268</v>
      </c>
      <c r="H2533" s="69">
        <v>-0.55000000000000004</v>
      </c>
    </row>
    <row r="2534" spans="6:8">
      <c r="F2534" s="68" t="s">
        <v>119</v>
      </c>
      <c r="G2534" s="67" t="s">
        <v>268</v>
      </c>
      <c r="H2534" s="69">
        <v>-1</v>
      </c>
    </row>
    <row r="2535" spans="6:8">
      <c r="F2535" s="68" t="s">
        <v>119</v>
      </c>
      <c r="G2535" s="67" t="s">
        <v>269</v>
      </c>
      <c r="H2535" s="69">
        <v>-1</v>
      </c>
    </row>
    <row r="2536" spans="6:8">
      <c r="F2536" s="68" t="s">
        <v>120</v>
      </c>
      <c r="G2536" s="67" t="s">
        <v>269</v>
      </c>
      <c r="H2536" s="69">
        <v>-0.55000000000000004</v>
      </c>
    </row>
    <row r="2537" spans="6:8">
      <c r="F2537" s="68" t="s">
        <v>121</v>
      </c>
      <c r="G2537" s="67" t="s">
        <v>269</v>
      </c>
      <c r="H2537" s="69">
        <v>-0.8</v>
      </c>
    </row>
    <row r="2538" spans="6:8">
      <c r="F2538" s="68" t="s">
        <v>251</v>
      </c>
      <c r="G2538" s="67" t="s">
        <v>269</v>
      </c>
      <c r="H2538" s="69">
        <v>0.15</v>
      </c>
    </row>
    <row r="2539" spans="6:8">
      <c r="F2539" s="68" t="s">
        <v>122</v>
      </c>
      <c r="G2539" s="67" t="s">
        <v>269</v>
      </c>
      <c r="H2539" s="69">
        <v>-1.05</v>
      </c>
    </row>
    <row r="2540" spans="6:8">
      <c r="F2540" s="68" t="s">
        <v>123</v>
      </c>
      <c r="G2540" s="67" t="s">
        <v>269</v>
      </c>
      <c r="H2540" s="69">
        <v>-0.6</v>
      </c>
    </row>
    <row r="2541" spans="6:8">
      <c r="F2541" s="68" t="s">
        <v>124</v>
      </c>
      <c r="G2541" s="67" t="s">
        <v>269</v>
      </c>
      <c r="H2541" s="69">
        <v>-0.75</v>
      </c>
    </row>
    <row r="2542" spans="6:8">
      <c r="F2542" s="68" t="s">
        <v>252</v>
      </c>
      <c r="G2542" s="67" t="s">
        <v>269</v>
      </c>
      <c r="H2542" s="69">
        <v>0.18</v>
      </c>
    </row>
    <row r="2543" spans="6:8">
      <c r="F2543" s="68" t="s">
        <v>125</v>
      </c>
      <c r="G2543" s="67" t="s">
        <v>269</v>
      </c>
      <c r="H2543" s="69">
        <v>-1.1499999999999999</v>
      </c>
    </row>
    <row r="2544" spans="6:8">
      <c r="F2544" s="68" t="s">
        <v>126</v>
      </c>
      <c r="G2544" s="67" t="s">
        <v>269</v>
      </c>
      <c r="H2544" s="69">
        <v>-0.6</v>
      </c>
    </row>
    <row r="2545" spans="6:8">
      <c r="F2545" s="68" t="s">
        <v>127</v>
      </c>
      <c r="G2545" s="67" t="s">
        <v>269</v>
      </c>
      <c r="H2545" s="69">
        <v>-0.15</v>
      </c>
    </row>
    <row r="2546" spans="6:8">
      <c r="F2546" s="68" t="s">
        <v>253</v>
      </c>
      <c r="G2546" s="67" t="s">
        <v>269</v>
      </c>
      <c r="H2546" s="69">
        <v>0.21</v>
      </c>
    </row>
    <row r="2547" spans="6:8">
      <c r="F2547" s="68" t="s">
        <v>128</v>
      </c>
      <c r="G2547" s="67" t="s">
        <v>269</v>
      </c>
      <c r="H2547" s="69">
        <v>-0.55000000000000004</v>
      </c>
    </row>
    <row r="2548" spans="6:8">
      <c r="F2548" s="68" t="s">
        <v>129</v>
      </c>
      <c r="G2548" s="67" t="s">
        <v>269</v>
      </c>
      <c r="H2548" s="69">
        <v>-0.25</v>
      </c>
    </row>
    <row r="2549" spans="6:8">
      <c r="F2549" s="68" t="s">
        <v>254</v>
      </c>
      <c r="G2549" s="67" t="s">
        <v>269</v>
      </c>
      <c r="H2549" s="69">
        <v>0.3</v>
      </c>
    </row>
    <row r="2550" spans="6:8">
      <c r="F2550" s="68" t="s">
        <v>130</v>
      </c>
      <c r="G2550" s="67" t="s">
        <v>269</v>
      </c>
      <c r="H2550" s="69">
        <v>-0.95</v>
      </c>
    </row>
    <row r="2551" spans="6:8">
      <c r="F2551" s="68" t="s">
        <v>131</v>
      </c>
      <c r="G2551" s="67" t="s">
        <v>269</v>
      </c>
      <c r="H2551" s="69">
        <v>-0.35</v>
      </c>
    </row>
    <row r="2552" spans="6:8">
      <c r="F2552" s="68" t="s">
        <v>255</v>
      </c>
      <c r="G2552" s="67" t="s">
        <v>269</v>
      </c>
      <c r="H2552" s="69">
        <v>0.43</v>
      </c>
    </row>
    <row r="2553" spans="6:8">
      <c r="F2553" s="68" t="s">
        <v>132</v>
      </c>
      <c r="G2553" s="67" t="s">
        <v>269</v>
      </c>
      <c r="H2553" s="69">
        <v>-0.95</v>
      </c>
    </row>
    <row r="2554" spans="6:8">
      <c r="F2554" s="68" t="s">
        <v>133</v>
      </c>
      <c r="G2554" s="67" t="s">
        <v>269</v>
      </c>
      <c r="H2554" s="69">
        <v>-0.35</v>
      </c>
    </row>
    <row r="2555" spans="6:8">
      <c r="F2555" s="68" t="s">
        <v>256</v>
      </c>
      <c r="G2555" s="67" t="s">
        <v>269</v>
      </c>
      <c r="H2555" s="69">
        <v>0.61</v>
      </c>
    </row>
    <row r="2556" spans="6:8">
      <c r="F2556" s="68" t="s">
        <v>134</v>
      </c>
      <c r="G2556" s="67" t="s">
        <v>269</v>
      </c>
      <c r="H2556" s="69">
        <v>-1</v>
      </c>
    </row>
    <row r="2557" spans="6:8">
      <c r="F2557" s="68" t="s">
        <v>135</v>
      </c>
      <c r="G2557" s="67" t="s">
        <v>269</v>
      </c>
      <c r="H2557" s="69">
        <v>-0.4</v>
      </c>
    </row>
    <row r="2558" spans="6:8">
      <c r="F2558" s="68" t="s">
        <v>257</v>
      </c>
      <c r="G2558" s="67" t="s">
        <v>269</v>
      </c>
      <c r="H2558" s="69">
        <v>0.79</v>
      </c>
    </row>
    <row r="2559" spans="6:8">
      <c r="F2559" s="68" t="s">
        <v>258</v>
      </c>
      <c r="G2559" s="67" t="s">
        <v>269</v>
      </c>
      <c r="H2559" s="69">
        <v>0.1</v>
      </c>
    </row>
    <row r="2560" spans="6:8">
      <c r="F2560" s="68" t="s">
        <v>136</v>
      </c>
      <c r="G2560" s="67" t="s">
        <v>269</v>
      </c>
      <c r="H2560" s="69">
        <v>-1</v>
      </c>
    </row>
    <row r="2561" spans="6:8">
      <c r="F2561" s="68" t="s">
        <v>137</v>
      </c>
      <c r="G2561" s="67" t="s">
        <v>269</v>
      </c>
      <c r="H2561" s="69">
        <v>-0.55000000000000004</v>
      </c>
    </row>
    <row r="2562" spans="6:8">
      <c r="F2562" s="68" t="s">
        <v>138</v>
      </c>
      <c r="G2562" s="67" t="s">
        <v>269</v>
      </c>
      <c r="H2562" s="69">
        <v>-0.8</v>
      </c>
    </row>
    <row r="2563" spans="6:8">
      <c r="F2563" s="68" t="s">
        <v>259</v>
      </c>
      <c r="G2563" s="67" t="s">
        <v>269</v>
      </c>
      <c r="H2563" s="69">
        <v>0.14000000000000001</v>
      </c>
    </row>
    <row r="2564" spans="6:8">
      <c r="F2564" s="68" t="s">
        <v>259</v>
      </c>
      <c r="G2564" s="67" t="s">
        <v>270</v>
      </c>
      <c r="H2564" s="69">
        <v>0.14000000000000001</v>
      </c>
    </row>
    <row r="2565" spans="6:8">
      <c r="F2565" s="68" t="s">
        <v>138</v>
      </c>
      <c r="G2565" s="67" t="s">
        <v>270</v>
      </c>
      <c r="H2565" s="69">
        <v>-0.8</v>
      </c>
    </row>
    <row r="2566" spans="6:8">
      <c r="F2566" s="68" t="s">
        <v>137</v>
      </c>
      <c r="G2566" s="67" t="s">
        <v>270</v>
      </c>
      <c r="H2566" s="69">
        <v>-0.55000000000000004</v>
      </c>
    </row>
    <row r="2567" spans="6:8">
      <c r="F2567" s="68" t="s">
        <v>136</v>
      </c>
      <c r="G2567" s="67" t="s">
        <v>270</v>
      </c>
      <c r="H2567" s="69">
        <v>-1</v>
      </c>
    </row>
    <row r="2568" spans="6:8">
      <c r="F2568" s="68" t="s">
        <v>258</v>
      </c>
      <c r="G2568" s="67" t="s">
        <v>270</v>
      </c>
      <c r="H2568" s="69">
        <v>0.1</v>
      </c>
    </row>
    <row r="2569" spans="6:8">
      <c r="F2569" s="68" t="s">
        <v>257</v>
      </c>
      <c r="G2569" s="67" t="s">
        <v>270</v>
      </c>
      <c r="H2569" s="69">
        <v>0.78</v>
      </c>
    </row>
    <row r="2570" spans="6:8">
      <c r="F2570" s="68" t="s">
        <v>135</v>
      </c>
      <c r="G2570" s="67" t="s">
        <v>270</v>
      </c>
      <c r="H2570" s="69">
        <v>-0.4</v>
      </c>
    </row>
    <row r="2571" spans="6:8">
      <c r="F2571" s="68" t="s">
        <v>134</v>
      </c>
      <c r="G2571" s="67" t="s">
        <v>270</v>
      </c>
      <c r="H2571" s="69">
        <v>-1</v>
      </c>
    </row>
    <row r="2572" spans="6:8">
      <c r="F2572" s="68" t="s">
        <v>256</v>
      </c>
      <c r="G2572" s="67" t="s">
        <v>270</v>
      </c>
      <c r="H2572" s="69">
        <v>0.6</v>
      </c>
    </row>
    <row r="2573" spans="6:8">
      <c r="F2573" s="68" t="s">
        <v>133</v>
      </c>
      <c r="G2573" s="67" t="s">
        <v>270</v>
      </c>
      <c r="H2573" s="69">
        <v>-0.35</v>
      </c>
    </row>
    <row r="2574" spans="6:8">
      <c r="F2574" s="68" t="s">
        <v>132</v>
      </c>
      <c r="G2574" s="67" t="s">
        <v>270</v>
      </c>
      <c r="H2574" s="69">
        <v>-0.95</v>
      </c>
    </row>
    <row r="2575" spans="6:8">
      <c r="F2575" s="68" t="s">
        <v>255</v>
      </c>
      <c r="G2575" s="67" t="s">
        <v>270</v>
      </c>
      <c r="H2575" s="69">
        <v>0.42</v>
      </c>
    </row>
    <row r="2576" spans="6:8">
      <c r="F2576" s="68" t="s">
        <v>131</v>
      </c>
      <c r="G2576" s="67" t="s">
        <v>270</v>
      </c>
      <c r="H2576" s="69">
        <v>-0.35</v>
      </c>
    </row>
    <row r="2577" spans="6:8">
      <c r="F2577" s="68" t="s">
        <v>130</v>
      </c>
      <c r="G2577" s="67" t="s">
        <v>270</v>
      </c>
      <c r="H2577" s="69">
        <v>-0.95</v>
      </c>
    </row>
    <row r="2578" spans="6:8">
      <c r="F2578" s="68" t="s">
        <v>254</v>
      </c>
      <c r="G2578" s="67" t="s">
        <v>270</v>
      </c>
      <c r="H2578" s="69">
        <v>0.28999999999999998</v>
      </c>
    </row>
    <row r="2579" spans="6:8">
      <c r="F2579" s="68" t="s">
        <v>129</v>
      </c>
      <c r="G2579" s="67" t="s">
        <v>270</v>
      </c>
      <c r="H2579" s="69">
        <v>-0.25</v>
      </c>
    </row>
    <row r="2580" spans="6:8">
      <c r="F2580" s="68" t="s">
        <v>128</v>
      </c>
      <c r="G2580" s="67" t="s">
        <v>270</v>
      </c>
      <c r="H2580" s="69">
        <v>-0.55000000000000004</v>
      </c>
    </row>
    <row r="2581" spans="6:8">
      <c r="F2581" s="68" t="s">
        <v>253</v>
      </c>
      <c r="G2581" s="67" t="s">
        <v>270</v>
      </c>
      <c r="H2581" s="69">
        <v>0.2</v>
      </c>
    </row>
    <row r="2582" spans="6:8">
      <c r="F2582" s="68" t="s">
        <v>127</v>
      </c>
      <c r="G2582" s="67" t="s">
        <v>270</v>
      </c>
      <c r="H2582" s="69">
        <v>-0.15</v>
      </c>
    </row>
    <row r="2583" spans="6:8">
      <c r="F2583" s="68" t="s">
        <v>126</v>
      </c>
      <c r="G2583" s="67" t="s">
        <v>270</v>
      </c>
      <c r="H2583" s="69">
        <v>-0.6</v>
      </c>
    </row>
    <row r="2584" spans="6:8">
      <c r="F2584" s="68" t="s">
        <v>125</v>
      </c>
      <c r="G2584" s="67" t="s">
        <v>270</v>
      </c>
      <c r="H2584" s="69">
        <v>-1.1499999999999999</v>
      </c>
    </row>
    <row r="2585" spans="6:8">
      <c r="F2585" s="68" t="s">
        <v>252</v>
      </c>
      <c r="G2585" s="67" t="s">
        <v>270</v>
      </c>
      <c r="H2585" s="69">
        <v>0.18</v>
      </c>
    </row>
    <row r="2586" spans="6:8">
      <c r="F2586" s="68" t="s">
        <v>124</v>
      </c>
      <c r="G2586" s="67" t="s">
        <v>270</v>
      </c>
      <c r="H2586" s="69">
        <v>-0.75</v>
      </c>
    </row>
    <row r="2587" spans="6:8">
      <c r="F2587" s="68" t="s">
        <v>123</v>
      </c>
      <c r="G2587" s="67" t="s">
        <v>270</v>
      </c>
      <c r="H2587" s="69">
        <v>-0.6</v>
      </c>
    </row>
    <row r="2588" spans="6:8">
      <c r="F2588" s="68" t="s">
        <v>122</v>
      </c>
      <c r="G2588" s="67" t="s">
        <v>270</v>
      </c>
      <c r="H2588" s="69">
        <v>-1.05</v>
      </c>
    </row>
    <row r="2589" spans="6:8">
      <c r="F2589" s="68" t="s">
        <v>251</v>
      </c>
      <c r="G2589" s="67" t="s">
        <v>270</v>
      </c>
      <c r="H2589" s="69">
        <v>0.15</v>
      </c>
    </row>
    <row r="2590" spans="6:8">
      <c r="F2590" s="68" t="s">
        <v>121</v>
      </c>
      <c r="G2590" s="67" t="s">
        <v>270</v>
      </c>
      <c r="H2590" s="69">
        <v>-0.8</v>
      </c>
    </row>
    <row r="2591" spans="6:8">
      <c r="F2591" s="68" t="s">
        <v>120</v>
      </c>
      <c r="G2591" s="67" t="s">
        <v>270</v>
      </c>
      <c r="H2591" s="69">
        <v>-0.55000000000000004</v>
      </c>
    </row>
    <row r="2592" spans="6:8">
      <c r="F2592" s="68" t="s">
        <v>119</v>
      </c>
      <c r="G2592" s="67" t="s">
        <v>270</v>
      </c>
      <c r="H2592" s="69">
        <v>-1</v>
      </c>
    </row>
    <row r="2593" spans="6:8">
      <c r="F2593" s="68" t="s">
        <v>119</v>
      </c>
      <c r="G2593" s="67" t="s">
        <v>271</v>
      </c>
      <c r="H2593" s="69">
        <v>-0.95</v>
      </c>
    </row>
    <row r="2594" spans="6:8">
      <c r="F2594" s="68" t="s">
        <v>120</v>
      </c>
      <c r="G2594" s="67" t="s">
        <v>271</v>
      </c>
      <c r="H2594" s="69">
        <v>-0.55000000000000004</v>
      </c>
    </row>
    <row r="2595" spans="6:8">
      <c r="F2595" s="68" t="s">
        <v>121</v>
      </c>
      <c r="G2595" s="67" t="s">
        <v>271</v>
      </c>
      <c r="H2595" s="69">
        <v>-0.75</v>
      </c>
    </row>
    <row r="2596" spans="6:8">
      <c r="F2596" s="68" t="s">
        <v>251</v>
      </c>
      <c r="G2596" s="67" t="s">
        <v>271</v>
      </c>
      <c r="H2596" s="69">
        <v>0.15</v>
      </c>
    </row>
    <row r="2597" spans="6:8">
      <c r="F2597" s="68" t="s">
        <v>122</v>
      </c>
      <c r="G2597" s="67" t="s">
        <v>271</v>
      </c>
      <c r="H2597" s="69">
        <v>-1</v>
      </c>
    </row>
    <row r="2598" spans="6:8">
      <c r="F2598" s="68" t="s">
        <v>123</v>
      </c>
      <c r="G2598" s="67" t="s">
        <v>271</v>
      </c>
      <c r="H2598" s="69">
        <v>-0.6</v>
      </c>
    </row>
    <row r="2599" spans="6:8">
      <c r="F2599" s="68" t="s">
        <v>124</v>
      </c>
      <c r="G2599" s="67" t="s">
        <v>271</v>
      </c>
      <c r="H2599" s="69">
        <v>-0.7</v>
      </c>
    </row>
    <row r="2600" spans="6:8">
      <c r="F2600" s="68" t="s">
        <v>252</v>
      </c>
      <c r="G2600" s="67" t="s">
        <v>271</v>
      </c>
      <c r="H2600" s="69">
        <v>0.18</v>
      </c>
    </row>
    <row r="2601" spans="6:8">
      <c r="F2601" s="68" t="s">
        <v>125</v>
      </c>
      <c r="G2601" s="67" t="s">
        <v>271</v>
      </c>
      <c r="H2601" s="69">
        <v>-1.1000000000000001</v>
      </c>
    </row>
    <row r="2602" spans="6:8">
      <c r="F2602" s="68" t="s">
        <v>126</v>
      </c>
      <c r="G2602" s="67" t="s">
        <v>271</v>
      </c>
      <c r="H2602" s="69">
        <v>-0.55000000000000004</v>
      </c>
    </row>
    <row r="2603" spans="6:8">
      <c r="F2603" s="68" t="s">
        <v>127</v>
      </c>
      <c r="G2603" s="67" t="s">
        <v>271</v>
      </c>
      <c r="H2603" s="69">
        <v>-0.15</v>
      </c>
    </row>
    <row r="2604" spans="6:8">
      <c r="F2604" s="68" t="s">
        <v>253</v>
      </c>
      <c r="G2604" s="67" t="s">
        <v>271</v>
      </c>
      <c r="H2604" s="69">
        <v>0.21</v>
      </c>
    </row>
    <row r="2605" spans="6:8">
      <c r="F2605" s="68" t="s">
        <v>128</v>
      </c>
      <c r="G2605" s="67" t="s">
        <v>271</v>
      </c>
      <c r="H2605" s="69">
        <v>-0.5</v>
      </c>
    </row>
    <row r="2606" spans="6:8">
      <c r="F2606" s="68" t="s">
        <v>129</v>
      </c>
      <c r="G2606" s="67" t="s">
        <v>271</v>
      </c>
      <c r="H2606" s="69">
        <v>-0.25</v>
      </c>
    </row>
    <row r="2607" spans="6:8">
      <c r="F2607" s="68" t="s">
        <v>254</v>
      </c>
      <c r="G2607" s="67" t="s">
        <v>271</v>
      </c>
      <c r="H2607" s="69">
        <v>0.3</v>
      </c>
    </row>
    <row r="2608" spans="6:8">
      <c r="F2608" s="68" t="s">
        <v>130</v>
      </c>
      <c r="G2608" s="67" t="s">
        <v>271</v>
      </c>
      <c r="H2608" s="69">
        <v>-0.9</v>
      </c>
    </row>
    <row r="2609" spans="6:8">
      <c r="F2609" s="68" t="s">
        <v>131</v>
      </c>
      <c r="G2609" s="67" t="s">
        <v>271</v>
      </c>
      <c r="H2609" s="69">
        <v>-0.35</v>
      </c>
    </row>
    <row r="2610" spans="6:8">
      <c r="F2610" s="68" t="s">
        <v>255</v>
      </c>
      <c r="G2610" s="67" t="s">
        <v>271</v>
      </c>
      <c r="H2610" s="69">
        <v>0.43</v>
      </c>
    </row>
    <row r="2611" spans="6:8">
      <c r="F2611" s="68" t="s">
        <v>132</v>
      </c>
      <c r="G2611" s="67" t="s">
        <v>271</v>
      </c>
      <c r="H2611" s="69">
        <v>-0.9</v>
      </c>
    </row>
    <row r="2612" spans="6:8">
      <c r="F2612" s="68" t="s">
        <v>133</v>
      </c>
      <c r="G2612" s="67" t="s">
        <v>271</v>
      </c>
      <c r="H2612" s="69">
        <v>-0.35</v>
      </c>
    </row>
    <row r="2613" spans="6:8">
      <c r="F2613" s="68" t="s">
        <v>256</v>
      </c>
      <c r="G2613" s="67" t="s">
        <v>271</v>
      </c>
      <c r="H2613" s="69">
        <v>0.61</v>
      </c>
    </row>
    <row r="2614" spans="6:8">
      <c r="F2614" s="68" t="s">
        <v>134</v>
      </c>
      <c r="G2614" s="67" t="s">
        <v>271</v>
      </c>
      <c r="H2614" s="69">
        <v>-0.95</v>
      </c>
    </row>
    <row r="2615" spans="6:8">
      <c r="F2615" s="68" t="s">
        <v>135</v>
      </c>
      <c r="G2615" s="67" t="s">
        <v>271</v>
      </c>
      <c r="H2615" s="69">
        <v>-0.4</v>
      </c>
    </row>
    <row r="2616" spans="6:8">
      <c r="F2616" s="68" t="s">
        <v>257</v>
      </c>
      <c r="G2616" s="67" t="s">
        <v>271</v>
      </c>
      <c r="H2616" s="69">
        <v>0.79</v>
      </c>
    </row>
    <row r="2617" spans="6:8">
      <c r="F2617" s="68" t="s">
        <v>258</v>
      </c>
      <c r="G2617" s="67" t="s">
        <v>271</v>
      </c>
      <c r="H2617" s="69">
        <v>0.1</v>
      </c>
    </row>
    <row r="2618" spans="6:8">
      <c r="F2618" s="68" t="s">
        <v>136</v>
      </c>
      <c r="G2618" s="67" t="s">
        <v>271</v>
      </c>
      <c r="H2618" s="69">
        <v>-0.95</v>
      </c>
    </row>
    <row r="2619" spans="6:8">
      <c r="F2619" s="68" t="s">
        <v>137</v>
      </c>
      <c r="G2619" s="67" t="s">
        <v>271</v>
      </c>
      <c r="H2619" s="69">
        <v>-0.55000000000000004</v>
      </c>
    </row>
    <row r="2620" spans="6:8">
      <c r="F2620" s="68" t="s">
        <v>138</v>
      </c>
      <c r="G2620" s="67" t="s">
        <v>271</v>
      </c>
      <c r="H2620" s="69">
        <v>-0.75</v>
      </c>
    </row>
    <row r="2621" spans="6:8">
      <c r="F2621" s="68" t="s">
        <v>259</v>
      </c>
      <c r="G2621" s="67" t="s">
        <v>271</v>
      </c>
      <c r="H2621" s="69">
        <v>0.14000000000000001</v>
      </c>
    </row>
    <row r="2622" spans="6:8">
      <c r="F2622" s="68" t="s">
        <v>259</v>
      </c>
      <c r="G2622" s="67" t="s">
        <v>272</v>
      </c>
      <c r="H2622" s="69">
        <v>0.14000000000000001</v>
      </c>
    </row>
    <row r="2623" spans="6:8">
      <c r="F2623" s="68" t="s">
        <v>138</v>
      </c>
      <c r="G2623" s="67" t="s">
        <v>272</v>
      </c>
      <c r="H2623" s="69">
        <v>-0.8</v>
      </c>
    </row>
    <row r="2624" spans="6:8">
      <c r="F2624" s="68" t="s">
        <v>137</v>
      </c>
      <c r="G2624" s="67" t="s">
        <v>272</v>
      </c>
      <c r="H2624" s="69">
        <v>-0.5</v>
      </c>
    </row>
    <row r="2625" spans="6:8">
      <c r="F2625" s="68" t="s">
        <v>136</v>
      </c>
      <c r="G2625" s="67" t="s">
        <v>272</v>
      </c>
      <c r="H2625" s="69">
        <v>-1</v>
      </c>
    </row>
    <row r="2626" spans="6:8">
      <c r="F2626" s="68" t="s">
        <v>258</v>
      </c>
      <c r="G2626" s="67" t="s">
        <v>272</v>
      </c>
      <c r="H2626" s="69">
        <v>0.1</v>
      </c>
    </row>
    <row r="2627" spans="6:8">
      <c r="F2627" s="68" t="s">
        <v>257</v>
      </c>
      <c r="G2627" s="67" t="s">
        <v>272</v>
      </c>
      <c r="H2627" s="69">
        <v>0.78</v>
      </c>
    </row>
    <row r="2628" spans="6:8">
      <c r="F2628" s="68" t="s">
        <v>135</v>
      </c>
      <c r="G2628" s="67" t="s">
        <v>272</v>
      </c>
      <c r="H2628" s="69">
        <v>-0.4</v>
      </c>
    </row>
    <row r="2629" spans="6:8">
      <c r="F2629" s="68" t="s">
        <v>134</v>
      </c>
      <c r="G2629" s="67" t="s">
        <v>272</v>
      </c>
      <c r="H2629" s="69">
        <v>-1</v>
      </c>
    </row>
    <row r="2630" spans="6:8">
      <c r="F2630" s="68" t="s">
        <v>256</v>
      </c>
      <c r="G2630" s="67" t="s">
        <v>272</v>
      </c>
      <c r="H2630" s="69">
        <v>0.6</v>
      </c>
    </row>
    <row r="2631" spans="6:8">
      <c r="F2631" s="68" t="s">
        <v>133</v>
      </c>
      <c r="G2631" s="67" t="s">
        <v>272</v>
      </c>
      <c r="H2631" s="69">
        <v>-0.35</v>
      </c>
    </row>
    <row r="2632" spans="6:8">
      <c r="F2632" s="68" t="s">
        <v>132</v>
      </c>
      <c r="G2632" s="67" t="s">
        <v>272</v>
      </c>
      <c r="H2632" s="69">
        <v>-0.95</v>
      </c>
    </row>
    <row r="2633" spans="6:8">
      <c r="F2633" s="68" t="s">
        <v>255</v>
      </c>
      <c r="G2633" s="67" t="s">
        <v>272</v>
      </c>
      <c r="H2633" s="69">
        <v>0.42</v>
      </c>
    </row>
    <row r="2634" spans="6:8">
      <c r="F2634" s="68" t="s">
        <v>131</v>
      </c>
      <c r="G2634" s="67" t="s">
        <v>272</v>
      </c>
      <c r="H2634" s="69">
        <v>-0.35</v>
      </c>
    </row>
    <row r="2635" spans="6:8">
      <c r="F2635" s="68" t="s">
        <v>130</v>
      </c>
      <c r="G2635" s="67" t="s">
        <v>272</v>
      </c>
      <c r="H2635" s="69">
        <v>-0.95</v>
      </c>
    </row>
    <row r="2636" spans="6:8">
      <c r="F2636" s="68" t="s">
        <v>254</v>
      </c>
      <c r="G2636" s="67" t="s">
        <v>272</v>
      </c>
      <c r="H2636" s="69">
        <v>0.28999999999999998</v>
      </c>
    </row>
    <row r="2637" spans="6:8">
      <c r="F2637" s="68" t="s">
        <v>129</v>
      </c>
      <c r="G2637" s="67" t="s">
        <v>272</v>
      </c>
      <c r="H2637" s="69">
        <v>-0.25</v>
      </c>
    </row>
    <row r="2638" spans="6:8">
      <c r="F2638" s="68" t="s">
        <v>128</v>
      </c>
      <c r="G2638" s="67" t="s">
        <v>272</v>
      </c>
      <c r="H2638" s="69">
        <v>-0.55000000000000004</v>
      </c>
    </row>
    <row r="2639" spans="6:8">
      <c r="F2639" s="68" t="s">
        <v>253</v>
      </c>
      <c r="G2639" s="67" t="s">
        <v>272</v>
      </c>
      <c r="H2639" s="69">
        <v>0.2</v>
      </c>
    </row>
    <row r="2640" spans="6:8">
      <c r="F2640" s="68" t="s">
        <v>127</v>
      </c>
      <c r="G2640" s="67" t="s">
        <v>272</v>
      </c>
      <c r="H2640" s="69">
        <v>-0.15</v>
      </c>
    </row>
    <row r="2641" spans="6:8">
      <c r="F2641" s="68" t="s">
        <v>126</v>
      </c>
      <c r="G2641" s="67" t="s">
        <v>272</v>
      </c>
      <c r="H2641" s="69">
        <v>-0.5</v>
      </c>
    </row>
    <row r="2642" spans="6:8">
      <c r="F2642" s="68" t="s">
        <v>125</v>
      </c>
      <c r="G2642" s="67" t="s">
        <v>272</v>
      </c>
      <c r="H2642" s="69">
        <v>-1.1499999999999999</v>
      </c>
    </row>
    <row r="2643" spans="6:8">
      <c r="F2643" s="68" t="s">
        <v>252</v>
      </c>
      <c r="G2643" s="67" t="s">
        <v>272</v>
      </c>
      <c r="H2643" s="69">
        <v>0.18</v>
      </c>
    </row>
    <row r="2644" spans="6:8">
      <c r="F2644" s="68" t="s">
        <v>124</v>
      </c>
      <c r="G2644" s="67" t="s">
        <v>272</v>
      </c>
      <c r="H2644" s="69">
        <v>-0.75</v>
      </c>
    </row>
    <row r="2645" spans="6:8">
      <c r="F2645" s="68" t="s">
        <v>123</v>
      </c>
      <c r="G2645" s="67" t="s">
        <v>272</v>
      </c>
      <c r="H2645" s="69">
        <v>-0.55000000000000004</v>
      </c>
    </row>
    <row r="2646" spans="6:8">
      <c r="F2646" s="68" t="s">
        <v>122</v>
      </c>
      <c r="G2646" s="67" t="s">
        <v>272</v>
      </c>
      <c r="H2646" s="69">
        <v>-1.05</v>
      </c>
    </row>
    <row r="2647" spans="6:8">
      <c r="F2647" s="68" t="s">
        <v>251</v>
      </c>
      <c r="G2647" s="67" t="s">
        <v>272</v>
      </c>
      <c r="H2647" s="69">
        <v>0.15</v>
      </c>
    </row>
    <row r="2648" spans="6:8">
      <c r="F2648" s="68" t="s">
        <v>121</v>
      </c>
      <c r="G2648" s="67" t="s">
        <v>272</v>
      </c>
      <c r="H2648" s="69">
        <v>-0.8</v>
      </c>
    </row>
    <row r="2649" spans="6:8">
      <c r="F2649" s="68" t="s">
        <v>120</v>
      </c>
      <c r="G2649" s="67" t="s">
        <v>272</v>
      </c>
      <c r="H2649" s="69">
        <v>-0.5</v>
      </c>
    </row>
    <row r="2650" spans="6:8">
      <c r="F2650" s="68" t="s">
        <v>119</v>
      </c>
      <c r="G2650" s="67" t="s">
        <v>272</v>
      </c>
      <c r="H2650" s="69">
        <v>-1</v>
      </c>
    </row>
    <row r="2651" spans="6:8">
      <c r="F2651" s="68" t="s">
        <v>119</v>
      </c>
      <c r="G2651" s="67" t="s">
        <v>273</v>
      </c>
      <c r="H2651" s="69">
        <v>-0.95</v>
      </c>
    </row>
    <row r="2652" spans="6:8">
      <c r="F2652" s="68" t="s">
        <v>120</v>
      </c>
      <c r="G2652" s="67" t="s">
        <v>273</v>
      </c>
      <c r="H2652" s="69">
        <v>-0.5</v>
      </c>
    </row>
    <row r="2653" spans="6:8">
      <c r="F2653" s="68" t="s">
        <v>121</v>
      </c>
      <c r="G2653" s="67" t="s">
        <v>273</v>
      </c>
      <c r="H2653" s="69">
        <v>-0.75</v>
      </c>
    </row>
    <row r="2654" spans="6:8">
      <c r="F2654" s="68" t="s">
        <v>251</v>
      </c>
      <c r="G2654" s="67" t="s">
        <v>273</v>
      </c>
      <c r="H2654" s="69">
        <v>0.15</v>
      </c>
    </row>
    <row r="2655" spans="6:8">
      <c r="F2655" s="68" t="s">
        <v>122</v>
      </c>
      <c r="G2655" s="67" t="s">
        <v>273</v>
      </c>
      <c r="H2655" s="69">
        <v>-1</v>
      </c>
    </row>
    <row r="2656" spans="6:8">
      <c r="F2656" s="68" t="s">
        <v>123</v>
      </c>
      <c r="G2656" s="67" t="s">
        <v>273</v>
      </c>
      <c r="H2656" s="69">
        <v>-0.55000000000000004</v>
      </c>
    </row>
    <row r="2657" spans="6:8">
      <c r="F2657" s="68" t="s">
        <v>124</v>
      </c>
      <c r="G2657" s="67" t="s">
        <v>273</v>
      </c>
      <c r="H2657" s="69">
        <v>-0.7</v>
      </c>
    </row>
    <row r="2658" spans="6:8">
      <c r="F2658" s="68" t="s">
        <v>252</v>
      </c>
      <c r="G2658" s="67" t="s">
        <v>273</v>
      </c>
      <c r="H2658" s="69">
        <v>0.18</v>
      </c>
    </row>
    <row r="2659" spans="6:8">
      <c r="F2659" s="68" t="s">
        <v>125</v>
      </c>
      <c r="G2659" s="67" t="s">
        <v>273</v>
      </c>
      <c r="H2659" s="69">
        <v>-1.1000000000000001</v>
      </c>
    </row>
    <row r="2660" spans="6:8">
      <c r="F2660" s="68" t="s">
        <v>126</v>
      </c>
      <c r="G2660" s="67" t="s">
        <v>273</v>
      </c>
      <c r="H2660" s="69">
        <v>-0.5</v>
      </c>
    </row>
    <row r="2661" spans="6:8">
      <c r="F2661" s="68" t="s">
        <v>127</v>
      </c>
      <c r="G2661" s="67" t="s">
        <v>273</v>
      </c>
      <c r="H2661" s="69">
        <v>-0.15</v>
      </c>
    </row>
    <row r="2662" spans="6:8">
      <c r="F2662" s="68" t="s">
        <v>253</v>
      </c>
      <c r="G2662" s="67" t="s">
        <v>273</v>
      </c>
      <c r="H2662" s="69">
        <v>0.21</v>
      </c>
    </row>
    <row r="2663" spans="6:8">
      <c r="F2663" s="68" t="s">
        <v>128</v>
      </c>
      <c r="G2663" s="67" t="s">
        <v>273</v>
      </c>
      <c r="H2663" s="69">
        <v>-0.55000000000000004</v>
      </c>
    </row>
    <row r="2664" spans="6:8">
      <c r="F2664" s="68" t="s">
        <v>129</v>
      </c>
      <c r="G2664" s="67" t="s">
        <v>273</v>
      </c>
      <c r="H2664" s="69">
        <v>-0.25</v>
      </c>
    </row>
    <row r="2665" spans="6:8">
      <c r="F2665" s="68" t="s">
        <v>254</v>
      </c>
      <c r="G2665" s="67" t="s">
        <v>273</v>
      </c>
      <c r="H2665" s="69">
        <v>0.3</v>
      </c>
    </row>
    <row r="2666" spans="6:8">
      <c r="F2666" s="68" t="s">
        <v>130</v>
      </c>
      <c r="G2666" s="67" t="s">
        <v>273</v>
      </c>
      <c r="H2666" s="69">
        <v>-0.9</v>
      </c>
    </row>
    <row r="2667" spans="6:8">
      <c r="F2667" s="68" t="s">
        <v>131</v>
      </c>
      <c r="G2667" s="67" t="s">
        <v>273</v>
      </c>
      <c r="H2667" s="69">
        <v>-0.35</v>
      </c>
    </row>
    <row r="2668" spans="6:8">
      <c r="F2668" s="68" t="s">
        <v>255</v>
      </c>
      <c r="G2668" s="67" t="s">
        <v>273</v>
      </c>
      <c r="H2668" s="69">
        <v>0.43</v>
      </c>
    </row>
    <row r="2669" spans="6:8">
      <c r="F2669" s="68" t="s">
        <v>132</v>
      </c>
      <c r="G2669" s="67" t="s">
        <v>273</v>
      </c>
      <c r="H2669" s="69">
        <v>-0.9</v>
      </c>
    </row>
    <row r="2670" spans="6:8">
      <c r="F2670" s="68" t="s">
        <v>133</v>
      </c>
      <c r="G2670" s="67" t="s">
        <v>273</v>
      </c>
      <c r="H2670" s="69">
        <v>-0.35</v>
      </c>
    </row>
    <row r="2671" spans="6:8">
      <c r="F2671" s="68" t="s">
        <v>256</v>
      </c>
      <c r="G2671" s="67" t="s">
        <v>273</v>
      </c>
      <c r="H2671" s="69">
        <v>0.61</v>
      </c>
    </row>
    <row r="2672" spans="6:8">
      <c r="F2672" s="68" t="s">
        <v>134</v>
      </c>
      <c r="G2672" s="67" t="s">
        <v>273</v>
      </c>
      <c r="H2672" s="69">
        <v>-0.95</v>
      </c>
    </row>
    <row r="2673" spans="6:8">
      <c r="F2673" s="68" t="s">
        <v>135</v>
      </c>
      <c r="G2673" s="67" t="s">
        <v>273</v>
      </c>
      <c r="H2673" s="69">
        <v>-0.4</v>
      </c>
    </row>
    <row r="2674" spans="6:8">
      <c r="F2674" s="68" t="s">
        <v>257</v>
      </c>
      <c r="G2674" s="67" t="s">
        <v>273</v>
      </c>
      <c r="H2674" s="69">
        <v>0.79</v>
      </c>
    </row>
    <row r="2675" spans="6:8">
      <c r="F2675" s="68" t="s">
        <v>258</v>
      </c>
      <c r="G2675" s="67" t="s">
        <v>273</v>
      </c>
      <c r="H2675" s="69">
        <v>0.1</v>
      </c>
    </row>
    <row r="2676" spans="6:8">
      <c r="F2676" s="68" t="s">
        <v>136</v>
      </c>
      <c r="G2676" s="67" t="s">
        <v>273</v>
      </c>
      <c r="H2676" s="69">
        <v>-0.95</v>
      </c>
    </row>
    <row r="2677" spans="6:8">
      <c r="F2677" s="68" t="s">
        <v>137</v>
      </c>
      <c r="G2677" s="67" t="s">
        <v>273</v>
      </c>
      <c r="H2677" s="69">
        <v>-0.5</v>
      </c>
    </row>
    <row r="2678" spans="6:8">
      <c r="F2678" s="68" t="s">
        <v>138</v>
      </c>
      <c r="G2678" s="67" t="s">
        <v>273</v>
      </c>
      <c r="H2678" s="69">
        <v>-0.75</v>
      </c>
    </row>
    <row r="2679" spans="6:8">
      <c r="F2679" s="68" t="s">
        <v>259</v>
      </c>
      <c r="G2679" s="67" t="s">
        <v>273</v>
      </c>
      <c r="H2679" s="69">
        <v>0.14000000000000001</v>
      </c>
    </row>
    <row r="2680" spans="6:8">
      <c r="F2680" s="68" t="s">
        <v>259</v>
      </c>
      <c r="G2680" s="67" t="s">
        <v>274</v>
      </c>
      <c r="H2680" s="69">
        <v>0.14000000000000001</v>
      </c>
    </row>
    <row r="2681" spans="6:8">
      <c r="F2681" s="68" t="s">
        <v>138</v>
      </c>
      <c r="G2681" s="67" t="s">
        <v>274</v>
      </c>
      <c r="H2681" s="69">
        <v>-0.7</v>
      </c>
    </row>
    <row r="2682" spans="6:8">
      <c r="F2682" s="68" t="s">
        <v>137</v>
      </c>
      <c r="G2682" s="67" t="s">
        <v>274</v>
      </c>
      <c r="H2682" s="69">
        <v>-0.5</v>
      </c>
    </row>
    <row r="2683" spans="6:8">
      <c r="F2683" s="68" t="s">
        <v>136</v>
      </c>
      <c r="G2683" s="67" t="s">
        <v>274</v>
      </c>
      <c r="H2683" s="69">
        <v>-0.9</v>
      </c>
    </row>
    <row r="2684" spans="6:8">
      <c r="F2684" s="68" t="s">
        <v>258</v>
      </c>
      <c r="G2684" s="67" t="s">
        <v>274</v>
      </c>
      <c r="H2684" s="69">
        <v>0.1</v>
      </c>
    </row>
    <row r="2685" spans="6:8">
      <c r="F2685" s="68" t="s">
        <v>257</v>
      </c>
      <c r="G2685" s="67" t="s">
        <v>274</v>
      </c>
      <c r="H2685" s="69">
        <v>0.8</v>
      </c>
    </row>
    <row r="2686" spans="6:8">
      <c r="F2686" s="68" t="s">
        <v>135</v>
      </c>
      <c r="G2686" s="67" t="s">
        <v>274</v>
      </c>
      <c r="H2686" s="69">
        <v>-0.4</v>
      </c>
    </row>
    <row r="2687" spans="6:8">
      <c r="F2687" s="68" t="s">
        <v>134</v>
      </c>
      <c r="G2687" s="67" t="s">
        <v>274</v>
      </c>
      <c r="H2687" s="69">
        <v>-0.9</v>
      </c>
    </row>
    <row r="2688" spans="6:8">
      <c r="F2688" s="68" t="s">
        <v>256</v>
      </c>
      <c r="G2688" s="67" t="s">
        <v>274</v>
      </c>
      <c r="H2688" s="69">
        <v>0.62</v>
      </c>
    </row>
    <row r="2689" spans="6:8">
      <c r="F2689" s="68" t="s">
        <v>133</v>
      </c>
      <c r="G2689" s="67" t="s">
        <v>274</v>
      </c>
      <c r="H2689" s="69">
        <v>-0.35</v>
      </c>
    </row>
    <row r="2690" spans="6:8">
      <c r="F2690" s="68" t="s">
        <v>132</v>
      </c>
      <c r="G2690" s="67" t="s">
        <v>274</v>
      </c>
      <c r="H2690" s="69">
        <v>-0.85</v>
      </c>
    </row>
    <row r="2691" spans="6:8">
      <c r="F2691" s="68" t="s">
        <v>255</v>
      </c>
      <c r="G2691" s="67" t="s">
        <v>274</v>
      </c>
      <c r="H2691" s="69">
        <v>0.44</v>
      </c>
    </row>
    <row r="2692" spans="6:8">
      <c r="F2692" s="68" t="s">
        <v>131</v>
      </c>
      <c r="G2692" s="67" t="s">
        <v>274</v>
      </c>
      <c r="H2692" s="69">
        <v>-0.35</v>
      </c>
    </row>
    <row r="2693" spans="6:8">
      <c r="F2693" s="68" t="s">
        <v>130</v>
      </c>
      <c r="G2693" s="67" t="s">
        <v>274</v>
      </c>
      <c r="H2693" s="69">
        <v>-0.85</v>
      </c>
    </row>
    <row r="2694" spans="6:8">
      <c r="F2694" s="68" t="s">
        <v>254</v>
      </c>
      <c r="G2694" s="67" t="s">
        <v>274</v>
      </c>
      <c r="H2694" s="69">
        <v>0.31</v>
      </c>
    </row>
    <row r="2695" spans="6:8">
      <c r="F2695" s="68" t="s">
        <v>129</v>
      </c>
      <c r="G2695" s="67" t="s">
        <v>274</v>
      </c>
      <c r="H2695" s="69">
        <v>-0.25</v>
      </c>
    </row>
    <row r="2696" spans="6:8">
      <c r="F2696" s="68" t="s">
        <v>128</v>
      </c>
      <c r="G2696" s="67" t="s">
        <v>274</v>
      </c>
      <c r="H2696" s="69">
        <v>-0.5</v>
      </c>
    </row>
    <row r="2697" spans="6:8">
      <c r="F2697" s="68" t="s">
        <v>253</v>
      </c>
      <c r="G2697" s="67" t="s">
        <v>274</v>
      </c>
      <c r="H2697" s="69">
        <v>0.22</v>
      </c>
    </row>
    <row r="2698" spans="6:8">
      <c r="F2698" s="68" t="s">
        <v>127</v>
      </c>
      <c r="G2698" s="67" t="s">
        <v>274</v>
      </c>
      <c r="H2698" s="69">
        <v>-0.15</v>
      </c>
    </row>
    <row r="2699" spans="6:8">
      <c r="F2699" s="68" t="s">
        <v>126</v>
      </c>
      <c r="G2699" s="67" t="s">
        <v>274</v>
      </c>
      <c r="H2699" s="69">
        <v>-0.5</v>
      </c>
    </row>
    <row r="2700" spans="6:8">
      <c r="F2700" s="68" t="s">
        <v>125</v>
      </c>
      <c r="G2700" s="67" t="s">
        <v>274</v>
      </c>
      <c r="H2700" s="69">
        <v>-1.05</v>
      </c>
    </row>
    <row r="2701" spans="6:8">
      <c r="F2701" s="68" t="s">
        <v>252</v>
      </c>
      <c r="G2701" s="67" t="s">
        <v>274</v>
      </c>
      <c r="H2701" s="69">
        <v>0.18</v>
      </c>
    </row>
    <row r="2702" spans="6:8">
      <c r="F2702" s="68" t="s">
        <v>124</v>
      </c>
      <c r="G2702" s="67" t="s">
        <v>274</v>
      </c>
      <c r="H2702" s="69">
        <v>-0.65</v>
      </c>
    </row>
    <row r="2703" spans="6:8">
      <c r="F2703" s="68" t="s">
        <v>123</v>
      </c>
      <c r="G2703" s="67" t="s">
        <v>274</v>
      </c>
      <c r="H2703" s="69">
        <v>-0.55000000000000004</v>
      </c>
    </row>
    <row r="2704" spans="6:8">
      <c r="F2704" s="68" t="s">
        <v>122</v>
      </c>
      <c r="G2704" s="67" t="s">
        <v>274</v>
      </c>
      <c r="H2704" s="69">
        <v>-0.95</v>
      </c>
    </row>
    <row r="2705" spans="6:8">
      <c r="F2705" s="68" t="s">
        <v>251</v>
      </c>
      <c r="G2705" s="67" t="s">
        <v>274</v>
      </c>
      <c r="H2705" s="69">
        <v>0.15</v>
      </c>
    </row>
    <row r="2706" spans="6:8">
      <c r="F2706" s="68" t="s">
        <v>121</v>
      </c>
      <c r="G2706" s="67" t="s">
        <v>274</v>
      </c>
      <c r="H2706" s="69">
        <v>-0.7</v>
      </c>
    </row>
    <row r="2707" spans="6:8">
      <c r="F2707" s="68" t="s">
        <v>120</v>
      </c>
      <c r="G2707" s="67" t="s">
        <v>274</v>
      </c>
      <c r="H2707" s="69">
        <v>-0.5</v>
      </c>
    </row>
    <row r="2708" spans="6:8">
      <c r="F2708" s="68" t="s">
        <v>119</v>
      </c>
      <c r="G2708" s="67" t="s">
        <v>274</v>
      </c>
      <c r="H2708" s="69">
        <v>-0.9</v>
      </c>
    </row>
    <row r="2709" spans="6:8">
      <c r="F2709" s="68" t="s">
        <v>119</v>
      </c>
      <c r="G2709" s="67" t="s">
        <v>275</v>
      </c>
      <c r="H2709" s="69">
        <v>-0.85</v>
      </c>
    </row>
    <row r="2710" spans="6:8">
      <c r="F2710" s="68" t="s">
        <v>120</v>
      </c>
      <c r="G2710" s="67" t="s">
        <v>275</v>
      </c>
      <c r="H2710" s="69">
        <v>-0.5</v>
      </c>
    </row>
    <row r="2711" spans="6:8">
      <c r="F2711" s="68" t="s">
        <v>121</v>
      </c>
      <c r="G2711" s="67" t="s">
        <v>275</v>
      </c>
      <c r="H2711" s="69">
        <v>-0.65</v>
      </c>
    </row>
    <row r="2712" spans="6:8">
      <c r="F2712" s="68" t="s">
        <v>251</v>
      </c>
      <c r="G2712" s="67" t="s">
        <v>275</v>
      </c>
      <c r="H2712" s="69">
        <v>0.15</v>
      </c>
    </row>
    <row r="2713" spans="6:8">
      <c r="F2713" s="68" t="s">
        <v>122</v>
      </c>
      <c r="G2713" s="67" t="s">
        <v>275</v>
      </c>
      <c r="H2713" s="69">
        <v>-0.9</v>
      </c>
    </row>
    <row r="2714" spans="6:8">
      <c r="F2714" s="68" t="s">
        <v>123</v>
      </c>
      <c r="G2714" s="67" t="s">
        <v>275</v>
      </c>
      <c r="H2714" s="69">
        <v>-0.55000000000000004</v>
      </c>
    </row>
    <row r="2715" spans="6:8">
      <c r="F2715" s="68" t="s">
        <v>124</v>
      </c>
      <c r="G2715" s="67" t="s">
        <v>275</v>
      </c>
      <c r="H2715" s="69">
        <v>-0.6</v>
      </c>
    </row>
    <row r="2716" spans="6:8">
      <c r="F2716" s="68" t="s">
        <v>252</v>
      </c>
      <c r="G2716" s="67" t="s">
        <v>275</v>
      </c>
      <c r="H2716" s="69">
        <v>0.18</v>
      </c>
    </row>
    <row r="2717" spans="6:8">
      <c r="F2717" s="68" t="s">
        <v>125</v>
      </c>
      <c r="G2717" s="67" t="s">
        <v>275</v>
      </c>
      <c r="H2717" s="69">
        <v>-1</v>
      </c>
    </row>
    <row r="2718" spans="6:8">
      <c r="F2718" s="68" t="s">
        <v>126</v>
      </c>
      <c r="G2718" s="67" t="s">
        <v>275</v>
      </c>
      <c r="H2718" s="69">
        <v>-0.5</v>
      </c>
    </row>
    <row r="2719" spans="6:8">
      <c r="F2719" s="68" t="s">
        <v>127</v>
      </c>
      <c r="G2719" s="67" t="s">
        <v>275</v>
      </c>
      <c r="H2719" s="69">
        <v>-0.15</v>
      </c>
    </row>
    <row r="2720" spans="6:8">
      <c r="F2720" s="68" t="s">
        <v>253</v>
      </c>
      <c r="G2720" s="67" t="s">
        <v>275</v>
      </c>
      <c r="H2720" s="69">
        <v>0.22</v>
      </c>
    </row>
    <row r="2721" spans="6:8">
      <c r="F2721" s="68" t="s">
        <v>128</v>
      </c>
      <c r="G2721" s="67" t="s">
        <v>275</v>
      </c>
      <c r="H2721" s="69">
        <v>-0.5</v>
      </c>
    </row>
    <row r="2722" spans="6:8">
      <c r="F2722" s="68" t="s">
        <v>129</v>
      </c>
      <c r="G2722" s="67" t="s">
        <v>275</v>
      </c>
      <c r="H2722" s="69">
        <v>-0.25</v>
      </c>
    </row>
    <row r="2723" spans="6:8">
      <c r="F2723" s="68" t="s">
        <v>254</v>
      </c>
      <c r="G2723" s="67" t="s">
        <v>275</v>
      </c>
      <c r="H2723" s="69">
        <v>0.31</v>
      </c>
    </row>
    <row r="2724" spans="6:8">
      <c r="F2724" s="68" t="s">
        <v>130</v>
      </c>
      <c r="G2724" s="67" t="s">
        <v>275</v>
      </c>
      <c r="H2724" s="69">
        <v>-0.8</v>
      </c>
    </row>
    <row r="2725" spans="6:8">
      <c r="F2725" s="68" t="s">
        <v>131</v>
      </c>
      <c r="G2725" s="67" t="s">
        <v>275</v>
      </c>
      <c r="H2725" s="69">
        <v>-0.35</v>
      </c>
    </row>
    <row r="2726" spans="6:8">
      <c r="F2726" s="68" t="s">
        <v>255</v>
      </c>
      <c r="G2726" s="67" t="s">
        <v>275</v>
      </c>
      <c r="H2726" s="69">
        <v>0.44</v>
      </c>
    </row>
    <row r="2727" spans="6:8">
      <c r="F2727" s="68" t="s">
        <v>132</v>
      </c>
      <c r="G2727" s="67" t="s">
        <v>275</v>
      </c>
      <c r="H2727" s="69">
        <v>-0.8</v>
      </c>
    </row>
    <row r="2728" spans="6:8">
      <c r="F2728" s="68" t="s">
        <v>133</v>
      </c>
      <c r="G2728" s="67" t="s">
        <v>275</v>
      </c>
      <c r="H2728" s="69">
        <v>-0.35</v>
      </c>
    </row>
    <row r="2729" spans="6:8">
      <c r="F2729" s="68" t="s">
        <v>256</v>
      </c>
      <c r="G2729" s="67" t="s">
        <v>275</v>
      </c>
      <c r="H2729" s="69">
        <v>0.62</v>
      </c>
    </row>
    <row r="2730" spans="6:8">
      <c r="F2730" s="68" t="s">
        <v>134</v>
      </c>
      <c r="G2730" s="67" t="s">
        <v>275</v>
      </c>
      <c r="H2730" s="69">
        <v>-0.85</v>
      </c>
    </row>
    <row r="2731" spans="6:8">
      <c r="F2731" s="68" t="s">
        <v>135</v>
      </c>
      <c r="G2731" s="67" t="s">
        <v>275</v>
      </c>
      <c r="H2731" s="69">
        <v>-0.4</v>
      </c>
    </row>
    <row r="2732" spans="6:8">
      <c r="F2732" s="68" t="s">
        <v>257</v>
      </c>
      <c r="G2732" s="67" t="s">
        <v>275</v>
      </c>
      <c r="H2732" s="69">
        <v>0.8</v>
      </c>
    </row>
    <row r="2733" spans="6:8">
      <c r="F2733" s="68" t="s">
        <v>258</v>
      </c>
      <c r="G2733" s="67" t="s">
        <v>275</v>
      </c>
      <c r="H2733" s="69">
        <v>0.1</v>
      </c>
    </row>
    <row r="2734" spans="6:8">
      <c r="F2734" s="68" t="s">
        <v>136</v>
      </c>
      <c r="G2734" s="67" t="s">
        <v>275</v>
      </c>
      <c r="H2734" s="69">
        <v>-0.85</v>
      </c>
    </row>
    <row r="2735" spans="6:8">
      <c r="F2735" s="68" t="s">
        <v>137</v>
      </c>
      <c r="G2735" s="67" t="s">
        <v>275</v>
      </c>
      <c r="H2735" s="69">
        <v>-0.5</v>
      </c>
    </row>
    <row r="2736" spans="6:8">
      <c r="F2736" s="68" t="s">
        <v>138</v>
      </c>
      <c r="G2736" s="67" t="s">
        <v>275</v>
      </c>
      <c r="H2736" s="69">
        <v>-0.65</v>
      </c>
    </row>
    <row r="2737" spans="6:8">
      <c r="F2737" s="68" t="s">
        <v>259</v>
      </c>
      <c r="G2737" s="67" t="s">
        <v>275</v>
      </c>
      <c r="H2737" s="69">
        <v>0.14000000000000001</v>
      </c>
    </row>
    <row r="2738" spans="6:8">
      <c r="F2738" s="68" t="s">
        <v>259</v>
      </c>
      <c r="G2738" s="67" t="s">
        <v>276</v>
      </c>
      <c r="H2738" s="69">
        <v>0.14000000000000001</v>
      </c>
    </row>
    <row r="2739" spans="6:8">
      <c r="F2739" s="68" t="s">
        <v>138</v>
      </c>
      <c r="G2739" s="67" t="s">
        <v>276</v>
      </c>
      <c r="H2739" s="69">
        <v>-0.65</v>
      </c>
    </row>
    <row r="2740" spans="6:8">
      <c r="F2740" s="68" t="s">
        <v>137</v>
      </c>
      <c r="G2740" s="67" t="s">
        <v>276</v>
      </c>
      <c r="H2740" s="69">
        <v>-0.5</v>
      </c>
    </row>
    <row r="2741" spans="6:8">
      <c r="F2741" s="68" t="s">
        <v>136</v>
      </c>
      <c r="G2741" s="67" t="s">
        <v>276</v>
      </c>
      <c r="H2741" s="69">
        <v>-0.85</v>
      </c>
    </row>
    <row r="2742" spans="6:8">
      <c r="F2742" s="68" t="s">
        <v>258</v>
      </c>
      <c r="G2742" s="67" t="s">
        <v>276</v>
      </c>
      <c r="H2742" s="69">
        <v>0.1</v>
      </c>
    </row>
    <row r="2743" spans="6:8">
      <c r="F2743" s="68" t="s">
        <v>257</v>
      </c>
      <c r="G2743" s="67" t="s">
        <v>276</v>
      </c>
      <c r="H2743" s="69">
        <v>0.8</v>
      </c>
    </row>
    <row r="2744" spans="6:8">
      <c r="F2744" s="68" t="s">
        <v>135</v>
      </c>
      <c r="G2744" s="67" t="s">
        <v>276</v>
      </c>
      <c r="H2744" s="69">
        <v>-0.4</v>
      </c>
    </row>
    <row r="2745" spans="6:8">
      <c r="F2745" s="68" t="s">
        <v>134</v>
      </c>
      <c r="G2745" s="67" t="s">
        <v>276</v>
      </c>
      <c r="H2745" s="69">
        <v>-0.85</v>
      </c>
    </row>
    <row r="2746" spans="6:8">
      <c r="F2746" s="68" t="s">
        <v>256</v>
      </c>
      <c r="G2746" s="67" t="s">
        <v>276</v>
      </c>
      <c r="H2746" s="69">
        <v>0.62</v>
      </c>
    </row>
    <row r="2747" spans="6:8">
      <c r="F2747" s="68" t="s">
        <v>133</v>
      </c>
      <c r="G2747" s="67" t="s">
        <v>276</v>
      </c>
      <c r="H2747" s="69">
        <v>-0.35</v>
      </c>
    </row>
    <row r="2748" spans="6:8">
      <c r="F2748" s="68" t="s">
        <v>132</v>
      </c>
      <c r="G2748" s="67" t="s">
        <v>276</v>
      </c>
      <c r="H2748" s="69">
        <v>-0.8</v>
      </c>
    </row>
    <row r="2749" spans="6:8">
      <c r="F2749" s="68" t="s">
        <v>255</v>
      </c>
      <c r="G2749" s="67" t="s">
        <v>276</v>
      </c>
      <c r="H2749" s="69">
        <v>0.44</v>
      </c>
    </row>
    <row r="2750" spans="6:8">
      <c r="F2750" s="68" t="s">
        <v>131</v>
      </c>
      <c r="G2750" s="67" t="s">
        <v>276</v>
      </c>
      <c r="H2750" s="69">
        <v>-0.35</v>
      </c>
    </row>
    <row r="2751" spans="6:8">
      <c r="F2751" s="68" t="s">
        <v>130</v>
      </c>
      <c r="G2751" s="67" t="s">
        <v>276</v>
      </c>
      <c r="H2751" s="69">
        <v>-0.8</v>
      </c>
    </row>
    <row r="2752" spans="6:8">
      <c r="F2752" s="68" t="s">
        <v>254</v>
      </c>
      <c r="G2752" s="67" t="s">
        <v>276</v>
      </c>
      <c r="H2752" s="69">
        <v>0.31</v>
      </c>
    </row>
    <row r="2753" spans="6:8">
      <c r="F2753" s="68" t="s">
        <v>129</v>
      </c>
      <c r="G2753" s="67" t="s">
        <v>276</v>
      </c>
      <c r="H2753" s="69">
        <v>-0.25</v>
      </c>
    </row>
    <row r="2754" spans="6:8">
      <c r="F2754" s="68" t="s">
        <v>128</v>
      </c>
      <c r="G2754" s="67" t="s">
        <v>276</v>
      </c>
      <c r="H2754" s="69">
        <v>-0.5</v>
      </c>
    </row>
    <row r="2755" spans="6:8">
      <c r="F2755" s="68" t="s">
        <v>253</v>
      </c>
      <c r="G2755" s="67" t="s">
        <v>276</v>
      </c>
      <c r="H2755" s="69">
        <v>0.22</v>
      </c>
    </row>
    <row r="2756" spans="6:8">
      <c r="F2756" s="68" t="s">
        <v>127</v>
      </c>
      <c r="G2756" s="67" t="s">
        <v>276</v>
      </c>
      <c r="H2756" s="69">
        <v>-0.15</v>
      </c>
    </row>
    <row r="2757" spans="6:8">
      <c r="F2757" s="68" t="s">
        <v>126</v>
      </c>
      <c r="G2757" s="67" t="s">
        <v>276</v>
      </c>
      <c r="H2757" s="69">
        <v>-0.5</v>
      </c>
    </row>
    <row r="2758" spans="6:8">
      <c r="F2758" s="68" t="s">
        <v>125</v>
      </c>
      <c r="G2758" s="67" t="s">
        <v>276</v>
      </c>
      <c r="H2758" s="69">
        <v>-1</v>
      </c>
    </row>
    <row r="2759" spans="6:8">
      <c r="F2759" s="68" t="s">
        <v>252</v>
      </c>
      <c r="G2759" s="67" t="s">
        <v>276</v>
      </c>
      <c r="H2759" s="69">
        <v>0.18</v>
      </c>
    </row>
    <row r="2760" spans="6:8">
      <c r="F2760" s="68" t="s">
        <v>124</v>
      </c>
      <c r="G2760" s="67" t="s">
        <v>276</v>
      </c>
      <c r="H2760" s="69">
        <v>-0.6</v>
      </c>
    </row>
    <row r="2761" spans="6:8">
      <c r="F2761" s="68" t="s">
        <v>123</v>
      </c>
      <c r="G2761" s="67" t="s">
        <v>276</v>
      </c>
      <c r="H2761" s="69">
        <v>-0.55000000000000004</v>
      </c>
    </row>
    <row r="2762" spans="6:8">
      <c r="F2762" s="68" t="s">
        <v>122</v>
      </c>
      <c r="G2762" s="67" t="s">
        <v>276</v>
      </c>
      <c r="H2762" s="69">
        <v>-0.9</v>
      </c>
    </row>
    <row r="2763" spans="6:8">
      <c r="F2763" s="68" t="s">
        <v>251</v>
      </c>
      <c r="G2763" s="67" t="s">
        <v>276</v>
      </c>
      <c r="H2763" s="69">
        <v>0.15</v>
      </c>
    </row>
    <row r="2764" spans="6:8">
      <c r="F2764" s="68" t="s">
        <v>121</v>
      </c>
      <c r="G2764" s="67" t="s">
        <v>276</v>
      </c>
      <c r="H2764" s="69">
        <v>-0.65</v>
      </c>
    </row>
    <row r="2765" spans="6:8">
      <c r="F2765" s="68" t="s">
        <v>120</v>
      </c>
      <c r="G2765" s="67" t="s">
        <v>276</v>
      </c>
      <c r="H2765" s="69">
        <v>-0.5</v>
      </c>
    </row>
    <row r="2766" spans="6:8">
      <c r="F2766" s="68" t="s">
        <v>119</v>
      </c>
      <c r="G2766" s="67" t="s">
        <v>276</v>
      </c>
      <c r="H2766" s="69">
        <v>-0.85</v>
      </c>
    </row>
    <row r="2767" spans="6:8">
      <c r="F2767" s="68" t="s">
        <v>119</v>
      </c>
      <c r="G2767" s="67" t="s">
        <v>277</v>
      </c>
      <c r="H2767" s="69">
        <v>-0.85</v>
      </c>
    </row>
    <row r="2768" spans="6:8">
      <c r="F2768" s="68" t="s">
        <v>120</v>
      </c>
      <c r="G2768" s="67" t="s">
        <v>277</v>
      </c>
      <c r="H2768" s="69">
        <v>-0.5</v>
      </c>
    </row>
    <row r="2769" spans="6:8">
      <c r="F2769" s="68" t="s">
        <v>121</v>
      </c>
      <c r="G2769" s="67" t="s">
        <v>277</v>
      </c>
      <c r="H2769" s="69">
        <v>-0.65</v>
      </c>
    </row>
    <row r="2770" spans="6:8">
      <c r="F2770" s="68" t="s">
        <v>251</v>
      </c>
      <c r="G2770" s="67" t="s">
        <v>277</v>
      </c>
      <c r="H2770" s="69">
        <v>0.15</v>
      </c>
    </row>
    <row r="2771" spans="6:8">
      <c r="F2771" s="68" t="s">
        <v>122</v>
      </c>
      <c r="G2771" s="67" t="s">
        <v>277</v>
      </c>
      <c r="H2771" s="69">
        <v>-0.9</v>
      </c>
    </row>
    <row r="2772" spans="6:8">
      <c r="F2772" s="68" t="s">
        <v>123</v>
      </c>
      <c r="G2772" s="67" t="s">
        <v>277</v>
      </c>
      <c r="H2772" s="69">
        <v>-0.55000000000000004</v>
      </c>
    </row>
    <row r="2773" spans="6:8">
      <c r="F2773" s="68" t="s">
        <v>124</v>
      </c>
      <c r="G2773" s="67" t="s">
        <v>277</v>
      </c>
      <c r="H2773" s="69">
        <v>-0.6</v>
      </c>
    </row>
    <row r="2774" spans="6:8">
      <c r="F2774" s="68" t="s">
        <v>252</v>
      </c>
      <c r="G2774" s="67" t="s">
        <v>277</v>
      </c>
      <c r="H2774" s="69">
        <v>0.18</v>
      </c>
    </row>
    <row r="2775" spans="6:8">
      <c r="F2775" s="68" t="s">
        <v>125</v>
      </c>
      <c r="G2775" s="67" t="s">
        <v>277</v>
      </c>
      <c r="H2775" s="69">
        <v>-1</v>
      </c>
    </row>
    <row r="2776" spans="6:8">
      <c r="F2776" s="68" t="s">
        <v>126</v>
      </c>
      <c r="G2776" s="67" t="s">
        <v>277</v>
      </c>
      <c r="H2776" s="69">
        <v>-0.5</v>
      </c>
    </row>
    <row r="2777" spans="6:8">
      <c r="F2777" s="68" t="s">
        <v>127</v>
      </c>
      <c r="G2777" s="67" t="s">
        <v>277</v>
      </c>
      <c r="H2777" s="69">
        <v>-0.15</v>
      </c>
    </row>
    <row r="2778" spans="6:8">
      <c r="F2778" s="68" t="s">
        <v>253</v>
      </c>
      <c r="G2778" s="67" t="s">
        <v>277</v>
      </c>
      <c r="H2778" s="69">
        <v>0.22</v>
      </c>
    </row>
    <row r="2779" spans="6:8">
      <c r="F2779" s="68" t="s">
        <v>128</v>
      </c>
      <c r="G2779" s="67" t="s">
        <v>277</v>
      </c>
      <c r="H2779" s="69">
        <v>-0.5</v>
      </c>
    </row>
    <row r="2780" spans="6:8">
      <c r="F2780" s="68" t="s">
        <v>129</v>
      </c>
      <c r="G2780" s="67" t="s">
        <v>277</v>
      </c>
      <c r="H2780" s="69">
        <v>-0.25</v>
      </c>
    </row>
    <row r="2781" spans="6:8">
      <c r="F2781" s="68" t="s">
        <v>254</v>
      </c>
      <c r="G2781" s="67" t="s">
        <v>277</v>
      </c>
      <c r="H2781" s="69">
        <v>0.31</v>
      </c>
    </row>
    <row r="2782" spans="6:8">
      <c r="F2782" s="68" t="s">
        <v>130</v>
      </c>
      <c r="G2782" s="67" t="s">
        <v>277</v>
      </c>
      <c r="H2782" s="69">
        <v>-0.8</v>
      </c>
    </row>
    <row r="2783" spans="6:8">
      <c r="F2783" s="68" t="s">
        <v>131</v>
      </c>
      <c r="G2783" s="67" t="s">
        <v>277</v>
      </c>
      <c r="H2783" s="69">
        <v>-0.35</v>
      </c>
    </row>
    <row r="2784" spans="6:8">
      <c r="F2784" s="68" t="s">
        <v>255</v>
      </c>
      <c r="G2784" s="67" t="s">
        <v>277</v>
      </c>
      <c r="H2784" s="69">
        <v>0.44</v>
      </c>
    </row>
    <row r="2785" spans="6:8">
      <c r="F2785" s="68" t="s">
        <v>132</v>
      </c>
      <c r="G2785" s="67" t="s">
        <v>277</v>
      </c>
      <c r="H2785" s="69">
        <v>-0.8</v>
      </c>
    </row>
    <row r="2786" spans="6:8">
      <c r="F2786" s="68" t="s">
        <v>133</v>
      </c>
      <c r="G2786" s="67" t="s">
        <v>277</v>
      </c>
      <c r="H2786" s="69">
        <v>-0.35</v>
      </c>
    </row>
    <row r="2787" spans="6:8">
      <c r="F2787" s="68" t="s">
        <v>256</v>
      </c>
      <c r="G2787" s="67" t="s">
        <v>277</v>
      </c>
      <c r="H2787" s="69">
        <v>0.62</v>
      </c>
    </row>
    <row r="2788" spans="6:8">
      <c r="F2788" s="68" t="s">
        <v>134</v>
      </c>
      <c r="G2788" s="67" t="s">
        <v>277</v>
      </c>
      <c r="H2788" s="69">
        <v>-0.85</v>
      </c>
    </row>
    <row r="2789" spans="6:8">
      <c r="F2789" s="68" t="s">
        <v>135</v>
      </c>
      <c r="G2789" s="67" t="s">
        <v>277</v>
      </c>
      <c r="H2789" s="69">
        <v>-0.4</v>
      </c>
    </row>
    <row r="2790" spans="6:8">
      <c r="F2790" s="68" t="s">
        <v>257</v>
      </c>
      <c r="G2790" s="67" t="s">
        <v>277</v>
      </c>
      <c r="H2790" s="69">
        <v>0.8</v>
      </c>
    </row>
    <row r="2791" spans="6:8">
      <c r="F2791" s="68" t="s">
        <v>258</v>
      </c>
      <c r="G2791" s="67" t="s">
        <v>277</v>
      </c>
      <c r="H2791" s="69">
        <v>0.1</v>
      </c>
    </row>
    <row r="2792" spans="6:8">
      <c r="F2792" s="68" t="s">
        <v>136</v>
      </c>
      <c r="G2792" s="67" t="s">
        <v>277</v>
      </c>
      <c r="H2792" s="69">
        <v>-0.85</v>
      </c>
    </row>
    <row r="2793" spans="6:8">
      <c r="F2793" s="68" t="s">
        <v>137</v>
      </c>
      <c r="G2793" s="67" t="s">
        <v>277</v>
      </c>
      <c r="H2793" s="69">
        <v>-0.5</v>
      </c>
    </row>
    <row r="2794" spans="6:8">
      <c r="F2794" s="68" t="s">
        <v>138</v>
      </c>
      <c r="G2794" s="67" t="s">
        <v>277</v>
      </c>
      <c r="H2794" s="69">
        <v>-0.65</v>
      </c>
    </row>
    <row r="2795" spans="6:8">
      <c r="F2795" s="68" t="s">
        <v>259</v>
      </c>
      <c r="G2795" s="67" t="s">
        <v>277</v>
      </c>
      <c r="H2795" s="69">
        <v>0.14000000000000001</v>
      </c>
    </row>
    <row r="2796" spans="6:8">
      <c r="F2796" s="68" t="s">
        <v>259</v>
      </c>
      <c r="G2796" s="67" t="s">
        <v>278</v>
      </c>
      <c r="H2796" s="69">
        <v>0.14000000000000001</v>
      </c>
    </row>
    <row r="2797" spans="6:8">
      <c r="F2797" s="68" t="s">
        <v>138</v>
      </c>
      <c r="G2797" s="67" t="s">
        <v>278</v>
      </c>
      <c r="H2797" s="69">
        <v>-0.65</v>
      </c>
    </row>
    <row r="2798" spans="6:8">
      <c r="F2798" s="68" t="s">
        <v>137</v>
      </c>
      <c r="G2798" s="67" t="s">
        <v>278</v>
      </c>
      <c r="H2798" s="69">
        <v>-0.5</v>
      </c>
    </row>
    <row r="2799" spans="6:8">
      <c r="F2799" s="68" t="s">
        <v>136</v>
      </c>
      <c r="G2799" s="67" t="s">
        <v>278</v>
      </c>
      <c r="H2799" s="69">
        <v>-0.85</v>
      </c>
    </row>
    <row r="2800" spans="6:8">
      <c r="F2800" s="68" t="s">
        <v>258</v>
      </c>
      <c r="G2800" s="67" t="s">
        <v>278</v>
      </c>
      <c r="H2800" s="69">
        <v>0.1</v>
      </c>
    </row>
    <row r="2801" spans="6:8">
      <c r="F2801" s="68" t="s">
        <v>257</v>
      </c>
      <c r="G2801" s="67" t="s">
        <v>278</v>
      </c>
      <c r="H2801" s="69">
        <v>0.8</v>
      </c>
    </row>
    <row r="2802" spans="6:8">
      <c r="F2802" s="68" t="s">
        <v>135</v>
      </c>
      <c r="G2802" s="67" t="s">
        <v>278</v>
      </c>
      <c r="H2802" s="69">
        <v>-0.4</v>
      </c>
    </row>
    <row r="2803" spans="6:8">
      <c r="F2803" s="68" t="s">
        <v>134</v>
      </c>
      <c r="G2803" s="67" t="s">
        <v>278</v>
      </c>
      <c r="H2803" s="69">
        <v>-0.85</v>
      </c>
    </row>
    <row r="2804" spans="6:8">
      <c r="F2804" s="68" t="s">
        <v>256</v>
      </c>
      <c r="G2804" s="67" t="s">
        <v>278</v>
      </c>
      <c r="H2804" s="69">
        <v>0.62</v>
      </c>
    </row>
    <row r="2805" spans="6:8">
      <c r="F2805" s="68" t="s">
        <v>133</v>
      </c>
      <c r="G2805" s="67" t="s">
        <v>278</v>
      </c>
      <c r="H2805" s="69">
        <v>-0.35</v>
      </c>
    </row>
    <row r="2806" spans="6:8">
      <c r="F2806" s="68" t="s">
        <v>132</v>
      </c>
      <c r="G2806" s="67" t="s">
        <v>278</v>
      </c>
      <c r="H2806" s="69">
        <v>-0.8</v>
      </c>
    </row>
    <row r="2807" spans="6:8">
      <c r="F2807" s="68" t="s">
        <v>255</v>
      </c>
      <c r="G2807" s="67" t="s">
        <v>278</v>
      </c>
      <c r="H2807" s="69">
        <v>0.44</v>
      </c>
    </row>
    <row r="2808" spans="6:8">
      <c r="F2808" s="68" t="s">
        <v>131</v>
      </c>
      <c r="G2808" s="67" t="s">
        <v>278</v>
      </c>
      <c r="H2808" s="69">
        <v>-0.35</v>
      </c>
    </row>
    <row r="2809" spans="6:8">
      <c r="F2809" s="68" t="s">
        <v>130</v>
      </c>
      <c r="G2809" s="67" t="s">
        <v>278</v>
      </c>
      <c r="H2809" s="69">
        <v>-0.8</v>
      </c>
    </row>
    <row r="2810" spans="6:8">
      <c r="F2810" s="68" t="s">
        <v>254</v>
      </c>
      <c r="G2810" s="67" t="s">
        <v>278</v>
      </c>
      <c r="H2810" s="69">
        <v>0.31</v>
      </c>
    </row>
    <row r="2811" spans="6:8">
      <c r="F2811" s="68" t="s">
        <v>129</v>
      </c>
      <c r="G2811" s="67" t="s">
        <v>278</v>
      </c>
      <c r="H2811" s="69">
        <v>-0.25</v>
      </c>
    </row>
    <row r="2812" spans="6:8">
      <c r="F2812" s="68" t="s">
        <v>128</v>
      </c>
      <c r="G2812" s="67" t="s">
        <v>278</v>
      </c>
      <c r="H2812" s="69">
        <v>-0.5</v>
      </c>
    </row>
    <row r="2813" spans="6:8">
      <c r="F2813" s="68" t="s">
        <v>253</v>
      </c>
      <c r="G2813" s="67" t="s">
        <v>278</v>
      </c>
      <c r="H2813" s="69">
        <v>0.22</v>
      </c>
    </row>
    <row r="2814" spans="6:8">
      <c r="F2814" s="68" t="s">
        <v>127</v>
      </c>
      <c r="G2814" s="67" t="s">
        <v>278</v>
      </c>
      <c r="H2814" s="69">
        <v>-0.15</v>
      </c>
    </row>
    <row r="2815" spans="6:8">
      <c r="F2815" s="68" t="s">
        <v>126</v>
      </c>
      <c r="G2815" s="67" t="s">
        <v>278</v>
      </c>
      <c r="H2815" s="69">
        <v>-0.5</v>
      </c>
    </row>
    <row r="2816" spans="6:8">
      <c r="F2816" s="68" t="s">
        <v>125</v>
      </c>
      <c r="G2816" s="67" t="s">
        <v>278</v>
      </c>
      <c r="H2816" s="69">
        <v>-1</v>
      </c>
    </row>
    <row r="2817" spans="6:8">
      <c r="F2817" s="68" t="s">
        <v>252</v>
      </c>
      <c r="G2817" s="67" t="s">
        <v>278</v>
      </c>
      <c r="H2817" s="69">
        <v>0.18</v>
      </c>
    </row>
    <row r="2818" spans="6:8">
      <c r="F2818" s="68" t="s">
        <v>124</v>
      </c>
      <c r="G2818" s="67" t="s">
        <v>278</v>
      </c>
      <c r="H2818" s="69">
        <v>-0.6</v>
      </c>
    </row>
    <row r="2819" spans="6:8">
      <c r="F2819" s="68" t="s">
        <v>123</v>
      </c>
      <c r="G2819" s="67" t="s">
        <v>278</v>
      </c>
      <c r="H2819" s="69">
        <v>-0.55000000000000004</v>
      </c>
    </row>
    <row r="2820" spans="6:8">
      <c r="F2820" s="68" t="s">
        <v>122</v>
      </c>
      <c r="G2820" s="67" t="s">
        <v>278</v>
      </c>
      <c r="H2820" s="69">
        <v>-0.9</v>
      </c>
    </row>
    <row r="2821" spans="6:8">
      <c r="F2821" s="68" t="s">
        <v>251</v>
      </c>
      <c r="G2821" s="67" t="s">
        <v>278</v>
      </c>
      <c r="H2821" s="69">
        <v>0.15</v>
      </c>
    </row>
    <row r="2822" spans="6:8">
      <c r="F2822" s="68" t="s">
        <v>121</v>
      </c>
      <c r="G2822" s="67" t="s">
        <v>278</v>
      </c>
      <c r="H2822" s="69">
        <v>-0.65</v>
      </c>
    </row>
    <row r="2823" spans="6:8">
      <c r="F2823" s="68" t="s">
        <v>120</v>
      </c>
      <c r="G2823" s="67" t="s">
        <v>278</v>
      </c>
      <c r="H2823" s="69">
        <v>-0.5</v>
      </c>
    </row>
    <row r="2824" spans="6:8">
      <c r="F2824" s="68" t="s">
        <v>119</v>
      </c>
      <c r="G2824" s="67" t="s">
        <v>278</v>
      </c>
      <c r="H2824" s="69">
        <v>-0.85</v>
      </c>
    </row>
    <row r="2825" spans="6:8">
      <c r="F2825" s="68" t="s">
        <v>119</v>
      </c>
      <c r="G2825" s="67" t="s">
        <v>279</v>
      </c>
      <c r="H2825" s="69">
        <v>-0.85</v>
      </c>
    </row>
    <row r="2826" spans="6:8">
      <c r="F2826" s="68" t="s">
        <v>120</v>
      </c>
      <c r="G2826" s="67" t="s">
        <v>279</v>
      </c>
      <c r="H2826" s="69">
        <v>-0.5</v>
      </c>
    </row>
    <row r="2827" spans="6:8">
      <c r="F2827" s="68" t="s">
        <v>121</v>
      </c>
      <c r="G2827" s="67" t="s">
        <v>279</v>
      </c>
      <c r="H2827" s="69">
        <v>-0.65</v>
      </c>
    </row>
    <row r="2828" spans="6:8">
      <c r="F2828" s="68" t="s">
        <v>251</v>
      </c>
      <c r="G2828" s="67" t="s">
        <v>279</v>
      </c>
      <c r="H2828" s="69">
        <v>0.15</v>
      </c>
    </row>
    <row r="2829" spans="6:8">
      <c r="F2829" s="68" t="s">
        <v>122</v>
      </c>
      <c r="G2829" s="67" t="s">
        <v>279</v>
      </c>
      <c r="H2829" s="69">
        <v>-0.9</v>
      </c>
    </row>
    <row r="2830" spans="6:8">
      <c r="F2830" s="68" t="s">
        <v>123</v>
      </c>
      <c r="G2830" s="67" t="s">
        <v>279</v>
      </c>
      <c r="H2830" s="69">
        <v>-0.55000000000000004</v>
      </c>
    </row>
    <row r="2831" spans="6:8">
      <c r="F2831" s="68" t="s">
        <v>124</v>
      </c>
      <c r="G2831" s="67" t="s">
        <v>279</v>
      </c>
      <c r="H2831" s="69">
        <v>-0.6</v>
      </c>
    </row>
    <row r="2832" spans="6:8">
      <c r="F2832" s="68" t="s">
        <v>252</v>
      </c>
      <c r="G2832" s="67" t="s">
        <v>279</v>
      </c>
      <c r="H2832" s="69">
        <v>0.18</v>
      </c>
    </row>
    <row r="2833" spans="6:8">
      <c r="F2833" s="68" t="s">
        <v>125</v>
      </c>
      <c r="G2833" s="67" t="s">
        <v>279</v>
      </c>
      <c r="H2833" s="69">
        <v>-1</v>
      </c>
    </row>
    <row r="2834" spans="6:8">
      <c r="F2834" s="68" t="s">
        <v>126</v>
      </c>
      <c r="G2834" s="67" t="s">
        <v>279</v>
      </c>
      <c r="H2834" s="69">
        <v>-0.5</v>
      </c>
    </row>
    <row r="2835" spans="6:8">
      <c r="F2835" s="68" t="s">
        <v>127</v>
      </c>
      <c r="G2835" s="67" t="s">
        <v>279</v>
      </c>
      <c r="H2835" s="69">
        <v>-0.15</v>
      </c>
    </row>
    <row r="2836" spans="6:8">
      <c r="F2836" s="68" t="s">
        <v>253</v>
      </c>
      <c r="G2836" s="67" t="s">
        <v>279</v>
      </c>
      <c r="H2836" s="69">
        <v>0.22</v>
      </c>
    </row>
    <row r="2837" spans="6:8">
      <c r="F2837" s="68" t="s">
        <v>128</v>
      </c>
      <c r="G2837" s="67" t="s">
        <v>279</v>
      </c>
      <c r="H2837" s="69">
        <v>-0.5</v>
      </c>
    </row>
    <row r="2838" spans="6:8">
      <c r="F2838" s="68" t="s">
        <v>129</v>
      </c>
      <c r="G2838" s="67" t="s">
        <v>279</v>
      </c>
      <c r="H2838" s="69">
        <v>-0.25</v>
      </c>
    </row>
    <row r="2839" spans="6:8">
      <c r="F2839" s="68" t="s">
        <v>254</v>
      </c>
      <c r="G2839" s="67" t="s">
        <v>279</v>
      </c>
      <c r="H2839" s="69">
        <v>0.31</v>
      </c>
    </row>
    <row r="2840" spans="6:8">
      <c r="F2840" s="68" t="s">
        <v>130</v>
      </c>
      <c r="G2840" s="67" t="s">
        <v>279</v>
      </c>
      <c r="H2840" s="69">
        <v>-0.8</v>
      </c>
    </row>
    <row r="2841" spans="6:8">
      <c r="F2841" s="68" t="s">
        <v>131</v>
      </c>
      <c r="G2841" s="67" t="s">
        <v>279</v>
      </c>
      <c r="H2841" s="69">
        <v>-0.35</v>
      </c>
    </row>
    <row r="2842" spans="6:8">
      <c r="F2842" s="68" t="s">
        <v>255</v>
      </c>
      <c r="G2842" s="67" t="s">
        <v>279</v>
      </c>
      <c r="H2842" s="69">
        <v>0.44</v>
      </c>
    </row>
    <row r="2843" spans="6:8">
      <c r="F2843" s="68" t="s">
        <v>132</v>
      </c>
      <c r="G2843" s="67" t="s">
        <v>279</v>
      </c>
      <c r="H2843" s="69">
        <v>-0.8</v>
      </c>
    </row>
    <row r="2844" spans="6:8">
      <c r="F2844" s="68" t="s">
        <v>133</v>
      </c>
      <c r="G2844" s="67" t="s">
        <v>279</v>
      </c>
      <c r="H2844" s="69">
        <v>-0.35</v>
      </c>
    </row>
    <row r="2845" spans="6:8">
      <c r="F2845" s="68" t="s">
        <v>256</v>
      </c>
      <c r="G2845" s="67" t="s">
        <v>279</v>
      </c>
      <c r="H2845" s="69">
        <v>0.62</v>
      </c>
    </row>
    <row r="2846" spans="6:8">
      <c r="F2846" s="68" t="s">
        <v>134</v>
      </c>
      <c r="G2846" s="67" t="s">
        <v>279</v>
      </c>
      <c r="H2846" s="69">
        <v>-0.85</v>
      </c>
    </row>
    <row r="2847" spans="6:8">
      <c r="F2847" s="68" t="s">
        <v>135</v>
      </c>
      <c r="G2847" s="67" t="s">
        <v>279</v>
      </c>
      <c r="H2847" s="69">
        <v>-0.4</v>
      </c>
    </row>
    <row r="2848" spans="6:8">
      <c r="F2848" s="68" t="s">
        <v>257</v>
      </c>
      <c r="G2848" s="67" t="s">
        <v>279</v>
      </c>
      <c r="H2848" s="69">
        <v>0.8</v>
      </c>
    </row>
    <row r="2849" spans="6:8">
      <c r="F2849" s="68" t="s">
        <v>258</v>
      </c>
      <c r="G2849" s="67" t="s">
        <v>279</v>
      </c>
      <c r="H2849" s="69">
        <v>0.1</v>
      </c>
    </row>
    <row r="2850" spans="6:8">
      <c r="F2850" s="68" t="s">
        <v>136</v>
      </c>
      <c r="G2850" s="67" t="s">
        <v>279</v>
      </c>
      <c r="H2850" s="69">
        <v>-0.85</v>
      </c>
    </row>
    <row r="2851" spans="6:8">
      <c r="F2851" s="68" t="s">
        <v>137</v>
      </c>
      <c r="G2851" s="67" t="s">
        <v>279</v>
      </c>
      <c r="H2851" s="69">
        <v>-0.5</v>
      </c>
    </row>
    <row r="2852" spans="6:8">
      <c r="F2852" s="68" t="s">
        <v>138</v>
      </c>
      <c r="G2852" s="67" t="s">
        <v>279</v>
      </c>
      <c r="H2852" s="69">
        <v>-0.65</v>
      </c>
    </row>
    <row r="2853" spans="6:8">
      <c r="F2853" s="68" t="s">
        <v>259</v>
      </c>
      <c r="G2853" s="67" t="s">
        <v>279</v>
      </c>
      <c r="H2853" s="69">
        <v>0.14000000000000001</v>
      </c>
    </row>
    <row r="2854" spans="6:8">
      <c r="F2854" s="68" t="s">
        <v>259</v>
      </c>
      <c r="G2854" s="67" t="s">
        <v>280</v>
      </c>
      <c r="H2854" s="69">
        <v>0.14000000000000001</v>
      </c>
    </row>
    <row r="2855" spans="6:8">
      <c r="F2855" s="68" t="s">
        <v>138</v>
      </c>
      <c r="G2855" s="67" t="s">
        <v>280</v>
      </c>
      <c r="H2855" s="69">
        <v>-0.65</v>
      </c>
    </row>
    <row r="2856" spans="6:8">
      <c r="F2856" s="68" t="s">
        <v>137</v>
      </c>
      <c r="G2856" s="67" t="s">
        <v>280</v>
      </c>
      <c r="H2856" s="69">
        <v>-0.5</v>
      </c>
    </row>
    <row r="2857" spans="6:8">
      <c r="F2857" s="68" t="s">
        <v>136</v>
      </c>
      <c r="G2857" s="67" t="s">
        <v>280</v>
      </c>
      <c r="H2857" s="69">
        <v>-0.85</v>
      </c>
    </row>
    <row r="2858" spans="6:8">
      <c r="F2858" s="68" t="s">
        <v>258</v>
      </c>
      <c r="G2858" s="67" t="s">
        <v>280</v>
      </c>
      <c r="H2858" s="69">
        <v>0.1</v>
      </c>
    </row>
    <row r="2859" spans="6:8">
      <c r="F2859" s="68" t="s">
        <v>257</v>
      </c>
      <c r="G2859" s="67" t="s">
        <v>280</v>
      </c>
      <c r="H2859" s="69">
        <v>0.8</v>
      </c>
    </row>
    <row r="2860" spans="6:8">
      <c r="F2860" s="68" t="s">
        <v>135</v>
      </c>
      <c r="G2860" s="67" t="s">
        <v>280</v>
      </c>
      <c r="H2860" s="69">
        <v>-0.4</v>
      </c>
    </row>
    <row r="2861" spans="6:8">
      <c r="F2861" s="68" t="s">
        <v>134</v>
      </c>
      <c r="G2861" s="67" t="s">
        <v>280</v>
      </c>
      <c r="H2861" s="69">
        <v>-0.85</v>
      </c>
    </row>
    <row r="2862" spans="6:8">
      <c r="F2862" s="68" t="s">
        <v>256</v>
      </c>
      <c r="G2862" s="67" t="s">
        <v>280</v>
      </c>
      <c r="H2862" s="69">
        <v>0.62</v>
      </c>
    </row>
    <row r="2863" spans="6:8">
      <c r="F2863" s="68" t="s">
        <v>133</v>
      </c>
      <c r="G2863" s="67" t="s">
        <v>280</v>
      </c>
      <c r="H2863" s="69">
        <v>-0.35</v>
      </c>
    </row>
    <row r="2864" spans="6:8">
      <c r="F2864" s="68" t="s">
        <v>132</v>
      </c>
      <c r="G2864" s="67" t="s">
        <v>280</v>
      </c>
      <c r="H2864" s="69">
        <v>-0.8</v>
      </c>
    </row>
    <row r="2865" spans="6:8">
      <c r="F2865" s="68" t="s">
        <v>255</v>
      </c>
      <c r="G2865" s="67" t="s">
        <v>280</v>
      </c>
      <c r="H2865" s="69">
        <v>0.44</v>
      </c>
    </row>
    <row r="2866" spans="6:8">
      <c r="F2866" s="68" t="s">
        <v>131</v>
      </c>
      <c r="G2866" s="67" t="s">
        <v>280</v>
      </c>
      <c r="H2866" s="69">
        <v>-0.35</v>
      </c>
    </row>
    <row r="2867" spans="6:8">
      <c r="F2867" s="68" t="s">
        <v>130</v>
      </c>
      <c r="G2867" s="67" t="s">
        <v>280</v>
      </c>
      <c r="H2867" s="69">
        <v>-0.8</v>
      </c>
    </row>
    <row r="2868" spans="6:8">
      <c r="F2868" s="68" t="s">
        <v>254</v>
      </c>
      <c r="G2868" s="67" t="s">
        <v>280</v>
      </c>
      <c r="H2868" s="69">
        <v>0.31</v>
      </c>
    </row>
    <row r="2869" spans="6:8">
      <c r="F2869" s="68" t="s">
        <v>129</v>
      </c>
      <c r="G2869" s="67" t="s">
        <v>280</v>
      </c>
      <c r="H2869" s="69">
        <v>-0.25</v>
      </c>
    </row>
    <row r="2870" spans="6:8">
      <c r="F2870" s="68" t="s">
        <v>128</v>
      </c>
      <c r="G2870" s="67" t="s">
        <v>280</v>
      </c>
      <c r="H2870" s="69">
        <v>-0.5</v>
      </c>
    </row>
    <row r="2871" spans="6:8">
      <c r="F2871" s="68" t="s">
        <v>253</v>
      </c>
      <c r="G2871" s="67" t="s">
        <v>280</v>
      </c>
      <c r="H2871" s="69">
        <v>0.22</v>
      </c>
    </row>
    <row r="2872" spans="6:8">
      <c r="F2872" s="68" t="s">
        <v>127</v>
      </c>
      <c r="G2872" s="67" t="s">
        <v>280</v>
      </c>
      <c r="H2872" s="69">
        <v>-0.15</v>
      </c>
    </row>
    <row r="2873" spans="6:8">
      <c r="F2873" s="68" t="s">
        <v>126</v>
      </c>
      <c r="G2873" s="67" t="s">
        <v>280</v>
      </c>
      <c r="H2873" s="69">
        <v>-0.5</v>
      </c>
    </row>
    <row r="2874" spans="6:8">
      <c r="F2874" s="68" t="s">
        <v>125</v>
      </c>
      <c r="G2874" s="67" t="s">
        <v>280</v>
      </c>
      <c r="H2874" s="69">
        <v>-1</v>
      </c>
    </row>
    <row r="2875" spans="6:8">
      <c r="F2875" s="68" t="s">
        <v>252</v>
      </c>
      <c r="G2875" s="67" t="s">
        <v>280</v>
      </c>
      <c r="H2875" s="69">
        <v>0.18</v>
      </c>
    </row>
    <row r="2876" spans="6:8">
      <c r="F2876" s="68" t="s">
        <v>124</v>
      </c>
      <c r="G2876" s="67" t="s">
        <v>280</v>
      </c>
      <c r="H2876" s="69">
        <v>-0.6</v>
      </c>
    </row>
    <row r="2877" spans="6:8">
      <c r="F2877" s="68" t="s">
        <v>123</v>
      </c>
      <c r="G2877" s="67" t="s">
        <v>280</v>
      </c>
      <c r="H2877" s="69">
        <v>-0.55000000000000004</v>
      </c>
    </row>
    <row r="2878" spans="6:8">
      <c r="F2878" s="68" t="s">
        <v>122</v>
      </c>
      <c r="G2878" s="67" t="s">
        <v>280</v>
      </c>
      <c r="H2878" s="69">
        <v>-0.9</v>
      </c>
    </row>
    <row r="2879" spans="6:8">
      <c r="F2879" s="68" t="s">
        <v>251</v>
      </c>
      <c r="G2879" s="67" t="s">
        <v>280</v>
      </c>
      <c r="H2879" s="69">
        <v>0.15</v>
      </c>
    </row>
    <row r="2880" spans="6:8">
      <c r="F2880" s="68" t="s">
        <v>121</v>
      </c>
      <c r="G2880" s="67" t="s">
        <v>280</v>
      </c>
      <c r="H2880" s="69">
        <v>-0.65</v>
      </c>
    </row>
    <row r="2881" spans="6:8">
      <c r="F2881" s="68" t="s">
        <v>120</v>
      </c>
      <c r="G2881" s="67" t="s">
        <v>280</v>
      </c>
      <c r="H2881" s="69">
        <v>-0.5</v>
      </c>
    </row>
    <row r="2882" spans="6:8">
      <c r="F2882" s="68" t="s">
        <v>119</v>
      </c>
      <c r="G2882" s="67" t="s">
        <v>280</v>
      </c>
      <c r="H2882" s="69">
        <v>-0.85</v>
      </c>
    </row>
    <row r="2883" spans="6:8">
      <c r="F2883" s="68" t="s">
        <v>119</v>
      </c>
      <c r="G2883" s="67" t="s">
        <v>281</v>
      </c>
      <c r="H2883" s="69">
        <v>-0.85</v>
      </c>
    </row>
    <row r="2884" spans="6:8">
      <c r="F2884" s="68" t="s">
        <v>120</v>
      </c>
      <c r="G2884" s="67" t="s">
        <v>281</v>
      </c>
      <c r="H2884" s="69">
        <v>-0.5</v>
      </c>
    </row>
    <row r="2885" spans="6:8">
      <c r="F2885" s="68" t="s">
        <v>121</v>
      </c>
      <c r="G2885" s="67" t="s">
        <v>281</v>
      </c>
      <c r="H2885" s="69">
        <v>-0.7</v>
      </c>
    </row>
    <row r="2886" spans="6:8">
      <c r="F2886" s="68" t="s">
        <v>251</v>
      </c>
      <c r="G2886" s="67" t="s">
        <v>281</v>
      </c>
      <c r="H2886" s="69">
        <v>0.15</v>
      </c>
    </row>
    <row r="2887" spans="6:8">
      <c r="F2887" s="68" t="s">
        <v>122</v>
      </c>
      <c r="G2887" s="67" t="s">
        <v>281</v>
      </c>
      <c r="H2887" s="69">
        <v>-0.9</v>
      </c>
    </row>
    <row r="2888" spans="6:8">
      <c r="F2888" s="68" t="s">
        <v>123</v>
      </c>
      <c r="G2888" s="67" t="s">
        <v>281</v>
      </c>
      <c r="H2888" s="69">
        <v>-0.55000000000000004</v>
      </c>
    </row>
    <row r="2889" spans="6:8">
      <c r="F2889" s="68" t="s">
        <v>124</v>
      </c>
      <c r="G2889" s="67" t="s">
        <v>281</v>
      </c>
      <c r="H2889" s="69">
        <v>-0.6</v>
      </c>
    </row>
    <row r="2890" spans="6:8">
      <c r="F2890" s="68" t="s">
        <v>252</v>
      </c>
      <c r="G2890" s="67" t="s">
        <v>281</v>
      </c>
      <c r="H2890" s="69">
        <v>0.18</v>
      </c>
    </row>
    <row r="2891" spans="6:8">
      <c r="F2891" s="68" t="s">
        <v>125</v>
      </c>
      <c r="G2891" s="67" t="s">
        <v>281</v>
      </c>
      <c r="H2891" s="69">
        <v>-1</v>
      </c>
    </row>
    <row r="2892" spans="6:8">
      <c r="F2892" s="68" t="s">
        <v>126</v>
      </c>
      <c r="G2892" s="67" t="s">
        <v>281</v>
      </c>
      <c r="H2892" s="69">
        <v>-0.5</v>
      </c>
    </row>
    <row r="2893" spans="6:8">
      <c r="F2893" s="68" t="s">
        <v>127</v>
      </c>
      <c r="G2893" s="67" t="s">
        <v>281</v>
      </c>
      <c r="H2893" s="69">
        <v>-0.15</v>
      </c>
    </row>
    <row r="2894" spans="6:8">
      <c r="F2894" s="68" t="s">
        <v>253</v>
      </c>
      <c r="G2894" s="67" t="s">
        <v>281</v>
      </c>
      <c r="H2894" s="69">
        <v>0.22</v>
      </c>
    </row>
    <row r="2895" spans="6:8">
      <c r="F2895" s="68" t="s">
        <v>128</v>
      </c>
      <c r="G2895" s="67" t="s">
        <v>281</v>
      </c>
      <c r="H2895" s="69">
        <v>-0.5</v>
      </c>
    </row>
    <row r="2896" spans="6:8">
      <c r="F2896" s="68" t="s">
        <v>129</v>
      </c>
      <c r="G2896" s="67" t="s">
        <v>281</v>
      </c>
      <c r="H2896" s="69">
        <v>-0.25</v>
      </c>
    </row>
    <row r="2897" spans="6:8">
      <c r="F2897" s="68" t="s">
        <v>254</v>
      </c>
      <c r="G2897" s="67" t="s">
        <v>281</v>
      </c>
      <c r="H2897" s="69">
        <v>0.31</v>
      </c>
    </row>
    <row r="2898" spans="6:8">
      <c r="F2898" s="68" t="s">
        <v>130</v>
      </c>
      <c r="G2898" s="67" t="s">
        <v>281</v>
      </c>
      <c r="H2898" s="69">
        <v>-0.8</v>
      </c>
    </row>
    <row r="2899" spans="6:8">
      <c r="F2899" s="68" t="s">
        <v>131</v>
      </c>
      <c r="G2899" s="67" t="s">
        <v>281</v>
      </c>
      <c r="H2899" s="69">
        <v>-0.35</v>
      </c>
    </row>
    <row r="2900" spans="6:8">
      <c r="F2900" s="68" t="s">
        <v>255</v>
      </c>
      <c r="G2900" s="67" t="s">
        <v>281</v>
      </c>
      <c r="H2900" s="69">
        <v>0.44</v>
      </c>
    </row>
    <row r="2901" spans="6:8">
      <c r="F2901" s="68" t="s">
        <v>132</v>
      </c>
      <c r="G2901" s="67" t="s">
        <v>281</v>
      </c>
      <c r="H2901" s="69">
        <v>-0.8</v>
      </c>
    </row>
    <row r="2902" spans="6:8">
      <c r="F2902" s="68" t="s">
        <v>133</v>
      </c>
      <c r="G2902" s="67" t="s">
        <v>281</v>
      </c>
      <c r="H2902" s="69">
        <v>-0.35</v>
      </c>
    </row>
    <row r="2903" spans="6:8">
      <c r="F2903" s="68" t="s">
        <v>256</v>
      </c>
      <c r="G2903" s="67" t="s">
        <v>281</v>
      </c>
      <c r="H2903" s="69">
        <v>0.62</v>
      </c>
    </row>
    <row r="2904" spans="6:8">
      <c r="F2904" s="68" t="s">
        <v>134</v>
      </c>
      <c r="G2904" s="67" t="s">
        <v>281</v>
      </c>
      <c r="H2904" s="69">
        <v>-0.85</v>
      </c>
    </row>
    <row r="2905" spans="6:8">
      <c r="F2905" s="68" t="s">
        <v>135</v>
      </c>
      <c r="G2905" s="67" t="s">
        <v>281</v>
      </c>
      <c r="H2905" s="69">
        <v>-0.4</v>
      </c>
    </row>
    <row r="2906" spans="6:8">
      <c r="F2906" s="68" t="s">
        <v>257</v>
      </c>
      <c r="G2906" s="67" t="s">
        <v>281</v>
      </c>
      <c r="H2906" s="69">
        <v>0.8</v>
      </c>
    </row>
    <row r="2907" spans="6:8">
      <c r="F2907" s="68" t="s">
        <v>258</v>
      </c>
      <c r="G2907" s="67" t="s">
        <v>281</v>
      </c>
      <c r="H2907" s="69">
        <v>0.1</v>
      </c>
    </row>
    <row r="2908" spans="6:8">
      <c r="F2908" s="68" t="s">
        <v>136</v>
      </c>
      <c r="G2908" s="67" t="s">
        <v>281</v>
      </c>
      <c r="H2908" s="69">
        <v>-0.85</v>
      </c>
    </row>
    <row r="2909" spans="6:8">
      <c r="F2909" s="68" t="s">
        <v>137</v>
      </c>
      <c r="G2909" s="67" t="s">
        <v>281</v>
      </c>
      <c r="H2909" s="69">
        <v>-0.5</v>
      </c>
    </row>
    <row r="2910" spans="6:8">
      <c r="F2910" s="68" t="s">
        <v>138</v>
      </c>
      <c r="G2910" s="67" t="s">
        <v>281</v>
      </c>
      <c r="H2910" s="69">
        <v>-0.7</v>
      </c>
    </row>
    <row r="2911" spans="6:8">
      <c r="F2911" s="68" t="s">
        <v>259</v>
      </c>
      <c r="G2911" s="67" t="s">
        <v>281</v>
      </c>
      <c r="H2911" s="69">
        <v>0.14000000000000001</v>
      </c>
    </row>
    <row r="2912" spans="6:8">
      <c r="F2912" s="68" t="s">
        <v>259</v>
      </c>
      <c r="G2912" s="67" t="s">
        <v>282</v>
      </c>
      <c r="H2912" s="69">
        <v>0.14000000000000001</v>
      </c>
    </row>
    <row r="2913" spans="6:8">
      <c r="F2913" s="68" t="s">
        <v>138</v>
      </c>
      <c r="G2913" s="67" t="s">
        <v>282</v>
      </c>
      <c r="H2913" s="69">
        <v>-0.7</v>
      </c>
    </row>
    <row r="2914" spans="6:8">
      <c r="F2914" s="68" t="s">
        <v>137</v>
      </c>
      <c r="G2914" s="67" t="s">
        <v>282</v>
      </c>
      <c r="H2914" s="69">
        <v>-0.5</v>
      </c>
    </row>
    <row r="2915" spans="6:8">
      <c r="F2915" s="68" t="s">
        <v>136</v>
      </c>
      <c r="G2915" s="67" t="s">
        <v>282</v>
      </c>
      <c r="H2915" s="69">
        <v>-0.85</v>
      </c>
    </row>
    <row r="2916" spans="6:8">
      <c r="F2916" s="68" t="s">
        <v>258</v>
      </c>
      <c r="G2916" s="67" t="s">
        <v>282</v>
      </c>
      <c r="H2916" s="69">
        <v>0.1</v>
      </c>
    </row>
    <row r="2917" spans="6:8">
      <c r="F2917" s="68" t="s">
        <v>257</v>
      </c>
      <c r="G2917" s="67" t="s">
        <v>282</v>
      </c>
      <c r="H2917" s="69">
        <v>0.8</v>
      </c>
    </row>
    <row r="2918" spans="6:8">
      <c r="F2918" s="68" t="s">
        <v>135</v>
      </c>
      <c r="G2918" s="67" t="s">
        <v>282</v>
      </c>
      <c r="H2918" s="69">
        <v>-0.4</v>
      </c>
    </row>
    <row r="2919" spans="6:8">
      <c r="F2919" s="68" t="s">
        <v>134</v>
      </c>
      <c r="G2919" s="67" t="s">
        <v>282</v>
      </c>
      <c r="H2919" s="69">
        <v>-0.85</v>
      </c>
    </row>
    <row r="2920" spans="6:8">
      <c r="F2920" s="68" t="s">
        <v>256</v>
      </c>
      <c r="G2920" s="67" t="s">
        <v>282</v>
      </c>
      <c r="H2920" s="69">
        <v>0.62</v>
      </c>
    </row>
    <row r="2921" spans="6:8">
      <c r="F2921" s="68" t="s">
        <v>133</v>
      </c>
      <c r="G2921" s="67" t="s">
        <v>282</v>
      </c>
      <c r="H2921" s="69">
        <v>-0.35</v>
      </c>
    </row>
    <row r="2922" spans="6:8">
      <c r="F2922" s="68" t="s">
        <v>132</v>
      </c>
      <c r="G2922" s="67" t="s">
        <v>282</v>
      </c>
      <c r="H2922" s="69">
        <v>-0.8</v>
      </c>
    </row>
    <row r="2923" spans="6:8">
      <c r="F2923" s="68" t="s">
        <v>255</v>
      </c>
      <c r="G2923" s="67" t="s">
        <v>282</v>
      </c>
      <c r="H2923" s="69">
        <v>0.44</v>
      </c>
    </row>
    <row r="2924" spans="6:8">
      <c r="F2924" s="68" t="s">
        <v>131</v>
      </c>
      <c r="G2924" s="67" t="s">
        <v>282</v>
      </c>
      <c r="H2924" s="69">
        <v>-0.35</v>
      </c>
    </row>
    <row r="2925" spans="6:8">
      <c r="F2925" s="68" t="s">
        <v>130</v>
      </c>
      <c r="G2925" s="67" t="s">
        <v>282</v>
      </c>
      <c r="H2925" s="69">
        <v>-0.8</v>
      </c>
    </row>
    <row r="2926" spans="6:8">
      <c r="F2926" s="68" t="s">
        <v>254</v>
      </c>
      <c r="G2926" s="67" t="s">
        <v>282</v>
      </c>
      <c r="H2926" s="69">
        <v>0.31</v>
      </c>
    </row>
    <row r="2927" spans="6:8">
      <c r="F2927" s="68" t="s">
        <v>129</v>
      </c>
      <c r="G2927" s="67" t="s">
        <v>282</v>
      </c>
      <c r="H2927" s="69">
        <v>-0.25</v>
      </c>
    </row>
    <row r="2928" spans="6:8">
      <c r="F2928" s="68" t="s">
        <v>128</v>
      </c>
      <c r="G2928" s="67" t="s">
        <v>282</v>
      </c>
      <c r="H2928" s="69">
        <v>-0.5</v>
      </c>
    </row>
    <row r="2929" spans="6:8">
      <c r="F2929" s="68" t="s">
        <v>253</v>
      </c>
      <c r="G2929" s="67" t="s">
        <v>282</v>
      </c>
      <c r="H2929" s="69">
        <v>0.22</v>
      </c>
    </row>
    <row r="2930" spans="6:8">
      <c r="F2930" s="68" t="s">
        <v>127</v>
      </c>
      <c r="G2930" s="67" t="s">
        <v>282</v>
      </c>
      <c r="H2930" s="69">
        <v>-0.15</v>
      </c>
    </row>
    <row r="2931" spans="6:8">
      <c r="F2931" s="68" t="s">
        <v>126</v>
      </c>
      <c r="G2931" s="67" t="s">
        <v>282</v>
      </c>
      <c r="H2931" s="69">
        <v>-0.5</v>
      </c>
    </row>
    <row r="2932" spans="6:8">
      <c r="F2932" s="68" t="s">
        <v>125</v>
      </c>
      <c r="G2932" s="67" t="s">
        <v>282</v>
      </c>
      <c r="H2932" s="69">
        <v>-1</v>
      </c>
    </row>
    <row r="2933" spans="6:8">
      <c r="F2933" s="68" t="s">
        <v>252</v>
      </c>
      <c r="G2933" s="67" t="s">
        <v>282</v>
      </c>
      <c r="H2933" s="69">
        <v>0.18</v>
      </c>
    </row>
    <row r="2934" spans="6:8">
      <c r="F2934" s="68" t="s">
        <v>124</v>
      </c>
      <c r="G2934" s="67" t="s">
        <v>282</v>
      </c>
      <c r="H2934" s="69">
        <v>-0.6</v>
      </c>
    </row>
    <row r="2935" spans="6:8">
      <c r="F2935" s="68" t="s">
        <v>123</v>
      </c>
      <c r="G2935" s="67" t="s">
        <v>282</v>
      </c>
      <c r="H2935" s="69">
        <v>-0.55000000000000004</v>
      </c>
    </row>
    <row r="2936" spans="6:8">
      <c r="F2936" s="68" t="s">
        <v>122</v>
      </c>
      <c r="G2936" s="67" t="s">
        <v>282</v>
      </c>
      <c r="H2936" s="69">
        <v>-0.9</v>
      </c>
    </row>
    <row r="2937" spans="6:8">
      <c r="F2937" s="68" t="s">
        <v>251</v>
      </c>
      <c r="G2937" s="67" t="s">
        <v>282</v>
      </c>
      <c r="H2937" s="69">
        <v>0.15</v>
      </c>
    </row>
    <row r="2938" spans="6:8">
      <c r="F2938" s="68" t="s">
        <v>121</v>
      </c>
      <c r="G2938" s="67" t="s">
        <v>282</v>
      </c>
      <c r="H2938" s="69">
        <v>-0.7</v>
      </c>
    </row>
    <row r="2939" spans="6:8">
      <c r="F2939" s="68" t="s">
        <v>120</v>
      </c>
      <c r="G2939" s="67" t="s">
        <v>282</v>
      </c>
      <c r="H2939" s="69">
        <v>-0.5</v>
      </c>
    </row>
    <row r="2940" spans="6:8">
      <c r="F2940" s="68" t="s">
        <v>119</v>
      </c>
      <c r="G2940" s="67" t="s">
        <v>282</v>
      </c>
      <c r="H2940" s="69">
        <v>-0.85</v>
      </c>
    </row>
    <row r="2941" spans="6:8">
      <c r="F2941" s="68" t="s">
        <v>119</v>
      </c>
      <c r="G2941" s="67" t="s">
        <v>283</v>
      </c>
      <c r="H2941" s="69">
        <v>-0.85</v>
      </c>
    </row>
    <row r="2942" spans="6:8">
      <c r="F2942" s="68" t="s">
        <v>120</v>
      </c>
      <c r="G2942" s="67" t="s">
        <v>283</v>
      </c>
      <c r="H2942" s="69">
        <v>-0.5</v>
      </c>
    </row>
    <row r="2943" spans="6:8">
      <c r="F2943" s="68" t="s">
        <v>121</v>
      </c>
      <c r="G2943" s="67" t="s">
        <v>283</v>
      </c>
      <c r="H2943" s="69">
        <v>-0.7</v>
      </c>
    </row>
    <row r="2944" spans="6:8">
      <c r="F2944" s="68" t="s">
        <v>251</v>
      </c>
      <c r="G2944" s="67" t="s">
        <v>283</v>
      </c>
      <c r="H2944" s="69">
        <v>0.15</v>
      </c>
    </row>
    <row r="2945" spans="6:8">
      <c r="F2945" s="68" t="s">
        <v>122</v>
      </c>
      <c r="G2945" s="67" t="s">
        <v>283</v>
      </c>
      <c r="H2945" s="69">
        <v>-0.9</v>
      </c>
    </row>
    <row r="2946" spans="6:8">
      <c r="F2946" s="68" t="s">
        <v>123</v>
      </c>
      <c r="G2946" s="67" t="s">
        <v>283</v>
      </c>
      <c r="H2946" s="69">
        <v>-0.55000000000000004</v>
      </c>
    </row>
    <row r="2947" spans="6:8">
      <c r="F2947" s="68" t="s">
        <v>124</v>
      </c>
      <c r="G2947" s="67" t="s">
        <v>283</v>
      </c>
      <c r="H2947" s="69">
        <v>-0.6</v>
      </c>
    </row>
    <row r="2948" spans="6:8">
      <c r="F2948" s="68" t="s">
        <v>252</v>
      </c>
      <c r="G2948" s="67" t="s">
        <v>283</v>
      </c>
      <c r="H2948" s="69">
        <v>0.18</v>
      </c>
    </row>
    <row r="2949" spans="6:8">
      <c r="F2949" s="68" t="s">
        <v>125</v>
      </c>
      <c r="G2949" s="67" t="s">
        <v>283</v>
      </c>
      <c r="H2949" s="69">
        <v>-1</v>
      </c>
    </row>
    <row r="2950" spans="6:8">
      <c r="F2950" s="68" t="s">
        <v>126</v>
      </c>
      <c r="G2950" s="67" t="s">
        <v>283</v>
      </c>
      <c r="H2950" s="69">
        <v>-0.5</v>
      </c>
    </row>
    <row r="2951" spans="6:8">
      <c r="F2951" s="68" t="s">
        <v>127</v>
      </c>
      <c r="G2951" s="67" t="s">
        <v>283</v>
      </c>
      <c r="H2951" s="69">
        <v>-0.15</v>
      </c>
    </row>
    <row r="2952" spans="6:8">
      <c r="F2952" s="68" t="s">
        <v>253</v>
      </c>
      <c r="G2952" s="67" t="s">
        <v>283</v>
      </c>
      <c r="H2952" s="69">
        <v>0.22</v>
      </c>
    </row>
    <row r="2953" spans="6:8">
      <c r="F2953" s="68" t="s">
        <v>128</v>
      </c>
      <c r="G2953" s="67" t="s">
        <v>283</v>
      </c>
      <c r="H2953" s="69">
        <v>-0.5</v>
      </c>
    </row>
    <row r="2954" spans="6:8">
      <c r="F2954" s="68" t="s">
        <v>129</v>
      </c>
      <c r="G2954" s="67" t="s">
        <v>283</v>
      </c>
      <c r="H2954" s="69">
        <v>-0.25</v>
      </c>
    </row>
    <row r="2955" spans="6:8">
      <c r="F2955" s="68" t="s">
        <v>254</v>
      </c>
      <c r="G2955" s="67" t="s">
        <v>283</v>
      </c>
      <c r="H2955" s="69">
        <v>0.31</v>
      </c>
    </row>
    <row r="2956" spans="6:8">
      <c r="F2956" s="68" t="s">
        <v>130</v>
      </c>
      <c r="G2956" s="67" t="s">
        <v>283</v>
      </c>
      <c r="H2956" s="69">
        <v>-0.8</v>
      </c>
    </row>
    <row r="2957" spans="6:8">
      <c r="F2957" s="68" t="s">
        <v>131</v>
      </c>
      <c r="G2957" s="67" t="s">
        <v>283</v>
      </c>
      <c r="H2957" s="69">
        <v>-0.35</v>
      </c>
    </row>
    <row r="2958" spans="6:8">
      <c r="F2958" s="68" t="s">
        <v>255</v>
      </c>
      <c r="G2958" s="67" t="s">
        <v>283</v>
      </c>
      <c r="H2958" s="69">
        <v>0.44</v>
      </c>
    </row>
    <row r="2959" spans="6:8">
      <c r="F2959" s="68" t="s">
        <v>132</v>
      </c>
      <c r="G2959" s="67" t="s">
        <v>283</v>
      </c>
      <c r="H2959" s="69">
        <v>-0.8</v>
      </c>
    </row>
    <row r="2960" spans="6:8">
      <c r="F2960" s="68" t="s">
        <v>133</v>
      </c>
      <c r="G2960" s="67" t="s">
        <v>283</v>
      </c>
      <c r="H2960" s="69">
        <v>-0.35</v>
      </c>
    </row>
    <row r="2961" spans="6:8">
      <c r="F2961" s="68" t="s">
        <v>256</v>
      </c>
      <c r="G2961" s="67" t="s">
        <v>283</v>
      </c>
      <c r="H2961" s="69">
        <v>0.62</v>
      </c>
    </row>
    <row r="2962" spans="6:8">
      <c r="F2962" s="68" t="s">
        <v>134</v>
      </c>
      <c r="G2962" s="67" t="s">
        <v>283</v>
      </c>
      <c r="H2962" s="69">
        <v>-0.85</v>
      </c>
    </row>
    <row r="2963" spans="6:8">
      <c r="F2963" s="68" t="s">
        <v>135</v>
      </c>
      <c r="G2963" s="67" t="s">
        <v>283</v>
      </c>
      <c r="H2963" s="69">
        <v>-0.4</v>
      </c>
    </row>
    <row r="2964" spans="6:8">
      <c r="F2964" s="68" t="s">
        <v>257</v>
      </c>
      <c r="G2964" s="67" t="s">
        <v>283</v>
      </c>
      <c r="H2964" s="69">
        <v>0.8</v>
      </c>
    </row>
    <row r="2965" spans="6:8">
      <c r="F2965" s="68" t="s">
        <v>258</v>
      </c>
      <c r="G2965" s="67" t="s">
        <v>283</v>
      </c>
      <c r="H2965" s="69">
        <v>0.1</v>
      </c>
    </row>
    <row r="2966" spans="6:8">
      <c r="F2966" s="68" t="s">
        <v>136</v>
      </c>
      <c r="G2966" s="67" t="s">
        <v>283</v>
      </c>
      <c r="H2966" s="69">
        <v>-0.85</v>
      </c>
    </row>
    <row r="2967" spans="6:8">
      <c r="F2967" s="68" t="s">
        <v>137</v>
      </c>
      <c r="G2967" s="67" t="s">
        <v>283</v>
      </c>
      <c r="H2967" s="69">
        <v>-0.5</v>
      </c>
    </row>
    <row r="2968" spans="6:8">
      <c r="F2968" s="68" t="s">
        <v>138</v>
      </c>
      <c r="G2968" s="67" t="s">
        <v>283</v>
      </c>
      <c r="H2968" s="69">
        <v>-0.7</v>
      </c>
    </row>
    <row r="2969" spans="6:8">
      <c r="F2969" s="68" t="s">
        <v>259</v>
      </c>
      <c r="G2969" s="67" t="s">
        <v>283</v>
      </c>
      <c r="H2969" s="69">
        <v>0.14000000000000001</v>
      </c>
    </row>
    <row r="2970" spans="6:8">
      <c r="F2970" s="68" t="s">
        <v>259</v>
      </c>
      <c r="G2970" s="67" t="s">
        <v>284</v>
      </c>
      <c r="H2970" s="69">
        <v>0.14000000000000001</v>
      </c>
    </row>
    <row r="2971" spans="6:8">
      <c r="F2971" s="68" t="s">
        <v>138</v>
      </c>
      <c r="G2971" s="67" t="s">
        <v>284</v>
      </c>
      <c r="H2971" s="69">
        <v>-0.7</v>
      </c>
    </row>
    <row r="2972" spans="6:8">
      <c r="F2972" s="68" t="s">
        <v>137</v>
      </c>
      <c r="G2972" s="67" t="s">
        <v>284</v>
      </c>
      <c r="H2972" s="69">
        <v>-0.5</v>
      </c>
    </row>
    <row r="2973" spans="6:8">
      <c r="F2973" s="68" t="s">
        <v>136</v>
      </c>
      <c r="G2973" s="67" t="s">
        <v>284</v>
      </c>
      <c r="H2973" s="69">
        <v>-0.85</v>
      </c>
    </row>
    <row r="2974" spans="6:8">
      <c r="F2974" s="68" t="s">
        <v>258</v>
      </c>
      <c r="G2974" s="67" t="s">
        <v>284</v>
      </c>
      <c r="H2974" s="69">
        <v>0.1</v>
      </c>
    </row>
    <row r="2975" spans="6:8">
      <c r="F2975" s="68" t="s">
        <v>257</v>
      </c>
      <c r="G2975" s="67" t="s">
        <v>284</v>
      </c>
      <c r="H2975" s="69">
        <v>0.81</v>
      </c>
    </row>
    <row r="2976" spans="6:8">
      <c r="F2976" s="68" t="s">
        <v>135</v>
      </c>
      <c r="G2976" s="67" t="s">
        <v>284</v>
      </c>
      <c r="H2976" s="69">
        <v>-0.4</v>
      </c>
    </row>
    <row r="2977" spans="6:8">
      <c r="F2977" s="68" t="s">
        <v>134</v>
      </c>
      <c r="G2977" s="67" t="s">
        <v>284</v>
      </c>
      <c r="H2977" s="69">
        <v>-0.85</v>
      </c>
    </row>
    <row r="2978" spans="6:8">
      <c r="F2978" s="68" t="s">
        <v>256</v>
      </c>
      <c r="G2978" s="67" t="s">
        <v>284</v>
      </c>
      <c r="H2978" s="69">
        <v>0.63</v>
      </c>
    </row>
    <row r="2979" spans="6:8">
      <c r="F2979" s="68" t="s">
        <v>133</v>
      </c>
      <c r="G2979" s="67" t="s">
        <v>284</v>
      </c>
      <c r="H2979" s="69">
        <v>-0.35</v>
      </c>
    </row>
    <row r="2980" spans="6:8">
      <c r="F2980" s="68" t="s">
        <v>132</v>
      </c>
      <c r="G2980" s="67" t="s">
        <v>284</v>
      </c>
      <c r="H2980" s="69">
        <v>-0.8</v>
      </c>
    </row>
    <row r="2981" spans="6:8">
      <c r="F2981" s="68" t="s">
        <v>255</v>
      </c>
      <c r="G2981" s="67" t="s">
        <v>284</v>
      </c>
      <c r="H2981" s="69">
        <v>0.45</v>
      </c>
    </row>
    <row r="2982" spans="6:8">
      <c r="F2982" s="68" t="s">
        <v>131</v>
      </c>
      <c r="G2982" s="67" t="s">
        <v>284</v>
      </c>
      <c r="H2982" s="69">
        <v>-0.35</v>
      </c>
    </row>
    <row r="2983" spans="6:8">
      <c r="F2983" s="68" t="s">
        <v>130</v>
      </c>
      <c r="G2983" s="67" t="s">
        <v>284</v>
      </c>
      <c r="H2983" s="69">
        <v>-0.8</v>
      </c>
    </row>
    <row r="2984" spans="6:8">
      <c r="F2984" s="68" t="s">
        <v>254</v>
      </c>
      <c r="G2984" s="67" t="s">
        <v>284</v>
      </c>
      <c r="H2984" s="69">
        <v>0.32</v>
      </c>
    </row>
    <row r="2985" spans="6:8">
      <c r="F2985" s="68" t="s">
        <v>129</v>
      </c>
      <c r="G2985" s="67" t="s">
        <v>284</v>
      </c>
      <c r="H2985" s="69">
        <v>-0.25</v>
      </c>
    </row>
    <row r="2986" spans="6:8">
      <c r="F2986" s="68" t="s">
        <v>128</v>
      </c>
      <c r="G2986" s="67" t="s">
        <v>284</v>
      </c>
      <c r="H2986" s="69">
        <v>-0.5</v>
      </c>
    </row>
    <row r="2987" spans="6:8">
      <c r="F2987" s="68" t="s">
        <v>253</v>
      </c>
      <c r="G2987" s="67" t="s">
        <v>284</v>
      </c>
      <c r="H2987" s="69">
        <v>0.23</v>
      </c>
    </row>
    <row r="2988" spans="6:8">
      <c r="F2988" s="68" t="s">
        <v>127</v>
      </c>
      <c r="G2988" s="67" t="s">
        <v>284</v>
      </c>
      <c r="H2988" s="69">
        <v>-0.15</v>
      </c>
    </row>
    <row r="2989" spans="6:8">
      <c r="F2989" s="68" t="s">
        <v>126</v>
      </c>
      <c r="G2989" s="67" t="s">
        <v>284</v>
      </c>
      <c r="H2989" s="69">
        <v>-0.5</v>
      </c>
    </row>
    <row r="2990" spans="6:8">
      <c r="F2990" s="68" t="s">
        <v>125</v>
      </c>
      <c r="G2990" s="67" t="s">
        <v>284</v>
      </c>
      <c r="H2990" s="69">
        <v>-1</v>
      </c>
    </row>
    <row r="2991" spans="6:8">
      <c r="F2991" s="68" t="s">
        <v>252</v>
      </c>
      <c r="G2991" s="67" t="s">
        <v>284</v>
      </c>
      <c r="H2991" s="69">
        <v>0.18</v>
      </c>
    </row>
    <row r="2992" spans="6:8">
      <c r="F2992" s="68" t="s">
        <v>124</v>
      </c>
      <c r="G2992" s="67" t="s">
        <v>284</v>
      </c>
      <c r="H2992" s="69">
        <v>-0.6</v>
      </c>
    </row>
    <row r="2993" spans="6:8">
      <c r="F2993" s="68" t="s">
        <v>123</v>
      </c>
      <c r="G2993" s="67" t="s">
        <v>284</v>
      </c>
      <c r="H2993" s="69">
        <v>-0.55000000000000004</v>
      </c>
    </row>
    <row r="2994" spans="6:8">
      <c r="F2994" s="68" t="s">
        <v>122</v>
      </c>
      <c r="G2994" s="67" t="s">
        <v>284</v>
      </c>
      <c r="H2994" s="69">
        <v>-0.9</v>
      </c>
    </row>
    <row r="2995" spans="6:8">
      <c r="F2995" s="68" t="s">
        <v>251</v>
      </c>
      <c r="G2995" s="67" t="s">
        <v>284</v>
      </c>
      <c r="H2995" s="69">
        <v>0.15</v>
      </c>
    </row>
    <row r="2996" spans="6:8">
      <c r="F2996" s="68" t="s">
        <v>121</v>
      </c>
      <c r="G2996" s="67" t="s">
        <v>284</v>
      </c>
      <c r="H2996" s="69">
        <v>-0.7</v>
      </c>
    </row>
    <row r="2997" spans="6:8">
      <c r="F2997" s="68" t="s">
        <v>120</v>
      </c>
      <c r="G2997" s="67" t="s">
        <v>284</v>
      </c>
      <c r="H2997" s="69">
        <v>-0.5</v>
      </c>
    </row>
    <row r="2998" spans="6:8">
      <c r="F2998" s="68" t="s">
        <v>119</v>
      </c>
      <c r="G2998" s="67" t="s">
        <v>284</v>
      </c>
      <c r="H2998" s="69">
        <v>-0.85</v>
      </c>
    </row>
    <row r="2999" spans="6:8">
      <c r="F2999" s="68" t="s">
        <v>119</v>
      </c>
      <c r="G2999" s="67" t="s">
        <v>285</v>
      </c>
      <c r="H2999" s="69">
        <v>-0.8</v>
      </c>
    </row>
    <row r="3000" spans="6:8">
      <c r="F3000" s="68" t="s">
        <v>120</v>
      </c>
      <c r="G3000" s="67" t="s">
        <v>285</v>
      </c>
      <c r="H3000" s="69">
        <v>-0.5</v>
      </c>
    </row>
    <row r="3001" spans="6:8">
      <c r="F3001" s="68" t="s">
        <v>121</v>
      </c>
      <c r="G3001" s="67" t="s">
        <v>285</v>
      </c>
      <c r="H3001" s="69">
        <v>-0.7</v>
      </c>
    </row>
    <row r="3002" spans="6:8">
      <c r="F3002" s="68" t="s">
        <v>251</v>
      </c>
      <c r="G3002" s="67" t="s">
        <v>285</v>
      </c>
      <c r="H3002" s="69">
        <v>0.15</v>
      </c>
    </row>
    <row r="3003" spans="6:8">
      <c r="F3003" s="68" t="s">
        <v>122</v>
      </c>
      <c r="G3003" s="67" t="s">
        <v>285</v>
      </c>
      <c r="H3003" s="69">
        <v>-0.85</v>
      </c>
    </row>
    <row r="3004" spans="6:8">
      <c r="F3004" s="68" t="s">
        <v>123</v>
      </c>
      <c r="G3004" s="67" t="s">
        <v>285</v>
      </c>
      <c r="H3004" s="69">
        <v>-0.55000000000000004</v>
      </c>
    </row>
    <row r="3005" spans="6:8">
      <c r="F3005" s="68" t="s">
        <v>124</v>
      </c>
      <c r="G3005" s="67" t="s">
        <v>285</v>
      </c>
      <c r="H3005" s="69">
        <v>-0.65</v>
      </c>
    </row>
    <row r="3006" spans="6:8">
      <c r="F3006" s="68" t="s">
        <v>252</v>
      </c>
      <c r="G3006" s="67" t="s">
        <v>285</v>
      </c>
      <c r="H3006" s="69">
        <v>0.18</v>
      </c>
    </row>
    <row r="3007" spans="6:8">
      <c r="F3007" s="68" t="s">
        <v>125</v>
      </c>
      <c r="G3007" s="67" t="s">
        <v>285</v>
      </c>
      <c r="H3007" s="69">
        <v>-0.95</v>
      </c>
    </row>
    <row r="3008" spans="6:8">
      <c r="F3008" s="68" t="s">
        <v>126</v>
      </c>
      <c r="G3008" s="67" t="s">
        <v>285</v>
      </c>
      <c r="H3008" s="69">
        <v>-0.5</v>
      </c>
    </row>
    <row r="3009" spans="6:8">
      <c r="F3009" s="68" t="s">
        <v>127</v>
      </c>
      <c r="G3009" s="67" t="s">
        <v>285</v>
      </c>
      <c r="H3009" s="69">
        <v>-0.15</v>
      </c>
    </row>
    <row r="3010" spans="6:8">
      <c r="F3010" s="68" t="s">
        <v>253</v>
      </c>
      <c r="G3010" s="67" t="s">
        <v>285</v>
      </c>
      <c r="H3010" s="69">
        <v>0.24</v>
      </c>
    </row>
    <row r="3011" spans="6:8">
      <c r="F3011" s="68" t="s">
        <v>128</v>
      </c>
      <c r="G3011" s="67" t="s">
        <v>285</v>
      </c>
      <c r="H3011" s="69">
        <v>-0.5</v>
      </c>
    </row>
    <row r="3012" spans="6:8">
      <c r="F3012" s="68" t="s">
        <v>129</v>
      </c>
      <c r="G3012" s="67" t="s">
        <v>285</v>
      </c>
      <c r="H3012" s="69">
        <v>-0.25</v>
      </c>
    </row>
    <row r="3013" spans="6:8">
      <c r="F3013" s="68" t="s">
        <v>254</v>
      </c>
      <c r="G3013" s="67" t="s">
        <v>285</v>
      </c>
      <c r="H3013" s="69">
        <v>0.32</v>
      </c>
    </row>
    <row r="3014" spans="6:8">
      <c r="F3014" s="68" t="s">
        <v>130</v>
      </c>
      <c r="G3014" s="67" t="s">
        <v>285</v>
      </c>
      <c r="H3014" s="69">
        <v>-0.75</v>
      </c>
    </row>
    <row r="3015" spans="6:8">
      <c r="F3015" s="68" t="s">
        <v>131</v>
      </c>
      <c r="G3015" s="67" t="s">
        <v>285</v>
      </c>
      <c r="H3015" s="69">
        <v>-0.35</v>
      </c>
    </row>
    <row r="3016" spans="6:8">
      <c r="F3016" s="68" t="s">
        <v>255</v>
      </c>
      <c r="G3016" s="67" t="s">
        <v>285</v>
      </c>
      <c r="H3016" s="69">
        <v>0.46</v>
      </c>
    </row>
    <row r="3017" spans="6:8">
      <c r="F3017" s="68" t="s">
        <v>132</v>
      </c>
      <c r="G3017" s="67" t="s">
        <v>285</v>
      </c>
      <c r="H3017" s="69">
        <v>-0.75</v>
      </c>
    </row>
    <row r="3018" spans="6:8">
      <c r="F3018" s="68" t="s">
        <v>133</v>
      </c>
      <c r="G3018" s="67" t="s">
        <v>285</v>
      </c>
      <c r="H3018" s="69">
        <v>-0.35</v>
      </c>
    </row>
    <row r="3019" spans="6:8">
      <c r="F3019" s="68" t="s">
        <v>256</v>
      </c>
      <c r="G3019" s="67" t="s">
        <v>285</v>
      </c>
      <c r="H3019" s="69">
        <v>0.65</v>
      </c>
    </row>
    <row r="3020" spans="6:8">
      <c r="F3020" s="68" t="s">
        <v>134</v>
      </c>
      <c r="G3020" s="67" t="s">
        <v>285</v>
      </c>
      <c r="H3020" s="69">
        <v>-0.8</v>
      </c>
    </row>
    <row r="3021" spans="6:8">
      <c r="F3021" s="68" t="s">
        <v>135</v>
      </c>
      <c r="G3021" s="67" t="s">
        <v>285</v>
      </c>
      <c r="H3021" s="69">
        <v>-0.4</v>
      </c>
    </row>
    <row r="3022" spans="6:8">
      <c r="F3022" s="68" t="s">
        <v>257</v>
      </c>
      <c r="G3022" s="67" t="s">
        <v>285</v>
      </c>
      <c r="H3022" s="69">
        <v>0.83</v>
      </c>
    </row>
    <row r="3023" spans="6:8">
      <c r="F3023" s="68" t="s">
        <v>258</v>
      </c>
      <c r="G3023" s="67" t="s">
        <v>285</v>
      </c>
      <c r="H3023" s="69">
        <v>0.1</v>
      </c>
    </row>
    <row r="3024" spans="6:8">
      <c r="F3024" s="68" t="s">
        <v>136</v>
      </c>
      <c r="G3024" s="67" t="s">
        <v>285</v>
      </c>
      <c r="H3024" s="69">
        <v>-0.8</v>
      </c>
    </row>
    <row r="3025" spans="6:8">
      <c r="F3025" s="68" t="s">
        <v>137</v>
      </c>
      <c r="G3025" s="67" t="s">
        <v>285</v>
      </c>
      <c r="H3025" s="69">
        <v>-0.5</v>
      </c>
    </row>
    <row r="3026" spans="6:8">
      <c r="F3026" s="68" t="s">
        <v>138</v>
      </c>
      <c r="G3026" s="67" t="s">
        <v>285</v>
      </c>
      <c r="H3026" s="69">
        <v>-0.7</v>
      </c>
    </row>
    <row r="3027" spans="6:8">
      <c r="F3027" s="68" t="s">
        <v>259</v>
      </c>
      <c r="G3027" s="67" t="s">
        <v>285</v>
      </c>
      <c r="H3027" s="69">
        <v>0.14000000000000001</v>
      </c>
    </row>
    <row r="3028" spans="6:8">
      <c r="F3028" s="68" t="s">
        <v>259</v>
      </c>
      <c r="G3028" s="67" t="s">
        <v>286</v>
      </c>
      <c r="H3028" s="69">
        <v>0.14000000000000001</v>
      </c>
    </row>
    <row r="3029" spans="6:8">
      <c r="F3029" s="68" t="s">
        <v>138</v>
      </c>
      <c r="G3029" s="67" t="s">
        <v>286</v>
      </c>
      <c r="H3029" s="69">
        <v>-0.7</v>
      </c>
    </row>
    <row r="3030" spans="6:8">
      <c r="F3030" s="68" t="s">
        <v>137</v>
      </c>
      <c r="G3030" s="67" t="s">
        <v>286</v>
      </c>
      <c r="H3030" s="69">
        <v>-0.5</v>
      </c>
    </row>
    <row r="3031" spans="6:8">
      <c r="F3031" s="68" t="s">
        <v>136</v>
      </c>
      <c r="G3031" s="67" t="s">
        <v>286</v>
      </c>
      <c r="H3031" s="69">
        <v>-0.8</v>
      </c>
    </row>
    <row r="3032" spans="6:8">
      <c r="F3032" s="68" t="s">
        <v>258</v>
      </c>
      <c r="G3032" s="67" t="s">
        <v>286</v>
      </c>
      <c r="H3032" s="69">
        <v>0.1</v>
      </c>
    </row>
    <row r="3033" spans="6:8">
      <c r="F3033" s="68" t="s">
        <v>257</v>
      </c>
      <c r="G3033" s="67" t="s">
        <v>286</v>
      </c>
      <c r="H3033" s="69">
        <v>0.83</v>
      </c>
    </row>
    <row r="3034" spans="6:8">
      <c r="F3034" s="68" t="s">
        <v>135</v>
      </c>
      <c r="G3034" s="67" t="s">
        <v>286</v>
      </c>
      <c r="H3034" s="69">
        <v>-0.4</v>
      </c>
    </row>
    <row r="3035" spans="6:8">
      <c r="F3035" s="68" t="s">
        <v>134</v>
      </c>
      <c r="G3035" s="67" t="s">
        <v>286</v>
      </c>
      <c r="H3035" s="69">
        <v>-0.8</v>
      </c>
    </row>
    <row r="3036" spans="6:8">
      <c r="F3036" s="68" t="s">
        <v>256</v>
      </c>
      <c r="G3036" s="67" t="s">
        <v>286</v>
      </c>
      <c r="H3036" s="69">
        <v>0.65</v>
      </c>
    </row>
    <row r="3037" spans="6:8">
      <c r="F3037" s="68" t="s">
        <v>133</v>
      </c>
      <c r="G3037" s="67" t="s">
        <v>286</v>
      </c>
      <c r="H3037" s="69">
        <v>-0.35</v>
      </c>
    </row>
    <row r="3038" spans="6:8">
      <c r="F3038" s="68" t="s">
        <v>132</v>
      </c>
      <c r="G3038" s="67" t="s">
        <v>286</v>
      </c>
      <c r="H3038" s="69">
        <v>-0.75</v>
      </c>
    </row>
    <row r="3039" spans="6:8">
      <c r="F3039" s="68" t="s">
        <v>255</v>
      </c>
      <c r="G3039" s="67" t="s">
        <v>286</v>
      </c>
      <c r="H3039" s="69">
        <v>0.46</v>
      </c>
    </row>
    <row r="3040" spans="6:8">
      <c r="F3040" s="68" t="s">
        <v>131</v>
      </c>
      <c r="G3040" s="67" t="s">
        <v>286</v>
      </c>
      <c r="H3040" s="69">
        <v>-0.35</v>
      </c>
    </row>
    <row r="3041" spans="6:8">
      <c r="F3041" s="68" t="s">
        <v>130</v>
      </c>
      <c r="G3041" s="67" t="s">
        <v>286</v>
      </c>
      <c r="H3041" s="69">
        <v>-0.75</v>
      </c>
    </row>
    <row r="3042" spans="6:8">
      <c r="F3042" s="68" t="s">
        <v>254</v>
      </c>
      <c r="G3042" s="67" t="s">
        <v>286</v>
      </c>
      <c r="H3042" s="69">
        <v>0.32</v>
      </c>
    </row>
    <row r="3043" spans="6:8">
      <c r="F3043" s="68" t="s">
        <v>129</v>
      </c>
      <c r="G3043" s="67" t="s">
        <v>286</v>
      </c>
      <c r="H3043" s="69">
        <v>-0.25</v>
      </c>
    </row>
    <row r="3044" spans="6:8">
      <c r="F3044" s="68" t="s">
        <v>128</v>
      </c>
      <c r="G3044" s="67" t="s">
        <v>286</v>
      </c>
      <c r="H3044" s="69">
        <v>-0.5</v>
      </c>
    </row>
    <row r="3045" spans="6:8">
      <c r="F3045" s="68" t="s">
        <v>253</v>
      </c>
      <c r="G3045" s="67" t="s">
        <v>286</v>
      </c>
      <c r="H3045" s="69">
        <v>0.24</v>
      </c>
    </row>
    <row r="3046" spans="6:8">
      <c r="F3046" s="68" t="s">
        <v>127</v>
      </c>
      <c r="G3046" s="67" t="s">
        <v>286</v>
      </c>
      <c r="H3046" s="69">
        <v>-0.15</v>
      </c>
    </row>
    <row r="3047" spans="6:8">
      <c r="F3047" s="68" t="s">
        <v>126</v>
      </c>
      <c r="G3047" s="67" t="s">
        <v>286</v>
      </c>
      <c r="H3047" s="69">
        <v>-0.5</v>
      </c>
    </row>
    <row r="3048" spans="6:8">
      <c r="F3048" s="68" t="s">
        <v>125</v>
      </c>
      <c r="G3048" s="67" t="s">
        <v>286</v>
      </c>
      <c r="H3048" s="69">
        <v>-0.95</v>
      </c>
    </row>
    <row r="3049" spans="6:8">
      <c r="F3049" s="68" t="s">
        <v>252</v>
      </c>
      <c r="G3049" s="67" t="s">
        <v>286</v>
      </c>
      <c r="H3049" s="69">
        <v>0.18</v>
      </c>
    </row>
    <row r="3050" spans="6:8">
      <c r="F3050" s="68" t="s">
        <v>124</v>
      </c>
      <c r="G3050" s="67" t="s">
        <v>286</v>
      </c>
      <c r="H3050" s="69">
        <v>-0.65</v>
      </c>
    </row>
    <row r="3051" spans="6:8">
      <c r="F3051" s="68" t="s">
        <v>123</v>
      </c>
      <c r="G3051" s="67" t="s">
        <v>286</v>
      </c>
      <c r="H3051" s="69">
        <v>-0.55000000000000004</v>
      </c>
    </row>
    <row r="3052" spans="6:8">
      <c r="F3052" s="68" t="s">
        <v>122</v>
      </c>
      <c r="G3052" s="67" t="s">
        <v>286</v>
      </c>
      <c r="H3052" s="69">
        <v>-0.85</v>
      </c>
    </row>
    <row r="3053" spans="6:8">
      <c r="F3053" s="68" t="s">
        <v>251</v>
      </c>
      <c r="G3053" s="67" t="s">
        <v>286</v>
      </c>
      <c r="H3053" s="69">
        <v>0.15</v>
      </c>
    </row>
    <row r="3054" spans="6:8">
      <c r="F3054" s="68" t="s">
        <v>121</v>
      </c>
      <c r="G3054" s="67" t="s">
        <v>286</v>
      </c>
      <c r="H3054" s="69">
        <v>-0.7</v>
      </c>
    </row>
    <row r="3055" spans="6:8">
      <c r="F3055" s="68" t="s">
        <v>120</v>
      </c>
      <c r="G3055" s="67" t="s">
        <v>286</v>
      </c>
      <c r="H3055" s="69">
        <v>-0.5</v>
      </c>
    </row>
    <row r="3056" spans="6:8">
      <c r="F3056" s="68" t="s">
        <v>119</v>
      </c>
      <c r="G3056" s="67" t="s">
        <v>286</v>
      </c>
      <c r="H3056" s="69">
        <v>-0.8</v>
      </c>
    </row>
    <row r="3057" spans="6:8">
      <c r="F3057" s="68" t="s">
        <v>119</v>
      </c>
      <c r="G3057" s="67" t="s">
        <v>287</v>
      </c>
      <c r="H3057" s="69">
        <v>-0.8</v>
      </c>
    </row>
    <row r="3058" spans="6:8">
      <c r="F3058" s="68" t="s">
        <v>120</v>
      </c>
      <c r="G3058" s="67" t="s">
        <v>287</v>
      </c>
      <c r="H3058" s="69">
        <v>-0.5</v>
      </c>
    </row>
    <row r="3059" spans="6:8">
      <c r="F3059" s="68" t="s">
        <v>121</v>
      </c>
      <c r="G3059" s="67" t="s">
        <v>287</v>
      </c>
      <c r="H3059" s="69">
        <v>-0.7</v>
      </c>
    </row>
    <row r="3060" spans="6:8">
      <c r="F3060" s="68" t="s">
        <v>251</v>
      </c>
      <c r="G3060" s="67" t="s">
        <v>287</v>
      </c>
      <c r="H3060" s="69">
        <v>0.15</v>
      </c>
    </row>
    <row r="3061" spans="6:8">
      <c r="F3061" s="68" t="s">
        <v>122</v>
      </c>
      <c r="G3061" s="67" t="s">
        <v>287</v>
      </c>
      <c r="H3061" s="69">
        <v>-0.85</v>
      </c>
    </row>
    <row r="3062" spans="6:8">
      <c r="F3062" s="68" t="s">
        <v>123</v>
      </c>
      <c r="G3062" s="67" t="s">
        <v>287</v>
      </c>
      <c r="H3062" s="69">
        <v>-0.55000000000000004</v>
      </c>
    </row>
    <row r="3063" spans="6:8">
      <c r="F3063" s="68" t="s">
        <v>124</v>
      </c>
      <c r="G3063" s="67" t="s">
        <v>287</v>
      </c>
      <c r="H3063" s="69">
        <v>-0.65</v>
      </c>
    </row>
    <row r="3064" spans="6:8">
      <c r="F3064" s="68" t="s">
        <v>252</v>
      </c>
      <c r="G3064" s="67" t="s">
        <v>287</v>
      </c>
      <c r="H3064" s="69">
        <v>0.18</v>
      </c>
    </row>
    <row r="3065" spans="6:8">
      <c r="F3065" s="68" t="s">
        <v>125</v>
      </c>
      <c r="G3065" s="67" t="s">
        <v>287</v>
      </c>
      <c r="H3065" s="69">
        <v>-0.95</v>
      </c>
    </row>
    <row r="3066" spans="6:8">
      <c r="F3066" s="68" t="s">
        <v>126</v>
      </c>
      <c r="G3066" s="67" t="s">
        <v>287</v>
      </c>
      <c r="H3066" s="69">
        <v>-0.5</v>
      </c>
    </row>
    <row r="3067" spans="6:8">
      <c r="F3067" s="68" t="s">
        <v>127</v>
      </c>
      <c r="G3067" s="67" t="s">
        <v>287</v>
      </c>
      <c r="H3067" s="69">
        <v>-0.15</v>
      </c>
    </row>
    <row r="3068" spans="6:8">
      <c r="F3068" s="68" t="s">
        <v>253</v>
      </c>
      <c r="G3068" s="67" t="s">
        <v>287</v>
      </c>
      <c r="H3068" s="69">
        <v>0.24</v>
      </c>
    </row>
    <row r="3069" spans="6:8">
      <c r="F3069" s="68" t="s">
        <v>128</v>
      </c>
      <c r="G3069" s="67" t="s">
        <v>287</v>
      </c>
      <c r="H3069" s="69">
        <v>-0.5</v>
      </c>
    </row>
    <row r="3070" spans="6:8">
      <c r="F3070" s="68" t="s">
        <v>129</v>
      </c>
      <c r="G3070" s="67" t="s">
        <v>287</v>
      </c>
      <c r="H3070" s="69">
        <v>-0.25</v>
      </c>
    </row>
    <row r="3071" spans="6:8">
      <c r="F3071" s="68" t="s">
        <v>254</v>
      </c>
      <c r="G3071" s="67" t="s">
        <v>287</v>
      </c>
      <c r="H3071" s="69">
        <v>0.32</v>
      </c>
    </row>
    <row r="3072" spans="6:8">
      <c r="F3072" s="68" t="s">
        <v>130</v>
      </c>
      <c r="G3072" s="67" t="s">
        <v>287</v>
      </c>
      <c r="H3072" s="69">
        <v>-0.75</v>
      </c>
    </row>
    <row r="3073" spans="6:8">
      <c r="F3073" s="68" t="s">
        <v>131</v>
      </c>
      <c r="G3073" s="67" t="s">
        <v>287</v>
      </c>
      <c r="H3073" s="69">
        <v>-0.35</v>
      </c>
    </row>
    <row r="3074" spans="6:8">
      <c r="F3074" s="68" t="s">
        <v>255</v>
      </c>
      <c r="G3074" s="67" t="s">
        <v>287</v>
      </c>
      <c r="H3074" s="69">
        <v>0.46</v>
      </c>
    </row>
    <row r="3075" spans="6:8">
      <c r="F3075" s="68" t="s">
        <v>132</v>
      </c>
      <c r="G3075" s="67" t="s">
        <v>287</v>
      </c>
      <c r="H3075" s="69">
        <v>-0.75</v>
      </c>
    </row>
    <row r="3076" spans="6:8">
      <c r="F3076" s="68" t="s">
        <v>133</v>
      </c>
      <c r="G3076" s="67" t="s">
        <v>287</v>
      </c>
      <c r="H3076" s="69">
        <v>-0.35</v>
      </c>
    </row>
    <row r="3077" spans="6:8">
      <c r="F3077" s="68" t="s">
        <v>256</v>
      </c>
      <c r="G3077" s="67" t="s">
        <v>287</v>
      </c>
      <c r="H3077" s="69">
        <v>0.65</v>
      </c>
    </row>
    <row r="3078" spans="6:8">
      <c r="F3078" s="68" t="s">
        <v>134</v>
      </c>
      <c r="G3078" s="67" t="s">
        <v>287</v>
      </c>
      <c r="H3078" s="69">
        <v>-0.8</v>
      </c>
    </row>
    <row r="3079" spans="6:8">
      <c r="F3079" s="68" t="s">
        <v>135</v>
      </c>
      <c r="G3079" s="67" t="s">
        <v>287</v>
      </c>
      <c r="H3079" s="69">
        <v>-0.4</v>
      </c>
    </row>
    <row r="3080" spans="6:8">
      <c r="F3080" s="68" t="s">
        <v>257</v>
      </c>
      <c r="G3080" s="67" t="s">
        <v>287</v>
      </c>
      <c r="H3080" s="69">
        <v>0.83</v>
      </c>
    </row>
    <row r="3081" spans="6:8">
      <c r="F3081" s="68" t="s">
        <v>258</v>
      </c>
      <c r="G3081" s="67" t="s">
        <v>287</v>
      </c>
      <c r="H3081" s="69">
        <v>0.1</v>
      </c>
    </row>
    <row r="3082" spans="6:8">
      <c r="F3082" s="68" t="s">
        <v>136</v>
      </c>
      <c r="G3082" s="67" t="s">
        <v>287</v>
      </c>
      <c r="H3082" s="69">
        <v>-0.8</v>
      </c>
    </row>
    <row r="3083" spans="6:8">
      <c r="F3083" s="68" t="s">
        <v>137</v>
      </c>
      <c r="G3083" s="67" t="s">
        <v>287</v>
      </c>
      <c r="H3083" s="69">
        <v>-0.5</v>
      </c>
    </row>
    <row r="3084" spans="6:8">
      <c r="F3084" s="68" t="s">
        <v>138</v>
      </c>
      <c r="G3084" s="67" t="s">
        <v>287</v>
      </c>
      <c r="H3084" s="69">
        <v>-0.7</v>
      </c>
    </row>
    <row r="3085" spans="6:8">
      <c r="F3085" s="68" t="s">
        <v>259</v>
      </c>
      <c r="G3085" s="67" t="s">
        <v>287</v>
      </c>
      <c r="H3085" s="69">
        <v>0.14000000000000001</v>
      </c>
    </row>
    <row r="3086" spans="6:8">
      <c r="F3086" s="68" t="s">
        <v>259</v>
      </c>
      <c r="G3086" s="67" t="s">
        <v>288</v>
      </c>
      <c r="H3086" s="69">
        <v>0.14000000000000001</v>
      </c>
    </row>
    <row r="3087" spans="6:8">
      <c r="F3087" s="68" t="s">
        <v>138</v>
      </c>
      <c r="G3087" s="67" t="s">
        <v>288</v>
      </c>
      <c r="H3087" s="69">
        <v>-0.75</v>
      </c>
    </row>
    <row r="3088" spans="6:8">
      <c r="F3088" s="68" t="s">
        <v>137</v>
      </c>
      <c r="G3088" s="67" t="s">
        <v>288</v>
      </c>
      <c r="H3088" s="69">
        <v>-0.55000000000000004</v>
      </c>
    </row>
    <row r="3089" spans="6:8">
      <c r="F3089" s="68" t="s">
        <v>136</v>
      </c>
      <c r="G3089" s="67" t="s">
        <v>288</v>
      </c>
      <c r="H3089" s="69">
        <v>-0.85</v>
      </c>
    </row>
    <row r="3090" spans="6:8">
      <c r="F3090" s="68" t="s">
        <v>258</v>
      </c>
      <c r="G3090" s="67" t="s">
        <v>288</v>
      </c>
      <c r="H3090" s="69">
        <v>0.1</v>
      </c>
    </row>
    <row r="3091" spans="6:8">
      <c r="F3091" s="68" t="s">
        <v>257</v>
      </c>
      <c r="G3091" s="67" t="s">
        <v>288</v>
      </c>
      <c r="H3091" s="69">
        <v>0.83</v>
      </c>
    </row>
    <row r="3092" spans="6:8">
      <c r="F3092" s="68" t="s">
        <v>135</v>
      </c>
      <c r="G3092" s="67" t="s">
        <v>288</v>
      </c>
      <c r="H3092" s="69">
        <v>-0.4</v>
      </c>
    </row>
    <row r="3093" spans="6:8">
      <c r="F3093" s="68" t="s">
        <v>134</v>
      </c>
      <c r="G3093" s="67" t="s">
        <v>288</v>
      </c>
      <c r="H3093" s="69">
        <v>-0.85</v>
      </c>
    </row>
    <row r="3094" spans="6:8">
      <c r="F3094" s="68" t="s">
        <v>256</v>
      </c>
      <c r="G3094" s="67" t="s">
        <v>288</v>
      </c>
      <c r="H3094" s="69">
        <v>0.65</v>
      </c>
    </row>
    <row r="3095" spans="6:8">
      <c r="F3095" s="68" t="s">
        <v>133</v>
      </c>
      <c r="G3095" s="67" t="s">
        <v>288</v>
      </c>
      <c r="H3095" s="69">
        <v>-0.35</v>
      </c>
    </row>
    <row r="3096" spans="6:8">
      <c r="F3096" s="68" t="s">
        <v>132</v>
      </c>
      <c r="G3096" s="67" t="s">
        <v>288</v>
      </c>
      <c r="H3096" s="69">
        <v>-0.8</v>
      </c>
    </row>
    <row r="3097" spans="6:8">
      <c r="F3097" s="68" t="s">
        <v>255</v>
      </c>
      <c r="G3097" s="67" t="s">
        <v>288</v>
      </c>
      <c r="H3097" s="69">
        <v>0.46</v>
      </c>
    </row>
    <row r="3098" spans="6:8">
      <c r="F3098" s="68" t="s">
        <v>131</v>
      </c>
      <c r="G3098" s="67" t="s">
        <v>288</v>
      </c>
      <c r="H3098" s="69">
        <v>-0.35</v>
      </c>
    </row>
    <row r="3099" spans="6:8">
      <c r="F3099" s="68" t="s">
        <v>130</v>
      </c>
      <c r="G3099" s="67" t="s">
        <v>288</v>
      </c>
      <c r="H3099" s="69">
        <v>-0.8</v>
      </c>
    </row>
    <row r="3100" spans="6:8">
      <c r="F3100" s="68" t="s">
        <v>254</v>
      </c>
      <c r="G3100" s="67" t="s">
        <v>288</v>
      </c>
      <c r="H3100" s="69">
        <v>0.32</v>
      </c>
    </row>
    <row r="3101" spans="6:8">
      <c r="F3101" s="68" t="s">
        <v>129</v>
      </c>
      <c r="G3101" s="67" t="s">
        <v>288</v>
      </c>
      <c r="H3101" s="69">
        <v>-0.25</v>
      </c>
    </row>
    <row r="3102" spans="6:8">
      <c r="F3102" s="68" t="s">
        <v>128</v>
      </c>
      <c r="G3102" s="67" t="s">
        <v>288</v>
      </c>
      <c r="H3102" s="69">
        <v>-0.55000000000000004</v>
      </c>
    </row>
    <row r="3103" spans="6:8">
      <c r="F3103" s="68" t="s">
        <v>253</v>
      </c>
      <c r="G3103" s="67" t="s">
        <v>288</v>
      </c>
      <c r="H3103" s="69">
        <v>0.24</v>
      </c>
    </row>
    <row r="3104" spans="6:8">
      <c r="F3104" s="68" t="s">
        <v>127</v>
      </c>
      <c r="G3104" s="67" t="s">
        <v>288</v>
      </c>
      <c r="H3104" s="69">
        <v>-0.15</v>
      </c>
    </row>
    <row r="3105" spans="6:8">
      <c r="F3105" s="68" t="s">
        <v>126</v>
      </c>
      <c r="G3105" s="67" t="s">
        <v>288</v>
      </c>
      <c r="H3105" s="69">
        <v>-0.55000000000000004</v>
      </c>
    </row>
    <row r="3106" spans="6:8">
      <c r="F3106" s="68" t="s">
        <v>125</v>
      </c>
      <c r="G3106" s="67" t="s">
        <v>288</v>
      </c>
      <c r="H3106" s="69">
        <v>-1</v>
      </c>
    </row>
    <row r="3107" spans="6:8">
      <c r="F3107" s="68" t="s">
        <v>252</v>
      </c>
      <c r="G3107" s="67" t="s">
        <v>288</v>
      </c>
      <c r="H3107" s="69">
        <v>0.19</v>
      </c>
    </row>
    <row r="3108" spans="6:8">
      <c r="F3108" s="68" t="s">
        <v>124</v>
      </c>
      <c r="G3108" s="67" t="s">
        <v>288</v>
      </c>
      <c r="H3108" s="69">
        <v>-0.7</v>
      </c>
    </row>
    <row r="3109" spans="6:8">
      <c r="F3109" s="68" t="s">
        <v>123</v>
      </c>
      <c r="G3109" s="67" t="s">
        <v>288</v>
      </c>
      <c r="H3109" s="69">
        <v>-0.6</v>
      </c>
    </row>
    <row r="3110" spans="6:8">
      <c r="F3110" s="68" t="s">
        <v>122</v>
      </c>
      <c r="G3110" s="67" t="s">
        <v>288</v>
      </c>
      <c r="H3110" s="69">
        <v>-0.9</v>
      </c>
    </row>
    <row r="3111" spans="6:8">
      <c r="F3111" s="68" t="s">
        <v>251</v>
      </c>
      <c r="G3111" s="67" t="s">
        <v>288</v>
      </c>
      <c r="H3111" s="69">
        <v>0.15</v>
      </c>
    </row>
    <row r="3112" spans="6:8">
      <c r="F3112" s="68" t="s">
        <v>121</v>
      </c>
      <c r="G3112" s="67" t="s">
        <v>288</v>
      </c>
      <c r="H3112" s="69">
        <v>-0.75</v>
      </c>
    </row>
    <row r="3113" spans="6:8">
      <c r="F3113" s="68" t="s">
        <v>120</v>
      </c>
      <c r="G3113" s="67" t="s">
        <v>288</v>
      </c>
      <c r="H3113" s="69">
        <v>-0.55000000000000004</v>
      </c>
    </row>
    <row r="3114" spans="6:8">
      <c r="F3114" s="68" t="s">
        <v>119</v>
      </c>
      <c r="G3114" s="67" t="s">
        <v>288</v>
      </c>
      <c r="H3114" s="69">
        <v>-0.85</v>
      </c>
    </row>
    <row r="3115" spans="6:8">
      <c r="F3115" s="68" t="s">
        <v>119</v>
      </c>
      <c r="G3115" s="67" t="s">
        <v>289</v>
      </c>
      <c r="H3115" s="69">
        <v>-0.85</v>
      </c>
    </row>
    <row r="3116" spans="6:8">
      <c r="F3116" s="68" t="s">
        <v>120</v>
      </c>
      <c r="G3116" s="67" t="s">
        <v>289</v>
      </c>
      <c r="H3116" s="69">
        <v>-0.55000000000000004</v>
      </c>
    </row>
    <row r="3117" spans="6:8">
      <c r="F3117" s="68" t="s">
        <v>121</v>
      </c>
      <c r="G3117" s="67" t="s">
        <v>289</v>
      </c>
      <c r="H3117" s="69">
        <v>-0.75</v>
      </c>
    </row>
    <row r="3118" spans="6:8">
      <c r="F3118" s="68" t="s">
        <v>251</v>
      </c>
      <c r="G3118" s="67" t="s">
        <v>289</v>
      </c>
      <c r="H3118" s="69">
        <v>0.15</v>
      </c>
    </row>
    <row r="3119" spans="6:8">
      <c r="F3119" s="68" t="s">
        <v>122</v>
      </c>
      <c r="G3119" s="67" t="s">
        <v>289</v>
      </c>
      <c r="H3119" s="69">
        <v>-0.9</v>
      </c>
    </row>
    <row r="3120" spans="6:8">
      <c r="F3120" s="68" t="s">
        <v>123</v>
      </c>
      <c r="G3120" s="67" t="s">
        <v>289</v>
      </c>
      <c r="H3120" s="69">
        <v>-0.6</v>
      </c>
    </row>
    <row r="3121" spans="6:8">
      <c r="F3121" s="68" t="s">
        <v>124</v>
      </c>
      <c r="G3121" s="67" t="s">
        <v>289</v>
      </c>
      <c r="H3121" s="69">
        <v>-0.7</v>
      </c>
    </row>
    <row r="3122" spans="6:8">
      <c r="F3122" s="68" t="s">
        <v>252</v>
      </c>
      <c r="G3122" s="67" t="s">
        <v>289</v>
      </c>
      <c r="H3122" s="69">
        <v>0.19</v>
      </c>
    </row>
    <row r="3123" spans="6:8">
      <c r="F3123" s="68" t="s">
        <v>125</v>
      </c>
      <c r="G3123" s="67" t="s">
        <v>289</v>
      </c>
      <c r="H3123" s="69">
        <v>-1</v>
      </c>
    </row>
    <row r="3124" spans="6:8">
      <c r="F3124" s="68" t="s">
        <v>126</v>
      </c>
      <c r="G3124" s="67" t="s">
        <v>289</v>
      </c>
      <c r="H3124" s="69">
        <v>-0.55000000000000004</v>
      </c>
    </row>
    <row r="3125" spans="6:8">
      <c r="F3125" s="68" t="s">
        <v>127</v>
      </c>
      <c r="G3125" s="67" t="s">
        <v>289</v>
      </c>
      <c r="H3125" s="69">
        <v>-0.15</v>
      </c>
    </row>
    <row r="3126" spans="6:8">
      <c r="F3126" s="68" t="s">
        <v>253</v>
      </c>
      <c r="G3126" s="67" t="s">
        <v>289</v>
      </c>
      <c r="H3126" s="69">
        <v>0.24</v>
      </c>
    </row>
    <row r="3127" spans="6:8">
      <c r="F3127" s="68" t="s">
        <v>128</v>
      </c>
      <c r="G3127" s="67" t="s">
        <v>289</v>
      </c>
      <c r="H3127" s="69">
        <v>-0.55000000000000004</v>
      </c>
    </row>
    <row r="3128" spans="6:8">
      <c r="F3128" s="68" t="s">
        <v>129</v>
      </c>
      <c r="G3128" s="67" t="s">
        <v>289</v>
      </c>
      <c r="H3128" s="69">
        <v>-0.25</v>
      </c>
    </row>
    <row r="3129" spans="6:8">
      <c r="F3129" s="68" t="s">
        <v>254</v>
      </c>
      <c r="G3129" s="67" t="s">
        <v>289</v>
      </c>
      <c r="H3129" s="69">
        <v>0.32</v>
      </c>
    </row>
    <row r="3130" spans="6:8">
      <c r="F3130" s="68" t="s">
        <v>130</v>
      </c>
      <c r="G3130" s="67" t="s">
        <v>289</v>
      </c>
      <c r="H3130" s="69">
        <v>-0.8</v>
      </c>
    </row>
    <row r="3131" spans="6:8">
      <c r="F3131" s="68" t="s">
        <v>131</v>
      </c>
      <c r="G3131" s="67" t="s">
        <v>289</v>
      </c>
      <c r="H3131" s="69">
        <v>-0.35</v>
      </c>
    </row>
    <row r="3132" spans="6:8">
      <c r="F3132" s="68" t="s">
        <v>255</v>
      </c>
      <c r="G3132" s="67" t="s">
        <v>289</v>
      </c>
      <c r="H3132" s="69">
        <v>0.46</v>
      </c>
    </row>
    <row r="3133" spans="6:8">
      <c r="F3133" s="68" t="s">
        <v>132</v>
      </c>
      <c r="G3133" s="67" t="s">
        <v>289</v>
      </c>
      <c r="H3133" s="69">
        <v>-0.8</v>
      </c>
    </row>
    <row r="3134" spans="6:8">
      <c r="F3134" s="68" t="s">
        <v>133</v>
      </c>
      <c r="G3134" s="67" t="s">
        <v>289</v>
      </c>
      <c r="H3134" s="69">
        <v>-0.35</v>
      </c>
    </row>
    <row r="3135" spans="6:8">
      <c r="F3135" s="68" t="s">
        <v>256</v>
      </c>
      <c r="G3135" s="67" t="s">
        <v>289</v>
      </c>
      <c r="H3135" s="69">
        <v>0.65</v>
      </c>
    </row>
    <row r="3136" spans="6:8">
      <c r="F3136" s="68" t="s">
        <v>134</v>
      </c>
      <c r="G3136" s="67" t="s">
        <v>289</v>
      </c>
      <c r="H3136" s="69">
        <v>-0.85</v>
      </c>
    </row>
    <row r="3137" spans="6:8">
      <c r="F3137" s="68" t="s">
        <v>135</v>
      </c>
      <c r="G3137" s="67" t="s">
        <v>289</v>
      </c>
      <c r="H3137" s="69">
        <v>-0.4</v>
      </c>
    </row>
    <row r="3138" spans="6:8">
      <c r="F3138" s="68" t="s">
        <v>257</v>
      </c>
      <c r="G3138" s="67" t="s">
        <v>289</v>
      </c>
      <c r="H3138" s="69">
        <v>0.83</v>
      </c>
    </row>
    <row r="3139" spans="6:8">
      <c r="F3139" s="68" t="s">
        <v>258</v>
      </c>
      <c r="G3139" s="67" t="s">
        <v>289</v>
      </c>
      <c r="H3139" s="69">
        <v>0.1</v>
      </c>
    </row>
    <row r="3140" spans="6:8">
      <c r="F3140" s="68" t="s">
        <v>136</v>
      </c>
      <c r="G3140" s="67" t="s">
        <v>289</v>
      </c>
      <c r="H3140" s="69">
        <v>-0.85</v>
      </c>
    </row>
    <row r="3141" spans="6:8">
      <c r="F3141" s="68" t="s">
        <v>137</v>
      </c>
      <c r="G3141" s="67" t="s">
        <v>289</v>
      </c>
      <c r="H3141" s="69">
        <v>-0.55000000000000004</v>
      </c>
    </row>
    <row r="3142" spans="6:8">
      <c r="F3142" s="68" t="s">
        <v>138</v>
      </c>
      <c r="G3142" s="67" t="s">
        <v>289</v>
      </c>
      <c r="H3142" s="69">
        <v>-0.75</v>
      </c>
    </row>
    <row r="3143" spans="6:8">
      <c r="F3143" s="68" t="s">
        <v>259</v>
      </c>
      <c r="G3143" s="67" t="s">
        <v>289</v>
      </c>
      <c r="H3143" s="69">
        <v>0.14000000000000001</v>
      </c>
    </row>
    <row r="3144" spans="6:8">
      <c r="F3144" s="68" t="s">
        <v>259</v>
      </c>
      <c r="G3144" s="67" t="s">
        <v>290</v>
      </c>
      <c r="H3144" s="69">
        <v>0.14000000000000001</v>
      </c>
    </row>
    <row r="3145" spans="6:8">
      <c r="F3145" s="68" t="s">
        <v>138</v>
      </c>
      <c r="G3145" s="67" t="s">
        <v>290</v>
      </c>
      <c r="H3145" s="69">
        <v>-0.75</v>
      </c>
    </row>
    <row r="3146" spans="6:8">
      <c r="F3146" s="68" t="s">
        <v>137</v>
      </c>
      <c r="G3146" s="67" t="s">
        <v>290</v>
      </c>
      <c r="H3146" s="69">
        <v>-0.55000000000000004</v>
      </c>
    </row>
    <row r="3147" spans="6:8">
      <c r="F3147" s="68" t="s">
        <v>136</v>
      </c>
      <c r="G3147" s="67" t="s">
        <v>290</v>
      </c>
      <c r="H3147" s="69">
        <v>-0.85</v>
      </c>
    </row>
    <row r="3148" spans="6:8">
      <c r="F3148" s="68" t="s">
        <v>258</v>
      </c>
      <c r="G3148" s="67" t="s">
        <v>290</v>
      </c>
      <c r="H3148" s="69">
        <v>0.1</v>
      </c>
    </row>
    <row r="3149" spans="6:8">
      <c r="F3149" s="68" t="s">
        <v>257</v>
      </c>
      <c r="G3149" s="67" t="s">
        <v>290</v>
      </c>
      <c r="H3149" s="69">
        <v>0.84</v>
      </c>
    </row>
    <row r="3150" spans="6:8">
      <c r="F3150" s="68" t="s">
        <v>135</v>
      </c>
      <c r="G3150" s="67" t="s">
        <v>290</v>
      </c>
      <c r="H3150" s="69">
        <v>-0.4</v>
      </c>
    </row>
    <row r="3151" spans="6:8">
      <c r="F3151" s="68" t="s">
        <v>134</v>
      </c>
      <c r="G3151" s="67" t="s">
        <v>290</v>
      </c>
      <c r="H3151" s="69">
        <v>-0.85</v>
      </c>
    </row>
    <row r="3152" spans="6:8">
      <c r="F3152" s="68" t="s">
        <v>256</v>
      </c>
      <c r="G3152" s="67" t="s">
        <v>290</v>
      </c>
      <c r="H3152" s="69">
        <v>0.66</v>
      </c>
    </row>
    <row r="3153" spans="6:8">
      <c r="F3153" s="68" t="s">
        <v>133</v>
      </c>
      <c r="G3153" s="67" t="s">
        <v>290</v>
      </c>
      <c r="H3153" s="69">
        <v>-0.35</v>
      </c>
    </row>
    <row r="3154" spans="6:8">
      <c r="F3154" s="68" t="s">
        <v>132</v>
      </c>
      <c r="G3154" s="67" t="s">
        <v>290</v>
      </c>
      <c r="H3154" s="69">
        <v>-0.8</v>
      </c>
    </row>
    <row r="3155" spans="6:8">
      <c r="F3155" s="68" t="s">
        <v>255</v>
      </c>
      <c r="G3155" s="67" t="s">
        <v>290</v>
      </c>
      <c r="H3155" s="69">
        <v>0.47</v>
      </c>
    </row>
    <row r="3156" spans="6:8">
      <c r="F3156" s="68" t="s">
        <v>131</v>
      </c>
      <c r="G3156" s="67" t="s">
        <v>290</v>
      </c>
      <c r="H3156" s="69">
        <v>-0.35</v>
      </c>
    </row>
    <row r="3157" spans="6:8">
      <c r="F3157" s="68" t="s">
        <v>130</v>
      </c>
      <c r="G3157" s="67" t="s">
        <v>290</v>
      </c>
      <c r="H3157" s="69">
        <v>-0.8</v>
      </c>
    </row>
    <row r="3158" spans="6:8">
      <c r="F3158" s="68" t="s">
        <v>254</v>
      </c>
      <c r="G3158" s="67" t="s">
        <v>290</v>
      </c>
      <c r="H3158" s="69">
        <v>0.33</v>
      </c>
    </row>
    <row r="3159" spans="6:8">
      <c r="F3159" s="68" t="s">
        <v>129</v>
      </c>
      <c r="G3159" s="67" t="s">
        <v>290</v>
      </c>
      <c r="H3159" s="69">
        <v>-0.25</v>
      </c>
    </row>
    <row r="3160" spans="6:8">
      <c r="F3160" s="68" t="s">
        <v>128</v>
      </c>
      <c r="G3160" s="67" t="s">
        <v>290</v>
      </c>
      <c r="H3160" s="69">
        <v>-0.55000000000000004</v>
      </c>
    </row>
    <row r="3161" spans="6:8">
      <c r="F3161" s="68" t="s">
        <v>253</v>
      </c>
      <c r="G3161" s="67" t="s">
        <v>290</v>
      </c>
      <c r="H3161" s="69">
        <v>0.24</v>
      </c>
    </row>
    <row r="3162" spans="6:8">
      <c r="F3162" s="68" t="s">
        <v>127</v>
      </c>
      <c r="G3162" s="67" t="s">
        <v>290</v>
      </c>
      <c r="H3162" s="69">
        <v>-0.15</v>
      </c>
    </row>
    <row r="3163" spans="6:8">
      <c r="F3163" s="68" t="s">
        <v>126</v>
      </c>
      <c r="G3163" s="67" t="s">
        <v>290</v>
      </c>
      <c r="H3163" s="69">
        <v>-0.55000000000000004</v>
      </c>
    </row>
    <row r="3164" spans="6:8">
      <c r="F3164" s="68" t="s">
        <v>125</v>
      </c>
      <c r="G3164" s="67" t="s">
        <v>290</v>
      </c>
      <c r="H3164" s="69">
        <v>-0.95</v>
      </c>
    </row>
    <row r="3165" spans="6:8">
      <c r="F3165" s="68" t="s">
        <v>252</v>
      </c>
      <c r="G3165" s="67" t="s">
        <v>290</v>
      </c>
      <c r="H3165" s="69">
        <v>0.19</v>
      </c>
    </row>
    <row r="3166" spans="6:8">
      <c r="F3166" s="68" t="s">
        <v>124</v>
      </c>
      <c r="G3166" s="67" t="s">
        <v>290</v>
      </c>
      <c r="H3166" s="69">
        <v>-0.7</v>
      </c>
    </row>
    <row r="3167" spans="6:8">
      <c r="F3167" s="68" t="s">
        <v>123</v>
      </c>
      <c r="G3167" s="67" t="s">
        <v>290</v>
      </c>
      <c r="H3167" s="69">
        <v>-0.6</v>
      </c>
    </row>
    <row r="3168" spans="6:8">
      <c r="F3168" s="68" t="s">
        <v>122</v>
      </c>
      <c r="G3168" s="67" t="s">
        <v>290</v>
      </c>
      <c r="H3168" s="69">
        <v>-0.9</v>
      </c>
    </row>
    <row r="3169" spans="6:8">
      <c r="F3169" s="68" t="s">
        <v>251</v>
      </c>
      <c r="G3169" s="67" t="s">
        <v>290</v>
      </c>
      <c r="H3169" s="69">
        <v>0.15</v>
      </c>
    </row>
    <row r="3170" spans="6:8">
      <c r="F3170" s="68" t="s">
        <v>121</v>
      </c>
      <c r="G3170" s="67" t="s">
        <v>290</v>
      </c>
      <c r="H3170" s="69">
        <v>-0.75</v>
      </c>
    </row>
    <row r="3171" spans="6:8">
      <c r="F3171" s="68" t="s">
        <v>120</v>
      </c>
      <c r="G3171" s="67" t="s">
        <v>290</v>
      </c>
      <c r="H3171" s="69">
        <v>-0.55000000000000004</v>
      </c>
    </row>
    <row r="3172" spans="6:8">
      <c r="F3172" s="68" t="s">
        <v>119</v>
      </c>
      <c r="G3172" s="67" t="s">
        <v>290</v>
      </c>
      <c r="H3172" s="69">
        <v>-0.85</v>
      </c>
    </row>
    <row r="3173" spans="6:8">
      <c r="F3173" s="68" t="s">
        <v>119</v>
      </c>
      <c r="G3173" s="67" t="s">
        <v>291</v>
      </c>
      <c r="H3173" s="69">
        <v>-0.85</v>
      </c>
    </row>
    <row r="3174" spans="6:8">
      <c r="F3174" s="68" t="s">
        <v>120</v>
      </c>
      <c r="G3174" s="67" t="s">
        <v>291</v>
      </c>
      <c r="H3174" s="69">
        <v>-0.55000000000000004</v>
      </c>
    </row>
    <row r="3175" spans="6:8">
      <c r="F3175" s="68" t="s">
        <v>121</v>
      </c>
      <c r="G3175" s="67" t="s">
        <v>291</v>
      </c>
      <c r="H3175" s="69">
        <v>-0.75</v>
      </c>
    </row>
    <row r="3176" spans="6:8">
      <c r="F3176" s="68" t="s">
        <v>251</v>
      </c>
      <c r="G3176" s="67" t="s">
        <v>291</v>
      </c>
      <c r="H3176" s="69">
        <v>0.15</v>
      </c>
    </row>
    <row r="3177" spans="6:8">
      <c r="F3177" s="68" t="s">
        <v>122</v>
      </c>
      <c r="G3177" s="67" t="s">
        <v>291</v>
      </c>
      <c r="H3177" s="69">
        <v>-0.9</v>
      </c>
    </row>
    <row r="3178" spans="6:8">
      <c r="F3178" s="68" t="s">
        <v>123</v>
      </c>
      <c r="G3178" s="67" t="s">
        <v>291</v>
      </c>
      <c r="H3178" s="69">
        <v>-0.6</v>
      </c>
    </row>
    <row r="3179" spans="6:8">
      <c r="F3179" s="68" t="s">
        <v>124</v>
      </c>
      <c r="G3179" s="67" t="s">
        <v>291</v>
      </c>
      <c r="H3179" s="69">
        <v>-0.7</v>
      </c>
    </row>
    <row r="3180" spans="6:8">
      <c r="F3180" s="68" t="s">
        <v>252</v>
      </c>
      <c r="G3180" s="67" t="s">
        <v>291</v>
      </c>
      <c r="H3180" s="69">
        <v>0.19</v>
      </c>
    </row>
    <row r="3181" spans="6:8">
      <c r="F3181" s="68" t="s">
        <v>125</v>
      </c>
      <c r="G3181" s="67" t="s">
        <v>291</v>
      </c>
      <c r="H3181" s="69">
        <v>-0.95</v>
      </c>
    </row>
    <row r="3182" spans="6:8">
      <c r="F3182" s="68" t="s">
        <v>126</v>
      </c>
      <c r="G3182" s="67" t="s">
        <v>291</v>
      </c>
      <c r="H3182" s="69">
        <v>-0.55000000000000004</v>
      </c>
    </row>
    <row r="3183" spans="6:8">
      <c r="F3183" s="68" t="s">
        <v>127</v>
      </c>
      <c r="G3183" s="67" t="s">
        <v>291</v>
      </c>
      <c r="H3183" s="69">
        <v>-0.15</v>
      </c>
    </row>
    <row r="3184" spans="6:8">
      <c r="F3184" s="68" t="s">
        <v>253</v>
      </c>
      <c r="G3184" s="67" t="s">
        <v>291</v>
      </c>
      <c r="H3184" s="69">
        <v>0.24</v>
      </c>
    </row>
    <row r="3185" spans="6:8">
      <c r="F3185" s="68" t="s">
        <v>128</v>
      </c>
      <c r="G3185" s="67" t="s">
        <v>291</v>
      </c>
      <c r="H3185" s="69">
        <v>-0.55000000000000004</v>
      </c>
    </row>
    <row r="3186" spans="6:8">
      <c r="F3186" s="68" t="s">
        <v>129</v>
      </c>
      <c r="G3186" s="67" t="s">
        <v>291</v>
      </c>
      <c r="H3186" s="69">
        <v>-0.25</v>
      </c>
    </row>
    <row r="3187" spans="6:8">
      <c r="F3187" s="68" t="s">
        <v>254</v>
      </c>
      <c r="G3187" s="67" t="s">
        <v>291</v>
      </c>
      <c r="H3187" s="69">
        <v>0.33</v>
      </c>
    </row>
    <row r="3188" spans="6:8">
      <c r="F3188" s="68" t="s">
        <v>130</v>
      </c>
      <c r="G3188" s="67" t="s">
        <v>291</v>
      </c>
      <c r="H3188" s="69">
        <v>-0.8</v>
      </c>
    </row>
    <row r="3189" spans="6:8">
      <c r="F3189" s="68" t="s">
        <v>131</v>
      </c>
      <c r="G3189" s="67" t="s">
        <v>291</v>
      </c>
      <c r="H3189" s="69">
        <v>-0.35</v>
      </c>
    </row>
    <row r="3190" spans="6:8">
      <c r="F3190" s="68" t="s">
        <v>255</v>
      </c>
      <c r="G3190" s="67" t="s">
        <v>291</v>
      </c>
      <c r="H3190" s="69">
        <v>0.47</v>
      </c>
    </row>
    <row r="3191" spans="6:8">
      <c r="F3191" s="68" t="s">
        <v>132</v>
      </c>
      <c r="G3191" s="67" t="s">
        <v>291</v>
      </c>
      <c r="H3191" s="69">
        <v>-0.8</v>
      </c>
    </row>
    <row r="3192" spans="6:8">
      <c r="F3192" s="68" t="s">
        <v>133</v>
      </c>
      <c r="G3192" s="67" t="s">
        <v>291</v>
      </c>
      <c r="H3192" s="69">
        <v>-0.35</v>
      </c>
    </row>
    <row r="3193" spans="6:8">
      <c r="F3193" s="68" t="s">
        <v>256</v>
      </c>
      <c r="G3193" s="67" t="s">
        <v>291</v>
      </c>
      <c r="H3193" s="69">
        <v>0.66</v>
      </c>
    </row>
    <row r="3194" spans="6:8">
      <c r="F3194" s="68" t="s">
        <v>134</v>
      </c>
      <c r="G3194" s="67" t="s">
        <v>291</v>
      </c>
      <c r="H3194" s="69">
        <v>-0.85</v>
      </c>
    </row>
    <row r="3195" spans="6:8">
      <c r="F3195" s="68" t="s">
        <v>135</v>
      </c>
      <c r="G3195" s="67" t="s">
        <v>291</v>
      </c>
      <c r="H3195" s="69">
        <v>-0.4</v>
      </c>
    </row>
    <row r="3196" spans="6:8">
      <c r="F3196" s="68" t="s">
        <v>257</v>
      </c>
      <c r="G3196" s="67" t="s">
        <v>291</v>
      </c>
      <c r="H3196" s="69">
        <v>0.84</v>
      </c>
    </row>
    <row r="3197" spans="6:8">
      <c r="F3197" s="68" t="s">
        <v>258</v>
      </c>
      <c r="G3197" s="67" t="s">
        <v>291</v>
      </c>
      <c r="H3197" s="69">
        <v>0.1</v>
      </c>
    </row>
    <row r="3198" spans="6:8">
      <c r="F3198" s="68" t="s">
        <v>136</v>
      </c>
      <c r="G3198" s="67" t="s">
        <v>291</v>
      </c>
      <c r="H3198" s="69">
        <v>-0.85</v>
      </c>
    </row>
    <row r="3199" spans="6:8">
      <c r="F3199" s="68" t="s">
        <v>137</v>
      </c>
      <c r="G3199" s="67" t="s">
        <v>291</v>
      </c>
      <c r="H3199" s="69">
        <v>-0.55000000000000004</v>
      </c>
    </row>
    <row r="3200" spans="6:8">
      <c r="F3200" s="68" t="s">
        <v>138</v>
      </c>
      <c r="G3200" s="67" t="s">
        <v>291</v>
      </c>
      <c r="H3200" s="69">
        <v>-0.75</v>
      </c>
    </row>
    <row r="3201" spans="6:8">
      <c r="F3201" s="68" t="s">
        <v>259</v>
      </c>
      <c r="G3201" s="67" t="s">
        <v>291</v>
      </c>
      <c r="H3201" s="69">
        <v>0.14000000000000001</v>
      </c>
    </row>
    <row r="3202" spans="6:8">
      <c r="F3202" s="68" t="s">
        <v>259</v>
      </c>
      <c r="G3202" s="67" t="s">
        <v>292</v>
      </c>
      <c r="H3202" s="69">
        <v>0.14000000000000001</v>
      </c>
    </row>
    <row r="3203" spans="6:8">
      <c r="F3203" s="68" t="s">
        <v>138</v>
      </c>
      <c r="G3203" s="67" t="s">
        <v>292</v>
      </c>
      <c r="H3203" s="69">
        <v>-0.75</v>
      </c>
    </row>
    <row r="3204" spans="6:8">
      <c r="F3204" s="68" t="s">
        <v>137</v>
      </c>
      <c r="G3204" s="67" t="s">
        <v>292</v>
      </c>
      <c r="H3204" s="69">
        <v>-0.55000000000000004</v>
      </c>
    </row>
    <row r="3205" spans="6:8">
      <c r="F3205" s="68" t="s">
        <v>136</v>
      </c>
      <c r="G3205" s="67" t="s">
        <v>292</v>
      </c>
      <c r="H3205" s="69">
        <v>-0.85</v>
      </c>
    </row>
    <row r="3206" spans="6:8">
      <c r="F3206" s="68" t="s">
        <v>258</v>
      </c>
      <c r="G3206" s="67" t="s">
        <v>292</v>
      </c>
      <c r="H3206" s="69">
        <v>0.1</v>
      </c>
    </row>
    <row r="3207" spans="6:8">
      <c r="F3207" s="68" t="s">
        <v>257</v>
      </c>
      <c r="G3207" s="67" t="s">
        <v>292</v>
      </c>
      <c r="H3207" s="69">
        <v>0.83</v>
      </c>
    </row>
    <row r="3208" spans="6:8">
      <c r="F3208" s="68" t="s">
        <v>135</v>
      </c>
      <c r="G3208" s="67" t="s">
        <v>292</v>
      </c>
      <c r="H3208" s="69">
        <v>-0.4</v>
      </c>
    </row>
    <row r="3209" spans="6:8">
      <c r="F3209" s="68" t="s">
        <v>134</v>
      </c>
      <c r="G3209" s="67" t="s">
        <v>292</v>
      </c>
      <c r="H3209" s="69">
        <v>-0.85</v>
      </c>
    </row>
    <row r="3210" spans="6:8">
      <c r="F3210" s="68" t="s">
        <v>256</v>
      </c>
      <c r="G3210" s="67" t="s">
        <v>292</v>
      </c>
      <c r="H3210" s="69">
        <v>0.65</v>
      </c>
    </row>
    <row r="3211" spans="6:8">
      <c r="F3211" s="68" t="s">
        <v>133</v>
      </c>
      <c r="G3211" s="67" t="s">
        <v>292</v>
      </c>
      <c r="H3211" s="69">
        <v>-0.35</v>
      </c>
    </row>
    <row r="3212" spans="6:8">
      <c r="F3212" s="68" t="s">
        <v>132</v>
      </c>
      <c r="G3212" s="67" t="s">
        <v>292</v>
      </c>
      <c r="H3212" s="69">
        <v>-0.8</v>
      </c>
    </row>
    <row r="3213" spans="6:8">
      <c r="F3213" s="68" t="s">
        <v>255</v>
      </c>
      <c r="G3213" s="67" t="s">
        <v>292</v>
      </c>
      <c r="H3213" s="69">
        <v>0.46</v>
      </c>
    </row>
    <row r="3214" spans="6:8">
      <c r="F3214" s="68" t="s">
        <v>131</v>
      </c>
      <c r="G3214" s="67" t="s">
        <v>292</v>
      </c>
      <c r="H3214" s="69">
        <v>-0.35</v>
      </c>
    </row>
    <row r="3215" spans="6:8">
      <c r="F3215" s="68" t="s">
        <v>130</v>
      </c>
      <c r="G3215" s="67" t="s">
        <v>292</v>
      </c>
      <c r="H3215" s="69">
        <v>-0.8</v>
      </c>
    </row>
    <row r="3216" spans="6:8">
      <c r="F3216" s="68" t="s">
        <v>254</v>
      </c>
      <c r="G3216" s="67" t="s">
        <v>292</v>
      </c>
      <c r="H3216" s="69">
        <v>0.32</v>
      </c>
    </row>
    <row r="3217" spans="6:8">
      <c r="F3217" s="68" t="s">
        <v>129</v>
      </c>
      <c r="G3217" s="67" t="s">
        <v>292</v>
      </c>
      <c r="H3217" s="69">
        <v>-0.25</v>
      </c>
    </row>
    <row r="3218" spans="6:8">
      <c r="F3218" s="68" t="s">
        <v>128</v>
      </c>
      <c r="G3218" s="67" t="s">
        <v>292</v>
      </c>
      <c r="H3218" s="69">
        <v>-0.55000000000000004</v>
      </c>
    </row>
    <row r="3219" spans="6:8">
      <c r="F3219" s="68" t="s">
        <v>253</v>
      </c>
      <c r="G3219" s="67" t="s">
        <v>292</v>
      </c>
      <c r="H3219" s="69">
        <v>0.24</v>
      </c>
    </row>
    <row r="3220" spans="6:8">
      <c r="F3220" s="68" t="s">
        <v>127</v>
      </c>
      <c r="G3220" s="67" t="s">
        <v>292</v>
      </c>
      <c r="H3220" s="69">
        <v>-0.15</v>
      </c>
    </row>
    <row r="3221" spans="6:8">
      <c r="F3221" s="68" t="s">
        <v>126</v>
      </c>
      <c r="G3221" s="67" t="s">
        <v>292</v>
      </c>
      <c r="H3221" s="69">
        <v>-0.55000000000000004</v>
      </c>
    </row>
    <row r="3222" spans="6:8">
      <c r="F3222" s="68" t="s">
        <v>125</v>
      </c>
      <c r="G3222" s="67" t="s">
        <v>292</v>
      </c>
      <c r="H3222" s="69">
        <v>-0.95</v>
      </c>
    </row>
    <row r="3223" spans="6:8">
      <c r="F3223" s="68" t="s">
        <v>252</v>
      </c>
      <c r="G3223" s="67" t="s">
        <v>292</v>
      </c>
      <c r="H3223" s="69">
        <v>0.19</v>
      </c>
    </row>
    <row r="3224" spans="6:8">
      <c r="F3224" s="68" t="s">
        <v>124</v>
      </c>
      <c r="G3224" s="67" t="s">
        <v>292</v>
      </c>
      <c r="H3224" s="69">
        <v>-0.7</v>
      </c>
    </row>
    <row r="3225" spans="6:8">
      <c r="F3225" s="68" t="s">
        <v>123</v>
      </c>
      <c r="G3225" s="67" t="s">
        <v>292</v>
      </c>
      <c r="H3225" s="69">
        <v>-0.6</v>
      </c>
    </row>
    <row r="3226" spans="6:8">
      <c r="F3226" s="68" t="s">
        <v>122</v>
      </c>
      <c r="G3226" s="67" t="s">
        <v>292</v>
      </c>
      <c r="H3226" s="69">
        <v>-0.9</v>
      </c>
    </row>
    <row r="3227" spans="6:8">
      <c r="F3227" s="68" t="s">
        <v>251</v>
      </c>
      <c r="G3227" s="67" t="s">
        <v>292</v>
      </c>
      <c r="H3227" s="69">
        <v>0.15</v>
      </c>
    </row>
    <row r="3228" spans="6:8">
      <c r="F3228" s="68" t="s">
        <v>121</v>
      </c>
      <c r="G3228" s="67" t="s">
        <v>292</v>
      </c>
      <c r="H3228" s="69">
        <v>-0.75</v>
      </c>
    </row>
    <row r="3229" spans="6:8">
      <c r="F3229" s="68" t="s">
        <v>120</v>
      </c>
      <c r="G3229" s="67" t="s">
        <v>292</v>
      </c>
      <c r="H3229" s="69">
        <v>-0.55000000000000004</v>
      </c>
    </row>
    <row r="3230" spans="6:8">
      <c r="F3230" s="68" t="s">
        <v>119</v>
      </c>
      <c r="G3230" s="67" t="s">
        <v>292</v>
      </c>
      <c r="H3230" s="69">
        <v>-0.85</v>
      </c>
    </row>
    <row r="3231" spans="6:8">
      <c r="F3231" s="68" t="s">
        <v>119</v>
      </c>
      <c r="G3231" s="67" t="s">
        <v>293</v>
      </c>
      <c r="H3231" s="69">
        <v>-0.85</v>
      </c>
    </row>
    <row r="3232" spans="6:8">
      <c r="F3232" s="68" t="s">
        <v>120</v>
      </c>
      <c r="G3232" s="67" t="s">
        <v>293</v>
      </c>
      <c r="H3232" s="69">
        <v>-0.55000000000000004</v>
      </c>
    </row>
    <row r="3233" spans="6:8">
      <c r="F3233" s="68" t="s">
        <v>121</v>
      </c>
      <c r="G3233" s="67" t="s">
        <v>293</v>
      </c>
      <c r="H3233" s="69">
        <v>-0.75</v>
      </c>
    </row>
    <row r="3234" spans="6:8">
      <c r="F3234" s="68" t="s">
        <v>251</v>
      </c>
      <c r="G3234" s="67" t="s">
        <v>293</v>
      </c>
      <c r="H3234" s="69">
        <v>0.15</v>
      </c>
    </row>
    <row r="3235" spans="6:8">
      <c r="F3235" s="68" t="s">
        <v>122</v>
      </c>
      <c r="G3235" s="67" t="s">
        <v>293</v>
      </c>
      <c r="H3235" s="69">
        <v>-0.9</v>
      </c>
    </row>
    <row r="3236" spans="6:8">
      <c r="F3236" s="68" t="s">
        <v>123</v>
      </c>
      <c r="G3236" s="67" t="s">
        <v>293</v>
      </c>
      <c r="H3236" s="69">
        <v>-0.6</v>
      </c>
    </row>
    <row r="3237" spans="6:8">
      <c r="F3237" s="68" t="s">
        <v>124</v>
      </c>
      <c r="G3237" s="67" t="s">
        <v>293</v>
      </c>
      <c r="H3237" s="69">
        <v>-0.7</v>
      </c>
    </row>
    <row r="3238" spans="6:8">
      <c r="F3238" s="68" t="s">
        <v>252</v>
      </c>
      <c r="G3238" s="67" t="s">
        <v>293</v>
      </c>
      <c r="H3238" s="69">
        <v>0.19</v>
      </c>
    </row>
    <row r="3239" spans="6:8">
      <c r="F3239" s="68" t="s">
        <v>125</v>
      </c>
      <c r="G3239" s="67" t="s">
        <v>293</v>
      </c>
      <c r="H3239" s="69">
        <v>-0.95</v>
      </c>
    </row>
    <row r="3240" spans="6:8">
      <c r="F3240" s="68" t="s">
        <v>126</v>
      </c>
      <c r="G3240" s="67" t="s">
        <v>293</v>
      </c>
      <c r="H3240" s="69">
        <v>-0.55000000000000004</v>
      </c>
    </row>
    <row r="3241" spans="6:8">
      <c r="F3241" s="68" t="s">
        <v>127</v>
      </c>
      <c r="G3241" s="67" t="s">
        <v>293</v>
      </c>
      <c r="H3241" s="69">
        <v>-0.15</v>
      </c>
    </row>
    <row r="3242" spans="6:8">
      <c r="F3242" s="68" t="s">
        <v>253</v>
      </c>
      <c r="G3242" s="67" t="s">
        <v>293</v>
      </c>
      <c r="H3242" s="69">
        <v>0.24</v>
      </c>
    </row>
    <row r="3243" spans="6:8">
      <c r="F3243" s="68" t="s">
        <v>128</v>
      </c>
      <c r="G3243" s="67" t="s">
        <v>293</v>
      </c>
      <c r="H3243" s="69">
        <v>-0.55000000000000004</v>
      </c>
    </row>
    <row r="3244" spans="6:8">
      <c r="F3244" s="68" t="s">
        <v>129</v>
      </c>
      <c r="G3244" s="67" t="s">
        <v>293</v>
      </c>
      <c r="H3244" s="69">
        <v>-0.25</v>
      </c>
    </row>
    <row r="3245" spans="6:8">
      <c r="F3245" s="68" t="s">
        <v>254</v>
      </c>
      <c r="G3245" s="67" t="s">
        <v>293</v>
      </c>
      <c r="H3245" s="69">
        <v>0.32</v>
      </c>
    </row>
    <row r="3246" spans="6:8">
      <c r="F3246" s="68" t="s">
        <v>130</v>
      </c>
      <c r="G3246" s="67" t="s">
        <v>293</v>
      </c>
      <c r="H3246" s="69">
        <v>-0.8</v>
      </c>
    </row>
    <row r="3247" spans="6:8">
      <c r="F3247" s="68" t="s">
        <v>131</v>
      </c>
      <c r="G3247" s="67" t="s">
        <v>293</v>
      </c>
      <c r="H3247" s="69">
        <v>-0.35</v>
      </c>
    </row>
    <row r="3248" spans="6:8">
      <c r="F3248" s="68" t="s">
        <v>255</v>
      </c>
      <c r="G3248" s="67" t="s">
        <v>293</v>
      </c>
      <c r="H3248" s="69">
        <v>0.46</v>
      </c>
    </row>
    <row r="3249" spans="6:8">
      <c r="F3249" s="68" t="s">
        <v>132</v>
      </c>
      <c r="G3249" s="67" t="s">
        <v>293</v>
      </c>
      <c r="H3249" s="69">
        <v>-0.8</v>
      </c>
    </row>
    <row r="3250" spans="6:8">
      <c r="F3250" s="68" t="s">
        <v>133</v>
      </c>
      <c r="G3250" s="67" t="s">
        <v>293</v>
      </c>
      <c r="H3250" s="69">
        <v>-0.35</v>
      </c>
    </row>
    <row r="3251" spans="6:8">
      <c r="F3251" s="68" t="s">
        <v>256</v>
      </c>
      <c r="G3251" s="67" t="s">
        <v>293</v>
      </c>
      <c r="H3251" s="69">
        <v>0.66</v>
      </c>
    </row>
    <row r="3252" spans="6:8">
      <c r="F3252" s="68" t="s">
        <v>134</v>
      </c>
      <c r="G3252" s="67" t="s">
        <v>293</v>
      </c>
      <c r="H3252" s="69">
        <v>-0.85</v>
      </c>
    </row>
    <row r="3253" spans="6:8">
      <c r="F3253" s="68" t="s">
        <v>135</v>
      </c>
      <c r="G3253" s="67" t="s">
        <v>293</v>
      </c>
      <c r="H3253" s="69">
        <v>-0.4</v>
      </c>
    </row>
    <row r="3254" spans="6:8">
      <c r="F3254" s="68" t="s">
        <v>257</v>
      </c>
      <c r="G3254" s="67" t="s">
        <v>293</v>
      </c>
      <c r="H3254" s="69">
        <v>0.84</v>
      </c>
    </row>
    <row r="3255" spans="6:8">
      <c r="F3255" s="68" t="s">
        <v>258</v>
      </c>
      <c r="G3255" s="67" t="s">
        <v>293</v>
      </c>
      <c r="H3255" s="69">
        <v>0.1</v>
      </c>
    </row>
    <row r="3256" spans="6:8">
      <c r="F3256" s="68" t="s">
        <v>136</v>
      </c>
      <c r="G3256" s="67" t="s">
        <v>293</v>
      </c>
      <c r="H3256" s="69">
        <v>-0.85</v>
      </c>
    </row>
    <row r="3257" spans="6:8">
      <c r="F3257" s="68" t="s">
        <v>137</v>
      </c>
      <c r="G3257" s="67" t="s">
        <v>293</v>
      </c>
      <c r="H3257" s="69">
        <v>-0.55000000000000004</v>
      </c>
    </row>
    <row r="3258" spans="6:8">
      <c r="F3258" s="68" t="s">
        <v>138</v>
      </c>
      <c r="G3258" s="67" t="s">
        <v>293</v>
      </c>
      <c r="H3258" s="69">
        <v>-0.75</v>
      </c>
    </row>
    <row r="3259" spans="6:8">
      <c r="F3259" s="68" t="s">
        <v>259</v>
      </c>
      <c r="G3259" s="67" t="s">
        <v>293</v>
      </c>
      <c r="H3259" s="69">
        <v>0.14000000000000001</v>
      </c>
    </row>
    <row r="3260" spans="6:8">
      <c r="F3260" s="68" t="s">
        <v>259</v>
      </c>
      <c r="G3260" s="67" t="s">
        <v>294</v>
      </c>
      <c r="H3260" s="69">
        <v>0.14000000000000001</v>
      </c>
    </row>
    <row r="3261" spans="6:8">
      <c r="F3261" s="68" t="s">
        <v>138</v>
      </c>
      <c r="G3261" s="67" t="s">
        <v>294</v>
      </c>
      <c r="H3261" s="69">
        <v>-0.75</v>
      </c>
    </row>
    <row r="3262" spans="6:8">
      <c r="F3262" s="68" t="s">
        <v>137</v>
      </c>
      <c r="G3262" s="67" t="s">
        <v>294</v>
      </c>
      <c r="H3262" s="69">
        <v>-0.55000000000000004</v>
      </c>
    </row>
    <row r="3263" spans="6:8">
      <c r="F3263" s="68" t="s">
        <v>136</v>
      </c>
      <c r="G3263" s="67" t="s">
        <v>294</v>
      </c>
      <c r="H3263" s="69">
        <v>-0.85</v>
      </c>
    </row>
    <row r="3264" spans="6:8">
      <c r="F3264" s="68" t="s">
        <v>258</v>
      </c>
      <c r="G3264" s="67" t="s">
        <v>294</v>
      </c>
      <c r="H3264" s="69">
        <v>0.1</v>
      </c>
    </row>
    <row r="3265" spans="6:8">
      <c r="F3265" s="68" t="s">
        <v>257</v>
      </c>
      <c r="G3265" s="67" t="s">
        <v>294</v>
      </c>
      <c r="H3265" s="69">
        <v>0.84</v>
      </c>
    </row>
    <row r="3266" spans="6:8">
      <c r="F3266" s="68" t="s">
        <v>135</v>
      </c>
      <c r="G3266" s="67" t="s">
        <v>294</v>
      </c>
      <c r="H3266" s="69">
        <v>-0.4</v>
      </c>
    </row>
    <row r="3267" spans="6:8">
      <c r="F3267" s="68" t="s">
        <v>134</v>
      </c>
      <c r="G3267" s="67" t="s">
        <v>294</v>
      </c>
      <c r="H3267" s="69">
        <v>-0.85</v>
      </c>
    </row>
    <row r="3268" spans="6:8">
      <c r="F3268" s="68" t="s">
        <v>256</v>
      </c>
      <c r="G3268" s="67" t="s">
        <v>294</v>
      </c>
      <c r="H3268" s="69">
        <v>0.66</v>
      </c>
    </row>
    <row r="3269" spans="6:8">
      <c r="F3269" s="68" t="s">
        <v>133</v>
      </c>
      <c r="G3269" s="67" t="s">
        <v>294</v>
      </c>
      <c r="H3269" s="69">
        <v>-0.35</v>
      </c>
    </row>
    <row r="3270" spans="6:8">
      <c r="F3270" s="68" t="s">
        <v>132</v>
      </c>
      <c r="G3270" s="67" t="s">
        <v>294</v>
      </c>
      <c r="H3270" s="69">
        <v>-0.8</v>
      </c>
    </row>
    <row r="3271" spans="6:8">
      <c r="F3271" s="68" t="s">
        <v>255</v>
      </c>
      <c r="G3271" s="67" t="s">
        <v>294</v>
      </c>
      <c r="H3271" s="69">
        <v>0.46</v>
      </c>
    </row>
    <row r="3272" spans="6:8">
      <c r="F3272" s="68" t="s">
        <v>131</v>
      </c>
      <c r="G3272" s="67" t="s">
        <v>294</v>
      </c>
      <c r="H3272" s="69">
        <v>-0.35</v>
      </c>
    </row>
    <row r="3273" spans="6:8">
      <c r="F3273" s="68" t="s">
        <v>130</v>
      </c>
      <c r="G3273" s="67" t="s">
        <v>294</v>
      </c>
      <c r="H3273" s="69">
        <v>-0.8</v>
      </c>
    </row>
    <row r="3274" spans="6:8">
      <c r="F3274" s="68" t="s">
        <v>254</v>
      </c>
      <c r="G3274" s="67" t="s">
        <v>294</v>
      </c>
      <c r="H3274" s="69">
        <v>0.32</v>
      </c>
    </row>
    <row r="3275" spans="6:8">
      <c r="F3275" s="68" t="s">
        <v>129</v>
      </c>
      <c r="G3275" s="67" t="s">
        <v>294</v>
      </c>
      <c r="H3275" s="69">
        <v>-0.25</v>
      </c>
    </row>
    <row r="3276" spans="6:8">
      <c r="F3276" s="68" t="s">
        <v>128</v>
      </c>
      <c r="G3276" s="67" t="s">
        <v>294</v>
      </c>
      <c r="H3276" s="69">
        <v>-0.55000000000000004</v>
      </c>
    </row>
    <row r="3277" spans="6:8">
      <c r="F3277" s="68" t="s">
        <v>253</v>
      </c>
      <c r="G3277" s="67" t="s">
        <v>294</v>
      </c>
      <c r="H3277" s="69">
        <v>0.24</v>
      </c>
    </row>
    <row r="3278" spans="6:8">
      <c r="F3278" s="68" t="s">
        <v>127</v>
      </c>
      <c r="G3278" s="67" t="s">
        <v>294</v>
      </c>
      <c r="H3278" s="69">
        <v>-0.15</v>
      </c>
    </row>
    <row r="3279" spans="6:8">
      <c r="F3279" s="68" t="s">
        <v>126</v>
      </c>
      <c r="G3279" s="67" t="s">
        <v>294</v>
      </c>
      <c r="H3279" s="69">
        <v>-0.55000000000000004</v>
      </c>
    </row>
    <row r="3280" spans="6:8">
      <c r="F3280" s="68" t="s">
        <v>125</v>
      </c>
      <c r="G3280" s="67" t="s">
        <v>294</v>
      </c>
      <c r="H3280" s="69">
        <v>-0.95</v>
      </c>
    </row>
    <row r="3281" spans="6:8">
      <c r="F3281" s="68" t="s">
        <v>252</v>
      </c>
      <c r="G3281" s="67" t="s">
        <v>294</v>
      </c>
      <c r="H3281" s="69">
        <v>0.19</v>
      </c>
    </row>
    <row r="3282" spans="6:8">
      <c r="F3282" s="68" t="s">
        <v>124</v>
      </c>
      <c r="G3282" s="67" t="s">
        <v>294</v>
      </c>
      <c r="H3282" s="69">
        <v>-0.7</v>
      </c>
    </row>
    <row r="3283" spans="6:8">
      <c r="F3283" s="68" t="s">
        <v>123</v>
      </c>
      <c r="G3283" s="67" t="s">
        <v>294</v>
      </c>
      <c r="H3283" s="69">
        <v>-0.6</v>
      </c>
    </row>
    <row r="3284" spans="6:8">
      <c r="F3284" s="68" t="s">
        <v>122</v>
      </c>
      <c r="G3284" s="67" t="s">
        <v>294</v>
      </c>
      <c r="H3284" s="69">
        <v>-0.9</v>
      </c>
    </row>
    <row r="3285" spans="6:8">
      <c r="F3285" s="68" t="s">
        <v>251</v>
      </c>
      <c r="G3285" s="67" t="s">
        <v>294</v>
      </c>
      <c r="H3285" s="69">
        <v>0.15</v>
      </c>
    </row>
    <row r="3286" spans="6:8">
      <c r="F3286" s="68" t="s">
        <v>121</v>
      </c>
      <c r="G3286" s="67" t="s">
        <v>294</v>
      </c>
      <c r="H3286" s="69">
        <v>-0.75</v>
      </c>
    </row>
    <row r="3287" spans="6:8">
      <c r="F3287" s="68" t="s">
        <v>120</v>
      </c>
      <c r="G3287" s="67" t="s">
        <v>294</v>
      </c>
      <c r="H3287" s="69">
        <v>-0.55000000000000004</v>
      </c>
    </row>
    <row r="3288" spans="6:8">
      <c r="F3288" s="68" t="s">
        <v>119</v>
      </c>
      <c r="G3288" s="67" t="s">
        <v>294</v>
      </c>
      <c r="H3288" s="69">
        <v>-0.85</v>
      </c>
    </row>
    <row r="3289" spans="6:8">
      <c r="F3289" s="68" t="s">
        <v>119</v>
      </c>
      <c r="G3289" s="67" t="s">
        <v>295</v>
      </c>
      <c r="H3289" s="69">
        <v>-0.8</v>
      </c>
    </row>
    <row r="3290" spans="6:8">
      <c r="F3290" s="68" t="s">
        <v>120</v>
      </c>
      <c r="G3290" s="67" t="s">
        <v>295</v>
      </c>
      <c r="H3290" s="69">
        <v>-0.5</v>
      </c>
    </row>
    <row r="3291" spans="6:8">
      <c r="F3291" s="68" t="s">
        <v>121</v>
      </c>
      <c r="G3291" s="67" t="s">
        <v>295</v>
      </c>
      <c r="H3291" s="69">
        <v>-0.7</v>
      </c>
    </row>
    <row r="3292" spans="6:8">
      <c r="F3292" s="68" t="s">
        <v>251</v>
      </c>
      <c r="G3292" s="67" t="s">
        <v>295</v>
      </c>
      <c r="H3292" s="69">
        <v>0.15</v>
      </c>
    </row>
    <row r="3293" spans="6:8">
      <c r="F3293" s="68" t="s">
        <v>122</v>
      </c>
      <c r="G3293" s="67" t="s">
        <v>295</v>
      </c>
      <c r="H3293" s="69">
        <v>-0.85</v>
      </c>
    </row>
    <row r="3294" spans="6:8">
      <c r="F3294" s="68" t="s">
        <v>123</v>
      </c>
      <c r="G3294" s="67" t="s">
        <v>295</v>
      </c>
      <c r="H3294" s="69">
        <v>-0.55000000000000004</v>
      </c>
    </row>
    <row r="3295" spans="6:8">
      <c r="F3295" s="68" t="s">
        <v>124</v>
      </c>
      <c r="G3295" s="67" t="s">
        <v>295</v>
      </c>
      <c r="H3295" s="69">
        <v>-0.65</v>
      </c>
    </row>
    <row r="3296" spans="6:8">
      <c r="F3296" s="68" t="s">
        <v>252</v>
      </c>
      <c r="G3296" s="67" t="s">
        <v>295</v>
      </c>
      <c r="H3296" s="69">
        <v>0.19</v>
      </c>
    </row>
    <row r="3297" spans="6:8">
      <c r="F3297" s="68" t="s">
        <v>125</v>
      </c>
      <c r="G3297" s="67" t="s">
        <v>295</v>
      </c>
      <c r="H3297" s="69">
        <v>-0.9</v>
      </c>
    </row>
    <row r="3298" spans="6:8">
      <c r="F3298" s="68" t="s">
        <v>126</v>
      </c>
      <c r="G3298" s="67" t="s">
        <v>295</v>
      </c>
      <c r="H3298" s="69">
        <v>-0.5</v>
      </c>
    </row>
    <row r="3299" spans="6:8">
      <c r="F3299" s="68" t="s">
        <v>127</v>
      </c>
      <c r="G3299" s="67" t="s">
        <v>295</v>
      </c>
      <c r="H3299" s="69">
        <v>-0.15</v>
      </c>
    </row>
    <row r="3300" spans="6:8">
      <c r="F3300" s="68" t="s">
        <v>253</v>
      </c>
      <c r="G3300" s="67" t="s">
        <v>295</v>
      </c>
      <c r="H3300" s="69">
        <v>0.25</v>
      </c>
    </row>
    <row r="3301" spans="6:8">
      <c r="F3301" s="68" t="s">
        <v>128</v>
      </c>
      <c r="G3301" s="67" t="s">
        <v>295</v>
      </c>
      <c r="H3301" s="69">
        <v>-0.5</v>
      </c>
    </row>
    <row r="3302" spans="6:8">
      <c r="F3302" s="68" t="s">
        <v>129</v>
      </c>
      <c r="G3302" s="67" t="s">
        <v>295</v>
      </c>
      <c r="H3302" s="69">
        <v>-0.25</v>
      </c>
    </row>
    <row r="3303" spans="6:8">
      <c r="F3303" s="68" t="s">
        <v>254</v>
      </c>
      <c r="G3303" s="67" t="s">
        <v>295</v>
      </c>
      <c r="H3303" s="69">
        <v>0.33</v>
      </c>
    </row>
    <row r="3304" spans="6:8">
      <c r="F3304" s="68" t="s">
        <v>130</v>
      </c>
      <c r="G3304" s="67" t="s">
        <v>295</v>
      </c>
      <c r="H3304" s="69">
        <v>-0.75</v>
      </c>
    </row>
    <row r="3305" spans="6:8">
      <c r="F3305" s="68" t="s">
        <v>131</v>
      </c>
      <c r="G3305" s="67" t="s">
        <v>295</v>
      </c>
      <c r="H3305" s="69">
        <v>-0.35</v>
      </c>
    </row>
    <row r="3306" spans="6:8">
      <c r="F3306" s="68" t="s">
        <v>255</v>
      </c>
      <c r="G3306" s="67" t="s">
        <v>295</v>
      </c>
      <c r="H3306" s="69">
        <v>0.47</v>
      </c>
    </row>
    <row r="3307" spans="6:8">
      <c r="F3307" s="68" t="s">
        <v>132</v>
      </c>
      <c r="G3307" s="67" t="s">
        <v>295</v>
      </c>
      <c r="H3307" s="69">
        <v>-0.75</v>
      </c>
    </row>
    <row r="3308" spans="6:8">
      <c r="F3308" s="68" t="s">
        <v>133</v>
      </c>
      <c r="G3308" s="67" t="s">
        <v>295</v>
      </c>
      <c r="H3308" s="69">
        <v>-0.35</v>
      </c>
    </row>
    <row r="3309" spans="6:8">
      <c r="F3309" s="68" t="s">
        <v>256</v>
      </c>
      <c r="G3309" s="67" t="s">
        <v>295</v>
      </c>
      <c r="H3309" s="69">
        <v>0.67</v>
      </c>
    </row>
    <row r="3310" spans="6:8">
      <c r="F3310" s="68" t="s">
        <v>134</v>
      </c>
      <c r="G3310" s="67" t="s">
        <v>295</v>
      </c>
      <c r="H3310" s="69">
        <v>-0.8</v>
      </c>
    </row>
    <row r="3311" spans="6:8">
      <c r="F3311" s="68" t="s">
        <v>135</v>
      </c>
      <c r="G3311" s="67" t="s">
        <v>295</v>
      </c>
      <c r="H3311" s="69">
        <v>-0.4</v>
      </c>
    </row>
    <row r="3312" spans="6:8">
      <c r="F3312" s="68" t="s">
        <v>257</v>
      </c>
      <c r="G3312" s="67" t="s">
        <v>295</v>
      </c>
      <c r="H3312" s="69">
        <v>0.86</v>
      </c>
    </row>
    <row r="3313" spans="6:8">
      <c r="F3313" s="68" t="s">
        <v>258</v>
      </c>
      <c r="G3313" s="67" t="s">
        <v>295</v>
      </c>
      <c r="H3313" s="69">
        <v>0.1</v>
      </c>
    </row>
    <row r="3314" spans="6:8">
      <c r="F3314" s="68" t="s">
        <v>136</v>
      </c>
      <c r="G3314" s="67" t="s">
        <v>295</v>
      </c>
      <c r="H3314" s="69">
        <v>-0.8</v>
      </c>
    </row>
    <row r="3315" spans="6:8">
      <c r="F3315" s="68" t="s">
        <v>137</v>
      </c>
      <c r="G3315" s="67" t="s">
        <v>295</v>
      </c>
      <c r="H3315" s="69">
        <v>-0.5</v>
      </c>
    </row>
    <row r="3316" spans="6:8">
      <c r="F3316" s="68" t="s">
        <v>138</v>
      </c>
      <c r="G3316" s="67" t="s">
        <v>295</v>
      </c>
      <c r="H3316" s="69">
        <v>-0.7</v>
      </c>
    </row>
    <row r="3317" spans="6:8">
      <c r="F3317" s="68" t="s">
        <v>259</v>
      </c>
      <c r="G3317" s="67" t="s">
        <v>295</v>
      </c>
      <c r="H3317" s="69">
        <v>0.14000000000000001</v>
      </c>
    </row>
    <row r="3318" spans="6:8">
      <c r="F3318" s="68" t="s">
        <v>259</v>
      </c>
      <c r="G3318" s="67" t="s">
        <v>296</v>
      </c>
      <c r="H3318" s="69">
        <v>0.14000000000000001</v>
      </c>
    </row>
    <row r="3319" spans="6:8">
      <c r="F3319" s="68" t="s">
        <v>138</v>
      </c>
      <c r="G3319" s="67" t="s">
        <v>296</v>
      </c>
      <c r="H3319" s="69">
        <v>-0.7</v>
      </c>
    </row>
    <row r="3320" spans="6:8">
      <c r="F3320" s="68" t="s">
        <v>137</v>
      </c>
      <c r="G3320" s="67" t="s">
        <v>296</v>
      </c>
      <c r="H3320" s="69">
        <v>-0.5</v>
      </c>
    </row>
    <row r="3321" spans="6:8">
      <c r="F3321" s="68" t="s">
        <v>136</v>
      </c>
      <c r="G3321" s="67" t="s">
        <v>296</v>
      </c>
      <c r="H3321" s="69">
        <v>-0.8</v>
      </c>
    </row>
    <row r="3322" spans="6:8">
      <c r="F3322" s="68" t="s">
        <v>258</v>
      </c>
      <c r="G3322" s="67" t="s">
        <v>296</v>
      </c>
      <c r="H3322" s="69">
        <v>0.1</v>
      </c>
    </row>
    <row r="3323" spans="6:8">
      <c r="F3323" s="68" t="s">
        <v>257</v>
      </c>
      <c r="G3323" s="67" t="s">
        <v>296</v>
      </c>
      <c r="H3323" s="69">
        <v>0.86</v>
      </c>
    </row>
    <row r="3324" spans="6:8">
      <c r="F3324" s="68" t="s">
        <v>135</v>
      </c>
      <c r="G3324" s="67" t="s">
        <v>296</v>
      </c>
      <c r="H3324" s="69">
        <v>-0.4</v>
      </c>
    </row>
    <row r="3325" spans="6:8">
      <c r="F3325" s="68" t="s">
        <v>134</v>
      </c>
      <c r="G3325" s="67" t="s">
        <v>296</v>
      </c>
      <c r="H3325" s="69">
        <v>-0.8</v>
      </c>
    </row>
    <row r="3326" spans="6:8">
      <c r="F3326" s="68" t="s">
        <v>256</v>
      </c>
      <c r="G3326" s="67" t="s">
        <v>296</v>
      </c>
      <c r="H3326" s="69">
        <v>0.67</v>
      </c>
    </row>
    <row r="3327" spans="6:8">
      <c r="F3327" s="68" t="s">
        <v>133</v>
      </c>
      <c r="G3327" s="67" t="s">
        <v>296</v>
      </c>
      <c r="H3327" s="69">
        <v>-0.35</v>
      </c>
    </row>
    <row r="3328" spans="6:8">
      <c r="F3328" s="68" t="s">
        <v>132</v>
      </c>
      <c r="G3328" s="67" t="s">
        <v>296</v>
      </c>
      <c r="H3328" s="69">
        <v>-0.75</v>
      </c>
    </row>
    <row r="3329" spans="6:8">
      <c r="F3329" s="68" t="s">
        <v>255</v>
      </c>
      <c r="G3329" s="67" t="s">
        <v>296</v>
      </c>
      <c r="H3329" s="69">
        <v>0.47</v>
      </c>
    </row>
    <row r="3330" spans="6:8">
      <c r="F3330" s="68" t="s">
        <v>131</v>
      </c>
      <c r="G3330" s="67" t="s">
        <v>296</v>
      </c>
      <c r="H3330" s="69">
        <v>-0.35</v>
      </c>
    </row>
    <row r="3331" spans="6:8">
      <c r="F3331" s="68" t="s">
        <v>130</v>
      </c>
      <c r="G3331" s="67" t="s">
        <v>296</v>
      </c>
      <c r="H3331" s="69">
        <v>-0.75</v>
      </c>
    </row>
    <row r="3332" spans="6:8">
      <c r="F3332" s="68" t="s">
        <v>254</v>
      </c>
      <c r="G3332" s="67" t="s">
        <v>296</v>
      </c>
      <c r="H3332" s="69">
        <v>0.33</v>
      </c>
    </row>
    <row r="3333" spans="6:8">
      <c r="F3333" s="68" t="s">
        <v>129</v>
      </c>
      <c r="G3333" s="67" t="s">
        <v>296</v>
      </c>
      <c r="H3333" s="69">
        <v>-0.25</v>
      </c>
    </row>
    <row r="3334" spans="6:8">
      <c r="F3334" s="68" t="s">
        <v>128</v>
      </c>
      <c r="G3334" s="67" t="s">
        <v>296</v>
      </c>
      <c r="H3334" s="69">
        <v>-0.5</v>
      </c>
    </row>
    <row r="3335" spans="6:8">
      <c r="F3335" s="68" t="s">
        <v>253</v>
      </c>
      <c r="G3335" s="67" t="s">
        <v>296</v>
      </c>
      <c r="H3335" s="69">
        <v>0.25</v>
      </c>
    </row>
    <row r="3336" spans="6:8">
      <c r="F3336" s="68" t="s">
        <v>127</v>
      </c>
      <c r="G3336" s="67" t="s">
        <v>296</v>
      </c>
      <c r="H3336" s="69">
        <v>-0.15</v>
      </c>
    </row>
    <row r="3337" spans="6:8">
      <c r="F3337" s="68" t="s">
        <v>126</v>
      </c>
      <c r="G3337" s="67" t="s">
        <v>296</v>
      </c>
      <c r="H3337" s="69">
        <v>-0.5</v>
      </c>
    </row>
    <row r="3338" spans="6:8">
      <c r="F3338" s="68" t="s">
        <v>125</v>
      </c>
      <c r="G3338" s="67" t="s">
        <v>296</v>
      </c>
      <c r="H3338" s="69">
        <v>-0.9</v>
      </c>
    </row>
    <row r="3339" spans="6:8">
      <c r="F3339" s="68" t="s">
        <v>252</v>
      </c>
      <c r="G3339" s="67" t="s">
        <v>296</v>
      </c>
      <c r="H3339" s="69">
        <v>0.19</v>
      </c>
    </row>
    <row r="3340" spans="6:8">
      <c r="F3340" s="68" t="s">
        <v>124</v>
      </c>
      <c r="G3340" s="67" t="s">
        <v>296</v>
      </c>
      <c r="H3340" s="69">
        <v>-0.65</v>
      </c>
    </row>
    <row r="3341" spans="6:8">
      <c r="F3341" s="68" t="s">
        <v>123</v>
      </c>
      <c r="G3341" s="67" t="s">
        <v>296</v>
      </c>
      <c r="H3341" s="69">
        <v>-0.55000000000000004</v>
      </c>
    </row>
    <row r="3342" spans="6:8">
      <c r="F3342" s="68" t="s">
        <v>122</v>
      </c>
      <c r="G3342" s="67" t="s">
        <v>296</v>
      </c>
      <c r="H3342" s="69">
        <v>-0.85</v>
      </c>
    </row>
    <row r="3343" spans="6:8">
      <c r="F3343" s="68" t="s">
        <v>251</v>
      </c>
      <c r="G3343" s="67" t="s">
        <v>296</v>
      </c>
      <c r="H3343" s="69">
        <v>0.15</v>
      </c>
    </row>
    <row r="3344" spans="6:8">
      <c r="F3344" s="68" t="s">
        <v>121</v>
      </c>
      <c r="G3344" s="67" t="s">
        <v>296</v>
      </c>
      <c r="H3344" s="69">
        <v>-0.7</v>
      </c>
    </row>
    <row r="3345" spans="6:8">
      <c r="F3345" s="68" t="s">
        <v>120</v>
      </c>
      <c r="G3345" s="67" t="s">
        <v>296</v>
      </c>
      <c r="H3345" s="69">
        <v>-0.5</v>
      </c>
    </row>
    <row r="3346" spans="6:8">
      <c r="F3346" s="68" t="s">
        <v>119</v>
      </c>
      <c r="G3346" s="67" t="s">
        <v>296</v>
      </c>
      <c r="H3346" s="69">
        <v>-0.8</v>
      </c>
    </row>
    <row r="3347" spans="6:8">
      <c r="F3347" s="68" t="s">
        <v>119</v>
      </c>
      <c r="G3347" s="67" t="s">
        <v>297</v>
      </c>
      <c r="H3347" s="69">
        <v>-0.8</v>
      </c>
    </row>
    <row r="3348" spans="6:8">
      <c r="F3348" s="68" t="s">
        <v>120</v>
      </c>
      <c r="G3348" s="67" t="s">
        <v>297</v>
      </c>
      <c r="H3348" s="69">
        <v>-0.5</v>
      </c>
    </row>
    <row r="3349" spans="6:8">
      <c r="F3349" s="68" t="s">
        <v>121</v>
      </c>
      <c r="G3349" s="67" t="s">
        <v>297</v>
      </c>
      <c r="H3349" s="69">
        <v>-0.7</v>
      </c>
    </row>
    <row r="3350" spans="6:8">
      <c r="F3350" s="68" t="s">
        <v>251</v>
      </c>
      <c r="G3350" s="67" t="s">
        <v>297</v>
      </c>
      <c r="H3350" s="69">
        <v>0.15</v>
      </c>
    </row>
    <row r="3351" spans="6:8">
      <c r="F3351" s="68" t="s">
        <v>122</v>
      </c>
      <c r="G3351" s="67" t="s">
        <v>297</v>
      </c>
      <c r="H3351" s="69">
        <v>-0.85</v>
      </c>
    </row>
    <row r="3352" spans="6:8">
      <c r="F3352" s="68" t="s">
        <v>123</v>
      </c>
      <c r="G3352" s="67" t="s">
        <v>297</v>
      </c>
      <c r="H3352" s="69">
        <v>-0.55000000000000004</v>
      </c>
    </row>
    <row r="3353" spans="6:8">
      <c r="F3353" s="68" t="s">
        <v>124</v>
      </c>
      <c r="G3353" s="67" t="s">
        <v>297</v>
      </c>
      <c r="H3353" s="69">
        <v>-0.65</v>
      </c>
    </row>
    <row r="3354" spans="6:8">
      <c r="F3354" s="68" t="s">
        <v>252</v>
      </c>
      <c r="G3354" s="67" t="s">
        <v>297</v>
      </c>
      <c r="H3354" s="69">
        <v>0.19</v>
      </c>
    </row>
    <row r="3355" spans="6:8">
      <c r="F3355" s="68" t="s">
        <v>125</v>
      </c>
      <c r="G3355" s="67" t="s">
        <v>297</v>
      </c>
      <c r="H3355" s="69">
        <v>-0.9</v>
      </c>
    </row>
    <row r="3356" spans="6:8">
      <c r="F3356" s="68" t="s">
        <v>126</v>
      </c>
      <c r="G3356" s="67" t="s">
        <v>297</v>
      </c>
      <c r="H3356" s="69">
        <v>-0.5</v>
      </c>
    </row>
    <row r="3357" spans="6:8">
      <c r="F3357" s="68" t="s">
        <v>127</v>
      </c>
      <c r="G3357" s="67" t="s">
        <v>297</v>
      </c>
      <c r="H3357" s="69">
        <v>-0.15</v>
      </c>
    </row>
    <row r="3358" spans="6:8">
      <c r="F3358" s="68" t="s">
        <v>253</v>
      </c>
      <c r="G3358" s="67" t="s">
        <v>297</v>
      </c>
      <c r="H3358" s="69">
        <v>0.25</v>
      </c>
    </row>
    <row r="3359" spans="6:8">
      <c r="F3359" s="68" t="s">
        <v>128</v>
      </c>
      <c r="G3359" s="67" t="s">
        <v>297</v>
      </c>
      <c r="H3359" s="69">
        <v>-0.5</v>
      </c>
    </row>
    <row r="3360" spans="6:8">
      <c r="F3360" s="68" t="s">
        <v>129</v>
      </c>
      <c r="G3360" s="67" t="s">
        <v>297</v>
      </c>
      <c r="H3360" s="69">
        <v>-0.25</v>
      </c>
    </row>
    <row r="3361" spans="6:8">
      <c r="F3361" s="68" t="s">
        <v>254</v>
      </c>
      <c r="G3361" s="67" t="s">
        <v>297</v>
      </c>
      <c r="H3361" s="69">
        <v>0.33</v>
      </c>
    </row>
    <row r="3362" spans="6:8">
      <c r="F3362" s="68" t="s">
        <v>130</v>
      </c>
      <c r="G3362" s="67" t="s">
        <v>297</v>
      </c>
      <c r="H3362" s="69">
        <v>-0.75</v>
      </c>
    </row>
    <row r="3363" spans="6:8">
      <c r="F3363" s="68" t="s">
        <v>131</v>
      </c>
      <c r="G3363" s="67" t="s">
        <v>297</v>
      </c>
      <c r="H3363" s="69">
        <v>-0.35</v>
      </c>
    </row>
    <row r="3364" spans="6:8">
      <c r="F3364" s="68" t="s">
        <v>255</v>
      </c>
      <c r="G3364" s="67" t="s">
        <v>297</v>
      </c>
      <c r="H3364" s="69">
        <v>0.47</v>
      </c>
    </row>
    <row r="3365" spans="6:8">
      <c r="F3365" s="68" t="s">
        <v>132</v>
      </c>
      <c r="G3365" s="67" t="s">
        <v>297</v>
      </c>
      <c r="H3365" s="69">
        <v>-0.75</v>
      </c>
    </row>
    <row r="3366" spans="6:8">
      <c r="F3366" s="68" t="s">
        <v>133</v>
      </c>
      <c r="G3366" s="67" t="s">
        <v>297</v>
      </c>
      <c r="H3366" s="69">
        <v>-0.35</v>
      </c>
    </row>
    <row r="3367" spans="6:8">
      <c r="F3367" s="68" t="s">
        <v>256</v>
      </c>
      <c r="G3367" s="67" t="s">
        <v>297</v>
      </c>
      <c r="H3367" s="69">
        <v>0.67</v>
      </c>
    </row>
    <row r="3368" spans="6:8">
      <c r="F3368" s="68" t="s">
        <v>134</v>
      </c>
      <c r="G3368" s="67" t="s">
        <v>297</v>
      </c>
      <c r="H3368" s="69">
        <v>-0.8</v>
      </c>
    </row>
    <row r="3369" spans="6:8">
      <c r="F3369" s="68" t="s">
        <v>135</v>
      </c>
      <c r="G3369" s="67" t="s">
        <v>297</v>
      </c>
      <c r="H3369" s="69">
        <v>-0.4</v>
      </c>
    </row>
    <row r="3370" spans="6:8">
      <c r="F3370" s="68" t="s">
        <v>257</v>
      </c>
      <c r="G3370" s="67" t="s">
        <v>297</v>
      </c>
      <c r="H3370" s="69">
        <v>0.86</v>
      </c>
    </row>
    <row r="3371" spans="6:8">
      <c r="F3371" s="68" t="s">
        <v>258</v>
      </c>
      <c r="G3371" s="67" t="s">
        <v>297</v>
      </c>
      <c r="H3371" s="69">
        <v>0.1</v>
      </c>
    </row>
    <row r="3372" spans="6:8">
      <c r="F3372" s="68" t="s">
        <v>136</v>
      </c>
      <c r="G3372" s="67" t="s">
        <v>297</v>
      </c>
      <c r="H3372" s="69">
        <v>-0.8</v>
      </c>
    </row>
    <row r="3373" spans="6:8">
      <c r="F3373" s="68" t="s">
        <v>137</v>
      </c>
      <c r="G3373" s="67" t="s">
        <v>297</v>
      </c>
      <c r="H3373" s="69">
        <v>-0.5</v>
      </c>
    </row>
    <row r="3374" spans="6:8">
      <c r="F3374" s="68" t="s">
        <v>138</v>
      </c>
      <c r="G3374" s="67" t="s">
        <v>297</v>
      </c>
      <c r="H3374" s="69">
        <v>-0.7</v>
      </c>
    </row>
    <row r="3375" spans="6:8">
      <c r="F3375" s="68" t="s">
        <v>259</v>
      </c>
      <c r="G3375" s="67" t="s">
        <v>297</v>
      </c>
      <c r="H3375" s="69">
        <v>0.14000000000000001</v>
      </c>
    </row>
    <row r="3376" spans="6:8">
      <c r="F3376" s="68" t="s">
        <v>259</v>
      </c>
      <c r="G3376" s="67" t="s">
        <v>298</v>
      </c>
      <c r="H3376" s="69">
        <v>0.14000000000000001</v>
      </c>
    </row>
    <row r="3377" spans="6:8">
      <c r="F3377" s="68" t="s">
        <v>138</v>
      </c>
      <c r="G3377" s="67" t="s">
        <v>298</v>
      </c>
      <c r="H3377" s="69">
        <v>-0.7</v>
      </c>
    </row>
    <row r="3378" spans="6:8">
      <c r="F3378" s="68" t="s">
        <v>137</v>
      </c>
      <c r="G3378" s="67" t="s">
        <v>298</v>
      </c>
      <c r="H3378" s="69">
        <v>-0.5</v>
      </c>
    </row>
    <row r="3379" spans="6:8">
      <c r="F3379" s="68" t="s">
        <v>136</v>
      </c>
      <c r="G3379" s="67" t="s">
        <v>298</v>
      </c>
      <c r="H3379" s="69">
        <v>-0.8</v>
      </c>
    </row>
    <row r="3380" spans="6:8">
      <c r="F3380" s="68" t="s">
        <v>258</v>
      </c>
      <c r="G3380" s="67" t="s">
        <v>298</v>
      </c>
      <c r="H3380" s="69">
        <v>0.1</v>
      </c>
    </row>
    <row r="3381" spans="6:8">
      <c r="F3381" s="68" t="s">
        <v>257</v>
      </c>
      <c r="G3381" s="67" t="s">
        <v>298</v>
      </c>
      <c r="H3381" s="69">
        <v>0.86</v>
      </c>
    </row>
    <row r="3382" spans="6:8">
      <c r="F3382" s="68" t="s">
        <v>135</v>
      </c>
      <c r="G3382" s="67" t="s">
        <v>298</v>
      </c>
      <c r="H3382" s="69">
        <v>-0.4</v>
      </c>
    </row>
    <row r="3383" spans="6:8">
      <c r="F3383" s="68" t="s">
        <v>134</v>
      </c>
      <c r="G3383" s="67" t="s">
        <v>298</v>
      </c>
      <c r="H3383" s="69">
        <v>-0.8</v>
      </c>
    </row>
    <row r="3384" spans="6:8">
      <c r="F3384" s="68" t="s">
        <v>256</v>
      </c>
      <c r="G3384" s="67" t="s">
        <v>298</v>
      </c>
      <c r="H3384" s="69">
        <v>0.67</v>
      </c>
    </row>
    <row r="3385" spans="6:8">
      <c r="F3385" s="68" t="s">
        <v>133</v>
      </c>
      <c r="G3385" s="67" t="s">
        <v>298</v>
      </c>
      <c r="H3385" s="69">
        <v>-0.35</v>
      </c>
    </row>
    <row r="3386" spans="6:8">
      <c r="F3386" s="68" t="s">
        <v>132</v>
      </c>
      <c r="G3386" s="67" t="s">
        <v>298</v>
      </c>
      <c r="H3386" s="69">
        <v>-0.75</v>
      </c>
    </row>
    <row r="3387" spans="6:8">
      <c r="F3387" s="68" t="s">
        <v>255</v>
      </c>
      <c r="G3387" s="67" t="s">
        <v>298</v>
      </c>
      <c r="H3387" s="69">
        <v>0.47</v>
      </c>
    </row>
    <row r="3388" spans="6:8">
      <c r="F3388" s="68" t="s">
        <v>131</v>
      </c>
      <c r="G3388" s="67" t="s">
        <v>298</v>
      </c>
      <c r="H3388" s="69">
        <v>-0.35</v>
      </c>
    </row>
    <row r="3389" spans="6:8">
      <c r="F3389" s="68" t="s">
        <v>130</v>
      </c>
      <c r="G3389" s="67" t="s">
        <v>298</v>
      </c>
      <c r="H3389" s="69">
        <v>-0.75</v>
      </c>
    </row>
    <row r="3390" spans="6:8">
      <c r="F3390" s="68" t="s">
        <v>254</v>
      </c>
      <c r="G3390" s="67" t="s">
        <v>298</v>
      </c>
      <c r="H3390" s="69">
        <v>0.33</v>
      </c>
    </row>
    <row r="3391" spans="6:8">
      <c r="F3391" s="68" t="s">
        <v>129</v>
      </c>
      <c r="G3391" s="67" t="s">
        <v>298</v>
      </c>
      <c r="H3391" s="69">
        <v>-0.25</v>
      </c>
    </row>
    <row r="3392" spans="6:8">
      <c r="F3392" s="68" t="s">
        <v>128</v>
      </c>
      <c r="G3392" s="67" t="s">
        <v>298</v>
      </c>
      <c r="H3392" s="69">
        <v>-0.5</v>
      </c>
    </row>
    <row r="3393" spans="6:8">
      <c r="F3393" s="68" t="s">
        <v>253</v>
      </c>
      <c r="G3393" s="67" t="s">
        <v>298</v>
      </c>
      <c r="H3393" s="69">
        <v>0.25</v>
      </c>
    </row>
    <row r="3394" spans="6:8">
      <c r="F3394" s="68" t="s">
        <v>127</v>
      </c>
      <c r="G3394" s="67" t="s">
        <v>298</v>
      </c>
      <c r="H3394" s="69">
        <v>-0.15</v>
      </c>
    </row>
    <row r="3395" spans="6:8">
      <c r="F3395" s="68" t="s">
        <v>126</v>
      </c>
      <c r="G3395" s="67" t="s">
        <v>298</v>
      </c>
      <c r="H3395" s="69">
        <v>-0.5</v>
      </c>
    </row>
    <row r="3396" spans="6:8">
      <c r="F3396" s="68" t="s">
        <v>125</v>
      </c>
      <c r="G3396" s="67" t="s">
        <v>298</v>
      </c>
      <c r="H3396" s="69">
        <v>-0.9</v>
      </c>
    </row>
    <row r="3397" spans="6:8">
      <c r="F3397" s="68" t="s">
        <v>252</v>
      </c>
      <c r="G3397" s="67" t="s">
        <v>298</v>
      </c>
      <c r="H3397" s="69">
        <v>0.19</v>
      </c>
    </row>
    <row r="3398" spans="6:8">
      <c r="F3398" s="68" t="s">
        <v>124</v>
      </c>
      <c r="G3398" s="67" t="s">
        <v>298</v>
      </c>
      <c r="H3398" s="69">
        <v>-0.65</v>
      </c>
    </row>
    <row r="3399" spans="6:8">
      <c r="F3399" s="68" t="s">
        <v>123</v>
      </c>
      <c r="G3399" s="67" t="s">
        <v>298</v>
      </c>
      <c r="H3399" s="69">
        <v>-0.55000000000000004</v>
      </c>
    </row>
    <row r="3400" spans="6:8">
      <c r="F3400" s="68" t="s">
        <v>122</v>
      </c>
      <c r="G3400" s="67" t="s">
        <v>298</v>
      </c>
      <c r="H3400" s="69">
        <v>-0.85</v>
      </c>
    </row>
    <row r="3401" spans="6:8">
      <c r="F3401" s="68" t="s">
        <v>251</v>
      </c>
      <c r="G3401" s="67" t="s">
        <v>298</v>
      </c>
      <c r="H3401" s="69">
        <v>0.15</v>
      </c>
    </row>
    <row r="3402" spans="6:8">
      <c r="F3402" s="68" t="s">
        <v>121</v>
      </c>
      <c r="G3402" s="67" t="s">
        <v>298</v>
      </c>
      <c r="H3402" s="69">
        <v>-0.7</v>
      </c>
    </row>
    <row r="3403" spans="6:8">
      <c r="F3403" s="68" t="s">
        <v>120</v>
      </c>
      <c r="G3403" s="67" t="s">
        <v>298</v>
      </c>
      <c r="H3403" s="69">
        <v>-0.5</v>
      </c>
    </row>
    <row r="3404" spans="6:8">
      <c r="F3404" s="68" t="s">
        <v>119</v>
      </c>
      <c r="G3404" s="67" t="s">
        <v>298</v>
      </c>
      <c r="H3404" s="69">
        <v>-0.8</v>
      </c>
    </row>
    <row r="3405" spans="6:8">
      <c r="F3405" s="68" t="s">
        <v>119</v>
      </c>
      <c r="G3405" s="67" t="s">
        <v>299</v>
      </c>
      <c r="H3405" s="69">
        <v>-0.8</v>
      </c>
    </row>
    <row r="3406" spans="6:8">
      <c r="F3406" s="68" t="s">
        <v>120</v>
      </c>
      <c r="G3406" s="67" t="s">
        <v>299</v>
      </c>
      <c r="H3406" s="69">
        <v>-0.5</v>
      </c>
    </row>
    <row r="3407" spans="6:8">
      <c r="F3407" s="68" t="s">
        <v>121</v>
      </c>
      <c r="G3407" s="67" t="s">
        <v>299</v>
      </c>
      <c r="H3407" s="69">
        <v>-0.7</v>
      </c>
    </row>
    <row r="3408" spans="6:8">
      <c r="F3408" s="68" t="s">
        <v>251</v>
      </c>
      <c r="G3408" s="67" t="s">
        <v>299</v>
      </c>
      <c r="H3408" s="69">
        <v>0.15</v>
      </c>
    </row>
    <row r="3409" spans="6:8">
      <c r="F3409" s="68" t="s">
        <v>122</v>
      </c>
      <c r="G3409" s="67" t="s">
        <v>299</v>
      </c>
      <c r="H3409" s="69">
        <v>-0.85</v>
      </c>
    </row>
    <row r="3410" spans="6:8">
      <c r="F3410" s="68" t="s">
        <v>123</v>
      </c>
      <c r="G3410" s="67" t="s">
        <v>299</v>
      </c>
      <c r="H3410" s="69">
        <v>-0.55000000000000004</v>
      </c>
    </row>
    <row r="3411" spans="6:8">
      <c r="F3411" s="68" t="s">
        <v>124</v>
      </c>
      <c r="G3411" s="67" t="s">
        <v>299</v>
      </c>
      <c r="H3411" s="69">
        <v>-0.65</v>
      </c>
    </row>
    <row r="3412" spans="6:8">
      <c r="F3412" s="68" t="s">
        <v>252</v>
      </c>
      <c r="G3412" s="67" t="s">
        <v>299</v>
      </c>
      <c r="H3412" s="69">
        <v>0.19</v>
      </c>
    </row>
    <row r="3413" spans="6:8">
      <c r="F3413" s="68" t="s">
        <v>125</v>
      </c>
      <c r="G3413" s="67" t="s">
        <v>299</v>
      </c>
      <c r="H3413" s="69">
        <v>-0.9</v>
      </c>
    </row>
    <row r="3414" spans="6:8">
      <c r="F3414" s="68" t="s">
        <v>126</v>
      </c>
      <c r="G3414" s="67" t="s">
        <v>299</v>
      </c>
      <c r="H3414" s="69">
        <v>-0.5</v>
      </c>
    </row>
    <row r="3415" spans="6:8">
      <c r="F3415" s="68" t="s">
        <v>127</v>
      </c>
      <c r="G3415" s="67" t="s">
        <v>299</v>
      </c>
      <c r="H3415" s="69">
        <v>-0.15</v>
      </c>
    </row>
    <row r="3416" spans="6:8">
      <c r="F3416" s="68" t="s">
        <v>253</v>
      </c>
      <c r="G3416" s="67" t="s">
        <v>299</v>
      </c>
      <c r="H3416" s="69">
        <v>0.25</v>
      </c>
    </row>
    <row r="3417" spans="6:8">
      <c r="F3417" s="68" t="s">
        <v>128</v>
      </c>
      <c r="G3417" s="67" t="s">
        <v>299</v>
      </c>
      <c r="H3417" s="69">
        <v>-0.5</v>
      </c>
    </row>
    <row r="3418" spans="6:8">
      <c r="F3418" s="68" t="s">
        <v>129</v>
      </c>
      <c r="G3418" s="67" t="s">
        <v>299</v>
      </c>
      <c r="H3418" s="69">
        <v>-0.25</v>
      </c>
    </row>
    <row r="3419" spans="6:8">
      <c r="F3419" s="68" t="s">
        <v>254</v>
      </c>
      <c r="G3419" s="67" t="s">
        <v>299</v>
      </c>
      <c r="H3419" s="69">
        <v>0.33</v>
      </c>
    </row>
    <row r="3420" spans="6:8">
      <c r="F3420" s="68" t="s">
        <v>130</v>
      </c>
      <c r="G3420" s="67" t="s">
        <v>299</v>
      </c>
      <c r="H3420" s="69">
        <v>-0.75</v>
      </c>
    </row>
    <row r="3421" spans="6:8">
      <c r="F3421" s="68" t="s">
        <v>131</v>
      </c>
      <c r="G3421" s="67" t="s">
        <v>299</v>
      </c>
      <c r="H3421" s="69">
        <v>-0.35</v>
      </c>
    </row>
    <row r="3422" spans="6:8">
      <c r="F3422" s="68" t="s">
        <v>255</v>
      </c>
      <c r="G3422" s="67" t="s">
        <v>299</v>
      </c>
      <c r="H3422" s="69">
        <v>0.47</v>
      </c>
    </row>
    <row r="3423" spans="6:8">
      <c r="F3423" s="68" t="s">
        <v>132</v>
      </c>
      <c r="G3423" s="67" t="s">
        <v>299</v>
      </c>
      <c r="H3423" s="69">
        <v>-0.75</v>
      </c>
    </row>
    <row r="3424" spans="6:8">
      <c r="F3424" s="68" t="s">
        <v>133</v>
      </c>
      <c r="G3424" s="67" t="s">
        <v>299</v>
      </c>
      <c r="H3424" s="69">
        <v>-0.35</v>
      </c>
    </row>
    <row r="3425" spans="6:8">
      <c r="F3425" s="68" t="s">
        <v>256</v>
      </c>
      <c r="G3425" s="67" t="s">
        <v>299</v>
      </c>
      <c r="H3425" s="69">
        <v>0.67</v>
      </c>
    </row>
    <row r="3426" spans="6:8">
      <c r="F3426" s="68" t="s">
        <v>134</v>
      </c>
      <c r="G3426" s="67" t="s">
        <v>299</v>
      </c>
      <c r="H3426" s="69">
        <v>-0.8</v>
      </c>
    </row>
    <row r="3427" spans="6:8">
      <c r="F3427" s="68" t="s">
        <v>135</v>
      </c>
      <c r="G3427" s="67" t="s">
        <v>299</v>
      </c>
      <c r="H3427" s="69">
        <v>-0.4</v>
      </c>
    </row>
    <row r="3428" spans="6:8">
      <c r="F3428" s="68" t="s">
        <v>257</v>
      </c>
      <c r="G3428" s="67" t="s">
        <v>299</v>
      </c>
      <c r="H3428" s="69">
        <v>0.86</v>
      </c>
    </row>
    <row r="3429" spans="6:8">
      <c r="F3429" s="68" t="s">
        <v>258</v>
      </c>
      <c r="G3429" s="67" t="s">
        <v>299</v>
      </c>
      <c r="H3429" s="69">
        <v>0.1</v>
      </c>
    </row>
    <row r="3430" spans="6:8">
      <c r="F3430" s="68" t="s">
        <v>136</v>
      </c>
      <c r="G3430" s="67" t="s">
        <v>299</v>
      </c>
      <c r="H3430" s="69">
        <v>-0.8</v>
      </c>
    </row>
    <row r="3431" spans="6:8">
      <c r="F3431" s="68" t="s">
        <v>137</v>
      </c>
      <c r="G3431" s="67" t="s">
        <v>299</v>
      </c>
      <c r="H3431" s="69">
        <v>-0.5</v>
      </c>
    </row>
    <row r="3432" spans="6:8">
      <c r="F3432" s="68" t="s">
        <v>138</v>
      </c>
      <c r="G3432" s="67" t="s">
        <v>299</v>
      </c>
      <c r="H3432" s="69">
        <v>-0.7</v>
      </c>
    </row>
    <row r="3433" spans="6:8">
      <c r="F3433" s="68" t="s">
        <v>259</v>
      </c>
      <c r="G3433" s="67" t="s">
        <v>299</v>
      </c>
      <c r="H3433" s="69">
        <v>0.14000000000000001</v>
      </c>
    </row>
    <row r="3434" spans="6:8">
      <c r="F3434" s="68" t="s">
        <v>259</v>
      </c>
      <c r="G3434" s="67" t="s">
        <v>300</v>
      </c>
      <c r="H3434" s="69">
        <v>0.14000000000000001</v>
      </c>
    </row>
    <row r="3435" spans="6:8">
      <c r="F3435" s="68" t="s">
        <v>138</v>
      </c>
      <c r="G3435" s="67" t="s">
        <v>300</v>
      </c>
      <c r="H3435" s="69">
        <v>-0.65</v>
      </c>
    </row>
    <row r="3436" spans="6:8">
      <c r="F3436" s="68" t="s">
        <v>137</v>
      </c>
      <c r="G3436" s="67" t="s">
        <v>300</v>
      </c>
      <c r="H3436" s="69">
        <v>-0.5</v>
      </c>
    </row>
    <row r="3437" spans="6:8">
      <c r="F3437" s="68" t="s">
        <v>136</v>
      </c>
      <c r="G3437" s="67" t="s">
        <v>300</v>
      </c>
      <c r="H3437" s="69">
        <v>-0.75</v>
      </c>
    </row>
    <row r="3438" spans="6:8">
      <c r="F3438" s="68" t="s">
        <v>258</v>
      </c>
      <c r="G3438" s="67" t="s">
        <v>300</v>
      </c>
      <c r="H3438" s="69">
        <v>0.1</v>
      </c>
    </row>
    <row r="3439" spans="6:8">
      <c r="F3439" s="68" t="s">
        <v>257</v>
      </c>
      <c r="G3439" s="67" t="s">
        <v>300</v>
      </c>
      <c r="H3439" s="69">
        <v>0.87</v>
      </c>
    </row>
    <row r="3440" spans="6:8">
      <c r="F3440" s="68" t="s">
        <v>135</v>
      </c>
      <c r="G3440" s="67" t="s">
        <v>300</v>
      </c>
      <c r="H3440" s="69">
        <v>-0.4</v>
      </c>
    </row>
    <row r="3441" spans="6:8">
      <c r="F3441" s="68" t="s">
        <v>134</v>
      </c>
      <c r="G3441" s="67" t="s">
        <v>300</v>
      </c>
      <c r="H3441" s="69">
        <v>-0.75</v>
      </c>
    </row>
    <row r="3442" spans="6:8">
      <c r="F3442" s="68" t="s">
        <v>256</v>
      </c>
      <c r="G3442" s="67" t="s">
        <v>300</v>
      </c>
      <c r="H3442" s="69">
        <v>0.68</v>
      </c>
    </row>
    <row r="3443" spans="6:8">
      <c r="F3443" s="68" t="s">
        <v>133</v>
      </c>
      <c r="G3443" s="67" t="s">
        <v>300</v>
      </c>
      <c r="H3443" s="69">
        <v>-0.35</v>
      </c>
    </row>
    <row r="3444" spans="6:8">
      <c r="F3444" s="68" t="s">
        <v>132</v>
      </c>
      <c r="G3444" s="67" t="s">
        <v>300</v>
      </c>
      <c r="H3444" s="69">
        <v>-0.7</v>
      </c>
    </row>
    <row r="3445" spans="6:8">
      <c r="F3445" s="68" t="s">
        <v>255</v>
      </c>
      <c r="G3445" s="67" t="s">
        <v>300</v>
      </c>
      <c r="H3445" s="69">
        <v>0.48</v>
      </c>
    </row>
    <row r="3446" spans="6:8">
      <c r="F3446" s="68" t="s">
        <v>131</v>
      </c>
      <c r="G3446" s="67" t="s">
        <v>300</v>
      </c>
      <c r="H3446" s="69">
        <v>-0.35</v>
      </c>
    </row>
    <row r="3447" spans="6:8">
      <c r="F3447" s="68" t="s">
        <v>130</v>
      </c>
      <c r="G3447" s="67" t="s">
        <v>300</v>
      </c>
      <c r="H3447" s="69">
        <v>-0.75</v>
      </c>
    </row>
    <row r="3448" spans="6:8">
      <c r="F3448" s="68" t="s">
        <v>254</v>
      </c>
      <c r="G3448" s="67" t="s">
        <v>300</v>
      </c>
      <c r="H3448" s="69">
        <v>0.34</v>
      </c>
    </row>
    <row r="3449" spans="6:8">
      <c r="F3449" s="68" t="s">
        <v>129</v>
      </c>
      <c r="G3449" s="67" t="s">
        <v>300</v>
      </c>
      <c r="H3449" s="69">
        <v>-0.25</v>
      </c>
    </row>
    <row r="3450" spans="6:8">
      <c r="F3450" s="68" t="s">
        <v>128</v>
      </c>
      <c r="G3450" s="67" t="s">
        <v>300</v>
      </c>
      <c r="H3450" s="69">
        <v>-0.5</v>
      </c>
    </row>
    <row r="3451" spans="6:8">
      <c r="F3451" s="68" t="s">
        <v>253</v>
      </c>
      <c r="G3451" s="67" t="s">
        <v>300</v>
      </c>
      <c r="H3451" s="69">
        <v>0.25</v>
      </c>
    </row>
    <row r="3452" spans="6:8">
      <c r="F3452" s="68" t="s">
        <v>127</v>
      </c>
      <c r="G3452" s="67" t="s">
        <v>300</v>
      </c>
      <c r="H3452" s="69">
        <v>-0.15</v>
      </c>
    </row>
    <row r="3453" spans="6:8">
      <c r="F3453" s="68" t="s">
        <v>126</v>
      </c>
      <c r="G3453" s="67" t="s">
        <v>300</v>
      </c>
      <c r="H3453" s="69">
        <v>-0.5</v>
      </c>
    </row>
    <row r="3454" spans="6:8">
      <c r="F3454" s="68" t="s">
        <v>125</v>
      </c>
      <c r="G3454" s="67" t="s">
        <v>300</v>
      </c>
      <c r="H3454" s="69">
        <v>-0.85</v>
      </c>
    </row>
    <row r="3455" spans="6:8">
      <c r="F3455" s="68" t="s">
        <v>252</v>
      </c>
      <c r="G3455" s="67" t="s">
        <v>300</v>
      </c>
      <c r="H3455" s="69">
        <v>0.2</v>
      </c>
    </row>
    <row r="3456" spans="6:8">
      <c r="F3456" s="68" t="s">
        <v>124</v>
      </c>
      <c r="G3456" s="67" t="s">
        <v>300</v>
      </c>
      <c r="H3456" s="69">
        <v>-0.6</v>
      </c>
    </row>
    <row r="3457" spans="6:8">
      <c r="F3457" s="68" t="s">
        <v>123</v>
      </c>
      <c r="G3457" s="67" t="s">
        <v>300</v>
      </c>
      <c r="H3457" s="69">
        <v>-0.55000000000000004</v>
      </c>
    </row>
    <row r="3458" spans="6:8">
      <c r="F3458" s="68" t="s">
        <v>122</v>
      </c>
      <c r="G3458" s="67" t="s">
        <v>300</v>
      </c>
      <c r="H3458" s="69">
        <v>-0.8</v>
      </c>
    </row>
    <row r="3459" spans="6:8">
      <c r="F3459" s="68" t="s">
        <v>251</v>
      </c>
      <c r="G3459" s="67" t="s">
        <v>300</v>
      </c>
      <c r="H3459" s="69">
        <v>0.15</v>
      </c>
    </row>
    <row r="3460" spans="6:8">
      <c r="F3460" s="68" t="s">
        <v>121</v>
      </c>
      <c r="G3460" s="67" t="s">
        <v>300</v>
      </c>
      <c r="H3460" s="69">
        <v>-0.65</v>
      </c>
    </row>
    <row r="3461" spans="6:8">
      <c r="F3461" s="68" t="s">
        <v>120</v>
      </c>
      <c r="G3461" s="67" t="s">
        <v>300</v>
      </c>
      <c r="H3461" s="69">
        <v>-0.5</v>
      </c>
    </row>
    <row r="3462" spans="6:8">
      <c r="F3462" s="68" t="s">
        <v>119</v>
      </c>
      <c r="G3462" s="67" t="s">
        <v>300</v>
      </c>
      <c r="H3462" s="69">
        <v>-0.75</v>
      </c>
    </row>
    <row r="3463" spans="6:8">
      <c r="F3463" s="68" t="s">
        <v>119</v>
      </c>
      <c r="G3463" s="67" t="s">
        <v>301</v>
      </c>
      <c r="H3463" s="69">
        <v>-0.75</v>
      </c>
    </row>
    <row r="3464" spans="6:8">
      <c r="F3464" s="68" t="s">
        <v>120</v>
      </c>
      <c r="G3464" s="67" t="s">
        <v>301</v>
      </c>
      <c r="H3464" s="69">
        <v>-0.5</v>
      </c>
    </row>
    <row r="3465" spans="6:8">
      <c r="F3465" s="68" t="s">
        <v>121</v>
      </c>
      <c r="G3465" s="67" t="s">
        <v>301</v>
      </c>
      <c r="H3465" s="69">
        <v>-0.65</v>
      </c>
    </row>
    <row r="3466" spans="6:8">
      <c r="F3466" s="68" t="s">
        <v>251</v>
      </c>
      <c r="G3466" s="67" t="s">
        <v>301</v>
      </c>
      <c r="H3466" s="69">
        <v>0.16</v>
      </c>
    </row>
    <row r="3467" spans="6:8">
      <c r="F3467" s="68" t="s">
        <v>122</v>
      </c>
      <c r="G3467" s="67" t="s">
        <v>301</v>
      </c>
      <c r="H3467" s="69">
        <v>-0.8</v>
      </c>
    </row>
    <row r="3468" spans="6:8">
      <c r="F3468" s="68" t="s">
        <v>123</v>
      </c>
      <c r="G3468" s="67" t="s">
        <v>301</v>
      </c>
      <c r="H3468" s="69">
        <v>-0.55000000000000004</v>
      </c>
    </row>
    <row r="3469" spans="6:8">
      <c r="F3469" s="68" t="s">
        <v>124</v>
      </c>
      <c r="G3469" s="67" t="s">
        <v>301</v>
      </c>
      <c r="H3469" s="69">
        <v>-0.6</v>
      </c>
    </row>
    <row r="3470" spans="6:8">
      <c r="F3470" s="68" t="s">
        <v>252</v>
      </c>
      <c r="G3470" s="67" t="s">
        <v>301</v>
      </c>
      <c r="H3470" s="69">
        <v>0.21</v>
      </c>
    </row>
    <row r="3471" spans="6:8">
      <c r="F3471" s="68" t="s">
        <v>125</v>
      </c>
      <c r="G3471" s="67" t="s">
        <v>301</v>
      </c>
      <c r="H3471" s="69">
        <v>-0.85</v>
      </c>
    </row>
    <row r="3472" spans="6:8">
      <c r="F3472" s="68" t="s">
        <v>126</v>
      </c>
      <c r="G3472" s="67" t="s">
        <v>301</v>
      </c>
      <c r="H3472" s="69">
        <v>-0.5</v>
      </c>
    </row>
    <row r="3473" spans="6:8">
      <c r="F3473" s="68" t="s">
        <v>127</v>
      </c>
      <c r="G3473" s="67" t="s">
        <v>301</v>
      </c>
      <c r="H3473" s="69">
        <v>-0.15</v>
      </c>
    </row>
    <row r="3474" spans="6:8">
      <c r="F3474" s="68" t="s">
        <v>253</v>
      </c>
      <c r="G3474" s="67" t="s">
        <v>301</v>
      </c>
      <c r="H3474" s="69">
        <v>0.26</v>
      </c>
    </row>
    <row r="3475" spans="6:8">
      <c r="F3475" s="68" t="s">
        <v>128</v>
      </c>
      <c r="G3475" s="67" t="s">
        <v>301</v>
      </c>
      <c r="H3475" s="69">
        <v>-0.5</v>
      </c>
    </row>
    <row r="3476" spans="6:8">
      <c r="F3476" s="68" t="s">
        <v>129</v>
      </c>
      <c r="G3476" s="67" t="s">
        <v>301</v>
      </c>
      <c r="H3476" s="69">
        <v>-0.25</v>
      </c>
    </row>
    <row r="3477" spans="6:8">
      <c r="F3477" s="68" t="s">
        <v>254</v>
      </c>
      <c r="G3477" s="67" t="s">
        <v>301</v>
      </c>
      <c r="H3477" s="69">
        <v>0.35</v>
      </c>
    </row>
    <row r="3478" spans="6:8">
      <c r="F3478" s="68" t="s">
        <v>130</v>
      </c>
      <c r="G3478" s="67" t="s">
        <v>301</v>
      </c>
      <c r="H3478" s="69">
        <v>-0.75</v>
      </c>
    </row>
    <row r="3479" spans="6:8">
      <c r="F3479" s="68" t="s">
        <v>131</v>
      </c>
      <c r="G3479" s="67" t="s">
        <v>301</v>
      </c>
      <c r="H3479" s="69">
        <v>-0.35</v>
      </c>
    </row>
    <row r="3480" spans="6:8">
      <c r="F3480" s="68" t="s">
        <v>255</v>
      </c>
      <c r="G3480" s="67" t="s">
        <v>301</v>
      </c>
      <c r="H3480" s="69">
        <v>0.49</v>
      </c>
    </row>
    <row r="3481" spans="6:8">
      <c r="F3481" s="68" t="s">
        <v>132</v>
      </c>
      <c r="G3481" s="67" t="s">
        <v>301</v>
      </c>
      <c r="H3481" s="69">
        <v>-0.7</v>
      </c>
    </row>
    <row r="3482" spans="6:8">
      <c r="F3482" s="68" t="s">
        <v>133</v>
      </c>
      <c r="G3482" s="67" t="s">
        <v>301</v>
      </c>
      <c r="H3482" s="69">
        <v>-0.35</v>
      </c>
    </row>
    <row r="3483" spans="6:8">
      <c r="F3483" s="68" t="s">
        <v>256</v>
      </c>
      <c r="G3483" s="67" t="s">
        <v>301</v>
      </c>
      <c r="H3483" s="69">
        <v>0.69</v>
      </c>
    </row>
    <row r="3484" spans="6:8">
      <c r="F3484" s="68" t="s">
        <v>134</v>
      </c>
      <c r="G3484" s="67" t="s">
        <v>301</v>
      </c>
      <c r="H3484" s="69">
        <v>-0.75</v>
      </c>
    </row>
    <row r="3485" spans="6:8">
      <c r="F3485" s="68" t="s">
        <v>135</v>
      </c>
      <c r="G3485" s="67" t="s">
        <v>301</v>
      </c>
      <c r="H3485" s="69">
        <v>-0.4</v>
      </c>
    </row>
    <row r="3486" spans="6:8">
      <c r="F3486" s="68" t="s">
        <v>257</v>
      </c>
      <c r="G3486" s="67" t="s">
        <v>301</v>
      </c>
      <c r="H3486" s="69">
        <v>0.88</v>
      </c>
    </row>
    <row r="3487" spans="6:8">
      <c r="F3487" s="68" t="s">
        <v>258</v>
      </c>
      <c r="G3487" s="67" t="s">
        <v>301</v>
      </c>
      <c r="H3487" s="69">
        <v>0.1</v>
      </c>
    </row>
    <row r="3488" spans="6:8">
      <c r="F3488" s="68" t="s">
        <v>136</v>
      </c>
      <c r="G3488" s="67" t="s">
        <v>301</v>
      </c>
      <c r="H3488" s="69">
        <v>-0.75</v>
      </c>
    </row>
    <row r="3489" spans="6:8">
      <c r="F3489" s="68" t="s">
        <v>137</v>
      </c>
      <c r="G3489" s="67" t="s">
        <v>301</v>
      </c>
      <c r="H3489" s="69">
        <v>-0.5</v>
      </c>
    </row>
    <row r="3490" spans="6:8">
      <c r="F3490" s="68" t="s">
        <v>138</v>
      </c>
      <c r="G3490" s="67" t="s">
        <v>301</v>
      </c>
      <c r="H3490" s="69">
        <v>-0.65</v>
      </c>
    </row>
    <row r="3491" spans="6:8">
      <c r="F3491" s="68" t="s">
        <v>259</v>
      </c>
      <c r="G3491" s="67" t="s">
        <v>301</v>
      </c>
      <c r="H3491" s="69">
        <v>0.14000000000000001</v>
      </c>
    </row>
    <row r="3492" spans="6:8">
      <c r="F3492" s="68" t="s">
        <v>259</v>
      </c>
      <c r="G3492" s="67" t="s">
        <v>302</v>
      </c>
      <c r="H3492" s="69">
        <v>0.14000000000000001</v>
      </c>
    </row>
    <row r="3493" spans="6:8">
      <c r="F3493" s="68" t="s">
        <v>138</v>
      </c>
      <c r="G3493" s="67" t="s">
        <v>302</v>
      </c>
      <c r="H3493" s="69">
        <v>-0.65</v>
      </c>
    </row>
    <row r="3494" spans="6:8">
      <c r="F3494" s="68" t="s">
        <v>137</v>
      </c>
      <c r="G3494" s="67" t="s">
        <v>302</v>
      </c>
      <c r="H3494" s="69">
        <v>-0.5</v>
      </c>
    </row>
    <row r="3495" spans="6:8">
      <c r="F3495" s="68" t="s">
        <v>136</v>
      </c>
      <c r="G3495" s="67" t="s">
        <v>302</v>
      </c>
      <c r="H3495" s="69">
        <v>-0.75</v>
      </c>
    </row>
    <row r="3496" spans="6:8">
      <c r="F3496" s="68" t="s">
        <v>258</v>
      </c>
      <c r="G3496" s="67" t="s">
        <v>302</v>
      </c>
      <c r="H3496" s="69">
        <v>0.1</v>
      </c>
    </row>
    <row r="3497" spans="6:8">
      <c r="F3497" s="68" t="s">
        <v>257</v>
      </c>
      <c r="G3497" s="67" t="s">
        <v>302</v>
      </c>
      <c r="H3497" s="69">
        <v>0.89</v>
      </c>
    </row>
    <row r="3498" spans="6:8">
      <c r="F3498" s="68" t="s">
        <v>135</v>
      </c>
      <c r="G3498" s="67" t="s">
        <v>302</v>
      </c>
      <c r="H3498" s="69">
        <v>-0.4</v>
      </c>
    </row>
    <row r="3499" spans="6:8">
      <c r="F3499" s="68" t="s">
        <v>134</v>
      </c>
      <c r="G3499" s="67" t="s">
        <v>302</v>
      </c>
      <c r="H3499" s="69">
        <v>-0.75</v>
      </c>
    </row>
    <row r="3500" spans="6:8">
      <c r="F3500" s="68" t="s">
        <v>256</v>
      </c>
      <c r="G3500" s="67" t="s">
        <v>302</v>
      </c>
      <c r="H3500" s="69">
        <v>0.7</v>
      </c>
    </row>
    <row r="3501" spans="6:8">
      <c r="F3501" s="68" t="s">
        <v>133</v>
      </c>
      <c r="G3501" s="67" t="s">
        <v>302</v>
      </c>
      <c r="H3501" s="69">
        <v>-0.35</v>
      </c>
    </row>
    <row r="3502" spans="6:8">
      <c r="F3502" s="68" t="s">
        <v>132</v>
      </c>
      <c r="G3502" s="67" t="s">
        <v>302</v>
      </c>
      <c r="H3502" s="69">
        <v>-0.7</v>
      </c>
    </row>
    <row r="3503" spans="6:8">
      <c r="F3503" s="68" t="s">
        <v>255</v>
      </c>
      <c r="G3503" s="67" t="s">
        <v>302</v>
      </c>
      <c r="H3503" s="69">
        <v>0.5</v>
      </c>
    </row>
    <row r="3504" spans="6:8">
      <c r="F3504" s="68" t="s">
        <v>303</v>
      </c>
      <c r="G3504" s="67" t="s">
        <v>302</v>
      </c>
      <c r="H3504" s="69">
        <v>18.5</v>
      </c>
    </row>
    <row r="3505" spans="6:8">
      <c r="F3505" s="68" t="s">
        <v>131</v>
      </c>
      <c r="G3505" s="67" t="s">
        <v>302</v>
      </c>
      <c r="H3505" s="69">
        <v>-0.35</v>
      </c>
    </row>
    <row r="3506" spans="6:8">
      <c r="F3506" s="68" t="s">
        <v>130</v>
      </c>
      <c r="G3506" s="67" t="s">
        <v>302</v>
      </c>
      <c r="H3506" s="69">
        <v>-0.75</v>
      </c>
    </row>
    <row r="3507" spans="6:8">
      <c r="F3507" s="68" t="s">
        <v>254</v>
      </c>
      <c r="G3507" s="67" t="s">
        <v>302</v>
      </c>
      <c r="H3507" s="69">
        <v>0.36</v>
      </c>
    </row>
    <row r="3508" spans="6:8">
      <c r="F3508" s="68" t="s">
        <v>304</v>
      </c>
      <c r="G3508" s="67" t="s">
        <v>302</v>
      </c>
      <c r="H3508" s="69">
        <v>18.125</v>
      </c>
    </row>
    <row r="3509" spans="6:8">
      <c r="F3509" s="68" t="s">
        <v>129</v>
      </c>
      <c r="G3509" s="67" t="s">
        <v>302</v>
      </c>
      <c r="H3509" s="69">
        <v>-0.25</v>
      </c>
    </row>
    <row r="3510" spans="6:8">
      <c r="F3510" s="68" t="s">
        <v>128</v>
      </c>
      <c r="G3510" s="67" t="s">
        <v>302</v>
      </c>
      <c r="H3510" s="69">
        <v>-0.5</v>
      </c>
    </row>
    <row r="3511" spans="6:8">
      <c r="F3511" s="68" t="s">
        <v>253</v>
      </c>
      <c r="G3511" s="67" t="s">
        <v>302</v>
      </c>
      <c r="H3511" s="69">
        <v>0.27</v>
      </c>
    </row>
    <row r="3512" spans="6:8">
      <c r="F3512" s="68" t="s">
        <v>127</v>
      </c>
      <c r="G3512" s="67" t="s">
        <v>302</v>
      </c>
      <c r="H3512" s="69">
        <v>-0.15</v>
      </c>
    </row>
    <row r="3513" spans="6:8">
      <c r="F3513" s="68" t="s">
        <v>126</v>
      </c>
      <c r="G3513" s="67" t="s">
        <v>302</v>
      </c>
      <c r="H3513" s="69">
        <v>-0.5</v>
      </c>
    </row>
    <row r="3514" spans="6:8">
      <c r="F3514" s="68" t="s">
        <v>125</v>
      </c>
      <c r="G3514" s="67" t="s">
        <v>302</v>
      </c>
      <c r="H3514" s="69">
        <v>-0.85</v>
      </c>
    </row>
    <row r="3515" spans="6:8">
      <c r="F3515" s="68" t="s">
        <v>252</v>
      </c>
      <c r="G3515" s="67" t="s">
        <v>302</v>
      </c>
      <c r="H3515" s="69">
        <v>0.21</v>
      </c>
    </row>
    <row r="3516" spans="6:8">
      <c r="F3516" s="68" t="s">
        <v>124</v>
      </c>
      <c r="G3516" s="67" t="s">
        <v>302</v>
      </c>
      <c r="H3516" s="69">
        <v>-0.6</v>
      </c>
    </row>
    <row r="3517" spans="6:8">
      <c r="F3517" s="68" t="s">
        <v>123</v>
      </c>
      <c r="G3517" s="67" t="s">
        <v>302</v>
      </c>
      <c r="H3517" s="69">
        <v>-0.55000000000000004</v>
      </c>
    </row>
    <row r="3518" spans="6:8">
      <c r="F3518" s="68" t="s">
        <v>122</v>
      </c>
      <c r="G3518" s="67" t="s">
        <v>302</v>
      </c>
      <c r="H3518" s="69">
        <v>-0.8</v>
      </c>
    </row>
    <row r="3519" spans="6:8">
      <c r="F3519" s="68" t="s">
        <v>251</v>
      </c>
      <c r="G3519" s="67" t="s">
        <v>302</v>
      </c>
      <c r="H3519" s="69">
        <v>0.16</v>
      </c>
    </row>
    <row r="3520" spans="6:8">
      <c r="F3520" s="68" t="s">
        <v>121</v>
      </c>
      <c r="G3520" s="67" t="s">
        <v>302</v>
      </c>
      <c r="H3520" s="69">
        <v>-0.65</v>
      </c>
    </row>
    <row r="3521" spans="6:8">
      <c r="F3521" s="68" t="s">
        <v>120</v>
      </c>
      <c r="G3521" s="67" t="s">
        <v>302</v>
      </c>
      <c r="H3521" s="69">
        <v>-0.5</v>
      </c>
    </row>
    <row r="3522" spans="6:8">
      <c r="F3522" s="68" t="s">
        <v>119</v>
      </c>
      <c r="G3522" s="67" t="s">
        <v>302</v>
      </c>
      <c r="H3522" s="69">
        <v>-0.75</v>
      </c>
    </row>
    <row r="3523" spans="6:8">
      <c r="F3523" s="68" t="s">
        <v>119</v>
      </c>
      <c r="G3523" s="67" t="s">
        <v>305</v>
      </c>
      <c r="H3523" s="69">
        <v>-0.75</v>
      </c>
    </row>
    <row r="3524" spans="6:8">
      <c r="F3524" s="68" t="s">
        <v>120</v>
      </c>
      <c r="G3524" s="67" t="s">
        <v>305</v>
      </c>
      <c r="H3524" s="69">
        <v>-0.5</v>
      </c>
    </row>
    <row r="3525" spans="6:8">
      <c r="F3525" s="68" t="s">
        <v>121</v>
      </c>
      <c r="G3525" s="67" t="s">
        <v>305</v>
      </c>
      <c r="H3525" s="69">
        <v>-0.65</v>
      </c>
    </row>
    <row r="3526" spans="6:8">
      <c r="F3526" s="68" t="s">
        <v>251</v>
      </c>
      <c r="G3526" s="67" t="s">
        <v>305</v>
      </c>
      <c r="H3526" s="69">
        <v>0.16</v>
      </c>
    </row>
    <row r="3527" spans="6:8">
      <c r="F3527" s="68" t="s">
        <v>122</v>
      </c>
      <c r="G3527" s="67" t="s">
        <v>305</v>
      </c>
      <c r="H3527" s="69">
        <v>-0.8</v>
      </c>
    </row>
    <row r="3528" spans="6:8">
      <c r="F3528" s="68" t="s">
        <v>123</v>
      </c>
      <c r="G3528" s="67" t="s">
        <v>305</v>
      </c>
      <c r="H3528" s="69">
        <v>-0.55000000000000004</v>
      </c>
    </row>
    <row r="3529" spans="6:8">
      <c r="F3529" s="68" t="s">
        <v>124</v>
      </c>
      <c r="G3529" s="67" t="s">
        <v>305</v>
      </c>
      <c r="H3529" s="69">
        <v>-0.6</v>
      </c>
    </row>
    <row r="3530" spans="6:8">
      <c r="F3530" s="68" t="s">
        <v>252</v>
      </c>
      <c r="G3530" s="67" t="s">
        <v>305</v>
      </c>
      <c r="H3530" s="69">
        <v>0.21</v>
      </c>
    </row>
    <row r="3531" spans="6:8">
      <c r="F3531" s="68" t="s">
        <v>125</v>
      </c>
      <c r="G3531" s="67" t="s">
        <v>305</v>
      </c>
      <c r="H3531" s="69">
        <v>-0.85</v>
      </c>
    </row>
    <row r="3532" spans="6:8">
      <c r="F3532" s="68" t="s">
        <v>126</v>
      </c>
      <c r="G3532" s="67" t="s">
        <v>305</v>
      </c>
      <c r="H3532" s="69">
        <v>-0.5</v>
      </c>
    </row>
    <row r="3533" spans="6:8">
      <c r="F3533" s="68" t="s">
        <v>127</v>
      </c>
      <c r="G3533" s="67" t="s">
        <v>305</v>
      </c>
      <c r="H3533" s="69">
        <v>-0.15</v>
      </c>
    </row>
    <row r="3534" spans="6:8">
      <c r="F3534" s="68" t="s">
        <v>253</v>
      </c>
      <c r="G3534" s="67" t="s">
        <v>305</v>
      </c>
      <c r="H3534" s="69">
        <v>0.27</v>
      </c>
    </row>
    <row r="3535" spans="6:8">
      <c r="F3535" s="68" t="s">
        <v>128</v>
      </c>
      <c r="G3535" s="67" t="s">
        <v>305</v>
      </c>
      <c r="H3535" s="69">
        <v>-0.5</v>
      </c>
    </row>
    <row r="3536" spans="6:8">
      <c r="F3536" s="68" t="s">
        <v>129</v>
      </c>
      <c r="G3536" s="67" t="s">
        <v>305</v>
      </c>
      <c r="H3536" s="69">
        <v>-0.25</v>
      </c>
    </row>
    <row r="3537" spans="6:8">
      <c r="F3537" s="68" t="s">
        <v>254</v>
      </c>
      <c r="G3537" s="67" t="s">
        <v>305</v>
      </c>
      <c r="H3537" s="69">
        <v>0.36</v>
      </c>
    </row>
    <row r="3538" spans="6:8">
      <c r="F3538" s="68" t="s">
        <v>130</v>
      </c>
      <c r="G3538" s="67" t="s">
        <v>305</v>
      </c>
      <c r="H3538" s="69">
        <v>-0.75</v>
      </c>
    </row>
    <row r="3539" spans="6:8">
      <c r="F3539" s="68" t="s">
        <v>131</v>
      </c>
      <c r="G3539" s="67" t="s">
        <v>305</v>
      </c>
      <c r="H3539" s="69">
        <v>-0.35</v>
      </c>
    </row>
    <row r="3540" spans="6:8">
      <c r="F3540" s="68" t="s">
        <v>255</v>
      </c>
      <c r="G3540" s="67" t="s">
        <v>305</v>
      </c>
      <c r="H3540" s="69">
        <v>0.5</v>
      </c>
    </row>
    <row r="3541" spans="6:8">
      <c r="F3541" s="68" t="s">
        <v>132</v>
      </c>
      <c r="G3541" s="67" t="s">
        <v>305</v>
      </c>
      <c r="H3541" s="69">
        <v>-0.7</v>
      </c>
    </row>
    <row r="3542" spans="6:8">
      <c r="F3542" s="68" t="s">
        <v>133</v>
      </c>
      <c r="G3542" s="67" t="s">
        <v>305</v>
      </c>
      <c r="H3542" s="69">
        <v>-0.35</v>
      </c>
    </row>
    <row r="3543" spans="6:8">
      <c r="F3543" s="68" t="s">
        <v>256</v>
      </c>
      <c r="G3543" s="67" t="s">
        <v>305</v>
      </c>
      <c r="H3543" s="69">
        <v>0.7</v>
      </c>
    </row>
    <row r="3544" spans="6:8">
      <c r="F3544" s="68" t="s">
        <v>134</v>
      </c>
      <c r="G3544" s="67" t="s">
        <v>305</v>
      </c>
      <c r="H3544" s="69">
        <v>-0.75</v>
      </c>
    </row>
    <row r="3545" spans="6:8">
      <c r="F3545" s="68" t="s">
        <v>135</v>
      </c>
      <c r="G3545" s="67" t="s">
        <v>305</v>
      </c>
      <c r="H3545" s="69">
        <v>-0.4</v>
      </c>
    </row>
    <row r="3546" spans="6:8">
      <c r="F3546" s="68" t="s">
        <v>257</v>
      </c>
      <c r="G3546" s="67" t="s">
        <v>305</v>
      </c>
      <c r="H3546" s="69">
        <v>0.89</v>
      </c>
    </row>
    <row r="3547" spans="6:8">
      <c r="F3547" s="68" t="s">
        <v>258</v>
      </c>
      <c r="G3547" s="67" t="s">
        <v>305</v>
      </c>
      <c r="H3547" s="69">
        <v>0.1</v>
      </c>
    </row>
    <row r="3548" spans="6:8">
      <c r="F3548" s="68" t="s">
        <v>136</v>
      </c>
      <c r="G3548" s="67" t="s">
        <v>305</v>
      </c>
      <c r="H3548" s="69">
        <v>-0.75</v>
      </c>
    </row>
    <row r="3549" spans="6:8">
      <c r="F3549" s="68" t="s">
        <v>137</v>
      </c>
      <c r="G3549" s="67" t="s">
        <v>305</v>
      </c>
      <c r="H3549" s="69">
        <v>-0.5</v>
      </c>
    </row>
    <row r="3550" spans="6:8">
      <c r="F3550" s="68" t="s">
        <v>138</v>
      </c>
      <c r="G3550" s="67" t="s">
        <v>305</v>
      </c>
      <c r="H3550" s="69">
        <v>-0.65</v>
      </c>
    </row>
    <row r="3551" spans="6:8">
      <c r="F3551" s="68" t="s">
        <v>259</v>
      </c>
      <c r="G3551" s="67" t="s">
        <v>305</v>
      </c>
      <c r="H3551" s="69">
        <v>0.14000000000000001</v>
      </c>
    </row>
    <row r="3552" spans="6:8">
      <c r="F3552" s="68" t="s">
        <v>259</v>
      </c>
      <c r="G3552" s="67" t="s">
        <v>306</v>
      </c>
      <c r="H3552" s="69">
        <v>0.14000000000000001</v>
      </c>
    </row>
    <row r="3553" spans="6:8">
      <c r="F3553" s="68" t="s">
        <v>138</v>
      </c>
      <c r="G3553" s="67" t="s">
        <v>306</v>
      </c>
      <c r="H3553" s="69">
        <v>-0.65</v>
      </c>
    </row>
    <row r="3554" spans="6:8">
      <c r="F3554" s="68" t="s">
        <v>137</v>
      </c>
      <c r="G3554" s="67" t="s">
        <v>306</v>
      </c>
      <c r="H3554" s="69">
        <v>-0.5</v>
      </c>
    </row>
    <row r="3555" spans="6:8">
      <c r="F3555" s="68" t="s">
        <v>136</v>
      </c>
      <c r="G3555" s="67" t="s">
        <v>306</v>
      </c>
      <c r="H3555" s="69">
        <v>-0.75</v>
      </c>
    </row>
    <row r="3556" spans="6:8">
      <c r="F3556" s="68" t="s">
        <v>258</v>
      </c>
      <c r="G3556" s="67" t="s">
        <v>306</v>
      </c>
      <c r="H3556" s="69">
        <v>0.1</v>
      </c>
    </row>
    <row r="3557" spans="6:8">
      <c r="F3557" s="68" t="s">
        <v>257</v>
      </c>
      <c r="G3557" s="67" t="s">
        <v>306</v>
      </c>
      <c r="H3557" s="69">
        <v>0.89</v>
      </c>
    </row>
    <row r="3558" spans="6:8">
      <c r="F3558" s="68" t="s">
        <v>135</v>
      </c>
      <c r="G3558" s="67" t="s">
        <v>306</v>
      </c>
      <c r="H3558" s="69">
        <v>-0.4</v>
      </c>
    </row>
    <row r="3559" spans="6:8">
      <c r="F3559" s="68" t="s">
        <v>134</v>
      </c>
      <c r="G3559" s="67" t="s">
        <v>306</v>
      </c>
      <c r="H3559" s="69">
        <v>-0.75</v>
      </c>
    </row>
    <row r="3560" spans="6:8">
      <c r="F3560" s="68" t="s">
        <v>256</v>
      </c>
      <c r="G3560" s="67" t="s">
        <v>306</v>
      </c>
      <c r="H3560" s="69">
        <v>0.7</v>
      </c>
    </row>
    <row r="3561" spans="6:8">
      <c r="F3561" s="68" t="s">
        <v>133</v>
      </c>
      <c r="G3561" s="67" t="s">
        <v>306</v>
      </c>
      <c r="H3561" s="69">
        <v>-0.35</v>
      </c>
    </row>
    <row r="3562" spans="6:8">
      <c r="F3562" s="68" t="s">
        <v>132</v>
      </c>
      <c r="G3562" s="67" t="s">
        <v>306</v>
      </c>
      <c r="H3562" s="69">
        <v>-0.7</v>
      </c>
    </row>
    <row r="3563" spans="6:8">
      <c r="F3563" s="68" t="s">
        <v>255</v>
      </c>
      <c r="G3563" s="67" t="s">
        <v>306</v>
      </c>
      <c r="H3563" s="69">
        <v>0.5</v>
      </c>
    </row>
    <row r="3564" spans="6:8">
      <c r="F3564" s="68" t="s">
        <v>131</v>
      </c>
      <c r="G3564" s="67" t="s">
        <v>306</v>
      </c>
      <c r="H3564" s="69">
        <v>-0.35</v>
      </c>
    </row>
    <row r="3565" spans="6:8">
      <c r="F3565" s="68" t="s">
        <v>130</v>
      </c>
      <c r="G3565" s="67" t="s">
        <v>306</v>
      </c>
      <c r="H3565" s="69">
        <v>-0.75</v>
      </c>
    </row>
    <row r="3566" spans="6:8">
      <c r="F3566" s="68" t="s">
        <v>254</v>
      </c>
      <c r="G3566" s="67" t="s">
        <v>306</v>
      </c>
      <c r="H3566" s="69">
        <v>0.36</v>
      </c>
    </row>
    <row r="3567" spans="6:8">
      <c r="F3567" s="68" t="s">
        <v>129</v>
      </c>
      <c r="G3567" s="67" t="s">
        <v>306</v>
      </c>
      <c r="H3567" s="69">
        <v>-0.25</v>
      </c>
    </row>
    <row r="3568" spans="6:8">
      <c r="F3568" s="68" t="s">
        <v>128</v>
      </c>
      <c r="G3568" s="67" t="s">
        <v>306</v>
      </c>
      <c r="H3568" s="69">
        <v>-0.5</v>
      </c>
    </row>
    <row r="3569" spans="6:8">
      <c r="F3569" s="68" t="s">
        <v>253</v>
      </c>
      <c r="G3569" s="67" t="s">
        <v>306</v>
      </c>
      <c r="H3569" s="69">
        <v>0.27</v>
      </c>
    </row>
    <row r="3570" spans="6:8">
      <c r="F3570" s="68" t="s">
        <v>127</v>
      </c>
      <c r="G3570" s="67" t="s">
        <v>306</v>
      </c>
      <c r="H3570" s="69">
        <v>-0.15</v>
      </c>
    </row>
    <row r="3571" spans="6:8">
      <c r="F3571" s="68" t="s">
        <v>126</v>
      </c>
      <c r="G3571" s="67" t="s">
        <v>306</v>
      </c>
      <c r="H3571" s="69">
        <v>-0.5</v>
      </c>
    </row>
    <row r="3572" spans="6:8">
      <c r="F3572" s="68" t="s">
        <v>125</v>
      </c>
      <c r="G3572" s="67" t="s">
        <v>306</v>
      </c>
      <c r="H3572" s="69">
        <v>-0.85</v>
      </c>
    </row>
    <row r="3573" spans="6:8">
      <c r="F3573" s="68" t="s">
        <v>252</v>
      </c>
      <c r="G3573" s="67" t="s">
        <v>306</v>
      </c>
      <c r="H3573" s="69">
        <v>0.21</v>
      </c>
    </row>
    <row r="3574" spans="6:8">
      <c r="F3574" s="68" t="s">
        <v>124</v>
      </c>
      <c r="G3574" s="67" t="s">
        <v>306</v>
      </c>
      <c r="H3574" s="69">
        <v>-0.6</v>
      </c>
    </row>
    <row r="3575" spans="6:8">
      <c r="F3575" s="68" t="s">
        <v>123</v>
      </c>
      <c r="G3575" s="67" t="s">
        <v>306</v>
      </c>
      <c r="H3575" s="69">
        <v>-0.55000000000000004</v>
      </c>
    </row>
    <row r="3576" spans="6:8">
      <c r="F3576" s="68" t="s">
        <v>122</v>
      </c>
      <c r="G3576" s="67" t="s">
        <v>306</v>
      </c>
      <c r="H3576" s="69">
        <v>-0.8</v>
      </c>
    </row>
    <row r="3577" spans="6:8">
      <c r="F3577" s="68" t="s">
        <v>251</v>
      </c>
      <c r="G3577" s="67" t="s">
        <v>306</v>
      </c>
      <c r="H3577" s="69">
        <v>0.16</v>
      </c>
    </row>
    <row r="3578" spans="6:8">
      <c r="F3578" s="68" t="s">
        <v>121</v>
      </c>
      <c r="G3578" s="67" t="s">
        <v>306</v>
      </c>
      <c r="H3578" s="69">
        <v>-0.65</v>
      </c>
    </row>
    <row r="3579" spans="6:8">
      <c r="F3579" s="68" t="s">
        <v>120</v>
      </c>
      <c r="G3579" s="67" t="s">
        <v>306</v>
      </c>
      <c r="H3579" s="69">
        <v>-0.5</v>
      </c>
    </row>
    <row r="3580" spans="6:8">
      <c r="F3580" s="68" t="s">
        <v>119</v>
      </c>
      <c r="G3580" s="67" t="s">
        <v>306</v>
      </c>
      <c r="H3580" s="69">
        <v>-0.75</v>
      </c>
    </row>
    <row r="3581" spans="6:8">
      <c r="F3581" s="68" t="s">
        <v>119</v>
      </c>
      <c r="G3581" s="67" t="s">
        <v>307</v>
      </c>
      <c r="H3581" s="69">
        <v>-0.75</v>
      </c>
    </row>
    <row r="3582" spans="6:8">
      <c r="F3582" s="68" t="s">
        <v>120</v>
      </c>
      <c r="G3582" s="67" t="s">
        <v>307</v>
      </c>
      <c r="H3582" s="69">
        <v>-0.5</v>
      </c>
    </row>
    <row r="3583" spans="6:8">
      <c r="F3583" s="68" t="s">
        <v>121</v>
      </c>
      <c r="G3583" s="67" t="s">
        <v>307</v>
      </c>
      <c r="H3583" s="69">
        <v>-0.65</v>
      </c>
    </row>
    <row r="3584" spans="6:8">
      <c r="F3584" s="68" t="s">
        <v>251</v>
      </c>
      <c r="G3584" s="67" t="s">
        <v>307</v>
      </c>
      <c r="H3584" s="69">
        <v>0.16</v>
      </c>
    </row>
    <row r="3585" spans="6:8">
      <c r="F3585" s="68" t="s">
        <v>122</v>
      </c>
      <c r="G3585" s="67" t="s">
        <v>307</v>
      </c>
      <c r="H3585" s="69">
        <v>-0.8</v>
      </c>
    </row>
    <row r="3586" spans="6:8">
      <c r="F3586" s="68" t="s">
        <v>123</v>
      </c>
      <c r="G3586" s="67" t="s">
        <v>307</v>
      </c>
      <c r="H3586" s="69">
        <v>-0.55000000000000004</v>
      </c>
    </row>
    <row r="3587" spans="6:8">
      <c r="F3587" s="68" t="s">
        <v>124</v>
      </c>
      <c r="G3587" s="67" t="s">
        <v>307</v>
      </c>
      <c r="H3587" s="69">
        <v>-0.6</v>
      </c>
    </row>
    <row r="3588" spans="6:8">
      <c r="F3588" s="68" t="s">
        <v>252</v>
      </c>
      <c r="G3588" s="67" t="s">
        <v>307</v>
      </c>
      <c r="H3588" s="69">
        <v>0.21</v>
      </c>
    </row>
    <row r="3589" spans="6:8">
      <c r="F3589" s="68" t="s">
        <v>125</v>
      </c>
      <c r="G3589" s="67" t="s">
        <v>307</v>
      </c>
      <c r="H3589" s="69">
        <v>-0.85</v>
      </c>
    </row>
    <row r="3590" spans="6:8">
      <c r="F3590" s="68" t="s">
        <v>126</v>
      </c>
      <c r="G3590" s="67" t="s">
        <v>307</v>
      </c>
      <c r="H3590" s="69">
        <v>-0.5</v>
      </c>
    </row>
    <row r="3591" spans="6:8">
      <c r="F3591" s="68" t="s">
        <v>127</v>
      </c>
      <c r="G3591" s="67" t="s">
        <v>307</v>
      </c>
      <c r="H3591" s="69">
        <v>-0.15</v>
      </c>
    </row>
    <row r="3592" spans="6:8">
      <c r="F3592" s="68" t="s">
        <v>253</v>
      </c>
      <c r="G3592" s="67" t="s">
        <v>307</v>
      </c>
      <c r="H3592" s="69">
        <v>0.27</v>
      </c>
    </row>
    <row r="3593" spans="6:8">
      <c r="F3593" s="68" t="s">
        <v>128</v>
      </c>
      <c r="G3593" s="67" t="s">
        <v>307</v>
      </c>
      <c r="H3593" s="69">
        <v>-0.5</v>
      </c>
    </row>
    <row r="3594" spans="6:8">
      <c r="F3594" s="68" t="s">
        <v>129</v>
      </c>
      <c r="G3594" s="67" t="s">
        <v>307</v>
      </c>
      <c r="H3594" s="69">
        <v>-0.25</v>
      </c>
    </row>
    <row r="3595" spans="6:8">
      <c r="F3595" s="68" t="s">
        <v>254</v>
      </c>
      <c r="G3595" s="67" t="s">
        <v>307</v>
      </c>
      <c r="H3595" s="69">
        <v>0.37</v>
      </c>
    </row>
    <row r="3596" spans="6:8">
      <c r="F3596" s="68" t="s">
        <v>130</v>
      </c>
      <c r="G3596" s="67" t="s">
        <v>307</v>
      </c>
      <c r="H3596" s="69">
        <v>-0.75</v>
      </c>
    </row>
    <row r="3597" spans="6:8">
      <c r="F3597" s="68" t="s">
        <v>131</v>
      </c>
      <c r="G3597" s="67" t="s">
        <v>307</v>
      </c>
      <c r="H3597" s="69">
        <v>-0.35</v>
      </c>
    </row>
    <row r="3598" spans="6:8">
      <c r="F3598" s="68" t="s">
        <v>255</v>
      </c>
      <c r="G3598" s="67" t="s">
        <v>307</v>
      </c>
      <c r="H3598" s="69">
        <v>0.51</v>
      </c>
    </row>
    <row r="3599" spans="6:8">
      <c r="F3599" s="68" t="s">
        <v>132</v>
      </c>
      <c r="G3599" s="67" t="s">
        <v>307</v>
      </c>
      <c r="H3599" s="69">
        <v>-0.7</v>
      </c>
    </row>
    <row r="3600" spans="6:8">
      <c r="F3600" s="68" t="s">
        <v>133</v>
      </c>
      <c r="G3600" s="67" t="s">
        <v>307</v>
      </c>
      <c r="H3600" s="69">
        <v>-0.35</v>
      </c>
    </row>
    <row r="3601" spans="6:8">
      <c r="F3601" s="68" t="s">
        <v>256</v>
      </c>
      <c r="G3601" s="67" t="s">
        <v>307</v>
      </c>
      <c r="H3601" s="69">
        <v>0.71</v>
      </c>
    </row>
    <row r="3602" spans="6:8">
      <c r="F3602" s="68" t="s">
        <v>134</v>
      </c>
      <c r="G3602" s="67" t="s">
        <v>307</v>
      </c>
      <c r="H3602" s="69">
        <v>-0.75</v>
      </c>
    </row>
    <row r="3603" spans="6:8">
      <c r="F3603" s="68" t="s">
        <v>135</v>
      </c>
      <c r="G3603" s="67" t="s">
        <v>307</v>
      </c>
      <c r="H3603" s="69">
        <v>-0.4</v>
      </c>
    </row>
    <row r="3604" spans="6:8">
      <c r="F3604" s="68" t="s">
        <v>257</v>
      </c>
      <c r="G3604" s="67" t="s">
        <v>307</v>
      </c>
      <c r="H3604" s="69">
        <v>0.9</v>
      </c>
    </row>
    <row r="3605" spans="6:8">
      <c r="F3605" s="68" t="s">
        <v>258</v>
      </c>
      <c r="G3605" s="67" t="s">
        <v>307</v>
      </c>
      <c r="H3605" s="69">
        <v>0.1</v>
      </c>
    </row>
    <row r="3606" spans="6:8">
      <c r="F3606" s="68" t="s">
        <v>136</v>
      </c>
      <c r="G3606" s="67" t="s">
        <v>307</v>
      </c>
      <c r="H3606" s="69">
        <v>-0.75</v>
      </c>
    </row>
    <row r="3607" spans="6:8">
      <c r="F3607" s="68" t="s">
        <v>137</v>
      </c>
      <c r="G3607" s="67" t="s">
        <v>307</v>
      </c>
      <c r="H3607" s="69">
        <v>-0.5</v>
      </c>
    </row>
    <row r="3608" spans="6:8">
      <c r="F3608" s="68" t="s">
        <v>138</v>
      </c>
      <c r="G3608" s="67" t="s">
        <v>307</v>
      </c>
      <c r="H3608" s="69">
        <v>-0.65</v>
      </c>
    </row>
    <row r="3609" spans="6:8">
      <c r="F3609" s="68" t="s">
        <v>259</v>
      </c>
      <c r="G3609" s="67" t="s">
        <v>307</v>
      </c>
      <c r="H3609" s="69">
        <v>0.14000000000000001</v>
      </c>
    </row>
    <row r="3610" spans="6:8">
      <c r="F3610" s="68" t="s">
        <v>259</v>
      </c>
      <c r="G3610" s="67" t="s">
        <v>308</v>
      </c>
      <c r="H3610" s="69">
        <v>0.14000000000000001</v>
      </c>
    </row>
    <row r="3611" spans="6:8">
      <c r="F3611" s="68" t="s">
        <v>138</v>
      </c>
      <c r="G3611" s="67" t="s">
        <v>308</v>
      </c>
      <c r="H3611" s="69">
        <v>-0.65</v>
      </c>
    </row>
    <row r="3612" spans="6:8">
      <c r="F3612" s="68" t="s">
        <v>137</v>
      </c>
      <c r="G3612" s="67" t="s">
        <v>308</v>
      </c>
      <c r="H3612" s="69">
        <v>-0.5</v>
      </c>
    </row>
    <row r="3613" spans="6:8">
      <c r="F3613" s="68" t="s">
        <v>136</v>
      </c>
      <c r="G3613" s="67" t="s">
        <v>308</v>
      </c>
      <c r="H3613" s="69">
        <v>-0.75</v>
      </c>
    </row>
    <row r="3614" spans="6:8">
      <c r="F3614" s="68" t="s">
        <v>258</v>
      </c>
      <c r="G3614" s="67" t="s">
        <v>308</v>
      </c>
      <c r="H3614" s="69">
        <v>0.1</v>
      </c>
    </row>
    <row r="3615" spans="6:8">
      <c r="F3615" s="68" t="s">
        <v>257</v>
      </c>
      <c r="G3615" s="67" t="s">
        <v>308</v>
      </c>
      <c r="H3615" s="69">
        <v>0.9</v>
      </c>
    </row>
    <row r="3616" spans="6:8">
      <c r="F3616" s="68" t="s">
        <v>135</v>
      </c>
      <c r="G3616" s="67" t="s">
        <v>308</v>
      </c>
      <c r="H3616" s="69">
        <v>-0.4</v>
      </c>
    </row>
    <row r="3617" spans="6:8">
      <c r="F3617" s="68" t="s">
        <v>134</v>
      </c>
      <c r="G3617" s="67" t="s">
        <v>308</v>
      </c>
      <c r="H3617" s="69">
        <v>-0.75</v>
      </c>
    </row>
    <row r="3618" spans="6:8">
      <c r="F3618" s="68" t="s">
        <v>256</v>
      </c>
      <c r="G3618" s="67" t="s">
        <v>308</v>
      </c>
      <c r="H3618" s="69">
        <v>0.71</v>
      </c>
    </row>
    <row r="3619" spans="6:8">
      <c r="F3619" s="68" t="s">
        <v>133</v>
      </c>
      <c r="G3619" s="67" t="s">
        <v>308</v>
      </c>
      <c r="H3619" s="69">
        <v>-0.35</v>
      </c>
    </row>
    <row r="3620" spans="6:8">
      <c r="F3620" s="68" t="s">
        <v>132</v>
      </c>
      <c r="G3620" s="67" t="s">
        <v>308</v>
      </c>
      <c r="H3620" s="69">
        <v>-0.7</v>
      </c>
    </row>
    <row r="3621" spans="6:8">
      <c r="F3621" s="68" t="s">
        <v>255</v>
      </c>
      <c r="G3621" s="67" t="s">
        <v>308</v>
      </c>
      <c r="H3621" s="69">
        <v>0.51</v>
      </c>
    </row>
    <row r="3622" spans="6:8">
      <c r="F3622" s="68" t="s">
        <v>131</v>
      </c>
      <c r="G3622" s="67" t="s">
        <v>308</v>
      </c>
      <c r="H3622" s="69">
        <v>-0.35</v>
      </c>
    </row>
    <row r="3623" spans="6:8">
      <c r="F3623" s="68" t="s">
        <v>130</v>
      </c>
      <c r="G3623" s="67" t="s">
        <v>308</v>
      </c>
      <c r="H3623" s="69">
        <v>-0.75</v>
      </c>
    </row>
    <row r="3624" spans="6:8">
      <c r="F3624" s="68" t="s">
        <v>254</v>
      </c>
      <c r="G3624" s="67" t="s">
        <v>308</v>
      </c>
      <c r="H3624" s="69">
        <v>0.37</v>
      </c>
    </row>
    <row r="3625" spans="6:8">
      <c r="F3625" s="68" t="s">
        <v>129</v>
      </c>
      <c r="G3625" s="67" t="s">
        <v>308</v>
      </c>
      <c r="H3625" s="69">
        <v>-0.25</v>
      </c>
    </row>
    <row r="3626" spans="6:8">
      <c r="F3626" s="68" t="s">
        <v>128</v>
      </c>
      <c r="G3626" s="67" t="s">
        <v>308</v>
      </c>
      <c r="H3626" s="69">
        <v>-0.5</v>
      </c>
    </row>
    <row r="3627" spans="6:8">
      <c r="F3627" s="68" t="s">
        <v>253</v>
      </c>
      <c r="G3627" s="67" t="s">
        <v>308</v>
      </c>
      <c r="H3627" s="69">
        <v>0.27</v>
      </c>
    </row>
    <row r="3628" spans="6:8">
      <c r="F3628" s="68" t="s">
        <v>127</v>
      </c>
      <c r="G3628" s="67" t="s">
        <v>308</v>
      </c>
      <c r="H3628" s="69">
        <v>-0.15</v>
      </c>
    </row>
    <row r="3629" spans="6:8">
      <c r="F3629" s="68" t="s">
        <v>126</v>
      </c>
      <c r="G3629" s="67" t="s">
        <v>308</v>
      </c>
      <c r="H3629" s="69">
        <v>-0.5</v>
      </c>
    </row>
    <row r="3630" spans="6:8">
      <c r="F3630" s="68" t="s">
        <v>125</v>
      </c>
      <c r="G3630" s="67" t="s">
        <v>308</v>
      </c>
      <c r="H3630" s="69">
        <v>-0.85</v>
      </c>
    </row>
    <row r="3631" spans="6:8">
      <c r="F3631" s="68" t="s">
        <v>252</v>
      </c>
      <c r="G3631" s="67" t="s">
        <v>308</v>
      </c>
      <c r="H3631" s="69">
        <v>0.21</v>
      </c>
    </row>
    <row r="3632" spans="6:8">
      <c r="F3632" s="68" t="s">
        <v>124</v>
      </c>
      <c r="G3632" s="67" t="s">
        <v>308</v>
      </c>
      <c r="H3632" s="69">
        <v>-0.6</v>
      </c>
    </row>
    <row r="3633" spans="6:8">
      <c r="F3633" s="68" t="s">
        <v>123</v>
      </c>
      <c r="G3633" s="67" t="s">
        <v>308</v>
      </c>
      <c r="H3633" s="69">
        <v>-0.55000000000000004</v>
      </c>
    </row>
    <row r="3634" spans="6:8">
      <c r="F3634" s="68" t="s">
        <v>122</v>
      </c>
      <c r="G3634" s="67" t="s">
        <v>308</v>
      </c>
      <c r="H3634" s="69">
        <v>-0.8</v>
      </c>
    </row>
    <row r="3635" spans="6:8">
      <c r="F3635" s="68" t="s">
        <v>251</v>
      </c>
      <c r="G3635" s="67" t="s">
        <v>308</v>
      </c>
      <c r="H3635" s="69">
        <v>0.16</v>
      </c>
    </row>
    <row r="3636" spans="6:8">
      <c r="F3636" s="68" t="s">
        <v>121</v>
      </c>
      <c r="G3636" s="67" t="s">
        <v>308</v>
      </c>
      <c r="H3636" s="69">
        <v>-0.65</v>
      </c>
    </row>
    <row r="3637" spans="6:8">
      <c r="F3637" s="68" t="s">
        <v>120</v>
      </c>
      <c r="G3637" s="67" t="s">
        <v>308</v>
      </c>
      <c r="H3637" s="69">
        <v>-0.5</v>
      </c>
    </row>
    <row r="3638" spans="6:8">
      <c r="F3638" s="68" t="s">
        <v>119</v>
      </c>
      <c r="G3638" s="67" t="s">
        <v>308</v>
      </c>
      <c r="H3638" s="69">
        <v>-0.75</v>
      </c>
    </row>
    <row r="3639" spans="6:8">
      <c r="F3639" s="68" t="s">
        <v>119</v>
      </c>
      <c r="G3639" s="67" t="s">
        <v>309</v>
      </c>
      <c r="H3639" s="69">
        <v>-0.75</v>
      </c>
    </row>
    <row r="3640" spans="6:8">
      <c r="F3640" s="68" t="s">
        <v>120</v>
      </c>
      <c r="G3640" s="67" t="s">
        <v>309</v>
      </c>
      <c r="H3640" s="69">
        <v>-0.5</v>
      </c>
    </row>
    <row r="3641" spans="6:8">
      <c r="F3641" s="68" t="s">
        <v>121</v>
      </c>
      <c r="G3641" s="67" t="s">
        <v>309</v>
      </c>
      <c r="H3641" s="69">
        <v>-0.65</v>
      </c>
    </row>
    <row r="3642" spans="6:8">
      <c r="F3642" s="68" t="s">
        <v>251</v>
      </c>
      <c r="G3642" s="67" t="s">
        <v>309</v>
      </c>
      <c r="H3642" s="69">
        <v>0.16</v>
      </c>
    </row>
    <row r="3643" spans="6:8">
      <c r="F3643" s="68" t="s">
        <v>122</v>
      </c>
      <c r="G3643" s="67" t="s">
        <v>309</v>
      </c>
      <c r="H3643" s="69">
        <v>-0.8</v>
      </c>
    </row>
    <row r="3644" spans="6:8">
      <c r="F3644" s="68" t="s">
        <v>123</v>
      </c>
      <c r="G3644" s="67" t="s">
        <v>309</v>
      </c>
      <c r="H3644" s="69">
        <v>-0.55000000000000004</v>
      </c>
    </row>
    <row r="3645" spans="6:8">
      <c r="F3645" s="68" t="s">
        <v>124</v>
      </c>
      <c r="G3645" s="67" t="s">
        <v>309</v>
      </c>
      <c r="H3645" s="69">
        <v>-0.6</v>
      </c>
    </row>
    <row r="3646" spans="6:8">
      <c r="F3646" s="68" t="s">
        <v>252</v>
      </c>
      <c r="G3646" s="67" t="s">
        <v>309</v>
      </c>
      <c r="H3646" s="69">
        <v>0.21</v>
      </c>
    </row>
    <row r="3647" spans="6:8">
      <c r="F3647" s="68" t="s">
        <v>125</v>
      </c>
      <c r="G3647" s="67" t="s">
        <v>309</v>
      </c>
      <c r="H3647" s="69">
        <v>-0.85</v>
      </c>
    </row>
    <row r="3648" spans="6:8">
      <c r="F3648" s="68" t="s">
        <v>126</v>
      </c>
      <c r="G3648" s="67" t="s">
        <v>309</v>
      </c>
      <c r="H3648" s="69">
        <v>-0.5</v>
      </c>
    </row>
    <row r="3649" spans="6:8">
      <c r="F3649" s="68" t="s">
        <v>127</v>
      </c>
      <c r="G3649" s="67" t="s">
        <v>309</v>
      </c>
      <c r="H3649" s="69">
        <v>-0.15</v>
      </c>
    </row>
    <row r="3650" spans="6:8">
      <c r="F3650" s="68" t="s">
        <v>253</v>
      </c>
      <c r="G3650" s="67" t="s">
        <v>309</v>
      </c>
      <c r="H3650" s="69">
        <v>0.27</v>
      </c>
    </row>
    <row r="3651" spans="6:8">
      <c r="F3651" s="68" t="s">
        <v>128</v>
      </c>
      <c r="G3651" s="67" t="s">
        <v>309</v>
      </c>
      <c r="H3651" s="69">
        <v>-0.5</v>
      </c>
    </row>
    <row r="3652" spans="6:8">
      <c r="F3652" s="68" t="s">
        <v>129</v>
      </c>
      <c r="G3652" s="67" t="s">
        <v>309</v>
      </c>
      <c r="H3652" s="69">
        <v>-0.25</v>
      </c>
    </row>
    <row r="3653" spans="6:8">
      <c r="F3653" s="68" t="s">
        <v>254</v>
      </c>
      <c r="G3653" s="67" t="s">
        <v>309</v>
      </c>
      <c r="H3653" s="69">
        <v>0.37</v>
      </c>
    </row>
    <row r="3654" spans="6:8">
      <c r="F3654" s="68" t="s">
        <v>130</v>
      </c>
      <c r="G3654" s="67" t="s">
        <v>309</v>
      </c>
      <c r="H3654" s="69">
        <v>-0.75</v>
      </c>
    </row>
    <row r="3655" spans="6:8">
      <c r="F3655" s="68" t="s">
        <v>131</v>
      </c>
      <c r="G3655" s="67" t="s">
        <v>309</v>
      </c>
      <c r="H3655" s="69">
        <v>-0.35</v>
      </c>
    </row>
    <row r="3656" spans="6:8">
      <c r="F3656" s="68" t="s">
        <v>255</v>
      </c>
      <c r="G3656" s="67" t="s">
        <v>309</v>
      </c>
      <c r="H3656" s="69">
        <v>0.51</v>
      </c>
    </row>
    <row r="3657" spans="6:8">
      <c r="F3657" s="68" t="s">
        <v>132</v>
      </c>
      <c r="G3657" s="67" t="s">
        <v>309</v>
      </c>
      <c r="H3657" s="69">
        <v>-0.7</v>
      </c>
    </row>
    <row r="3658" spans="6:8">
      <c r="F3658" s="68" t="s">
        <v>133</v>
      </c>
      <c r="G3658" s="67" t="s">
        <v>309</v>
      </c>
      <c r="H3658" s="69">
        <v>-0.35</v>
      </c>
    </row>
    <row r="3659" spans="6:8">
      <c r="F3659" s="68" t="s">
        <v>256</v>
      </c>
      <c r="G3659" s="67" t="s">
        <v>309</v>
      </c>
      <c r="H3659" s="69">
        <v>0.71</v>
      </c>
    </row>
    <row r="3660" spans="6:8">
      <c r="F3660" s="68" t="s">
        <v>134</v>
      </c>
      <c r="G3660" s="67" t="s">
        <v>309</v>
      </c>
      <c r="H3660" s="69">
        <v>-0.75</v>
      </c>
    </row>
    <row r="3661" spans="6:8">
      <c r="F3661" s="68" t="s">
        <v>135</v>
      </c>
      <c r="G3661" s="67" t="s">
        <v>309</v>
      </c>
      <c r="H3661" s="69">
        <v>-0.4</v>
      </c>
    </row>
    <row r="3662" spans="6:8">
      <c r="F3662" s="68" t="s">
        <v>257</v>
      </c>
      <c r="G3662" s="67" t="s">
        <v>309</v>
      </c>
      <c r="H3662" s="69">
        <v>0.9</v>
      </c>
    </row>
    <row r="3663" spans="6:8">
      <c r="F3663" s="68" t="s">
        <v>258</v>
      </c>
      <c r="G3663" s="67" t="s">
        <v>309</v>
      </c>
      <c r="H3663" s="69">
        <v>0.1</v>
      </c>
    </row>
    <row r="3664" spans="6:8">
      <c r="F3664" s="68" t="s">
        <v>136</v>
      </c>
      <c r="G3664" s="67" t="s">
        <v>309</v>
      </c>
      <c r="H3664" s="69">
        <v>-0.75</v>
      </c>
    </row>
    <row r="3665" spans="6:8">
      <c r="F3665" s="68" t="s">
        <v>137</v>
      </c>
      <c r="G3665" s="67" t="s">
        <v>309</v>
      </c>
      <c r="H3665" s="69">
        <v>-0.5</v>
      </c>
    </row>
    <row r="3666" spans="6:8">
      <c r="F3666" s="68" t="s">
        <v>138</v>
      </c>
      <c r="G3666" s="67" t="s">
        <v>309</v>
      </c>
      <c r="H3666" s="69">
        <v>-0.65</v>
      </c>
    </row>
    <row r="3667" spans="6:8">
      <c r="F3667" s="68" t="s">
        <v>259</v>
      </c>
      <c r="G3667" s="67" t="s">
        <v>309</v>
      </c>
      <c r="H3667" s="69">
        <v>0.14000000000000001</v>
      </c>
    </row>
    <row r="3668" spans="6:8">
      <c r="F3668" s="68" t="s">
        <v>259</v>
      </c>
      <c r="G3668" s="67" t="s">
        <v>310</v>
      </c>
      <c r="H3668" s="69">
        <v>0.14000000000000001</v>
      </c>
    </row>
    <row r="3669" spans="6:8">
      <c r="F3669" s="68" t="s">
        <v>138</v>
      </c>
      <c r="G3669" s="67" t="s">
        <v>310</v>
      </c>
      <c r="H3669" s="69">
        <v>-0.7</v>
      </c>
    </row>
    <row r="3670" spans="6:8">
      <c r="F3670" s="68" t="s">
        <v>137</v>
      </c>
      <c r="G3670" s="67" t="s">
        <v>310</v>
      </c>
      <c r="H3670" s="69">
        <v>-0.5</v>
      </c>
    </row>
    <row r="3671" spans="6:8">
      <c r="F3671" s="68" t="s">
        <v>136</v>
      </c>
      <c r="G3671" s="67" t="s">
        <v>310</v>
      </c>
      <c r="H3671" s="69">
        <v>-0.8</v>
      </c>
    </row>
    <row r="3672" spans="6:8">
      <c r="F3672" s="68" t="s">
        <v>258</v>
      </c>
      <c r="G3672" s="67" t="s">
        <v>310</v>
      </c>
      <c r="H3672" s="69">
        <v>0.1</v>
      </c>
    </row>
    <row r="3673" spans="6:8">
      <c r="F3673" s="68" t="s">
        <v>257</v>
      </c>
      <c r="G3673" s="67" t="s">
        <v>310</v>
      </c>
      <c r="H3673" s="69">
        <v>0.9</v>
      </c>
    </row>
    <row r="3674" spans="6:8">
      <c r="F3674" s="68" t="s">
        <v>135</v>
      </c>
      <c r="G3674" s="67" t="s">
        <v>310</v>
      </c>
      <c r="H3674" s="69">
        <v>-0.4</v>
      </c>
    </row>
    <row r="3675" spans="6:8">
      <c r="F3675" s="68" t="s">
        <v>134</v>
      </c>
      <c r="G3675" s="67" t="s">
        <v>310</v>
      </c>
      <c r="H3675" s="69">
        <v>-0.8</v>
      </c>
    </row>
    <row r="3676" spans="6:8">
      <c r="F3676" s="68" t="s">
        <v>256</v>
      </c>
      <c r="G3676" s="67" t="s">
        <v>310</v>
      </c>
      <c r="H3676" s="69">
        <v>0.71</v>
      </c>
    </row>
    <row r="3677" spans="6:8">
      <c r="F3677" s="68" t="s">
        <v>133</v>
      </c>
      <c r="G3677" s="67" t="s">
        <v>310</v>
      </c>
      <c r="H3677" s="69">
        <v>-0.35</v>
      </c>
    </row>
    <row r="3678" spans="6:8">
      <c r="F3678" s="68" t="s">
        <v>132</v>
      </c>
      <c r="G3678" s="67" t="s">
        <v>310</v>
      </c>
      <c r="H3678" s="69">
        <v>-0.75</v>
      </c>
    </row>
    <row r="3679" spans="6:8">
      <c r="F3679" s="68" t="s">
        <v>255</v>
      </c>
      <c r="G3679" s="67" t="s">
        <v>310</v>
      </c>
      <c r="H3679" s="69">
        <v>0.51</v>
      </c>
    </row>
    <row r="3680" spans="6:8">
      <c r="F3680" s="68" t="s">
        <v>131</v>
      </c>
      <c r="G3680" s="67" t="s">
        <v>310</v>
      </c>
      <c r="H3680" s="69">
        <v>-0.35</v>
      </c>
    </row>
    <row r="3681" spans="6:8">
      <c r="F3681" s="68" t="s">
        <v>130</v>
      </c>
      <c r="G3681" s="67" t="s">
        <v>310</v>
      </c>
      <c r="H3681" s="69">
        <v>-0.8</v>
      </c>
    </row>
    <row r="3682" spans="6:8">
      <c r="F3682" s="68" t="s">
        <v>254</v>
      </c>
      <c r="G3682" s="67" t="s">
        <v>310</v>
      </c>
      <c r="H3682" s="69">
        <v>0.37</v>
      </c>
    </row>
    <row r="3683" spans="6:8">
      <c r="F3683" s="68" t="s">
        <v>129</v>
      </c>
      <c r="G3683" s="67" t="s">
        <v>310</v>
      </c>
      <c r="H3683" s="69">
        <v>-0.25</v>
      </c>
    </row>
    <row r="3684" spans="6:8">
      <c r="F3684" s="68" t="s">
        <v>128</v>
      </c>
      <c r="G3684" s="67" t="s">
        <v>310</v>
      </c>
      <c r="H3684" s="69">
        <v>-0.55000000000000004</v>
      </c>
    </row>
    <row r="3685" spans="6:8">
      <c r="F3685" s="68" t="s">
        <v>253</v>
      </c>
      <c r="G3685" s="67" t="s">
        <v>310</v>
      </c>
      <c r="H3685" s="69">
        <v>0.27</v>
      </c>
    </row>
    <row r="3686" spans="6:8">
      <c r="F3686" s="68" t="s">
        <v>127</v>
      </c>
      <c r="G3686" s="67" t="s">
        <v>310</v>
      </c>
      <c r="H3686" s="69">
        <v>-0.15</v>
      </c>
    </row>
    <row r="3687" spans="6:8">
      <c r="F3687" s="68" t="s">
        <v>126</v>
      </c>
      <c r="G3687" s="67" t="s">
        <v>310</v>
      </c>
      <c r="H3687" s="69">
        <v>-0.55000000000000004</v>
      </c>
    </row>
    <row r="3688" spans="6:8">
      <c r="F3688" s="68" t="s">
        <v>125</v>
      </c>
      <c r="G3688" s="67" t="s">
        <v>310</v>
      </c>
      <c r="H3688" s="69">
        <v>-0.9</v>
      </c>
    </row>
    <row r="3689" spans="6:8">
      <c r="F3689" s="68" t="s">
        <v>252</v>
      </c>
      <c r="G3689" s="67" t="s">
        <v>310</v>
      </c>
      <c r="H3689" s="69">
        <v>0.21</v>
      </c>
    </row>
    <row r="3690" spans="6:8">
      <c r="F3690" s="68" t="s">
        <v>124</v>
      </c>
      <c r="G3690" s="67" t="s">
        <v>310</v>
      </c>
      <c r="H3690" s="69">
        <v>-0.65</v>
      </c>
    </row>
    <row r="3691" spans="6:8">
      <c r="F3691" s="68" t="s">
        <v>123</v>
      </c>
      <c r="G3691" s="67" t="s">
        <v>310</v>
      </c>
      <c r="H3691" s="69">
        <v>-0.6</v>
      </c>
    </row>
    <row r="3692" spans="6:8">
      <c r="F3692" s="68" t="s">
        <v>122</v>
      </c>
      <c r="G3692" s="67" t="s">
        <v>310</v>
      </c>
      <c r="H3692" s="69">
        <v>-0.85</v>
      </c>
    </row>
    <row r="3693" spans="6:8">
      <c r="F3693" s="68" t="s">
        <v>251</v>
      </c>
      <c r="G3693" s="67" t="s">
        <v>310</v>
      </c>
      <c r="H3693" s="69">
        <v>0.16</v>
      </c>
    </row>
    <row r="3694" spans="6:8">
      <c r="F3694" s="68" t="s">
        <v>121</v>
      </c>
      <c r="G3694" s="67" t="s">
        <v>310</v>
      </c>
      <c r="H3694" s="69">
        <v>-0.7</v>
      </c>
    </row>
    <row r="3695" spans="6:8">
      <c r="F3695" s="68" t="s">
        <v>120</v>
      </c>
      <c r="G3695" s="67" t="s">
        <v>310</v>
      </c>
      <c r="H3695" s="69">
        <v>-0.5</v>
      </c>
    </row>
    <row r="3696" spans="6:8">
      <c r="F3696" s="68" t="s">
        <v>119</v>
      </c>
      <c r="G3696" s="67" t="s">
        <v>310</v>
      </c>
      <c r="H3696" s="69">
        <v>-0.8</v>
      </c>
    </row>
    <row r="3697" spans="6:8">
      <c r="F3697" s="68" t="s">
        <v>119</v>
      </c>
      <c r="G3697" s="67" t="s">
        <v>311</v>
      </c>
      <c r="H3697" s="69">
        <v>-0.8</v>
      </c>
    </row>
    <row r="3698" spans="6:8">
      <c r="F3698" s="68" t="s">
        <v>120</v>
      </c>
      <c r="G3698" s="67" t="s">
        <v>311</v>
      </c>
      <c r="H3698" s="69">
        <v>-0.5</v>
      </c>
    </row>
    <row r="3699" spans="6:8">
      <c r="F3699" s="68" t="s">
        <v>121</v>
      </c>
      <c r="G3699" s="67" t="s">
        <v>311</v>
      </c>
      <c r="H3699" s="69">
        <v>-0.7</v>
      </c>
    </row>
    <row r="3700" spans="6:8">
      <c r="F3700" s="68" t="s">
        <v>251</v>
      </c>
      <c r="G3700" s="67" t="s">
        <v>311</v>
      </c>
      <c r="H3700" s="69">
        <v>0.16</v>
      </c>
    </row>
    <row r="3701" spans="6:8">
      <c r="F3701" s="68" t="s">
        <v>122</v>
      </c>
      <c r="G3701" s="67" t="s">
        <v>311</v>
      </c>
      <c r="H3701" s="69">
        <v>-0.85</v>
      </c>
    </row>
    <row r="3702" spans="6:8">
      <c r="F3702" s="68" t="s">
        <v>123</v>
      </c>
      <c r="G3702" s="67" t="s">
        <v>311</v>
      </c>
      <c r="H3702" s="69">
        <v>-0.6</v>
      </c>
    </row>
    <row r="3703" spans="6:8">
      <c r="F3703" s="68" t="s">
        <v>124</v>
      </c>
      <c r="G3703" s="67" t="s">
        <v>311</v>
      </c>
      <c r="H3703" s="69">
        <v>-0.65</v>
      </c>
    </row>
    <row r="3704" spans="6:8">
      <c r="F3704" s="68" t="s">
        <v>252</v>
      </c>
      <c r="G3704" s="67" t="s">
        <v>311</v>
      </c>
      <c r="H3704" s="69">
        <v>0.21</v>
      </c>
    </row>
    <row r="3705" spans="6:8">
      <c r="F3705" s="68" t="s">
        <v>125</v>
      </c>
      <c r="G3705" s="67" t="s">
        <v>311</v>
      </c>
      <c r="H3705" s="69">
        <v>-0.9</v>
      </c>
    </row>
    <row r="3706" spans="6:8">
      <c r="F3706" s="68" t="s">
        <v>126</v>
      </c>
      <c r="G3706" s="67" t="s">
        <v>311</v>
      </c>
      <c r="H3706" s="69">
        <v>-0.55000000000000004</v>
      </c>
    </row>
    <row r="3707" spans="6:8">
      <c r="F3707" s="68" t="s">
        <v>127</v>
      </c>
      <c r="G3707" s="67" t="s">
        <v>311</v>
      </c>
      <c r="H3707" s="69">
        <v>-0.15</v>
      </c>
    </row>
    <row r="3708" spans="6:8">
      <c r="F3708" s="68" t="s">
        <v>253</v>
      </c>
      <c r="G3708" s="67" t="s">
        <v>311</v>
      </c>
      <c r="H3708" s="69">
        <v>0.27</v>
      </c>
    </row>
    <row r="3709" spans="6:8">
      <c r="F3709" s="68" t="s">
        <v>128</v>
      </c>
      <c r="G3709" s="67" t="s">
        <v>311</v>
      </c>
      <c r="H3709" s="69">
        <v>-0.55000000000000004</v>
      </c>
    </row>
    <row r="3710" spans="6:8">
      <c r="F3710" s="68" t="s">
        <v>129</v>
      </c>
      <c r="G3710" s="67" t="s">
        <v>311</v>
      </c>
      <c r="H3710" s="69">
        <v>-0.25</v>
      </c>
    </row>
    <row r="3711" spans="6:8">
      <c r="F3711" s="68" t="s">
        <v>254</v>
      </c>
      <c r="G3711" s="67" t="s">
        <v>311</v>
      </c>
      <c r="H3711" s="69">
        <v>0.37</v>
      </c>
    </row>
    <row r="3712" spans="6:8">
      <c r="F3712" s="68" t="s">
        <v>304</v>
      </c>
      <c r="G3712" s="67" t="s">
        <v>311</v>
      </c>
      <c r="H3712" s="69">
        <v>17.9375</v>
      </c>
    </row>
    <row r="3713" spans="6:8">
      <c r="F3713" s="68" t="s">
        <v>130</v>
      </c>
      <c r="G3713" s="67" t="s">
        <v>311</v>
      </c>
      <c r="H3713" s="69">
        <v>-0.8</v>
      </c>
    </row>
    <row r="3714" spans="6:8">
      <c r="F3714" s="68" t="s">
        <v>131</v>
      </c>
      <c r="G3714" s="67" t="s">
        <v>311</v>
      </c>
      <c r="H3714" s="69">
        <v>-0.35</v>
      </c>
    </row>
    <row r="3715" spans="6:8">
      <c r="F3715" s="68" t="s">
        <v>255</v>
      </c>
      <c r="G3715" s="67" t="s">
        <v>311</v>
      </c>
      <c r="H3715" s="69">
        <v>0.51</v>
      </c>
    </row>
    <row r="3716" spans="6:8">
      <c r="F3716" s="68" t="s">
        <v>303</v>
      </c>
      <c r="G3716" s="67" t="s">
        <v>311</v>
      </c>
      <c r="H3716" s="69">
        <v>18.5625</v>
      </c>
    </row>
    <row r="3717" spans="6:8">
      <c r="F3717" s="68" t="s">
        <v>132</v>
      </c>
      <c r="G3717" s="67" t="s">
        <v>311</v>
      </c>
      <c r="H3717" s="69">
        <v>-0.75</v>
      </c>
    </row>
    <row r="3718" spans="6:8">
      <c r="F3718" s="68" t="s">
        <v>133</v>
      </c>
      <c r="G3718" s="67" t="s">
        <v>311</v>
      </c>
      <c r="H3718" s="69">
        <v>-0.35</v>
      </c>
    </row>
    <row r="3719" spans="6:8">
      <c r="F3719" s="68" t="s">
        <v>256</v>
      </c>
      <c r="G3719" s="67" t="s">
        <v>311</v>
      </c>
      <c r="H3719" s="69">
        <v>0.71</v>
      </c>
    </row>
    <row r="3720" spans="6:8">
      <c r="F3720" s="68" t="s">
        <v>134</v>
      </c>
      <c r="G3720" s="67" t="s">
        <v>311</v>
      </c>
      <c r="H3720" s="69">
        <v>-0.8</v>
      </c>
    </row>
    <row r="3721" spans="6:8">
      <c r="F3721" s="68" t="s">
        <v>135</v>
      </c>
      <c r="G3721" s="67" t="s">
        <v>311</v>
      </c>
      <c r="H3721" s="69">
        <v>-0.4</v>
      </c>
    </row>
    <row r="3722" spans="6:8">
      <c r="F3722" s="68" t="s">
        <v>257</v>
      </c>
      <c r="G3722" s="67" t="s">
        <v>311</v>
      </c>
      <c r="H3722" s="69">
        <v>0.9</v>
      </c>
    </row>
    <row r="3723" spans="6:8">
      <c r="F3723" s="68" t="s">
        <v>258</v>
      </c>
      <c r="G3723" s="67" t="s">
        <v>311</v>
      </c>
      <c r="H3723" s="69">
        <v>0.1</v>
      </c>
    </row>
    <row r="3724" spans="6:8">
      <c r="F3724" s="68" t="s">
        <v>136</v>
      </c>
      <c r="G3724" s="67" t="s">
        <v>311</v>
      </c>
      <c r="H3724" s="69">
        <v>-0.8</v>
      </c>
    </row>
    <row r="3725" spans="6:8">
      <c r="F3725" s="68" t="s">
        <v>137</v>
      </c>
      <c r="G3725" s="67" t="s">
        <v>311</v>
      </c>
      <c r="H3725" s="69">
        <v>-0.5</v>
      </c>
    </row>
    <row r="3726" spans="6:8">
      <c r="F3726" s="68" t="s">
        <v>138</v>
      </c>
      <c r="G3726" s="67" t="s">
        <v>311</v>
      </c>
      <c r="H3726" s="69">
        <v>-0.7</v>
      </c>
    </row>
    <row r="3727" spans="6:8">
      <c r="F3727" s="68" t="s">
        <v>259</v>
      </c>
      <c r="G3727" s="67" t="s">
        <v>311</v>
      </c>
      <c r="H3727" s="69">
        <v>0.14000000000000001</v>
      </c>
    </row>
    <row r="3728" spans="6:8">
      <c r="F3728" s="68" t="s">
        <v>259</v>
      </c>
      <c r="G3728" s="67" t="s">
        <v>312</v>
      </c>
      <c r="H3728" s="69">
        <v>0.14000000000000001</v>
      </c>
    </row>
    <row r="3729" spans="6:8">
      <c r="F3729" s="68" t="s">
        <v>138</v>
      </c>
      <c r="G3729" s="67" t="s">
        <v>312</v>
      </c>
      <c r="H3729" s="69">
        <v>-0.7</v>
      </c>
    </row>
    <row r="3730" spans="6:8">
      <c r="F3730" s="68" t="s">
        <v>137</v>
      </c>
      <c r="G3730" s="67" t="s">
        <v>312</v>
      </c>
      <c r="H3730" s="69">
        <v>-0.5</v>
      </c>
    </row>
    <row r="3731" spans="6:8">
      <c r="F3731" s="68" t="s">
        <v>136</v>
      </c>
      <c r="G3731" s="67" t="s">
        <v>312</v>
      </c>
      <c r="H3731" s="69">
        <v>-0.75</v>
      </c>
    </row>
    <row r="3732" spans="6:8">
      <c r="F3732" s="68" t="s">
        <v>258</v>
      </c>
      <c r="G3732" s="67" t="s">
        <v>312</v>
      </c>
      <c r="H3732" s="69">
        <v>0.1</v>
      </c>
    </row>
    <row r="3733" spans="6:8">
      <c r="F3733" s="68" t="s">
        <v>257</v>
      </c>
      <c r="G3733" s="67" t="s">
        <v>312</v>
      </c>
      <c r="H3733" s="69">
        <v>0.9</v>
      </c>
    </row>
    <row r="3734" spans="6:8">
      <c r="F3734" s="68" t="s">
        <v>135</v>
      </c>
      <c r="G3734" s="67" t="s">
        <v>312</v>
      </c>
      <c r="H3734" s="69">
        <v>-0.35</v>
      </c>
    </row>
    <row r="3735" spans="6:8">
      <c r="F3735" s="68" t="s">
        <v>134</v>
      </c>
      <c r="G3735" s="67" t="s">
        <v>312</v>
      </c>
      <c r="H3735" s="69">
        <v>-0.75</v>
      </c>
    </row>
    <row r="3736" spans="6:8">
      <c r="F3736" s="68" t="s">
        <v>256</v>
      </c>
      <c r="G3736" s="67" t="s">
        <v>312</v>
      </c>
      <c r="H3736" s="69">
        <v>0.71</v>
      </c>
    </row>
    <row r="3737" spans="6:8">
      <c r="F3737" s="68" t="s">
        <v>133</v>
      </c>
      <c r="G3737" s="67" t="s">
        <v>312</v>
      </c>
      <c r="H3737" s="69">
        <v>-0.35</v>
      </c>
    </row>
    <row r="3738" spans="6:8">
      <c r="F3738" s="68" t="s">
        <v>132</v>
      </c>
      <c r="G3738" s="67" t="s">
        <v>312</v>
      </c>
      <c r="H3738" s="69">
        <v>-0.7</v>
      </c>
    </row>
    <row r="3739" spans="6:8">
      <c r="F3739" s="68" t="s">
        <v>303</v>
      </c>
      <c r="G3739" s="67" t="s">
        <v>312</v>
      </c>
      <c r="H3739" s="69">
        <v>18.5</v>
      </c>
    </row>
    <row r="3740" spans="6:8">
      <c r="F3740" s="68" t="s">
        <v>255</v>
      </c>
      <c r="G3740" s="67" t="s">
        <v>312</v>
      </c>
      <c r="H3740" s="69">
        <v>0.51</v>
      </c>
    </row>
    <row r="3741" spans="6:8">
      <c r="F3741" s="68" t="s">
        <v>131</v>
      </c>
      <c r="G3741" s="67" t="s">
        <v>312</v>
      </c>
      <c r="H3741" s="69">
        <v>-0.35</v>
      </c>
    </row>
    <row r="3742" spans="6:8">
      <c r="F3742" s="68" t="s">
        <v>130</v>
      </c>
      <c r="G3742" s="67" t="s">
        <v>312</v>
      </c>
      <c r="H3742" s="69">
        <v>-0.75</v>
      </c>
    </row>
    <row r="3743" spans="6:8">
      <c r="F3743" s="68" t="s">
        <v>304</v>
      </c>
      <c r="G3743" s="67" t="s">
        <v>312</v>
      </c>
      <c r="H3743" s="69">
        <v>17.9375</v>
      </c>
    </row>
    <row r="3744" spans="6:8">
      <c r="F3744" s="68" t="s">
        <v>254</v>
      </c>
      <c r="G3744" s="67" t="s">
        <v>312</v>
      </c>
      <c r="H3744" s="69">
        <v>0.37</v>
      </c>
    </row>
    <row r="3745" spans="6:8">
      <c r="F3745" s="68" t="s">
        <v>129</v>
      </c>
      <c r="G3745" s="67" t="s">
        <v>312</v>
      </c>
      <c r="H3745" s="69">
        <v>-0.25</v>
      </c>
    </row>
    <row r="3746" spans="6:8">
      <c r="F3746" s="68" t="s">
        <v>128</v>
      </c>
      <c r="G3746" s="67" t="s">
        <v>312</v>
      </c>
      <c r="H3746" s="69">
        <v>-0.5</v>
      </c>
    </row>
    <row r="3747" spans="6:8">
      <c r="F3747" s="68" t="s">
        <v>253</v>
      </c>
      <c r="G3747" s="67" t="s">
        <v>312</v>
      </c>
      <c r="H3747" s="69">
        <v>0.27</v>
      </c>
    </row>
    <row r="3748" spans="6:8">
      <c r="F3748" s="68" t="s">
        <v>127</v>
      </c>
      <c r="G3748" s="67" t="s">
        <v>312</v>
      </c>
      <c r="H3748" s="69">
        <v>-0.15</v>
      </c>
    </row>
    <row r="3749" spans="6:8">
      <c r="F3749" s="68" t="s">
        <v>126</v>
      </c>
      <c r="G3749" s="67" t="s">
        <v>312</v>
      </c>
      <c r="H3749" s="69">
        <v>-0.55000000000000004</v>
      </c>
    </row>
    <row r="3750" spans="6:8">
      <c r="F3750" s="68" t="s">
        <v>125</v>
      </c>
      <c r="G3750" s="67" t="s">
        <v>312</v>
      </c>
      <c r="H3750" s="69">
        <v>-0.9</v>
      </c>
    </row>
    <row r="3751" spans="6:8">
      <c r="F3751" s="68" t="s">
        <v>252</v>
      </c>
      <c r="G3751" s="67" t="s">
        <v>312</v>
      </c>
      <c r="H3751" s="69">
        <v>0.21</v>
      </c>
    </row>
    <row r="3752" spans="6:8">
      <c r="F3752" s="68" t="s">
        <v>124</v>
      </c>
      <c r="G3752" s="67" t="s">
        <v>312</v>
      </c>
      <c r="H3752" s="69">
        <v>-0.65</v>
      </c>
    </row>
    <row r="3753" spans="6:8">
      <c r="F3753" s="68" t="s">
        <v>123</v>
      </c>
      <c r="G3753" s="67" t="s">
        <v>312</v>
      </c>
      <c r="H3753" s="69">
        <v>-0.55000000000000004</v>
      </c>
    </row>
    <row r="3754" spans="6:8">
      <c r="F3754" s="68" t="s">
        <v>122</v>
      </c>
      <c r="G3754" s="67" t="s">
        <v>312</v>
      </c>
      <c r="H3754" s="69">
        <v>-0.8</v>
      </c>
    </row>
    <row r="3755" spans="6:8">
      <c r="F3755" s="68" t="s">
        <v>251</v>
      </c>
      <c r="G3755" s="67" t="s">
        <v>312</v>
      </c>
      <c r="H3755" s="69">
        <v>0.16</v>
      </c>
    </row>
    <row r="3756" spans="6:8">
      <c r="F3756" s="68" t="s">
        <v>121</v>
      </c>
      <c r="G3756" s="67" t="s">
        <v>312</v>
      </c>
      <c r="H3756" s="69">
        <v>-0.7</v>
      </c>
    </row>
    <row r="3757" spans="6:8">
      <c r="F3757" s="68" t="s">
        <v>120</v>
      </c>
      <c r="G3757" s="67" t="s">
        <v>312</v>
      </c>
      <c r="H3757" s="69">
        <v>-0.5</v>
      </c>
    </row>
    <row r="3758" spans="6:8">
      <c r="F3758" s="68" t="s">
        <v>119</v>
      </c>
      <c r="G3758" s="67" t="s">
        <v>312</v>
      </c>
      <c r="H3758" s="69">
        <v>-0.75</v>
      </c>
    </row>
    <row r="3759" spans="6:8">
      <c r="F3759" s="68" t="s">
        <v>119</v>
      </c>
      <c r="G3759" s="67" t="s">
        <v>313</v>
      </c>
      <c r="H3759" s="69">
        <v>-0.75</v>
      </c>
    </row>
    <row r="3760" spans="6:8">
      <c r="F3760" s="68" t="s">
        <v>120</v>
      </c>
      <c r="G3760" s="67" t="s">
        <v>313</v>
      </c>
      <c r="H3760" s="69">
        <v>-0.5</v>
      </c>
    </row>
    <row r="3761" spans="6:8">
      <c r="F3761" s="68" t="s">
        <v>121</v>
      </c>
      <c r="G3761" s="67" t="s">
        <v>313</v>
      </c>
      <c r="H3761" s="69">
        <v>-0.7</v>
      </c>
    </row>
    <row r="3762" spans="6:8">
      <c r="F3762" s="68" t="s">
        <v>251</v>
      </c>
      <c r="G3762" s="67" t="s">
        <v>313</v>
      </c>
      <c r="H3762" s="69">
        <v>0.16</v>
      </c>
    </row>
    <row r="3763" spans="6:8">
      <c r="F3763" s="68" t="s">
        <v>122</v>
      </c>
      <c r="G3763" s="67" t="s">
        <v>313</v>
      </c>
      <c r="H3763" s="69">
        <v>-0.8</v>
      </c>
    </row>
    <row r="3764" spans="6:8">
      <c r="F3764" s="68" t="s">
        <v>123</v>
      </c>
      <c r="G3764" s="67" t="s">
        <v>313</v>
      </c>
      <c r="H3764" s="69">
        <v>-0.55000000000000004</v>
      </c>
    </row>
    <row r="3765" spans="6:8">
      <c r="F3765" s="68" t="s">
        <v>124</v>
      </c>
      <c r="G3765" s="67" t="s">
        <v>313</v>
      </c>
      <c r="H3765" s="69">
        <v>-0.65</v>
      </c>
    </row>
    <row r="3766" spans="6:8">
      <c r="F3766" s="68" t="s">
        <v>252</v>
      </c>
      <c r="G3766" s="67" t="s">
        <v>313</v>
      </c>
      <c r="H3766" s="69">
        <v>0.21</v>
      </c>
    </row>
    <row r="3767" spans="6:8">
      <c r="F3767" s="68" t="s">
        <v>314</v>
      </c>
      <c r="G3767" s="67" t="s">
        <v>313</v>
      </c>
      <c r="H3767" s="69">
        <v>-0.9</v>
      </c>
    </row>
    <row r="3768" spans="6:8">
      <c r="F3768" s="68" t="s">
        <v>125</v>
      </c>
      <c r="G3768" s="67" t="s">
        <v>313</v>
      </c>
      <c r="H3768" s="69">
        <v>-0.9</v>
      </c>
    </row>
    <row r="3769" spans="6:8">
      <c r="F3769" s="68" t="s">
        <v>126</v>
      </c>
      <c r="G3769" s="67" t="s">
        <v>313</v>
      </c>
      <c r="H3769" s="69">
        <v>-0.55000000000000004</v>
      </c>
    </row>
    <row r="3770" spans="6:8">
      <c r="F3770" s="68" t="s">
        <v>127</v>
      </c>
      <c r="G3770" s="67" t="s">
        <v>313</v>
      </c>
      <c r="H3770" s="69">
        <v>-0.15</v>
      </c>
    </row>
    <row r="3771" spans="6:8">
      <c r="F3771" s="68" t="s">
        <v>253</v>
      </c>
      <c r="G3771" s="67" t="s">
        <v>313</v>
      </c>
      <c r="H3771" s="69">
        <v>0.27</v>
      </c>
    </row>
    <row r="3772" spans="6:8">
      <c r="F3772" s="68" t="s">
        <v>315</v>
      </c>
      <c r="G3772" s="67" t="s">
        <v>313</v>
      </c>
      <c r="H3772" s="69">
        <v>-0.9</v>
      </c>
    </row>
    <row r="3773" spans="6:8">
      <c r="F3773" s="68" t="s">
        <v>128</v>
      </c>
      <c r="G3773" s="67" t="s">
        <v>313</v>
      </c>
      <c r="H3773" s="69">
        <v>-0.5</v>
      </c>
    </row>
    <row r="3774" spans="6:8">
      <c r="F3774" s="68" t="s">
        <v>129</v>
      </c>
      <c r="G3774" s="67" t="s">
        <v>313</v>
      </c>
      <c r="H3774" s="69">
        <v>-0.25</v>
      </c>
    </row>
    <row r="3775" spans="6:8">
      <c r="F3775" s="68" t="s">
        <v>254</v>
      </c>
      <c r="G3775" s="67" t="s">
        <v>313</v>
      </c>
      <c r="H3775" s="69">
        <v>0.37</v>
      </c>
    </row>
    <row r="3776" spans="6:8">
      <c r="F3776" s="68" t="s">
        <v>304</v>
      </c>
      <c r="G3776" s="67" t="s">
        <v>313</v>
      </c>
      <c r="H3776" s="69">
        <v>17.875</v>
      </c>
    </row>
    <row r="3777" spans="6:8">
      <c r="F3777" s="68" t="s">
        <v>130</v>
      </c>
      <c r="G3777" s="67" t="s">
        <v>313</v>
      </c>
      <c r="H3777" s="69">
        <v>-0.75</v>
      </c>
    </row>
    <row r="3778" spans="6:8">
      <c r="F3778" s="68" t="s">
        <v>131</v>
      </c>
      <c r="G3778" s="67" t="s">
        <v>313</v>
      </c>
      <c r="H3778" s="69">
        <v>-0.35</v>
      </c>
    </row>
    <row r="3779" spans="6:8">
      <c r="F3779" s="68" t="s">
        <v>255</v>
      </c>
      <c r="G3779" s="67" t="s">
        <v>313</v>
      </c>
      <c r="H3779" s="69">
        <v>0.51</v>
      </c>
    </row>
    <row r="3780" spans="6:8">
      <c r="F3780" s="68" t="s">
        <v>303</v>
      </c>
      <c r="G3780" s="67" t="s">
        <v>313</v>
      </c>
      <c r="H3780" s="69">
        <v>18.65625</v>
      </c>
    </row>
    <row r="3781" spans="6:8">
      <c r="F3781" s="68" t="s">
        <v>132</v>
      </c>
      <c r="G3781" s="67" t="s">
        <v>313</v>
      </c>
      <c r="H3781" s="69">
        <v>-0.7</v>
      </c>
    </row>
    <row r="3782" spans="6:8">
      <c r="F3782" s="68" t="s">
        <v>133</v>
      </c>
      <c r="G3782" s="67" t="s">
        <v>313</v>
      </c>
      <c r="H3782" s="69">
        <v>-0.35</v>
      </c>
    </row>
    <row r="3783" spans="6:8">
      <c r="F3783" s="68" t="s">
        <v>256</v>
      </c>
      <c r="G3783" s="67" t="s">
        <v>313</v>
      </c>
      <c r="H3783" s="69">
        <v>0.71</v>
      </c>
    </row>
    <row r="3784" spans="6:8">
      <c r="F3784" s="68" t="s">
        <v>134</v>
      </c>
      <c r="G3784" s="67" t="s">
        <v>313</v>
      </c>
      <c r="H3784" s="69">
        <v>-0.75</v>
      </c>
    </row>
    <row r="3785" spans="6:8">
      <c r="F3785" s="68" t="s">
        <v>135</v>
      </c>
      <c r="G3785" s="67" t="s">
        <v>313</v>
      </c>
      <c r="H3785" s="69">
        <v>-0.35</v>
      </c>
    </row>
    <row r="3786" spans="6:8">
      <c r="F3786" s="68" t="s">
        <v>257</v>
      </c>
      <c r="G3786" s="67" t="s">
        <v>313</v>
      </c>
      <c r="H3786" s="69">
        <v>0.9</v>
      </c>
    </row>
    <row r="3787" spans="6:8">
      <c r="F3787" s="68" t="s">
        <v>258</v>
      </c>
      <c r="G3787" s="67" t="s">
        <v>313</v>
      </c>
      <c r="H3787" s="69">
        <v>0.1</v>
      </c>
    </row>
    <row r="3788" spans="6:8">
      <c r="F3788" s="68" t="s">
        <v>136</v>
      </c>
      <c r="G3788" s="67" t="s">
        <v>313</v>
      </c>
      <c r="H3788" s="69">
        <v>-0.75</v>
      </c>
    </row>
    <row r="3789" spans="6:8">
      <c r="F3789" s="68" t="s">
        <v>137</v>
      </c>
      <c r="G3789" s="67" t="s">
        <v>313</v>
      </c>
      <c r="H3789" s="69">
        <v>-0.5</v>
      </c>
    </row>
    <row r="3790" spans="6:8">
      <c r="F3790" s="68" t="s">
        <v>138</v>
      </c>
      <c r="G3790" s="67" t="s">
        <v>313</v>
      </c>
      <c r="H3790" s="69">
        <v>-0.7</v>
      </c>
    </row>
    <row r="3791" spans="6:8">
      <c r="F3791" s="68" t="s">
        <v>259</v>
      </c>
      <c r="G3791" s="67" t="s">
        <v>313</v>
      </c>
      <c r="H3791" s="69">
        <v>0.14000000000000001</v>
      </c>
    </row>
    <row r="3792" spans="6:8">
      <c r="F3792" s="68" t="s">
        <v>259</v>
      </c>
      <c r="G3792" s="67" t="s">
        <v>316</v>
      </c>
      <c r="H3792" s="69">
        <v>0.14000000000000001</v>
      </c>
    </row>
    <row r="3793" spans="6:8">
      <c r="F3793" s="68" t="s">
        <v>138</v>
      </c>
      <c r="G3793" s="67" t="s">
        <v>316</v>
      </c>
      <c r="H3793" s="69">
        <v>-0.65</v>
      </c>
    </row>
    <row r="3794" spans="6:8">
      <c r="F3794" s="68" t="s">
        <v>137</v>
      </c>
      <c r="G3794" s="67" t="s">
        <v>316</v>
      </c>
      <c r="H3794" s="69">
        <v>-0.5</v>
      </c>
    </row>
    <row r="3795" spans="6:8">
      <c r="F3795" s="68" t="s">
        <v>136</v>
      </c>
      <c r="G3795" s="67" t="s">
        <v>316</v>
      </c>
      <c r="H3795" s="69">
        <v>-0.7</v>
      </c>
    </row>
    <row r="3796" spans="6:8">
      <c r="F3796" s="68" t="s">
        <v>258</v>
      </c>
      <c r="G3796" s="67" t="s">
        <v>316</v>
      </c>
      <c r="H3796" s="69">
        <v>0.1</v>
      </c>
    </row>
    <row r="3797" spans="6:8">
      <c r="F3797" s="68" t="s">
        <v>257</v>
      </c>
      <c r="G3797" s="67" t="s">
        <v>316</v>
      </c>
      <c r="H3797" s="69">
        <v>0.91</v>
      </c>
    </row>
    <row r="3798" spans="6:8">
      <c r="F3798" s="68" t="s">
        <v>135</v>
      </c>
      <c r="G3798" s="67" t="s">
        <v>316</v>
      </c>
      <c r="H3798" s="69">
        <v>-0.35</v>
      </c>
    </row>
    <row r="3799" spans="6:8">
      <c r="F3799" s="68" t="s">
        <v>134</v>
      </c>
      <c r="G3799" s="67" t="s">
        <v>316</v>
      </c>
      <c r="H3799" s="69">
        <v>-0.7</v>
      </c>
    </row>
    <row r="3800" spans="6:8">
      <c r="F3800" s="68" t="s">
        <v>256</v>
      </c>
      <c r="G3800" s="67" t="s">
        <v>316</v>
      </c>
      <c r="H3800" s="69">
        <v>0.72</v>
      </c>
    </row>
    <row r="3801" spans="6:8">
      <c r="F3801" s="68" t="s">
        <v>133</v>
      </c>
      <c r="G3801" s="67" t="s">
        <v>316</v>
      </c>
      <c r="H3801" s="69">
        <v>-0.35</v>
      </c>
    </row>
    <row r="3802" spans="6:8">
      <c r="F3802" s="68" t="s">
        <v>132</v>
      </c>
      <c r="G3802" s="67" t="s">
        <v>316</v>
      </c>
      <c r="H3802" s="69">
        <v>-0.65</v>
      </c>
    </row>
    <row r="3803" spans="6:8">
      <c r="F3803" s="68" t="s">
        <v>303</v>
      </c>
      <c r="G3803" s="67" t="s">
        <v>316</v>
      </c>
      <c r="H3803" s="69">
        <v>18.75</v>
      </c>
    </row>
    <row r="3804" spans="6:8">
      <c r="F3804" s="68" t="s">
        <v>255</v>
      </c>
      <c r="G3804" s="67" t="s">
        <v>316</v>
      </c>
      <c r="H3804" s="69">
        <v>0.52</v>
      </c>
    </row>
    <row r="3805" spans="6:8">
      <c r="F3805" s="68" t="s">
        <v>131</v>
      </c>
      <c r="G3805" s="67" t="s">
        <v>316</v>
      </c>
      <c r="H3805" s="69">
        <v>-0.35</v>
      </c>
    </row>
    <row r="3806" spans="6:8">
      <c r="F3806" s="68" t="s">
        <v>130</v>
      </c>
      <c r="G3806" s="67" t="s">
        <v>316</v>
      </c>
      <c r="H3806" s="69">
        <v>-0.7</v>
      </c>
    </row>
    <row r="3807" spans="6:8">
      <c r="F3807" s="68" t="s">
        <v>304</v>
      </c>
      <c r="G3807" s="67" t="s">
        <v>316</v>
      </c>
      <c r="H3807" s="69">
        <v>17.9375</v>
      </c>
    </row>
    <row r="3808" spans="6:8">
      <c r="F3808" s="68" t="s">
        <v>254</v>
      </c>
      <c r="G3808" s="67" t="s">
        <v>316</v>
      </c>
      <c r="H3808" s="69">
        <v>0.38</v>
      </c>
    </row>
    <row r="3809" spans="6:8">
      <c r="F3809" s="68" t="s">
        <v>129</v>
      </c>
      <c r="G3809" s="67" t="s">
        <v>316</v>
      </c>
      <c r="H3809" s="69">
        <v>-0.25</v>
      </c>
    </row>
    <row r="3810" spans="6:8">
      <c r="F3810" s="68" t="s">
        <v>128</v>
      </c>
      <c r="G3810" s="67" t="s">
        <v>316</v>
      </c>
      <c r="H3810" s="69">
        <v>-0.5</v>
      </c>
    </row>
    <row r="3811" spans="6:8">
      <c r="F3811" s="68" t="s">
        <v>315</v>
      </c>
      <c r="G3811" s="67" t="s">
        <v>316</v>
      </c>
      <c r="H3811" s="69">
        <v>-0.55000000000000004</v>
      </c>
    </row>
    <row r="3812" spans="6:8">
      <c r="F3812" s="68" t="s">
        <v>253</v>
      </c>
      <c r="G3812" s="67" t="s">
        <v>316</v>
      </c>
      <c r="H3812" s="69">
        <v>0.28000000000000003</v>
      </c>
    </row>
    <row r="3813" spans="6:8">
      <c r="F3813" s="68" t="s">
        <v>127</v>
      </c>
      <c r="G3813" s="67" t="s">
        <v>316</v>
      </c>
      <c r="H3813" s="69">
        <v>-0.15</v>
      </c>
    </row>
    <row r="3814" spans="6:8">
      <c r="F3814" s="68" t="s">
        <v>126</v>
      </c>
      <c r="G3814" s="67" t="s">
        <v>316</v>
      </c>
      <c r="H3814" s="69">
        <v>-0.55000000000000004</v>
      </c>
    </row>
    <row r="3815" spans="6:8">
      <c r="F3815" s="68" t="s">
        <v>125</v>
      </c>
      <c r="G3815" s="67" t="s">
        <v>316</v>
      </c>
      <c r="H3815" s="69">
        <v>-0.85</v>
      </c>
    </row>
    <row r="3816" spans="6:8">
      <c r="F3816" s="68" t="s">
        <v>314</v>
      </c>
      <c r="G3816" s="67" t="s">
        <v>316</v>
      </c>
      <c r="H3816" s="69">
        <v>-0.75</v>
      </c>
    </row>
    <row r="3817" spans="6:8">
      <c r="F3817" s="68" t="s">
        <v>252</v>
      </c>
      <c r="G3817" s="67" t="s">
        <v>316</v>
      </c>
      <c r="H3817" s="69">
        <v>0.22</v>
      </c>
    </row>
    <row r="3818" spans="6:8">
      <c r="F3818" s="68" t="s">
        <v>124</v>
      </c>
      <c r="G3818" s="67" t="s">
        <v>316</v>
      </c>
      <c r="H3818" s="69">
        <v>-0.6</v>
      </c>
    </row>
    <row r="3819" spans="6:8">
      <c r="F3819" s="68" t="s">
        <v>123</v>
      </c>
      <c r="G3819" s="67" t="s">
        <v>316</v>
      </c>
      <c r="H3819" s="69">
        <v>-0.55000000000000004</v>
      </c>
    </row>
    <row r="3820" spans="6:8">
      <c r="F3820" s="68" t="s">
        <v>122</v>
      </c>
      <c r="G3820" s="67" t="s">
        <v>316</v>
      </c>
      <c r="H3820" s="69">
        <v>-0.75</v>
      </c>
    </row>
    <row r="3821" spans="6:8">
      <c r="F3821" s="68" t="s">
        <v>251</v>
      </c>
      <c r="G3821" s="67" t="s">
        <v>316</v>
      </c>
      <c r="H3821" s="69">
        <v>0.16</v>
      </c>
    </row>
    <row r="3822" spans="6:8">
      <c r="F3822" s="68" t="s">
        <v>121</v>
      </c>
      <c r="G3822" s="67" t="s">
        <v>316</v>
      </c>
      <c r="H3822" s="69">
        <v>-0.65</v>
      </c>
    </row>
    <row r="3823" spans="6:8">
      <c r="F3823" s="68" t="s">
        <v>120</v>
      </c>
      <c r="G3823" s="67" t="s">
        <v>316</v>
      </c>
      <c r="H3823" s="69">
        <v>-0.5</v>
      </c>
    </row>
    <row r="3824" spans="6:8">
      <c r="F3824" s="68" t="s">
        <v>119</v>
      </c>
      <c r="G3824" s="67" t="s">
        <v>316</v>
      </c>
      <c r="H3824" s="69">
        <v>-0.7</v>
      </c>
    </row>
    <row r="3825" spans="6:8">
      <c r="F3825" s="68" t="s">
        <v>119</v>
      </c>
      <c r="G3825" s="67" t="s">
        <v>317</v>
      </c>
      <c r="H3825" s="69">
        <v>-0.7</v>
      </c>
    </row>
    <row r="3826" spans="6:8">
      <c r="F3826" s="68" t="s">
        <v>120</v>
      </c>
      <c r="G3826" s="67" t="s">
        <v>317</v>
      </c>
      <c r="H3826" s="69">
        <v>-0.5</v>
      </c>
    </row>
    <row r="3827" spans="6:8">
      <c r="F3827" s="68" t="s">
        <v>121</v>
      </c>
      <c r="G3827" s="67" t="s">
        <v>317</v>
      </c>
      <c r="H3827" s="69">
        <v>-0.65</v>
      </c>
    </row>
    <row r="3828" spans="6:8">
      <c r="F3828" s="68" t="s">
        <v>251</v>
      </c>
      <c r="G3828" s="67" t="s">
        <v>317</v>
      </c>
      <c r="H3828" s="69">
        <v>0.16</v>
      </c>
    </row>
    <row r="3829" spans="6:8">
      <c r="F3829" s="68" t="s">
        <v>122</v>
      </c>
      <c r="G3829" s="67" t="s">
        <v>317</v>
      </c>
      <c r="H3829" s="69">
        <v>-0.75</v>
      </c>
    </row>
    <row r="3830" spans="6:8">
      <c r="F3830" s="68" t="s">
        <v>123</v>
      </c>
      <c r="G3830" s="67" t="s">
        <v>317</v>
      </c>
      <c r="H3830" s="69">
        <v>-0.55000000000000004</v>
      </c>
    </row>
    <row r="3831" spans="6:8">
      <c r="F3831" s="68" t="s">
        <v>124</v>
      </c>
      <c r="G3831" s="67" t="s">
        <v>317</v>
      </c>
      <c r="H3831" s="69">
        <v>-0.6</v>
      </c>
    </row>
    <row r="3832" spans="6:8">
      <c r="F3832" s="68" t="s">
        <v>252</v>
      </c>
      <c r="G3832" s="67" t="s">
        <v>317</v>
      </c>
      <c r="H3832" s="69">
        <v>0.22</v>
      </c>
    </row>
    <row r="3833" spans="6:8">
      <c r="F3833" s="68" t="s">
        <v>314</v>
      </c>
      <c r="G3833" s="67" t="s">
        <v>317</v>
      </c>
      <c r="H3833" s="69">
        <v>-0.75</v>
      </c>
    </row>
    <row r="3834" spans="6:8">
      <c r="F3834" s="68" t="s">
        <v>125</v>
      </c>
      <c r="G3834" s="67" t="s">
        <v>317</v>
      </c>
      <c r="H3834" s="69">
        <v>-0.85</v>
      </c>
    </row>
    <row r="3835" spans="6:8">
      <c r="F3835" s="68" t="s">
        <v>126</v>
      </c>
      <c r="G3835" s="67" t="s">
        <v>317</v>
      </c>
      <c r="H3835" s="69">
        <v>-0.55000000000000004</v>
      </c>
    </row>
    <row r="3836" spans="6:8">
      <c r="F3836" s="68" t="s">
        <v>127</v>
      </c>
      <c r="G3836" s="67" t="s">
        <v>317</v>
      </c>
      <c r="H3836" s="69">
        <v>-0.15</v>
      </c>
    </row>
    <row r="3837" spans="6:8">
      <c r="F3837" s="68" t="s">
        <v>253</v>
      </c>
      <c r="G3837" s="67" t="s">
        <v>317</v>
      </c>
      <c r="H3837" s="69">
        <v>0.28000000000000003</v>
      </c>
    </row>
    <row r="3838" spans="6:8">
      <c r="F3838" s="68" t="s">
        <v>315</v>
      </c>
      <c r="G3838" s="67" t="s">
        <v>317</v>
      </c>
      <c r="H3838" s="69">
        <v>-0.55000000000000004</v>
      </c>
    </row>
    <row r="3839" spans="6:8">
      <c r="F3839" s="68" t="s">
        <v>128</v>
      </c>
      <c r="G3839" s="67" t="s">
        <v>317</v>
      </c>
      <c r="H3839" s="69">
        <v>-0.5</v>
      </c>
    </row>
    <row r="3840" spans="6:8">
      <c r="F3840" s="68" t="s">
        <v>129</v>
      </c>
      <c r="G3840" s="67" t="s">
        <v>317</v>
      </c>
      <c r="H3840" s="69">
        <v>-0.25</v>
      </c>
    </row>
    <row r="3841" spans="6:8">
      <c r="F3841" s="68" t="s">
        <v>254</v>
      </c>
      <c r="G3841" s="67" t="s">
        <v>317</v>
      </c>
      <c r="H3841" s="69">
        <v>0.38</v>
      </c>
    </row>
    <row r="3842" spans="6:8">
      <c r="F3842" s="68" t="s">
        <v>304</v>
      </c>
      <c r="G3842" s="67" t="s">
        <v>317</v>
      </c>
      <c r="H3842" s="69">
        <v>18.3125</v>
      </c>
    </row>
    <row r="3843" spans="6:8">
      <c r="F3843" s="68" t="s">
        <v>130</v>
      </c>
      <c r="G3843" s="67" t="s">
        <v>317</v>
      </c>
      <c r="H3843" s="69">
        <v>-0.7</v>
      </c>
    </row>
    <row r="3844" spans="6:8">
      <c r="F3844" s="68" t="s">
        <v>131</v>
      </c>
      <c r="G3844" s="67" t="s">
        <v>317</v>
      </c>
      <c r="H3844" s="69">
        <v>-0.35</v>
      </c>
    </row>
    <row r="3845" spans="6:8">
      <c r="F3845" s="68" t="s">
        <v>255</v>
      </c>
      <c r="G3845" s="67" t="s">
        <v>317</v>
      </c>
      <c r="H3845" s="69">
        <v>0.52</v>
      </c>
    </row>
    <row r="3846" spans="6:8">
      <c r="F3846" s="68" t="s">
        <v>303</v>
      </c>
      <c r="G3846" s="67" t="s">
        <v>317</v>
      </c>
      <c r="H3846" s="69">
        <v>19.125</v>
      </c>
    </row>
    <row r="3847" spans="6:8">
      <c r="F3847" s="68" t="s">
        <v>132</v>
      </c>
      <c r="G3847" s="67" t="s">
        <v>317</v>
      </c>
      <c r="H3847" s="69">
        <v>-0.65</v>
      </c>
    </row>
    <row r="3848" spans="6:8">
      <c r="F3848" s="68" t="s">
        <v>133</v>
      </c>
      <c r="G3848" s="67" t="s">
        <v>317</v>
      </c>
      <c r="H3848" s="69">
        <v>-0.35</v>
      </c>
    </row>
    <row r="3849" spans="6:8">
      <c r="F3849" s="68" t="s">
        <v>256</v>
      </c>
      <c r="G3849" s="67" t="s">
        <v>317</v>
      </c>
      <c r="H3849" s="69">
        <v>0.72</v>
      </c>
    </row>
    <row r="3850" spans="6:8">
      <c r="F3850" s="68" t="s">
        <v>134</v>
      </c>
      <c r="G3850" s="67" t="s">
        <v>317</v>
      </c>
      <c r="H3850" s="69">
        <v>-0.7</v>
      </c>
    </row>
    <row r="3851" spans="6:8">
      <c r="F3851" s="68" t="s">
        <v>135</v>
      </c>
      <c r="G3851" s="67" t="s">
        <v>317</v>
      </c>
      <c r="H3851" s="69">
        <v>-0.35</v>
      </c>
    </row>
    <row r="3852" spans="6:8">
      <c r="F3852" s="68" t="s">
        <v>257</v>
      </c>
      <c r="G3852" s="67" t="s">
        <v>317</v>
      </c>
      <c r="H3852" s="69">
        <v>0.91</v>
      </c>
    </row>
    <row r="3853" spans="6:8">
      <c r="F3853" s="68" t="s">
        <v>258</v>
      </c>
      <c r="G3853" s="67" t="s">
        <v>317</v>
      </c>
      <c r="H3853" s="69">
        <v>0.1</v>
      </c>
    </row>
    <row r="3854" spans="6:8">
      <c r="F3854" s="68" t="s">
        <v>136</v>
      </c>
      <c r="G3854" s="67" t="s">
        <v>317</v>
      </c>
      <c r="H3854" s="69">
        <v>-0.7</v>
      </c>
    </row>
    <row r="3855" spans="6:8">
      <c r="F3855" s="68" t="s">
        <v>137</v>
      </c>
      <c r="G3855" s="67" t="s">
        <v>317</v>
      </c>
      <c r="H3855" s="69">
        <v>-0.5</v>
      </c>
    </row>
    <row r="3856" spans="6:8">
      <c r="F3856" s="68" t="s">
        <v>138</v>
      </c>
      <c r="G3856" s="67" t="s">
        <v>317</v>
      </c>
      <c r="H3856" s="69">
        <v>-0.65</v>
      </c>
    </row>
    <row r="3857" spans="6:8">
      <c r="F3857" s="68" t="s">
        <v>259</v>
      </c>
      <c r="G3857" s="67" t="s">
        <v>317</v>
      </c>
      <c r="H3857" s="69">
        <v>0.14000000000000001</v>
      </c>
    </row>
    <row r="3858" spans="6:8">
      <c r="F3858" s="68" t="s">
        <v>259</v>
      </c>
      <c r="G3858" s="67" t="s">
        <v>318</v>
      </c>
      <c r="H3858" s="69">
        <v>0.14000000000000001</v>
      </c>
    </row>
    <row r="3859" spans="6:8">
      <c r="F3859" s="68" t="s">
        <v>138</v>
      </c>
      <c r="G3859" s="67" t="s">
        <v>318</v>
      </c>
      <c r="H3859" s="69">
        <v>-0.65</v>
      </c>
    </row>
    <row r="3860" spans="6:8">
      <c r="F3860" s="68" t="s">
        <v>137</v>
      </c>
      <c r="G3860" s="67" t="s">
        <v>318</v>
      </c>
      <c r="H3860" s="69">
        <v>-0.5</v>
      </c>
    </row>
    <row r="3861" spans="6:8">
      <c r="F3861" s="68" t="s">
        <v>136</v>
      </c>
      <c r="G3861" s="67" t="s">
        <v>318</v>
      </c>
      <c r="H3861" s="69">
        <v>-0.7</v>
      </c>
    </row>
    <row r="3862" spans="6:8">
      <c r="F3862" s="68" t="s">
        <v>258</v>
      </c>
      <c r="G3862" s="67" t="s">
        <v>318</v>
      </c>
      <c r="H3862" s="69">
        <v>0.1</v>
      </c>
    </row>
    <row r="3863" spans="6:8">
      <c r="F3863" s="68" t="s">
        <v>257</v>
      </c>
      <c r="G3863" s="67" t="s">
        <v>318</v>
      </c>
      <c r="H3863" s="69">
        <v>0.91</v>
      </c>
    </row>
    <row r="3864" spans="6:8">
      <c r="F3864" s="68" t="s">
        <v>135</v>
      </c>
      <c r="G3864" s="67" t="s">
        <v>318</v>
      </c>
      <c r="H3864" s="69">
        <v>-0.35</v>
      </c>
    </row>
    <row r="3865" spans="6:8">
      <c r="F3865" s="68" t="s">
        <v>134</v>
      </c>
      <c r="G3865" s="67" t="s">
        <v>318</v>
      </c>
      <c r="H3865" s="69">
        <v>-0.7</v>
      </c>
    </row>
    <row r="3866" spans="6:8">
      <c r="F3866" s="68" t="s">
        <v>256</v>
      </c>
      <c r="G3866" s="67" t="s">
        <v>318</v>
      </c>
      <c r="H3866" s="69">
        <v>0.72</v>
      </c>
    </row>
    <row r="3867" spans="6:8">
      <c r="F3867" s="68" t="s">
        <v>133</v>
      </c>
      <c r="G3867" s="67" t="s">
        <v>318</v>
      </c>
      <c r="H3867" s="69">
        <v>-0.35</v>
      </c>
    </row>
    <row r="3868" spans="6:8">
      <c r="F3868" s="68" t="s">
        <v>132</v>
      </c>
      <c r="G3868" s="67" t="s">
        <v>318</v>
      </c>
      <c r="H3868" s="69">
        <v>-0.65</v>
      </c>
    </row>
    <row r="3869" spans="6:8">
      <c r="F3869" s="68" t="s">
        <v>303</v>
      </c>
      <c r="G3869" s="67" t="s">
        <v>318</v>
      </c>
      <c r="H3869" s="69">
        <v>19.1875</v>
      </c>
    </row>
    <row r="3870" spans="6:8">
      <c r="F3870" s="68" t="s">
        <v>255</v>
      </c>
      <c r="G3870" s="67" t="s">
        <v>318</v>
      </c>
      <c r="H3870" s="69">
        <v>0.52</v>
      </c>
    </row>
    <row r="3871" spans="6:8">
      <c r="F3871" s="68" t="s">
        <v>131</v>
      </c>
      <c r="G3871" s="67" t="s">
        <v>318</v>
      </c>
      <c r="H3871" s="69">
        <v>-0.35</v>
      </c>
    </row>
    <row r="3872" spans="6:8">
      <c r="F3872" s="68" t="s">
        <v>130</v>
      </c>
      <c r="G3872" s="67" t="s">
        <v>318</v>
      </c>
      <c r="H3872" s="69">
        <v>-0.7</v>
      </c>
    </row>
    <row r="3873" spans="6:8">
      <c r="F3873" s="68" t="s">
        <v>304</v>
      </c>
      <c r="G3873" s="67" t="s">
        <v>318</v>
      </c>
      <c r="H3873" s="69">
        <v>18.375</v>
      </c>
    </row>
    <row r="3874" spans="6:8">
      <c r="F3874" s="68" t="s">
        <v>254</v>
      </c>
      <c r="G3874" s="67" t="s">
        <v>318</v>
      </c>
      <c r="H3874" s="69">
        <v>0.38</v>
      </c>
    </row>
    <row r="3875" spans="6:8">
      <c r="F3875" s="68" t="s">
        <v>129</v>
      </c>
      <c r="G3875" s="67" t="s">
        <v>318</v>
      </c>
      <c r="H3875" s="69">
        <v>-0.25</v>
      </c>
    </row>
    <row r="3876" spans="6:8">
      <c r="F3876" s="68" t="s">
        <v>128</v>
      </c>
      <c r="G3876" s="67" t="s">
        <v>318</v>
      </c>
      <c r="H3876" s="69">
        <v>-0.5</v>
      </c>
    </row>
    <row r="3877" spans="6:8">
      <c r="F3877" s="68" t="s">
        <v>315</v>
      </c>
      <c r="G3877" s="67" t="s">
        <v>318</v>
      </c>
      <c r="H3877" s="69">
        <v>-0.55000000000000004</v>
      </c>
    </row>
    <row r="3878" spans="6:8">
      <c r="F3878" s="68" t="s">
        <v>253</v>
      </c>
      <c r="G3878" s="67" t="s">
        <v>318</v>
      </c>
      <c r="H3878" s="69">
        <v>0.28000000000000003</v>
      </c>
    </row>
    <row r="3879" spans="6:8">
      <c r="F3879" s="68" t="s">
        <v>127</v>
      </c>
      <c r="G3879" s="67" t="s">
        <v>318</v>
      </c>
      <c r="H3879" s="69">
        <v>-0.15</v>
      </c>
    </row>
    <row r="3880" spans="6:8">
      <c r="F3880" s="68" t="s">
        <v>126</v>
      </c>
      <c r="G3880" s="67" t="s">
        <v>318</v>
      </c>
      <c r="H3880" s="69">
        <v>-0.55000000000000004</v>
      </c>
    </row>
    <row r="3881" spans="6:8">
      <c r="F3881" s="68" t="s">
        <v>125</v>
      </c>
      <c r="G3881" s="67" t="s">
        <v>318</v>
      </c>
      <c r="H3881" s="69">
        <v>-0.85</v>
      </c>
    </row>
    <row r="3882" spans="6:8">
      <c r="F3882" s="68" t="s">
        <v>314</v>
      </c>
      <c r="G3882" s="67" t="s">
        <v>318</v>
      </c>
      <c r="H3882" s="69">
        <v>-0.75</v>
      </c>
    </row>
    <row r="3883" spans="6:8">
      <c r="F3883" s="68" t="s">
        <v>252</v>
      </c>
      <c r="G3883" s="67" t="s">
        <v>318</v>
      </c>
      <c r="H3883" s="69">
        <v>0.22</v>
      </c>
    </row>
    <row r="3884" spans="6:8">
      <c r="F3884" s="68" t="s">
        <v>124</v>
      </c>
      <c r="G3884" s="67" t="s">
        <v>318</v>
      </c>
      <c r="H3884" s="69">
        <v>-0.6</v>
      </c>
    </row>
    <row r="3885" spans="6:8">
      <c r="F3885" s="68" t="s">
        <v>123</v>
      </c>
      <c r="G3885" s="67" t="s">
        <v>318</v>
      </c>
      <c r="H3885" s="69">
        <v>-0.55000000000000004</v>
      </c>
    </row>
    <row r="3886" spans="6:8">
      <c r="F3886" s="68" t="s">
        <v>122</v>
      </c>
      <c r="G3886" s="67" t="s">
        <v>318</v>
      </c>
      <c r="H3886" s="69">
        <v>-0.75</v>
      </c>
    </row>
    <row r="3887" spans="6:8">
      <c r="F3887" s="68" t="s">
        <v>251</v>
      </c>
      <c r="G3887" s="67" t="s">
        <v>318</v>
      </c>
      <c r="H3887" s="69">
        <v>0.16</v>
      </c>
    </row>
    <row r="3888" spans="6:8">
      <c r="F3888" s="68" t="s">
        <v>121</v>
      </c>
      <c r="G3888" s="67" t="s">
        <v>318</v>
      </c>
      <c r="H3888" s="69">
        <v>-0.65</v>
      </c>
    </row>
    <row r="3889" spans="6:8">
      <c r="F3889" s="68" t="s">
        <v>120</v>
      </c>
      <c r="G3889" s="67" t="s">
        <v>318</v>
      </c>
      <c r="H3889" s="69">
        <v>-0.5</v>
      </c>
    </row>
    <row r="3890" spans="6:8">
      <c r="F3890" s="68" t="s">
        <v>119</v>
      </c>
      <c r="G3890" s="67" t="s">
        <v>318</v>
      </c>
      <c r="H3890" s="69">
        <v>-0.7</v>
      </c>
    </row>
    <row r="3891" spans="6:8">
      <c r="F3891" s="68" t="s">
        <v>119</v>
      </c>
      <c r="G3891" s="67" t="s">
        <v>319</v>
      </c>
      <c r="H3891" s="69">
        <v>-0.7</v>
      </c>
    </row>
    <row r="3892" spans="6:8">
      <c r="F3892" s="68" t="s">
        <v>120</v>
      </c>
      <c r="G3892" s="67" t="s">
        <v>319</v>
      </c>
      <c r="H3892" s="69">
        <v>-0.5</v>
      </c>
    </row>
    <row r="3893" spans="6:8">
      <c r="F3893" s="68" t="s">
        <v>121</v>
      </c>
      <c r="G3893" s="67" t="s">
        <v>319</v>
      </c>
      <c r="H3893" s="69">
        <v>-0.65</v>
      </c>
    </row>
    <row r="3894" spans="6:8">
      <c r="F3894" s="68" t="s">
        <v>251</v>
      </c>
      <c r="G3894" s="67" t="s">
        <v>319</v>
      </c>
      <c r="H3894" s="69">
        <v>0.16</v>
      </c>
    </row>
    <row r="3895" spans="6:8">
      <c r="F3895" s="68" t="s">
        <v>122</v>
      </c>
      <c r="G3895" s="67" t="s">
        <v>319</v>
      </c>
      <c r="H3895" s="69">
        <v>-0.75</v>
      </c>
    </row>
    <row r="3896" spans="6:8">
      <c r="F3896" s="68" t="s">
        <v>123</v>
      </c>
      <c r="G3896" s="67" t="s">
        <v>319</v>
      </c>
      <c r="H3896" s="69">
        <v>-0.55000000000000004</v>
      </c>
    </row>
    <row r="3897" spans="6:8">
      <c r="F3897" s="68" t="s">
        <v>124</v>
      </c>
      <c r="G3897" s="67" t="s">
        <v>319</v>
      </c>
      <c r="H3897" s="69">
        <v>-0.6</v>
      </c>
    </row>
    <row r="3898" spans="6:8">
      <c r="F3898" s="68" t="s">
        <v>252</v>
      </c>
      <c r="G3898" s="67" t="s">
        <v>319</v>
      </c>
      <c r="H3898" s="69">
        <v>0.22</v>
      </c>
    </row>
    <row r="3899" spans="6:8">
      <c r="F3899" s="68" t="s">
        <v>314</v>
      </c>
      <c r="G3899" s="67" t="s">
        <v>319</v>
      </c>
      <c r="H3899" s="69">
        <v>-0.75</v>
      </c>
    </row>
    <row r="3900" spans="6:8">
      <c r="F3900" s="68" t="s">
        <v>125</v>
      </c>
      <c r="G3900" s="67" t="s">
        <v>319</v>
      </c>
      <c r="H3900" s="69">
        <v>-0.85</v>
      </c>
    </row>
    <row r="3901" spans="6:8">
      <c r="F3901" s="68" t="s">
        <v>126</v>
      </c>
      <c r="G3901" s="67" t="s">
        <v>319</v>
      </c>
      <c r="H3901" s="69">
        <v>-0.55000000000000004</v>
      </c>
    </row>
    <row r="3902" spans="6:8">
      <c r="F3902" s="68" t="s">
        <v>127</v>
      </c>
      <c r="G3902" s="67" t="s">
        <v>319</v>
      </c>
      <c r="H3902" s="69">
        <v>-0.15</v>
      </c>
    </row>
    <row r="3903" spans="6:8">
      <c r="F3903" s="68" t="s">
        <v>253</v>
      </c>
      <c r="G3903" s="67" t="s">
        <v>319</v>
      </c>
      <c r="H3903" s="69">
        <v>0.28000000000000003</v>
      </c>
    </row>
    <row r="3904" spans="6:8">
      <c r="F3904" s="68" t="s">
        <v>315</v>
      </c>
      <c r="G3904" s="67" t="s">
        <v>319</v>
      </c>
      <c r="H3904" s="69">
        <v>-0.55000000000000004</v>
      </c>
    </row>
    <row r="3905" spans="6:8">
      <c r="F3905" s="68" t="s">
        <v>128</v>
      </c>
      <c r="G3905" s="67" t="s">
        <v>319</v>
      </c>
      <c r="H3905" s="69">
        <v>-0.5</v>
      </c>
    </row>
    <row r="3906" spans="6:8">
      <c r="F3906" s="68" t="s">
        <v>129</v>
      </c>
      <c r="G3906" s="67" t="s">
        <v>319</v>
      </c>
      <c r="H3906" s="69">
        <v>-0.25</v>
      </c>
    </row>
    <row r="3907" spans="6:8">
      <c r="F3907" s="68" t="s">
        <v>254</v>
      </c>
      <c r="G3907" s="67" t="s">
        <v>319</v>
      </c>
      <c r="H3907" s="69">
        <v>0.38</v>
      </c>
    </row>
    <row r="3908" spans="6:8">
      <c r="F3908" s="68" t="s">
        <v>304</v>
      </c>
      <c r="G3908" s="67" t="s">
        <v>319</v>
      </c>
      <c r="H3908" s="69">
        <v>18.5</v>
      </c>
    </row>
    <row r="3909" spans="6:8">
      <c r="F3909" s="68" t="s">
        <v>130</v>
      </c>
      <c r="G3909" s="67" t="s">
        <v>319</v>
      </c>
      <c r="H3909" s="69">
        <v>-0.7</v>
      </c>
    </row>
    <row r="3910" spans="6:8">
      <c r="F3910" s="68" t="s">
        <v>131</v>
      </c>
      <c r="G3910" s="67" t="s">
        <v>319</v>
      </c>
      <c r="H3910" s="69">
        <v>-0.35</v>
      </c>
    </row>
    <row r="3911" spans="6:8">
      <c r="F3911" s="68" t="s">
        <v>255</v>
      </c>
      <c r="G3911" s="67" t="s">
        <v>319</v>
      </c>
      <c r="H3911" s="69">
        <v>0.52</v>
      </c>
    </row>
    <row r="3912" spans="6:8">
      <c r="F3912" s="68" t="s">
        <v>303</v>
      </c>
      <c r="G3912" s="67" t="s">
        <v>319</v>
      </c>
      <c r="H3912" s="69">
        <v>19.375</v>
      </c>
    </row>
    <row r="3913" spans="6:8">
      <c r="F3913" s="68" t="s">
        <v>132</v>
      </c>
      <c r="G3913" s="67" t="s">
        <v>319</v>
      </c>
      <c r="H3913" s="69">
        <v>-0.65</v>
      </c>
    </row>
    <row r="3914" spans="6:8">
      <c r="F3914" s="68" t="s">
        <v>133</v>
      </c>
      <c r="G3914" s="67" t="s">
        <v>319</v>
      </c>
      <c r="H3914" s="69">
        <v>-0.35</v>
      </c>
    </row>
    <row r="3915" spans="6:8">
      <c r="F3915" s="68" t="s">
        <v>256</v>
      </c>
      <c r="G3915" s="67" t="s">
        <v>319</v>
      </c>
      <c r="H3915" s="69">
        <v>0.72</v>
      </c>
    </row>
    <row r="3916" spans="6:8">
      <c r="F3916" s="68" t="s">
        <v>134</v>
      </c>
      <c r="G3916" s="67" t="s">
        <v>319</v>
      </c>
      <c r="H3916" s="69">
        <v>-0.7</v>
      </c>
    </row>
    <row r="3917" spans="6:8">
      <c r="F3917" s="68" t="s">
        <v>135</v>
      </c>
      <c r="G3917" s="67" t="s">
        <v>319</v>
      </c>
      <c r="H3917" s="69">
        <v>-0.35</v>
      </c>
    </row>
    <row r="3918" spans="6:8">
      <c r="F3918" s="68" t="s">
        <v>257</v>
      </c>
      <c r="G3918" s="67" t="s">
        <v>319</v>
      </c>
      <c r="H3918" s="69">
        <v>0.91</v>
      </c>
    </row>
    <row r="3919" spans="6:8">
      <c r="F3919" s="68" t="s">
        <v>258</v>
      </c>
      <c r="G3919" s="67" t="s">
        <v>319</v>
      </c>
      <c r="H3919" s="69">
        <v>0.1</v>
      </c>
    </row>
    <row r="3920" spans="6:8">
      <c r="F3920" s="68" t="s">
        <v>136</v>
      </c>
      <c r="G3920" s="67" t="s">
        <v>319</v>
      </c>
      <c r="H3920" s="69">
        <v>-0.7</v>
      </c>
    </row>
    <row r="3921" spans="6:8">
      <c r="F3921" s="68" t="s">
        <v>137</v>
      </c>
      <c r="G3921" s="67" t="s">
        <v>319</v>
      </c>
      <c r="H3921" s="69">
        <v>-0.5</v>
      </c>
    </row>
    <row r="3922" spans="6:8">
      <c r="F3922" s="68" t="s">
        <v>138</v>
      </c>
      <c r="G3922" s="67" t="s">
        <v>319</v>
      </c>
      <c r="H3922" s="69">
        <v>-0.65</v>
      </c>
    </row>
    <row r="3923" spans="6:8">
      <c r="F3923" s="68" t="s">
        <v>259</v>
      </c>
      <c r="G3923" s="67" t="s">
        <v>319</v>
      </c>
      <c r="H3923" s="69">
        <v>0.14000000000000001</v>
      </c>
    </row>
    <row r="3924" spans="6:8">
      <c r="F3924" s="68" t="s">
        <v>259</v>
      </c>
      <c r="G3924" s="67" t="s">
        <v>320</v>
      </c>
      <c r="H3924" s="69">
        <v>0.14000000000000001</v>
      </c>
    </row>
    <row r="3925" spans="6:8">
      <c r="F3925" s="68" t="s">
        <v>138</v>
      </c>
      <c r="G3925" s="67" t="s">
        <v>320</v>
      </c>
      <c r="H3925" s="69">
        <v>-0.65</v>
      </c>
    </row>
    <row r="3926" spans="6:8">
      <c r="F3926" s="68" t="s">
        <v>137</v>
      </c>
      <c r="G3926" s="67" t="s">
        <v>320</v>
      </c>
      <c r="H3926" s="69">
        <v>-0.5</v>
      </c>
    </row>
    <row r="3927" spans="6:8">
      <c r="F3927" s="68" t="s">
        <v>136</v>
      </c>
      <c r="G3927" s="67" t="s">
        <v>320</v>
      </c>
      <c r="H3927" s="69">
        <v>-0.7</v>
      </c>
    </row>
    <row r="3928" spans="6:8">
      <c r="F3928" s="68" t="s">
        <v>258</v>
      </c>
      <c r="G3928" s="67" t="s">
        <v>320</v>
      </c>
      <c r="H3928" s="69">
        <v>0.1</v>
      </c>
    </row>
    <row r="3929" spans="6:8">
      <c r="F3929" s="68" t="s">
        <v>257</v>
      </c>
      <c r="G3929" s="67" t="s">
        <v>320</v>
      </c>
      <c r="H3929" s="69">
        <v>0.9</v>
      </c>
    </row>
    <row r="3930" spans="6:8">
      <c r="F3930" s="68" t="s">
        <v>135</v>
      </c>
      <c r="G3930" s="67" t="s">
        <v>320</v>
      </c>
      <c r="H3930" s="69">
        <v>-0.35</v>
      </c>
    </row>
    <row r="3931" spans="6:8">
      <c r="F3931" s="68" t="s">
        <v>134</v>
      </c>
      <c r="G3931" s="67" t="s">
        <v>320</v>
      </c>
      <c r="H3931" s="69">
        <v>-0.7</v>
      </c>
    </row>
    <row r="3932" spans="6:8">
      <c r="F3932" s="68" t="s">
        <v>256</v>
      </c>
      <c r="G3932" s="67" t="s">
        <v>320</v>
      </c>
      <c r="H3932" s="69">
        <v>0.71</v>
      </c>
    </row>
    <row r="3933" spans="6:8">
      <c r="F3933" s="68" t="s">
        <v>133</v>
      </c>
      <c r="G3933" s="67" t="s">
        <v>320</v>
      </c>
      <c r="H3933" s="69">
        <v>-0.35</v>
      </c>
    </row>
    <row r="3934" spans="6:8">
      <c r="F3934" s="68" t="s">
        <v>132</v>
      </c>
      <c r="G3934" s="67" t="s">
        <v>320</v>
      </c>
      <c r="H3934" s="69">
        <v>-0.65</v>
      </c>
    </row>
    <row r="3935" spans="6:8">
      <c r="F3935" s="68" t="s">
        <v>303</v>
      </c>
      <c r="G3935" s="67" t="s">
        <v>320</v>
      </c>
      <c r="H3935" s="69">
        <v>19.0625</v>
      </c>
    </row>
    <row r="3936" spans="6:8">
      <c r="F3936" s="68" t="s">
        <v>255</v>
      </c>
      <c r="G3936" s="67" t="s">
        <v>320</v>
      </c>
      <c r="H3936" s="69">
        <v>0.51</v>
      </c>
    </row>
    <row r="3937" spans="6:8">
      <c r="F3937" s="68" t="s">
        <v>131</v>
      </c>
      <c r="G3937" s="67" t="s">
        <v>320</v>
      </c>
      <c r="H3937" s="69">
        <v>-0.35</v>
      </c>
    </row>
    <row r="3938" spans="6:8">
      <c r="F3938" s="68" t="s">
        <v>130</v>
      </c>
      <c r="G3938" s="67" t="s">
        <v>320</v>
      </c>
      <c r="H3938" s="69">
        <v>-0.7</v>
      </c>
    </row>
    <row r="3939" spans="6:8">
      <c r="F3939" s="68" t="s">
        <v>304</v>
      </c>
      <c r="G3939" s="67" t="s">
        <v>320</v>
      </c>
      <c r="H3939" s="69">
        <v>18.3125</v>
      </c>
    </row>
    <row r="3940" spans="6:8">
      <c r="F3940" s="68" t="s">
        <v>254</v>
      </c>
      <c r="G3940" s="67" t="s">
        <v>320</v>
      </c>
      <c r="H3940" s="69">
        <v>0.37</v>
      </c>
    </row>
    <row r="3941" spans="6:8">
      <c r="F3941" s="68" t="s">
        <v>129</v>
      </c>
      <c r="G3941" s="67" t="s">
        <v>320</v>
      </c>
      <c r="H3941" s="69">
        <v>-0.25</v>
      </c>
    </row>
    <row r="3942" spans="6:8">
      <c r="F3942" s="68" t="s">
        <v>128</v>
      </c>
      <c r="G3942" s="67" t="s">
        <v>320</v>
      </c>
      <c r="H3942" s="69">
        <v>-0.5</v>
      </c>
    </row>
    <row r="3943" spans="6:8">
      <c r="F3943" s="68" t="s">
        <v>315</v>
      </c>
      <c r="G3943" s="67" t="s">
        <v>320</v>
      </c>
      <c r="H3943" s="69">
        <v>-0.55000000000000004</v>
      </c>
    </row>
    <row r="3944" spans="6:8">
      <c r="F3944" s="68" t="s">
        <v>253</v>
      </c>
      <c r="G3944" s="67" t="s">
        <v>320</v>
      </c>
      <c r="H3944" s="69">
        <v>0.27</v>
      </c>
    </row>
    <row r="3945" spans="6:8">
      <c r="F3945" s="68" t="s">
        <v>127</v>
      </c>
      <c r="G3945" s="67" t="s">
        <v>320</v>
      </c>
      <c r="H3945" s="69">
        <v>-0.15</v>
      </c>
    </row>
    <row r="3946" spans="6:8">
      <c r="F3946" s="68" t="s">
        <v>126</v>
      </c>
      <c r="G3946" s="67" t="s">
        <v>320</v>
      </c>
      <c r="H3946" s="69">
        <v>-0.55000000000000004</v>
      </c>
    </row>
    <row r="3947" spans="6:8">
      <c r="F3947" s="68" t="s">
        <v>125</v>
      </c>
      <c r="G3947" s="67" t="s">
        <v>320</v>
      </c>
      <c r="H3947" s="69">
        <v>-0.85</v>
      </c>
    </row>
    <row r="3948" spans="6:8">
      <c r="F3948" s="68" t="s">
        <v>314</v>
      </c>
      <c r="G3948" s="67" t="s">
        <v>320</v>
      </c>
      <c r="H3948" s="69">
        <v>-0.7</v>
      </c>
    </row>
    <row r="3949" spans="6:8">
      <c r="F3949" s="68" t="s">
        <v>252</v>
      </c>
      <c r="G3949" s="67" t="s">
        <v>320</v>
      </c>
      <c r="H3949" s="69">
        <v>0.21</v>
      </c>
    </row>
    <row r="3950" spans="6:8">
      <c r="F3950" s="68" t="s">
        <v>124</v>
      </c>
      <c r="G3950" s="67" t="s">
        <v>320</v>
      </c>
      <c r="H3950" s="69">
        <v>-0.6</v>
      </c>
    </row>
    <row r="3951" spans="6:8">
      <c r="F3951" s="68" t="s">
        <v>123</v>
      </c>
      <c r="G3951" s="67" t="s">
        <v>320</v>
      </c>
      <c r="H3951" s="69">
        <v>-0.55000000000000004</v>
      </c>
    </row>
    <row r="3952" spans="6:8">
      <c r="F3952" s="68" t="s">
        <v>122</v>
      </c>
      <c r="G3952" s="67" t="s">
        <v>320</v>
      </c>
      <c r="H3952" s="69">
        <v>-0.75</v>
      </c>
    </row>
    <row r="3953" spans="6:8">
      <c r="F3953" s="68" t="s">
        <v>251</v>
      </c>
      <c r="G3953" s="67" t="s">
        <v>320</v>
      </c>
      <c r="H3953" s="69">
        <v>0.16</v>
      </c>
    </row>
    <row r="3954" spans="6:8">
      <c r="F3954" s="68" t="s">
        <v>121</v>
      </c>
      <c r="G3954" s="67" t="s">
        <v>320</v>
      </c>
      <c r="H3954" s="69">
        <v>-0.65</v>
      </c>
    </row>
    <row r="3955" spans="6:8">
      <c r="F3955" s="68" t="s">
        <v>120</v>
      </c>
      <c r="G3955" s="67" t="s">
        <v>320</v>
      </c>
      <c r="H3955" s="69">
        <v>-0.5</v>
      </c>
    </row>
    <row r="3956" spans="6:8">
      <c r="F3956" s="68" t="s">
        <v>119</v>
      </c>
      <c r="G3956" s="67" t="s">
        <v>320</v>
      </c>
      <c r="H3956" s="69">
        <v>-0.7</v>
      </c>
    </row>
    <row r="3957" spans="6:8">
      <c r="F3957" s="68" t="s">
        <v>119</v>
      </c>
      <c r="G3957" s="67" t="s">
        <v>321</v>
      </c>
      <c r="H3957" s="69">
        <v>-0.7</v>
      </c>
    </row>
    <row r="3958" spans="6:8">
      <c r="F3958" s="68" t="s">
        <v>120</v>
      </c>
      <c r="G3958" s="67" t="s">
        <v>321</v>
      </c>
      <c r="H3958" s="69">
        <v>-0.5</v>
      </c>
    </row>
    <row r="3959" spans="6:8">
      <c r="F3959" s="68" t="s">
        <v>121</v>
      </c>
      <c r="G3959" s="67" t="s">
        <v>321</v>
      </c>
      <c r="H3959" s="69">
        <v>-0.65</v>
      </c>
    </row>
    <row r="3960" spans="6:8">
      <c r="F3960" s="68" t="s">
        <v>251</v>
      </c>
      <c r="G3960" s="67" t="s">
        <v>321</v>
      </c>
      <c r="H3960" s="69">
        <v>0.16</v>
      </c>
    </row>
    <row r="3961" spans="6:8">
      <c r="F3961" s="68" t="s">
        <v>122</v>
      </c>
      <c r="G3961" s="67" t="s">
        <v>321</v>
      </c>
      <c r="H3961" s="69">
        <v>-0.75</v>
      </c>
    </row>
    <row r="3962" spans="6:8">
      <c r="F3962" s="68" t="s">
        <v>123</v>
      </c>
      <c r="G3962" s="67" t="s">
        <v>321</v>
      </c>
      <c r="H3962" s="69">
        <v>-0.55000000000000004</v>
      </c>
    </row>
    <row r="3963" spans="6:8">
      <c r="F3963" s="68" t="s">
        <v>124</v>
      </c>
      <c r="G3963" s="67" t="s">
        <v>321</v>
      </c>
      <c r="H3963" s="69">
        <v>-0.6</v>
      </c>
    </row>
    <row r="3964" spans="6:8">
      <c r="F3964" s="68" t="s">
        <v>252</v>
      </c>
      <c r="G3964" s="67" t="s">
        <v>321</v>
      </c>
      <c r="H3964" s="69">
        <v>0.21</v>
      </c>
    </row>
    <row r="3965" spans="6:8">
      <c r="F3965" s="68" t="s">
        <v>314</v>
      </c>
      <c r="G3965" s="67" t="s">
        <v>321</v>
      </c>
      <c r="H3965" s="69">
        <v>-0.7</v>
      </c>
    </row>
    <row r="3966" spans="6:8">
      <c r="F3966" s="68" t="s">
        <v>125</v>
      </c>
      <c r="G3966" s="67" t="s">
        <v>321</v>
      </c>
      <c r="H3966" s="69">
        <v>-0.85</v>
      </c>
    </row>
    <row r="3967" spans="6:8">
      <c r="F3967" s="68" t="s">
        <v>126</v>
      </c>
      <c r="G3967" s="67" t="s">
        <v>321</v>
      </c>
      <c r="H3967" s="69">
        <v>-0.55000000000000004</v>
      </c>
    </row>
    <row r="3968" spans="6:8">
      <c r="F3968" s="68" t="s">
        <v>127</v>
      </c>
      <c r="G3968" s="67" t="s">
        <v>321</v>
      </c>
      <c r="H3968" s="69">
        <v>-0.15</v>
      </c>
    </row>
    <row r="3969" spans="6:8">
      <c r="F3969" s="68" t="s">
        <v>253</v>
      </c>
      <c r="G3969" s="67" t="s">
        <v>321</v>
      </c>
      <c r="H3969" s="69">
        <v>0.27</v>
      </c>
    </row>
    <row r="3970" spans="6:8">
      <c r="F3970" s="68" t="s">
        <v>315</v>
      </c>
      <c r="G3970" s="67" t="s">
        <v>321</v>
      </c>
      <c r="H3970" s="69">
        <v>-0.55000000000000004</v>
      </c>
    </row>
    <row r="3971" spans="6:8">
      <c r="F3971" s="68" t="s">
        <v>128</v>
      </c>
      <c r="G3971" s="67" t="s">
        <v>321</v>
      </c>
      <c r="H3971" s="69">
        <v>-0.5</v>
      </c>
    </row>
    <row r="3972" spans="6:8">
      <c r="F3972" s="68" t="s">
        <v>129</v>
      </c>
      <c r="G3972" s="67" t="s">
        <v>321</v>
      </c>
      <c r="H3972" s="69">
        <v>-0.25</v>
      </c>
    </row>
    <row r="3973" spans="6:8">
      <c r="F3973" s="68" t="s">
        <v>254</v>
      </c>
      <c r="G3973" s="67" t="s">
        <v>321</v>
      </c>
      <c r="H3973" s="69">
        <v>0.37</v>
      </c>
    </row>
    <row r="3974" spans="6:8">
      <c r="F3974" s="68" t="s">
        <v>304</v>
      </c>
      <c r="G3974" s="67" t="s">
        <v>321</v>
      </c>
      <c r="H3974" s="69">
        <v>18.3125</v>
      </c>
    </row>
    <row r="3975" spans="6:8">
      <c r="F3975" s="68" t="s">
        <v>130</v>
      </c>
      <c r="G3975" s="67" t="s">
        <v>321</v>
      </c>
      <c r="H3975" s="69">
        <v>-0.7</v>
      </c>
    </row>
    <row r="3976" spans="6:8">
      <c r="F3976" s="68" t="s">
        <v>131</v>
      </c>
      <c r="G3976" s="67" t="s">
        <v>321</v>
      </c>
      <c r="H3976" s="69">
        <v>-0.35</v>
      </c>
    </row>
    <row r="3977" spans="6:8">
      <c r="F3977" s="68" t="s">
        <v>255</v>
      </c>
      <c r="G3977" s="67" t="s">
        <v>321</v>
      </c>
      <c r="H3977" s="69">
        <v>0.51</v>
      </c>
    </row>
    <row r="3978" spans="6:8">
      <c r="F3978" s="68" t="s">
        <v>303</v>
      </c>
      <c r="G3978" s="67" t="s">
        <v>321</v>
      </c>
      <c r="H3978" s="69">
        <v>19.0625</v>
      </c>
    </row>
    <row r="3979" spans="6:8">
      <c r="F3979" s="68" t="s">
        <v>132</v>
      </c>
      <c r="G3979" s="67" t="s">
        <v>321</v>
      </c>
      <c r="H3979" s="69">
        <v>-0.65</v>
      </c>
    </row>
    <row r="3980" spans="6:8">
      <c r="F3980" s="68" t="s">
        <v>133</v>
      </c>
      <c r="G3980" s="67" t="s">
        <v>321</v>
      </c>
      <c r="H3980" s="69">
        <v>-0.35</v>
      </c>
    </row>
    <row r="3981" spans="6:8">
      <c r="F3981" s="68" t="s">
        <v>256</v>
      </c>
      <c r="G3981" s="67" t="s">
        <v>321</v>
      </c>
      <c r="H3981" s="69">
        <v>0.71</v>
      </c>
    </row>
    <row r="3982" spans="6:8">
      <c r="F3982" s="68" t="s">
        <v>134</v>
      </c>
      <c r="G3982" s="67" t="s">
        <v>321</v>
      </c>
      <c r="H3982" s="69">
        <v>-0.7</v>
      </c>
    </row>
    <row r="3983" spans="6:8">
      <c r="F3983" s="68" t="s">
        <v>135</v>
      </c>
      <c r="G3983" s="67" t="s">
        <v>321</v>
      </c>
      <c r="H3983" s="69">
        <v>-0.35</v>
      </c>
    </row>
    <row r="3984" spans="6:8">
      <c r="F3984" s="68" t="s">
        <v>257</v>
      </c>
      <c r="G3984" s="67" t="s">
        <v>321</v>
      </c>
      <c r="H3984" s="69">
        <v>0.9</v>
      </c>
    </row>
    <row r="3985" spans="6:8">
      <c r="F3985" s="68" t="s">
        <v>258</v>
      </c>
      <c r="G3985" s="67" t="s">
        <v>321</v>
      </c>
      <c r="H3985" s="69">
        <v>0.1</v>
      </c>
    </row>
    <row r="3986" spans="6:8">
      <c r="F3986" s="68" t="s">
        <v>136</v>
      </c>
      <c r="G3986" s="67" t="s">
        <v>321</v>
      </c>
      <c r="H3986" s="69">
        <v>-0.7</v>
      </c>
    </row>
    <row r="3987" spans="6:8">
      <c r="F3987" s="68" t="s">
        <v>137</v>
      </c>
      <c r="G3987" s="67" t="s">
        <v>321</v>
      </c>
      <c r="H3987" s="69">
        <v>-0.5</v>
      </c>
    </row>
    <row r="3988" spans="6:8">
      <c r="F3988" s="68" t="s">
        <v>138</v>
      </c>
      <c r="G3988" s="67" t="s">
        <v>321</v>
      </c>
      <c r="H3988" s="69">
        <v>-0.65</v>
      </c>
    </row>
    <row r="3989" spans="6:8">
      <c r="F3989" s="68" t="s">
        <v>259</v>
      </c>
      <c r="G3989" s="67" t="s">
        <v>321</v>
      </c>
      <c r="H3989" s="69">
        <v>0.14000000000000001</v>
      </c>
    </row>
    <row r="3990" spans="6:8">
      <c r="F3990" s="68" t="s">
        <v>259</v>
      </c>
      <c r="G3990" s="67" t="s">
        <v>322</v>
      </c>
      <c r="H3990" s="69">
        <v>0.13</v>
      </c>
    </row>
    <row r="3991" spans="6:8">
      <c r="F3991" s="68" t="s">
        <v>138</v>
      </c>
      <c r="G3991" s="67" t="s">
        <v>322</v>
      </c>
      <c r="H3991" s="69">
        <v>-0.7</v>
      </c>
    </row>
    <row r="3992" spans="6:8">
      <c r="F3992" s="68" t="s">
        <v>137</v>
      </c>
      <c r="G3992" s="67" t="s">
        <v>322</v>
      </c>
      <c r="H3992" s="69">
        <v>-0.5</v>
      </c>
    </row>
    <row r="3993" spans="6:8">
      <c r="F3993" s="68" t="s">
        <v>136</v>
      </c>
      <c r="G3993" s="67" t="s">
        <v>322</v>
      </c>
      <c r="H3993" s="69">
        <v>-0.75</v>
      </c>
    </row>
    <row r="3994" spans="6:8">
      <c r="F3994" s="68" t="s">
        <v>258</v>
      </c>
      <c r="G3994" s="67" t="s">
        <v>322</v>
      </c>
      <c r="H3994" s="69">
        <v>0.1</v>
      </c>
    </row>
    <row r="3995" spans="6:8">
      <c r="F3995" s="68" t="s">
        <v>257</v>
      </c>
      <c r="G3995" s="67" t="s">
        <v>322</v>
      </c>
      <c r="H3995" s="69">
        <v>0.89</v>
      </c>
    </row>
    <row r="3996" spans="6:8">
      <c r="F3996" s="68" t="s">
        <v>135</v>
      </c>
      <c r="G3996" s="67" t="s">
        <v>322</v>
      </c>
      <c r="H3996" s="69">
        <v>-0.35</v>
      </c>
    </row>
    <row r="3997" spans="6:8">
      <c r="F3997" s="68" t="s">
        <v>134</v>
      </c>
      <c r="G3997" s="67" t="s">
        <v>322</v>
      </c>
      <c r="H3997" s="69">
        <v>-0.75</v>
      </c>
    </row>
    <row r="3998" spans="6:8">
      <c r="F3998" s="68" t="s">
        <v>256</v>
      </c>
      <c r="G3998" s="67" t="s">
        <v>322</v>
      </c>
      <c r="H3998" s="69">
        <v>0.7</v>
      </c>
    </row>
    <row r="3999" spans="6:8">
      <c r="F3999" s="68" t="s">
        <v>133</v>
      </c>
      <c r="G3999" s="67" t="s">
        <v>322</v>
      </c>
      <c r="H3999" s="69">
        <v>-0.35</v>
      </c>
    </row>
    <row r="4000" spans="6:8">
      <c r="F4000" s="68" t="s">
        <v>132</v>
      </c>
      <c r="G4000" s="67" t="s">
        <v>322</v>
      </c>
      <c r="H4000" s="69">
        <v>-0.7</v>
      </c>
    </row>
    <row r="4001" spans="6:8">
      <c r="F4001" s="68" t="s">
        <v>303</v>
      </c>
      <c r="G4001" s="67" t="s">
        <v>322</v>
      </c>
      <c r="H4001" s="69">
        <v>18.875</v>
      </c>
    </row>
    <row r="4002" spans="6:8">
      <c r="F4002" s="68" t="s">
        <v>255</v>
      </c>
      <c r="G4002" s="67" t="s">
        <v>322</v>
      </c>
      <c r="H4002" s="69">
        <v>0.5</v>
      </c>
    </row>
    <row r="4003" spans="6:8">
      <c r="F4003" s="68" t="s">
        <v>131</v>
      </c>
      <c r="G4003" s="67" t="s">
        <v>322</v>
      </c>
      <c r="H4003" s="69">
        <v>-0.35</v>
      </c>
    </row>
    <row r="4004" spans="6:8">
      <c r="F4004" s="68" t="s">
        <v>130</v>
      </c>
      <c r="G4004" s="67" t="s">
        <v>322</v>
      </c>
      <c r="H4004" s="69">
        <v>-0.75</v>
      </c>
    </row>
    <row r="4005" spans="6:8">
      <c r="F4005" s="68" t="s">
        <v>304</v>
      </c>
      <c r="G4005" s="67" t="s">
        <v>322</v>
      </c>
      <c r="H4005" s="69">
        <v>18.0625</v>
      </c>
    </row>
    <row r="4006" spans="6:8">
      <c r="F4006" s="68" t="s">
        <v>254</v>
      </c>
      <c r="G4006" s="67" t="s">
        <v>322</v>
      </c>
      <c r="H4006" s="69">
        <v>0.36</v>
      </c>
    </row>
    <row r="4007" spans="6:8">
      <c r="F4007" s="68" t="s">
        <v>129</v>
      </c>
      <c r="G4007" s="67" t="s">
        <v>322</v>
      </c>
      <c r="H4007" s="69">
        <v>-0.25</v>
      </c>
    </row>
    <row r="4008" spans="6:8">
      <c r="F4008" s="68" t="s">
        <v>128</v>
      </c>
      <c r="G4008" s="67" t="s">
        <v>322</v>
      </c>
      <c r="H4008" s="69">
        <v>-0.5</v>
      </c>
    </row>
    <row r="4009" spans="6:8">
      <c r="F4009" s="68" t="s">
        <v>315</v>
      </c>
      <c r="G4009" s="67" t="s">
        <v>322</v>
      </c>
      <c r="H4009" s="69">
        <v>-0.6</v>
      </c>
    </row>
    <row r="4010" spans="6:8">
      <c r="F4010" s="68" t="s">
        <v>253</v>
      </c>
      <c r="G4010" s="67" t="s">
        <v>322</v>
      </c>
      <c r="H4010" s="69">
        <v>0.26</v>
      </c>
    </row>
    <row r="4011" spans="6:8">
      <c r="F4011" s="68" t="s">
        <v>127</v>
      </c>
      <c r="G4011" s="67" t="s">
        <v>322</v>
      </c>
      <c r="H4011" s="69">
        <v>-0.15</v>
      </c>
    </row>
    <row r="4012" spans="6:8">
      <c r="F4012" s="68" t="s">
        <v>126</v>
      </c>
      <c r="G4012" s="67" t="s">
        <v>322</v>
      </c>
      <c r="H4012" s="69">
        <v>-0.55000000000000004</v>
      </c>
    </row>
    <row r="4013" spans="6:8">
      <c r="F4013" s="68" t="s">
        <v>125</v>
      </c>
      <c r="G4013" s="67" t="s">
        <v>322</v>
      </c>
      <c r="H4013" s="69">
        <v>-0.9</v>
      </c>
    </row>
    <row r="4014" spans="6:8">
      <c r="F4014" s="68" t="s">
        <v>314</v>
      </c>
      <c r="G4014" s="67" t="s">
        <v>322</v>
      </c>
      <c r="H4014" s="69">
        <v>-0.75</v>
      </c>
    </row>
    <row r="4015" spans="6:8">
      <c r="F4015" s="68" t="s">
        <v>252</v>
      </c>
      <c r="G4015" s="67" t="s">
        <v>322</v>
      </c>
      <c r="H4015" s="69">
        <v>0.2</v>
      </c>
    </row>
    <row r="4016" spans="6:8">
      <c r="F4016" s="68" t="s">
        <v>124</v>
      </c>
      <c r="G4016" s="67" t="s">
        <v>322</v>
      </c>
      <c r="H4016" s="69">
        <v>-0.65</v>
      </c>
    </row>
    <row r="4017" spans="6:8">
      <c r="F4017" s="68" t="s">
        <v>123</v>
      </c>
      <c r="G4017" s="67" t="s">
        <v>322</v>
      </c>
      <c r="H4017" s="69">
        <v>-0.55000000000000004</v>
      </c>
    </row>
    <row r="4018" spans="6:8">
      <c r="F4018" s="68" t="s">
        <v>122</v>
      </c>
      <c r="G4018" s="67" t="s">
        <v>322</v>
      </c>
      <c r="H4018" s="69">
        <v>-0.8</v>
      </c>
    </row>
    <row r="4019" spans="6:8">
      <c r="F4019" s="68" t="s">
        <v>251</v>
      </c>
      <c r="G4019" s="67" t="s">
        <v>322</v>
      </c>
      <c r="H4019" s="69">
        <v>0.17</v>
      </c>
    </row>
    <row r="4020" spans="6:8">
      <c r="F4020" s="68" t="s">
        <v>121</v>
      </c>
      <c r="G4020" s="67" t="s">
        <v>322</v>
      </c>
      <c r="H4020" s="69">
        <v>-0.7</v>
      </c>
    </row>
    <row r="4021" spans="6:8">
      <c r="F4021" s="68" t="s">
        <v>120</v>
      </c>
      <c r="G4021" s="67" t="s">
        <v>322</v>
      </c>
      <c r="H4021" s="69">
        <v>-0.5</v>
      </c>
    </row>
    <row r="4022" spans="6:8">
      <c r="F4022" s="68" t="s">
        <v>119</v>
      </c>
      <c r="G4022" s="67" t="s">
        <v>322</v>
      </c>
      <c r="H4022" s="69">
        <v>-0.75</v>
      </c>
    </row>
    <row r="4023" spans="6:8">
      <c r="F4023" s="68" t="s">
        <v>119</v>
      </c>
      <c r="G4023" s="67" t="s">
        <v>323</v>
      </c>
      <c r="H4023" s="69">
        <v>-0.7</v>
      </c>
    </row>
    <row r="4024" spans="6:8">
      <c r="F4024" s="68" t="s">
        <v>120</v>
      </c>
      <c r="G4024" s="67" t="s">
        <v>323</v>
      </c>
      <c r="H4024" s="69">
        <v>-0.5</v>
      </c>
    </row>
    <row r="4025" spans="6:8">
      <c r="F4025" s="68" t="s">
        <v>121</v>
      </c>
      <c r="G4025" s="67" t="s">
        <v>323</v>
      </c>
      <c r="H4025" s="69">
        <v>-0.65</v>
      </c>
    </row>
    <row r="4026" spans="6:8">
      <c r="F4026" s="68" t="s">
        <v>251</v>
      </c>
      <c r="G4026" s="67" t="s">
        <v>323</v>
      </c>
      <c r="H4026" s="69">
        <v>0.16</v>
      </c>
    </row>
    <row r="4027" spans="6:8">
      <c r="F4027" s="68" t="s">
        <v>122</v>
      </c>
      <c r="G4027" s="67" t="s">
        <v>323</v>
      </c>
      <c r="H4027" s="69">
        <v>-0.75</v>
      </c>
    </row>
    <row r="4028" spans="6:8">
      <c r="F4028" s="68" t="s">
        <v>123</v>
      </c>
      <c r="G4028" s="67" t="s">
        <v>323</v>
      </c>
      <c r="H4028" s="69">
        <v>-0.55000000000000004</v>
      </c>
    </row>
    <row r="4029" spans="6:8">
      <c r="F4029" s="68" t="s">
        <v>124</v>
      </c>
      <c r="G4029" s="67" t="s">
        <v>323</v>
      </c>
      <c r="H4029" s="69">
        <v>-0.6</v>
      </c>
    </row>
    <row r="4030" spans="6:8">
      <c r="F4030" s="68" t="s">
        <v>252</v>
      </c>
      <c r="G4030" s="67" t="s">
        <v>323</v>
      </c>
      <c r="H4030" s="69">
        <v>0.21</v>
      </c>
    </row>
    <row r="4031" spans="6:8">
      <c r="F4031" s="68" t="s">
        <v>314</v>
      </c>
      <c r="G4031" s="67" t="s">
        <v>323</v>
      </c>
      <c r="H4031" s="69">
        <v>-0.7</v>
      </c>
    </row>
    <row r="4032" spans="6:8">
      <c r="F4032" s="68" t="s">
        <v>125</v>
      </c>
      <c r="G4032" s="67" t="s">
        <v>323</v>
      </c>
      <c r="H4032" s="69">
        <v>-0.85</v>
      </c>
    </row>
    <row r="4033" spans="6:8">
      <c r="F4033" s="68" t="s">
        <v>126</v>
      </c>
      <c r="G4033" s="67" t="s">
        <v>323</v>
      </c>
      <c r="H4033" s="69">
        <v>-0.55000000000000004</v>
      </c>
    </row>
    <row r="4034" spans="6:8">
      <c r="F4034" s="68" t="s">
        <v>127</v>
      </c>
      <c r="G4034" s="67" t="s">
        <v>323</v>
      </c>
      <c r="H4034" s="69">
        <v>-0.15</v>
      </c>
    </row>
    <row r="4035" spans="6:8">
      <c r="F4035" s="68" t="s">
        <v>253</v>
      </c>
      <c r="G4035" s="67" t="s">
        <v>323</v>
      </c>
      <c r="H4035" s="69">
        <v>0.27</v>
      </c>
    </row>
    <row r="4036" spans="6:8">
      <c r="F4036" s="68" t="s">
        <v>315</v>
      </c>
      <c r="G4036" s="67" t="s">
        <v>323</v>
      </c>
      <c r="H4036" s="69">
        <v>-0.55000000000000004</v>
      </c>
    </row>
    <row r="4037" spans="6:8">
      <c r="F4037" s="68" t="s">
        <v>128</v>
      </c>
      <c r="G4037" s="67" t="s">
        <v>323</v>
      </c>
      <c r="H4037" s="69">
        <v>-0.5</v>
      </c>
    </row>
    <row r="4038" spans="6:8">
      <c r="F4038" s="68" t="s">
        <v>129</v>
      </c>
      <c r="G4038" s="67" t="s">
        <v>323</v>
      </c>
      <c r="H4038" s="69">
        <v>-0.25</v>
      </c>
    </row>
    <row r="4039" spans="6:8">
      <c r="F4039" s="68" t="s">
        <v>254</v>
      </c>
      <c r="G4039" s="67" t="s">
        <v>323</v>
      </c>
      <c r="H4039" s="69">
        <v>0.37</v>
      </c>
    </row>
    <row r="4040" spans="6:8">
      <c r="F4040" s="68" t="s">
        <v>304</v>
      </c>
      <c r="G4040" s="67" t="s">
        <v>323</v>
      </c>
      <c r="H4040" s="69">
        <v>18</v>
      </c>
    </row>
    <row r="4041" spans="6:8">
      <c r="F4041" s="68" t="s">
        <v>130</v>
      </c>
      <c r="G4041" s="67" t="s">
        <v>323</v>
      </c>
      <c r="H4041" s="69">
        <v>-0.7</v>
      </c>
    </row>
    <row r="4042" spans="6:8">
      <c r="F4042" s="68" t="s">
        <v>131</v>
      </c>
      <c r="G4042" s="67" t="s">
        <v>323</v>
      </c>
      <c r="H4042" s="69">
        <v>-0.35</v>
      </c>
    </row>
    <row r="4043" spans="6:8">
      <c r="F4043" s="68" t="s">
        <v>255</v>
      </c>
      <c r="G4043" s="67" t="s">
        <v>323</v>
      </c>
      <c r="H4043" s="69">
        <v>0.51</v>
      </c>
    </row>
    <row r="4044" spans="6:8">
      <c r="F4044" s="68" t="s">
        <v>303</v>
      </c>
      <c r="G4044" s="67" t="s">
        <v>323</v>
      </c>
      <c r="H4044" s="69">
        <v>19</v>
      </c>
    </row>
    <row r="4045" spans="6:8">
      <c r="F4045" s="68" t="s">
        <v>132</v>
      </c>
      <c r="G4045" s="67" t="s">
        <v>323</v>
      </c>
      <c r="H4045" s="69">
        <v>-0.65</v>
      </c>
    </row>
    <row r="4046" spans="6:8">
      <c r="F4046" s="68" t="s">
        <v>133</v>
      </c>
      <c r="G4046" s="67" t="s">
        <v>323</v>
      </c>
      <c r="H4046" s="69">
        <v>-0.35</v>
      </c>
    </row>
    <row r="4047" spans="6:8">
      <c r="F4047" s="68" t="s">
        <v>256</v>
      </c>
      <c r="G4047" s="67" t="s">
        <v>323</v>
      </c>
      <c r="H4047" s="69">
        <v>0.71</v>
      </c>
    </row>
    <row r="4048" spans="6:8">
      <c r="F4048" s="68" t="s">
        <v>134</v>
      </c>
      <c r="G4048" s="67" t="s">
        <v>323</v>
      </c>
      <c r="H4048" s="69">
        <v>-0.7</v>
      </c>
    </row>
    <row r="4049" spans="6:8">
      <c r="F4049" s="68" t="s">
        <v>135</v>
      </c>
      <c r="G4049" s="67" t="s">
        <v>323</v>
      </c>
      <c r="H4049" s="69">
        <v>-0.35</v>
      </c>
    </row>
    <row r="4050" spans="6:8">
      <c r="F4050" s="68" t="s">
        <v>257</v>
      </c>
      <c r="G4050" s="67" t="s">
        <v>323</v>
      </c>
      <c r="H4050" s="69">
        <v>0.9</v>
      </c>
    </row>
    <row r="4051" spans="6:8">
      <c r="F4051" s="68" t="s">
        <v>258</v>
      </c>
      <c r="G4051" s="67" t="s">
        <v>323</v>
      </c>
      <c r="H4051" s="69">
        <v>0.1</v>
      </c>
    </row>
    <row r="4052" spans="6:8">
      <c r="F4052" s="68" t="s">
        <v>136</v>
      </c>
      <c r="G4052" s="67" t="s">
        <v>323</v>
      </c>
      <c r="H4052" s="69">
        <v>-0.7</v>
      </c>
    </row>
    <row r="4053" spans="6:8">
      <c r="F4053" s="68" t="s">
        <v>137</v>
      </c>
      <c r="G4053" s="67" t="s">
        <v>323</v>
      </c>
      <c r="H4053" s="69">
        <v>-0.5</v>
      </c>
    </row>
    <row r="4054" spans="6:8">
      <c r="F4054" s="68" t="s">
        <v>138</v>
      </c>
      <c r="G4054" s="67" t="s">
        <v>323</v>
      </c>
      <c r="H4054" s="69">
        <v>-0.65</v>
      </c>
    </row>
    <row r="4055" spans="6:8">
      <c r="F4055" s="68" t="s">
        <v>259</v>
      </c>
      <c r="G4055" s="67" t="s">
        <v>323</v>
      </c>
      <c r="H4055" s="69">
        <v>0.14000000000000001</v>
      </c>
    </row>
    <row r="4056" spans="6:8">
      <c r="F4056" s="68" t="s">
        <v>259</v>
      </c>
      <c r="G4056" s="67" t="s">
        <v>324</v>
      </c>
      <c r="H4056" s="69">
        <v>0.14000000000000001</v>
      </c>
    </row>
    <row r="4057" spans="6:8">
      <c r="F4057" s="68" t="s">
        <v>138</v>
      </c>
      <c r="G4057" s="67" t="s">
        <v>324</v>
      </c>
      <c r="H4057" s="69">
        <v>-0.65</v>
      </c>
    </row>
    <row r="4058" spans="6:8">
      <c r="F4058" s="68" t="s">
        <v>137</v>
      </c>
      <c r="G4058" s="67" t="s">
        <v>324</v>
      </c>
      <c r="H4058" s="69">
        <v>-0.5</v>
      </c>
    </row>
    <row r="4059" spans="6:8">
      <c r="F4059" s="68" t="s">
        <v>136</v>
      </c>
      <c r="G4059" s="67" t="s">
        <v>324</v>
      </c>
      <c r="H4059" s="69">
        <v>-0.7</v>
      </c>
    </row>
    <row r="4060" spans="6:8">
      <c r="F4060" s="68" t="s">
        <v>258</v>
      </c>
      <c r="G4060" s="67" t="s">
        <v>324</v>
      </c>
      <c r="H4060" s="69">
        <v>0.1</v>
      </c>
    </row>
    <row r="4061" spans="6:8">
      <c r="F4061" s="68" t="s">
        <v>257</v>
      </c>
      <c r="G4061" s="67" t="s">
        <v>324</v>
      </c>
      <c r="H4061" s="69">
        <v>0.89</v>
      </c>
    </row>
    <row r="4062" spans="6:8">
      <c r="F4062" s="68" t="s">
        <v>135</v>
      </c>
      <c r="G4062" s="67" t="s">
        <v>324</v>
      </c>
      <c r="H4062" s="69">
        <v>-0.35</v>
      </c>
    </row>
    <row r="4063" spans="6:8">
      <c r="F4063" s="68" t="s">
        <v>134</v>
      </c>
      <c r="G4063" s="67" t="s">
        <v>324</v>
      </c>
      <c r="H4063" s="69">
        <v>-0.7</v>
      </c>
    </row>
    <row r="4064" spans="6:8">
      <c r="F4064" s="68" t="s">
        <v>256</v>
      </c>
      <c r="G4064" s="67" t="s">
        <v>324</v>
      </c>
      <c r="H4064" s="69">
        <v>0.7</v>
      </c>
    </row>
    <row r="4065" spans="6:8">
      <c r="F4065" s="68" t="s">
        <v>133</v>
      </c>
      <c r="G4065" s="67" t="s">
        <v>324</v>
      </c>
      <c r="H4065" s="69">
        <v>-0.35</v>
      </c>
    </row>
    <row r="4066" spans="6:8">
      <c r="F4066" s="68" t="s">
        <v>132</v>
      </c>
      <c r="G4066" s="67" t="s">
        <v>324</v>
      </c>
      <c r="H4066" s="69">
        <v>-0.65</v>
      </c>
    </row>
    <row r="4067" spans="6:8">
      <c r="F4067" s="68" t="s">
        <v>303</v>
      </c>
      <c r="G4067" s="67" t="s">
        <v>324</v>
      </c>
      <c r="H4067" s="69">
        <v>19</v>
      </c>
    </row>
    <row r="4068" spans="6:8">
      <c r="F4068" s="68" t="s">
        <v>255</v>
      </c>
      <c r="G4068" s="67" t="s">
        <v>324</v>
      </c>
      <c r="H4068" s="69">
        <v>0.5</v>
      </c>
    </row>
    <row r="4069" spans="6:8">
      <c r="F4069" s="68" t="s">
        <v>131</v>
      </c>
      <c r="G4069" s="67" t="s">
        <v>324</v>
      </c>
      <c r="H4069" s="69">
        <v>-0.35</v>
      </c>
    </row>
    <row r="4070" spans="6:8">
      <c r="F4070" s="68" t="s">
        <v>130</v>
      </c>
      <c r="G4070" s="67" t="s">
        <v>324</v>
      </c>
      <c r="H4070" s="69">
        <v>-0.7</v>
      </c>
    </row>
    <row r="4071" spans="6:8">
      <c r="F4071" s="68" t="s">
        <v>304</v>
      </c>
      <c r="G4071" s="67" t="s">
        <v>324</v>
      </c>
      <c r="H4071" s="69">
        <v>18</v>
      </c>
    </row>
    <row r="4072" spans="6:8">
      <c r="F4072" s="68" t="s">
        <v>254</v>
      </c>
      <c r="G4072" s="67" t="s">
        <v>324</v>
      </c>
      <c r="H4072" s="69">
        <v>0.36</v>
      </c>
    </row>
    <row r="4073" spans="6:8">
      <c r="F4073" s="68" t="s">
        <v>129</v>
      </c>
      <c r="G4073" s="67" t="s">
        <v>324</v>
      </c>
      <c r="H4073" s="69">
        <v>-0.25</v>
      </c>
    </row>
    <row r="4074" spans="6:8">
      <c r="F4074" s="68" t="s">
        <v>128</v>
      </c>
      <c r="G4074" s="67" t="s">
        <v>324</v>
      </c>
      <c r="H4074" s="69">
        <v>-0.5</v>
      </c>
    </row>
    <row r="4075" spans="6:8">
      <c r="F4075" s="68" t="s">
        <v>315</v>
      </c>
      <c r="G4075" s="67" t="s">
        <v>324</v>
      </c>
      <c r="H4075" s="69">
        <v>-0.55000000000000004</v>
      </c>
    </row>
    <row r="4076" spans="6:8">
      <c r="F4076" s="68" t="s">
        <v>253</v>
      </c>
      <c r="G4076" s="67" t="s">
        <v>324</v>
      </c>
      <c r="H4076" s="69">
        <v>0.26</v>
      </c>
    </row>
    <row r="4077" spans="6:8">
      <c r="F4077" s="68" t="s">
        <v>127</v>
      </c>
      <c r="G4077" s="67" t="s">
        <v>324</v>
      </c>
      <c r="H4077" s="69">
        <v>-0.15</v>
      </c>
    </row>
    <row r="4078" spans="6:8">
      <c r="F4078" s="68" t="s">
        <v>126</v>
      </c>
      <c r="G4078" s="67" t="s">
        <v>324</v>
      </c>
      <c r="H4078" s="69">
        <v>-0.55000000000000004</v>
      </c>
    </row>
    <row r="4079" spans="6:8">
      <c r="F4079" s="68" t="s">
        <v>125</v>
      </c>
      <c r="G4079" s="67" t="s">
        <v>324</v>
      </c>
      <c r="H4079" s="69">
        <v>-0.85</v>
      </c>
    </row>
    <row r="4080" spans="6:8">
      <c r="F4080" s="68" t="s">
        <v>314</v>
      </c>
      <c r="G4080" s="67" t="s">
        <v>324</v>
      </c>
      <c r="H4080" s="69">
        <v>-0.7</v>
      </c>
    </row>
    <row r="4081" spans="6:8">
      <c r="F4081" s="68" t="s">
        <v>252</v>
      </c>
      <c r="G4081" s="67" t="s">
        <v>324</v>
      </c>
      <c r="H4081" s="69">
        <v>0.2</v>
      </c>
    </row>
    <row r="4082" spans="6:8">
      <c r="F4082" s="68" t="s">
        <v>124</v>
      </c>
      <c r="G4082" s="67" t="s">
        <v>324</v>
      </c>
      <c r="H4082" s="69">
        <v>-0.6</v>
      </c>
    </row>
    <row r="4083" spans="6:8">
      <c r="F4083" s="68" t="s">
        <v>123</v>
      </c>
      <c r="G4083" s="67" t="s">
        <v>324</v>
      </c>
      <c r="H4083" s="69">
        <v>-0.55000000000000004</v>
      </c>
    </row>
    <row r="4084" spans="6:8">
      <c r="F4084" s="68" t="s">
        <v>122</v>
      </c>
      <c r="G4084" s="67" t="s">
        <v>324</v>
      </c>
      <c r="H4084" s="69">
        <v>-0.75</v>
      </c>
    </row>
    <row r="4085" spans="6:8">
      <c r="F4085" s="68" t="s">
        <v>251</v>
      </c>
      <c r="G4085" s="67" t="s">
        <v>324</v>
      </c>
      <c r="H4085" s="69">
        <v>0.16</v>
      </c>
    </row>
    <row r="4086" spans="6:8">
      <c r="F4086" s="68" t="s">
        <v>121</v>
      </c>
      <c r="G4086" s="67" t="s">
        <v>324</v>
      </c>
      <c r="H4086" s="69">
        <v>-0.65</v>
      </c>
    </row>
    <row r="4087" spans="6:8">
      <c r="F4087" s="68" t="s">
        <v>120</v>
      </c>
      <c r="G4087" s="67" t="s">
        <v>324</v>
      </c>
      <c r="H4087" s="69">
        <v>-0.5</v>
      </c>
    </row>
    <row r="4088" spans="6:8">
      <c r="F4088" s="68" t="s">
        <v>119</v>
      </c>
      <c r="G4088" s="67" t="s">
        <v>324</v>
      </c>
      <c r="H4088" s="69">
        <v>-0.7</v>
      </c>
    </row>
    <row r="4089" spans="6:8">
      <c r="F4089" s="68" t="s">
        <v>119</v>
      </c>
      <c r="G4089" s="67" t="s">
        <v>325</v>
      </c>
      <c r="H4089" s="69">
        <v>-0.7</v>
      </c>
    </row>
    <row r="4090" spans="6:8">
      <c r="F4090" s="68" t="s">
        <v>120</v>
      </c>
      <c r="G4090" s="67" t="s">
        <v>325</v>
      </c>
      <c r="H4090" s="69">
        <v>-0.5</v>
      </c>
    </row>
    <row r="4091" spans="6:8">
      <c r="F4091" s="68" t="s">
        <v>121</v>
      </c>
      <c r="G4091" s="67" t="s">
        <v>325</v>
      </c>
      <c r="H4091" s="69">
        <v>-0.65</v>
      </c>
    </row>
    <row r="4092" spans="6:8">
      <c r="F4092" s="68" t="s">
        <v>251</v>
      </c>
      <c r="G4092" s="67" t="s">
        <v>325</v>
      </c>
      <c r="H4092" s="69">
        <v>0.16</v>
      </c>
    </row>
    <row r="4093" spans="6:8">
      <c r="F4093" s="68" t="s">
        <v>122</v>
      </c>
      <c r="G4093" s="67" t="s">
        <v>325</v>
      </c>
      <c r="H4093" s="69">
        <v>-0.75</v>
      </c>
    </row>
    <row r="4094" spans="6:8">
      <c r="F4094" s="68" t="s">
        <v>123</v>
      </c>
      <c r="G4094" s="67" t="s">
        <v>325</v>
      </c>
      <c r="H4094" s="69">
        <v>-0.55000000000000004</v>
      </c>
    </row>
    <row r="4095" spans="6:8">
      <c r="F4095" s="68" t="s">
        <v>124</v>
      </c>
      <c r="G4095" s="67" t="s">
        <v>325</v>
      </c>
      <c r="H4095" s="69">
        <v>-0.6</v>
      </c>
    </row>
    <row r="4096" spans="6:8">
      <c r="F4096" s="68" t="s">
        <v>252</v>
      </c>
      <c r="G4096" s="67" t="s">
        <v>325</v>
      </c>
      <c r="H4096" s="69">
        <v>0.2</v>
      </c>
    </row>
    <row r="4097" spans="6:8">
      <c r="F4097" s="68" t="s">
        <v>314</v>
      </c>
      <c r="G4097" s="67" t="s">
        <v>325</v>
      </c>
      <c r="H4097" s="69">
        <v>-0.7</v>
      </c>
    </row>
    <row r="4098" spans="6:8">
      <c r="F4098" s="68" t="s">
        <v>125</v>
      </c>
      <c r="G4098" s="67" t="s">
        <v>325</v>
      </c>
      <c r="H4098" s="69">
        <v>-0.85</v>
      </c>
    </row>
    <row r="4099" spans="6:8">
      <c r="F4099" s="68" t="s">
        <v>126</v>
      </c>
      <c r="G4099" s="67" t="s">
        <v>325</v>
      </c>
      <c r="H4099" s="69">
        <v>-0.55000000000000004</v>
      </c>
    </row>
    <row r="4100" spans="6:8">
      <c r="F4100" s="68" t="s">
        <v>127</v>
      </c>
      <c r="G4100" s="67" t="s">
        <v>325</v>
      </c>
      <c r="H4100" s="69">
        <v>-0.15</v>
      </c>
    </row>
    <row r="4101" spans="6:8">
      <c r="F4101" s="68" t="s">
        <v>253</v>
      </c>
      <c r="G4101" s="67" t="s">
        <v>325</v>
      </c>
      <c r="H4101" s="69">
        <v>0.26</v>
      </c>
    </row>
    <row r="4102" spans="6:8">
      <c r="F4102" s="68" t="s">
        <v>315</v>
      </c>
      <c r="G4102" s="67" t="s">
        <v>325</v>
      </c>
      <c r="H4102" s="69">
        <v>-0.55000000000000004</v>
      </c>
    </row>
    <row r="4103" spans="6:8">
      <c r="F4103" s="68" t="s">
        <v>128</v>
      </c>
      <c r="G4103" s="67" t="s">
        <v>325</v>
      </c>
      <c r="H4103" s="69">
        <v>-0.5</v>
      </c>
    </row>
    <row r="4104" spans="6:8">
      <c r="F4104" s="68" t="s">
        <v>129</v>
      </c>
      <c r="G4104" s="67" t="s">
        <v>325</v>
      </c>
      <c r="H4104" s="69">
        <v>-0.25</v>
      </c>
    </row>
    <row r="4105" spans="6:8">
      <c r="F4105" s="68" t="s">
        <v>254</v>
      </c>
      <c r="G4105" s="67" t="s">
        <v>325</v>
      </c>
      <c r="H4105" s="69">
        <v>0.36</v>
      </c>
    </row>
    <row r="4106" spans="6:8">
      <c r="F4106" s="68" t="s">
        <v>304</v>
      </c>
      <c r="G4106" s="67" t="s">
        <v>325</v>
      </c>
      <c r="H4106" s="69">
        <v>17.9375</v>
      </c>
    </row>
    <row r="4107" spans="6:8">
      <c r="F4107" s="68" t="s">
        <v>130</v>
      </c>
      <c r="G4107" s="67" t="s">
        <v>325</v>
      </c>
      <c r="H4107" s="69">
        <v>-0.7</v>
      </c>
    </row>
    <row r="4108" spans="6:8">
      <c r="F4108" s="68" t="s">
        <v>131</v>
      </c>
      <c r="G4108" s="67" t="s">
        <v>325</v>
      </c>
      <c r="H4108" s="69">
        <v>-0.35</v>
      </c>
    </row>
    <row r="4109" spans="6:8">
      <c r="F4109" s="68" t="s">
        <v>255</v>
      </c>
      <c r="G4109" s="67" t="s">
        <v>325</v>
      </c>
      <c r="H4109" s="69">
        <v>0.5</v>
      </c>
    </row>
    <row r="4110" spans="6:8">
      <c r="F4110" s="68" t="s">
        <v>303</v>
      </c>
      <c r="G4110" s="67" t="s">
        <v>325</v>
      </c>
      <c r="H4110" s="69">
        <v>18.9375</v>
      </c>
    </row>
    <row r="4111" spans="6:8">
      <c r="F4111" s="68" t="s">
        <v>132</v>
      </c>
      <c r="G4111" s="67" t="s">
        <v>325</v>
      </c>
      <c r="H4111" s="69">
        <v>-0.65</v>
      </c>
    </row>
    <row r="4112" spans="6:8">
      <c r="F4112" s="68" t="s">
        <v>133</v>
      </c>
      <c r="G4112" s="67" t="s">
        <v>325</v>
      </c>
      <c r="H4112" s="69">
        <v>-0.35</v>
      </c>
    </row>
    <row r="4113" spans="6:8">
      <c r="F4113" s="68" t="s">
        <v>256</v>
      </c>
      <c r="G4113" s="67" t="s">
        <v>325</v>
      </c>
      <c r="H4113" s="69">
        <v>0.7</v>
      </c>
    </row>
    <row r="4114" spans="6:8">
      <c r="F4114" s="68" t="s">
        <v>134</v>
      </c>
      <c r="G4114" s="67" t="s">
        <v>325</v>
      </c>
      <c r="H4114" s="69">
        <v>-0.7</v>
      </c>
    </row>
    <row r="4115" spans="6:8">
      <c r="F4115" s="68" t="s">
        <v>135</v>
      </c>
      <c r="G4115" s="67" t="s">
        <v>325</v>
      </c>
      <c r="H4115" s="69">
        <v>-0.35</v>
      </c>
    </row>
    <row r="4116" spans="6:8">
      <c r="F4116" s="68" t="s">
        <v>257</v>
      </c>
      <c r="G4116" s="67" t="s">
        <v>325</v>
      </c>
      <c r="H4116" s="69">
        <v>0.89</v>
      </c>
    </row>
    <row r="4117" spans="6:8">
      <c r="F4117" s="68" t="s">
        <v>258</v>
      </c>
      <c r="G4117" s="67" t="s">
        <v>325</v>
      </c>
      <c r="H4117" s="69">
        <v>0.1</v>
      </c>
    </row>
    <row r="4118" spans="6:8">
      <c r="F4118" s="68" t="s">
        <v>136</v>
      </c>
      <c r="G4118" s="67" t="s">
        <v>325</v>
      </c>
      <c r="H4118" s="69">
        <v>-0.7</v>
      </c>
    </row>
    <row r="4119" spans="6:8">
      <c r="F4119" s="68" t="s">
        <v>137</v>
      </c>
      <c r="G4119" s="67" t="s">
        <v>325</v>
      </c>
      <c r="H4119" s="69">
        <v>-0.5</v>
      </c>
    </row>
    <row r="4120" spans="6:8">
      <c r="F4120" s="68" t="s">
        <v>138</v>
      </c>
      <c r="G4120" s="67" t="s">
        <v>325</v>
      </c>
      <c r="H4120" s="69">
        <v>-0.65</v>
      </c>
    </row>
    <row r="4121" spans="6:8">
      <c r="F4121" s="68" t="s">
        <v>259</v>
      </c>
      <c r="G4121" s="67" t="s">
        <v>325</v>
      </c>
      <c r="H4121" s="69">
        <v>0.14000000000000001</v>
      </c>
    </row>
    <row r="4122" spans="6:8">
      <c r="F4122" s="68" t="s">
        <v>259</v>
      </c>
      <c r="G4122" s="67" t="s">
        <v>326</v>
      </c>
      <c r="H4122" s="69">
        <v>0.14000000000000001</v>
      </c>
    </row>
    <row r="4123" spans="6:8">
      <c r="F4123" s="68" t="s">
        <v>138</v>
      </c>
      <c r="G4123" s="67" t="s">
        <v>326</v>
      </c>
      <c r="H4123" s="69">
        <v>-0.65</v>
      </c>
    </row>
    <row r="4124" spans="6:8">
      <c r="F4124" s="68" t="s">
        <v>137</v>
      </c>
      <c r="G4124" s="67" t="s">
        <v>326</v>
      </c>
      <c r="H4124" s="69">
        <v>-0.5</v>
      </c>
    </row>
    <row r="4125" spans="6:8">
      <c r="F4125" s="68" t="s">
        <v>136</v>
      </c>
      <c r="G4125" s="67" t="s">
        <v>326</v>
      </c>
      <c r="H4125" s="69">
        <v>-0.7</v>
      </c>
    </row>
    <row r="4126" spans="6:8">
      <c r="F4126" s="68" t="s">
        <v>258</v>
      </c>
      <c r="G4126" s="67" t="s">
        <v>326</v>
      </c>
      <c r="H4126" s="69">
        <v>0.1</v>
      </c>
    </row>
    <row r="4127" spans="6:8">
      <c r="F4127" s="68" t="s">
        <v>257</v>
      </c>
      <c r="G4127" s="67" t="s">
        <v>326</v>
      </c>
      <c r="H4127" s="69">
        <v>0.89</v>
      </c>
    </row>
    <row r="4128" spans="6:8">
      <c r="F4128" s="68" t="s">
        <v>135</v>
      </c>
      <c r="G4128" s="67" t="s">
        <v>326</v>
      </c>
      <c r="H4128" s="69">
        <v>-0.35</v>
      </c>
    </row>
    <row r="4129" spans="6:8">
      <c r="F4129" s="68" t="s">
        <v>134</v>
      </c>
      <c r="G4129" s="67" t="s">
        <v>326</v>
      </c>
      <c r="H4129" s="69">
        <v>-0.7</v>
      </c>
    </row>
    <row r="4130" spans="6:8">
      <c r="F4130" s="68" t="s">
        <v>256</v>
      </c>
      <c r="G4130" s="67" t="s">
        <v>326</v>
      </c>
      <c r="H4130" s="69">
        <v>0.7</v>
      </c>
    </row>
    <row r="4131" spans="6:8">
      <c r="F4131" s="68" t="s">
        <v>133</v>
      </c>
      <c r="G4131" s="67" t="s">
        <v>326</v>
      </c>
      <c r="H4131" s="69">
        <v>-0.35</v>
      </c>
    </row>
    <row r="4132" spans="6:8">
      <c r="F4132" s="68" t="s">
        <v>132</v>
      </c>
      <c r="G4132" s="67" t="s">
        <v>326</v>
      </c>
      <c r="H4132" s="69">
        <v>-0.65</v>
      </c>
    </row>
    <row r="4133" spans="6:8">
      <c r="F4133" s="68" t="s">
        <v>303</v>
      </c>
      <c r="G4133" s="67" t="s">
        <v>326</v>
      </c>
      <c r="H4133" s="69">
        <v>18.9375</v>
      </c>
    </row>
    <row r="4134" spans="6:8">
      <c r="F4134" s="68" t="s">
        <v>255</v>
      </c>
      <c r="G4134" s="67" t="s">
        <v>326</v>
      </c>
      <c r="H4134" s="69">
        <v>0.5</v>
      </c>
    </row>
    <row r="4135" spans="6:8">
      <c r="F4135" s="68" t="s">
        <v>131</v>
      </c>
      <c r="G4135" s="67" t="s">
        <v>326</v>
      </c>
      <c r="H4135" s="69">
        <v>-0.35</v>
      </c>
    </row>
    <row r="4136" spans="6:8">
      <c r="F4136" s="68" t="s">
        <v>130</v>
      </c>
      <c r="G4136" s="67" t="s">
        <v>326</v>
      </c>
      <c r="H4136" s="69">
        <v>-0.7</v>
      </c>
    </row>
    <row r="4137" spans="6:8">
      <c r="F4137" s="68" t="s">
        <v>304</v>
      </c>
      <c r="G4137" s="67" t="s">
        <v>326</v>
      </c>
      <c r="H4137" s="69">
        <v>17.9375</v>
      </c>
    </row>
    <row r="4138" spans="6:8">
      <c r="F4138" s="68" t="s">
        <v>254</v>
      </c>
      <c r="G4138" s="67" t="s">
        <v>326</v>
      </c>
      <c r="H4138" s="69">
        <v>0.36</v>
      </c>
    </row>
    <row r="4139" spans="6:8">
      <c r="F4139" s="68" t="s">
        <v>129</v>
      </c>
      <c r="G4139" s="67" t="s">
        <v>326</v>
      </c>
      <c r="H4139" s="69">
        <v>-0.25</v>
      </c>
    </row>
    <row r="4140" spans="6:8">
      <c r="F4140" s="68" t="s">
        <v>128</v>
      </c>
      <c r="G4140" s="67" t="s">
        <v>326</v>
      </c>
      <c r="H4140" s="69">
        <v>-0.5</v>
      </c>
    </row>
    <row r="4141" spans="6:8">
      <c r="F4141" s="68" t="s">
        <v>315</v>
      </c>
      <c r="G4141" s="67" t="s">
        <v>326</v>
      </c>
      <c r="H4141" s="69">
        <v>-0.55000000000000004</v>
      </c>
    </row>
    <row r="4142" spans="6:8">
      <c r="F4142" s="68" t="s">
        <v>253</v>
      </c>
      <c r="G4142" s="67" t="s">
        <v>326</v>
      </c>
      <c r="H4142" s="69">
        <v>0.26</v>
      </c>
    </row>
    <row r="4143" spans="6:8">
      <c r="F4143" s="68" t="s">
        <v>127</v>
      </c>
      <c r="G4143" s="67" t="s">
        <v>326</v>
      </c>
      <c r="H4143" s="69">
        <v>-0.15</v>
      </c>
    </row>
    <row r="4144" spans="6:8">
      <c r="F4144" s="68" t="s">
        <v>126</v>
      </c>
      <c r="G4144" s="67" t="s">
        <v>326</v>
      </c>
      <c r="H4144" s="69">
        <v>-0.55000000000000004</v>
      </c>
    </row>
    <row r="4145" spans="6:8">
      <c r="F4145" s="68" t="s">
        <v>125</v>
      </c>
      <c r="G4145" s="67" t="s">
        <v>326</v>
      </c>
      <c r="H4145" s="69">
        <v>-0.85</v>
      </c>
    </row>
    <row r="4146" spans="6:8">
      <c r="F4146" s="68" t="s">
        <v>314</v>
      </c>
      <c r="G4146" s="67" t="s">
        <v>326</v>
      </c>
      <c r="H4146" s="69">
        <v>-0.7</v>
      </c>
    </row>
    <row r="4147" spans="6:8">
      <c r="F4147" s="68" t="s">
        <v>252</v>
      </c>
      <c r="G4147" s="67" t="s">
        <v>326</v>
      </c>
      <c r="H4147" s="69">
        <v>0.2</v>
      </c>
    </row>
    <row r="4148" spans="6:8">
      <c r="F4148" s="68" t="s">
        <v>124</v>
      </c>
      <c r="G4148" s="67" t="s">
        <v>326</v>
      </c>
      <c r="H4148" s="69">
        <v>-0.6</v>
      </c>
    </row>
    <row r="4149" spans="6:8">
      <c r="F4149" s="68" t="s">
        <v>123</v>
      </c>
      <c r="G4149" s="67" t="s">
        <v>326</v>
      </c>
      <c r="H4149" s="69">
        <v>-0.55000000000000004</v>
      </c>
    </row>
    <row r="4150" spans="6:8">
      <c r="F4150" s="68" t="s">
        <v>122</v>
      </c>
      <c r="G4150" s="67" t="s">
        <v>326</v>
      </c>
      <c r="H4150" s="69">
        <v>-0.75</v>
      </c>
    </row>
    <row r="4151" spans="6:8">
      <c r="F4151" s="68" t="s">
        <v>251</v>
      </c>
      <c r="G4151" s="67" t="s">
        <v>326</v>
      </c>
      <c r="H4151" s="69">
        <v>0.16</v>
      </c>
    </row>
    <row r="4152" spans="6:8">
      <c r="F4152" s="68" t="s">
        <v>121</v>
      </c>
      <c r="G4152" s="67" t="s">
        <v>326</v>
      </c>
      <c r="H4152" s="69">
        <v>-0.65</v>
      </c>
    </row>
    <row r="4153" spans="6:8">
      <c r="F4153" s="68" t="s">
        <v>120</v>
      </c>
      <c r="G4153" s="67" t="s">
        <v>326</v>
      </c>
      <c r="H4153" s="69">
        <v>-0.5</v>
      </c>
    </row>
    <row r="4154" spans="6:8">
      <c r="F4154" s="68" t="s">
        <v>119</v>
      </c>
      <c r="G4154" s="67" t="s">
        <v>326</v>
      </c>
      <c r="H4154" s="69">
        <v>-0.7</v>
      </c>
    </row>
    <row r="4155" spans="6:8">
      <c r="F4155" s="68" t="s">
        <v>119</v>
      </c>
      <c r="G4155" s="67" t="s">
        <v>327</v>
      </c>
      <c r="H4155" s="69">
        <v>-0.65</v>
      </c>
    </row>
    <row r="4156" spans="6:8">
      <c r="F4156" s="68" t="s">
        <v>120</v>
      </c>
      <c r="G4156" s="67" t="s">
        <v>327</v>
      </c>
      <c r="H4156" s="69">
        <v>-0.5</v>
      </c>
    </row>
    <row r="4157" spans="6:8">
      <c r="F4157" s="68" t="s">
        <v>121</v>
      </c>
      <c r="G4157" s="67" t="s">
        <v>327</v>
      </c>
      <c r="H4157" s="69">
        <v>-0.6</v>
      </c>
    </row>
    <row r="4158" spans="6:8">
      <c r="F4158" s="68" t="s">
        <v>251</v>
      </c>
      <c r="G4158" s="67" t="s">
        <v>327</v>
      </c>
      <c r="H4158" s="69">
        <v>0.16</v>
      </c>
    </row>
    <row r="4159" spans="6:8">
      <c r="F4159" s="68" t="s">
        <v>122</v>
      </c>
      <c r="G4159" s="67" t="s">
        <v>327</v>
      </c>
      <c r="H4159" s="69">
        <v>-0.7</v>
      </c>
    </row>
    <row r="4160" spans="6:8">
      <c r="F4160" s="68" t="s">
        <v>123</v>
      </c>
      <c r="G4160" s="67" t="s">
        <v>327</v>
      </c>
      <c r="H4160" s="69">
        <v>-0.55000000000000004</v>
      </c>
    </row>
    <row r="4161" spans="6:8">
      <c r="F4161" s="68" t="s">
        <v>124</v>
      </c>
      <c r="G4161" s="67" t="s">
        <v>327</v>
      </c>
      <c r="H4161" s="69">
        <v>-0.55000000000000004</v>
      </c>
    </row>
    <row r="4162" spans="6:8">
      <c r="F4162" s="68" t="s">
        <v>252</v>
      </c>
      <c r="G4162" s="67" t="s">
        <v>327</v>
      </c>
      <c r="H4162" s="69">
        <v>0.2</v>
      </c>
    </row>
    <row r="4163" spans="6:8">
      <c r="F4163" s="68" t="s">
        <v>314</v>
      </c>
      <c r="G4163" s="67" t="s">
        <v>327</v>
      </c>
      <c r="H4163" s="69">
        <v>-0.65</v>
      </c>
    </row>
    <row r="4164" spans="6:8">
      <c r="F4164" s="68" t="s">
        <v>125</v>
      </c>
      <c r="G4164" s="67" t="s">
        <v>327</v>
      </c>
      <c r="H4164" s="69">
        <v>-0.8</v>
      </c>
    </row>
    <row r="4165" spans="6:8">
      <c r="F4165" s="68" t="s">
        <v>126</v>
      </c>
      <c r="G4165" s="67" t="s">
        <v>327</v>
      </c>
      <c r="H4165" s="69">
        <v>-0.55000000000000004</v>
      </c>
    </row>
    <row r="4166" spans="6:8">
      <c r="F4166" s="68" t="s">
        <v>127</v>
      </c>
      <c r="G4166" s="67" t="s">
        <v>327</v>
      </c>
      <c r="H4166" s="69">
        <v>-0.15</v>
      </c>
    </row>
    <row r="4167" spans="6:8">
      <c r="F4167" s="68" t="s">
        <v>253</v>
      </c>
      <c r="G4167" s="67" t="s">
        <v>327</v>
      </c>
      <c r="H4167" s="69">
        <v>0.26</v>
      </c>
    </row>
    <row r="4168" spans="6:8">
      <c r="F4168" s="68" t="s">
        <v>315</v>
      </c>
      <c r="G4168" s="67" t="s">
        <v>327</v>
      </c>
      <c r="H4168" s="69">
        <v>-0.55000000000000004</v>
      </c>
    </row>
    <row r="4169" spans="6:8">
      <c r="F4169" s="68" t="s">
        <v>128</v>
      </c>
      <c r="G4169" s="67" t="s">
        <v>327</v>
      </c>
      <c r="H4169" s="69">
        <v>-0.5</v>
      </c>
    </row>
    <row r="4170" spans="6:8">
      <c r="F4170" s="68" t="s">
        <v>129</v>
      </c>
      <c r="G4170" s="67" t="s">
        <v>327</v>
      </c>
      <c r="H4170" s="69">
        <v>-0.25</v>
      </c>
    </row>
    <row r="4171" spans="6:8">
      <c r="F4171" s="68" t="s">
        <v>254</v>
      </c>
      <c r="G4171" s="67" t="s">
        <v>327</v>
      </c>
      <c r="H4171" s="69">
        <v>0.36</v>
      </c>
    </row>
    <row r="4172" spans="6:8">
      <c r="F4172" s="68" t="s">
        <v>304</v>
      </c>
      <c r="G4172" s="67" t="s">
        <v>327</v>
      </c>
      <c r="H4172" s="69">
        <v>18</v>
      </c>
    </row>
    <row r="4173" spans="6:8">
      <c r="F4173" s="68" t="s">
        <v>130</v>
      </c>
      <c r="G4173" s="67" t="s">
        <v>327</v>
      </c>
      <c r="H4173" s="69">
        <v>-0.65</v>
      </c>
    </row>
    <row r="4174" spans="6:8">
      <c r="F4174" s="68" t="s">
        <v>131</v>
      </c>
      <c r="G4174" s="67" t="s">
        <v>327</v>
      </c>
      <c r="H4174" s="69">
        <v>-0.35</v>
      </c>
    </row>
    <row r="4175" spans="6:8">
      <c r="F4175" s="68" t="s">
        <v>255</v>
      </c>
      <c r="G4175" s="67" t="s">
        <v>327</v>
      </c>
      <c r="H4175" s="69">
        <v>0.5</v>
      </c>
    </row>
    <row r="4176" spans="6:8">
      <c r="F4176" s="68" t="s">
        <v>303</v>
      </c>
      <c r="G4176" s="67" t="s">
        <v>327</v>
      </c>
      <c r="H4176" s="69">
        <v>19</v>
      </c>
    </row>
    <row r="4177" spans="6:8">
      <c r="F4177" s="68" t="s">
        <v>132</v>
      </c>
      <c r="G4177" s="67" t="s">
        <v>327</v>
      </c>
      <c r="H4177" s="69">
        <v>-0.6</v>
      </c>
    </row>
    <row r="4178" spans="6:8">
      <c r="F4178" s="68" t="s">
        <v>133</v>
      </c>
      <c r="G4178" s="67" t="s">
        <v>327</v>
      </c>
      <c r="H4178" s="69">
        <v>-0.35</v>
      </c>
    </row>
    <row r="4179" spans="6:8">
      <c r="F4179" s="68" t="s">
        <v>256</v>
      </c>
      <c r="G4179" s="67" t="s">
        <v>327</v>
      </c>
      <c r="H4179" s="69">
        <v>0.7</v>
      </c>
    </row>
    <row r="4180" spans="6:8">
      <c r="F4180" s="68" t="s">
        <v>134</v>
      </c>
      <c r="G4180" s="67" t="s">
        <v>327</v>
      </c>
      <c r="H4180" s="69">
        <v>-0.65</v>
      </c>
    </row>
    <row r="4181" spans="6:8">
      <c r="F4181" s="68" t="s">
        <v>135</v>
      </c>
      <c r="G4181" s="67" t="s">
        <v>327</v>
      </c>
      <c r="H4181" s="69">
        <v>-0.35</v>
      </c>
    </row>
    <row r="4182" spans="6:8">
      <c r="F4182" s="68" t="s">
        <v>257</v>
      </c>
      <c r="G4182" s="67" t="s">
        <v>327</v>
      </c>
      <c r="H4182" s="69">
        <v>0.89</v>
      </c>
    </row>
    <row r="4183" spans="6:8">
      <c r="F4183" s="68" t="s">
        <v>258</v>
      </c>
      <c r="G4183" s="67" t="s">
        <v>327</v>
      </c>
      <c r="H4183" s="69">
        <v>0.1</v>
      </c>
    </row>
    <row r="4184" spans="6:8">
      <c r="F4184" s="68" t="s">
        <v>136</v>
      </c>
      <c r="G4184" s="67" t="s">
        <v>327</v>
      </c>
      <c r="H4184" s="69">
        <v>-0.65</v>
      </c>
    </row>
    <row r="4185" spans="6:8">
      <c r="F4185" s="68" t="s">
        <v>137</v>
      </c>
      <c r="G4185" s="67" t="s">
        <v>327</v>
      </c>
      <c r="H4185" s="69">
        <v>-0.5</v>
      </c>
    </row>
    <row r="4186" spans="6:8">
      <c r="F4186" s="68" t="s">
        <v>138</v>
      </c>
      <c r="G4186" s="67" t="s">
        <v>327</v>
      </c>
      <c r="H4186" s="69">
        <v>-0.6</v>
      </c>
    </row>
    <row r="4187" spans="6:8">
      <c r="F4187" s="68" t="s">
        <v>259</v>
      </c>
      <c r="G4187" s="67" t="s">
        <v>327</v>
      </c>
      <c r="H4187" s="69">
        <v>0.14000000000000001</v>
      </c>
    </row>
    <row r="4188" spans="6:8">
      <c r="F4188" s="68" t="s">
        <v>259</v>
      </c>
      <c r="G4188" s="67" t="s">
        <v>328</v>
      </c>
      <c r="H4188" s="69">
        <v>0.14000000000000001</v>
      </c>
    </row>
    <row r="4189" spans="6:8">
      <c r="F4189" s="68" t="s">
        <v>138</v>
      </c>
      <c r="G4189" s="67" t="s">
        <v>328</v>
      </c>
      <c r="H4189" s="69">
        <v>-0.6</v>
      </c>
    </row>
    <row r="4190" spans="6:8">
      <c r="F4190" s="68" t="s">
        <v>137</v>
      </c>
      <c r="G4190" s="67" t="s">
        <v>328</v>
      </c>
      <c r="H4190" s="69">
        <v>-0.5</v>
      </c>
    </row>
    <row r="4191" spans="6:8">
      <c r="F4191" s="68" t="s">
        <v>136</v>
      </c>
      <c r="G4191" s="67" t="s">
        <v>328</v>
      </c>
      <c r="H4191" s="69">
        <v>-0.65</v>
      </c>
    </row>
    <row r="4192" spans="6:8">
      <c r="F4192" s="68" t="s">
        <v>258</v>
      </c>
      <c r="G4192" s="67" t="s">
        <v>328</v>
      </c>
      <c r="H4192" s="69">
        <v>0.1</v>
      </c>
    </row>
    <row r="4193" spans="6:8">
      <c r="F4193" s="68" t="s">
        <v>257</v>
      </c>
      <c r="G4193" s="67" t="s">
        <v>328</v>
      </c>
      <c r="H4193" s="69">
        <v>0.9</v>
      </c>
    </row>
    <row r="4194" spans="6:8">
      <c r="F4194" s="68" t="s">
        <v>135</v>
      </c>
      <c r="G4194" s="67" t="s">
        <v>328</v>
      </c>
      <c r="H4194" s="69">
        <v>-0.35</v>
      </c>
    </row>
    <row r="4195" spans="6:8">
      <c r="F4195" s="68" t="s">
        <v>134</v>
      </c>
      <c r="G4195" s="67" t="s">
        <v>328</v>
      </c>
      <c r="H4195" s="69">
        <v>-0.65</v>
      </c>
    </row>
    <row r="4196" spans="6:8">
      <c r="F4196" s="68" t="s">
        <v>256</v>
      </c>
      <c r="G4196" s="67" t="s">
        <v>328</v>
      </c>
      <c r="H4196" s="69">
        <v>0.71</v>
      </c>
    </row>
    <row r="4197" spans="6:8">
      <c r="F4197" s="68" t="s">
        <v>133</v>
      </c>
      <c r="G4197" s="67" t="s">
        <v>328</v>
      </c>
      <c r="H4197" s="69">
        <v>-0.35</v>
      </c>
    </row>
    <row r="4198" spans="6:8">
      <c r="F4198" s="68" t="s">
        <v>132</v>
      </c>
      <c r="G4198" s="67" t="s">
        <v>328</v>
      </c>
      <c r="H4198" s="69">
        <v>-0.6</v>
      </c>
    </row>
    <row r="4199" spans="6:8">
      <c r="F4199" s="68" t="s">
        <v>303</v>
      </c>
      <c r="G4199" s="67" t="s">
        <v>328</v>
      </c>
      <c r="H4199" s="69">
        <v>18.625</v>
      </c>
    </row>
    <row r="4200" spans="6:8">
      <c r="F4200" s="68" t="s">
        <v>255</v>
      </c>
      <c r="G4200" s="67" t="s">
        <v>328</v>
      </c>
      <c r="H4200" s="69">
        <v>0.51</v>
      </c>
    </row>
    <row r="4201" spans="6:8">
      <c r="F4201" s="68" t="s">
        <v>131</v>
      </c>
      <c r="G4201" s="67" t="s">
        <v>328</v>
      </c>
      <c r="H4201" s="69">
        <v>-0.35</v>
      </c>
    </row>
    <row r="4202" spans="6:8">
      <c r="F4202" s="68" t="s">
        <v>130</v>
      </c>
      <c r="G4202" s="67" t="s">
        <v>328</v>
      </c>
      <c r="H4202" s="69">
        <v>-0.65</v>
      </c>
    </row>
    <row r="4203" spans="6:8">
      <c r="F4203" s="68" t="s">
        <v>304</v>
      </c>
      <c r="G4203" s="67" t="s">
        <v>328</v>
      </c>
      <c r="H4203" s="69">
        <v>17.625</v>
      </c>
    </row>
    <row r="4204" spans="6:8">
      <c r="F4204" s="68" t="s">
        <v>254</v>
      </c>
      <c r="G4204" s="67" t="s">
        <v>328</v>
      </c>
      <c r="H4204" s="69">
        <v>0.37</v>
      </c>
    </row>
    <row r="4205" spans="6:8">
      <c r="F4205" s="68" t="s">
        <v>129</v>
      </c>
      <c r="G4205" s="67" t="s">
        <v>328</v>
      </c>
      <c r="H4205" s="69">
        <v>-0.25</v>
      </c>
    </row>
    <row r="4206" spans="6:8">
      <c r="F4206" s="68" t="s">
        <v>128</v>
      </c>
      <c r="G4206" s="67" t="s">
        <v>328</v>
      </c>
      <c r="H4206" s="69">
        <v>-0.5</v>
      </c>
    </row>
    <row r="4207" spans="6:8">
      <c r="F4207" s="68" t="s">
        <v>315</v>
      </c>
      <c r="G4207" s="67" t="s">
        <v>328</v>
      </c>
      <c r="H4207" s="69">
        <v>-0.55000000000000004</v>
      </c>
    </row>
    <row r="4208" spans="6:8">
      <c r="F4208" s="68" t="s">
        <v>253</v>
      </c>
      <c r="G4208" s="67" t="s">
        <v>328</v>
      </c>
      <c r="H4208" s="69">
        <v>0.27</v>
      </c>
    </row>
    <row r="4209" spans="6:8">
      <c r="F4209" s="68" t="s">
        <v>127</v>
      </c>
      <c r="G4209" s="67" t="s">
        <v>328</v>
      </c>
      <c r="H4209" s="69">
        <v>-0.15</v>
      </c>
    </row>
    <row r="4210" spans="6:8">
      <c r="F4210" s="68" t="s">
        <v>126</v>
      </c>
      <c r="G4210" s="67" t="s">
        <v>328</v>
      </c>
      <c r="H4210" s="69">
        <v>-0.55000000000000004</v>
      </c>
    </row>
    <row r="4211" spans="6:8">
      <c r="F4211" s="68" t="s">
        <v>125</v>
      </c>
      <c r="G4211" s="67" t="s">
        <v>328</v>
      </c>
      <c r="H4211" s="69">
        <v>-0.8</v>
      </c>
    </row>
    <row r="4212" spans="6:8">
      <c r="F4212" s="68" t="s">
        <v>314</v>
      </c>
      <c r="G4212" s="67" t="s">
        <v>328</v>
      </c>
      <c r="H4212" s="69">
        <v>-0.65</v>
      </c>
    </row>
    <row r="4213" spans="6:8">
      <c r="F4213" s="68" t="s">
        <v>252</v>
      </c>
      <c r="G4213" s="67" t="s">
        <v>328</v>
      </c>
      <c r="H4213" s="69">
        <v>0.21</v>
      </c>
    </row>
    <row r="4214" spans="6:8">
      <c r="F4214" s="68" t="s">
        <v>124</v>
      </c>
      <c r="G4214" s="67" t="s">
        <v>328</v>
      </c>
      <c r="H4214" s="69">
        <v>-0.55000000000000004</v>
      </c>
    </row>
    <row r="4215" spans="6:8">
      <c r="F4215" s="68" t="s">
        <v>123</v>
      </c>
      <c r="G4215" s="67" t="s">
        <v>328</v>
      </c>
      <c r="H4215" s="69">
        <v>-0.55000000000000004</v>
      </c>
    </row>
    <row r="4216" spans="6:8">
      <c r="F4216" s="68" t="s">
        <v>122</v>
      </c>
      <c r="G4216" s="67" t="s">
        <v>328</v>
      </c>
      <c r="H4216" s="69">
        <v>-0.7</v>
      </c>
    </row>
    <row r="4217" spans="6:8">
      <c r="F4217" s="68" t="s">
        <v>251</v>
      </c>
      <c r="G4217" s="67" t="s">
        <v>328</v>
      </c>
      <c r="H4217" s="69">
        <v>0.16</v>
      </c>
    </row>
    <row r="4218" spans="6:8">
      <c r="F4218" s="68" t="s">
        <v>121</v>
      </c>
      <c r="G4218" s="67" t="s">
        <v>328</v>
      </c>
      <c r="H4218" s="69">
        <v>-0.6</v>
      </c>
    </row>
    <row r="4219" spans="6:8">
      <c r="F4219" s="68" t="s">
        <v>120</v>
      </c>
      <c r="G4219" s="67" t="s">
        <v>328</v>
      </c>
      <c r="H4219" s="69">
        <v>-0.5</v>
      </c>
    </row>
    <row r="4220" spans="6:8">
      <c r="F4220" s="68" t="s">
        <v>119</v>
      </c>
      <c r="G4220" s="67" t="s">
        <v>328</v>
      </c>
      <c r="H4220" s="69">
        <v>-0.65</v>
      </c>
    </row>
    <row r="4221" spans="6:8">
      <c r="F4221" s="68" t="s">
        <v>119</v>
      </c>
      <c r="G4221" s="67" t="s">
        <v>329</v>
      </c>
      <c r="H4221" s="69">
        <v>-0.7</v>
      </c>
    </row>
    <row r="4222" spans="6:8">
      <c r="F4222" s="68" t="s">
        <v>120</v>
      </c>
      <c r="G4222" s="67" t="s">
        <v>329</v>
      </c>
      <c r="H4222" s="69">
        <v>-0.45</v>
      </c>
    </row>
    <row r="4223" spans="6:8">
      <c r="F4223" s="68" t="s">
        <v>121</v>
      </c>
      <c r="G4223" s="67" t="s">
        <v>329</v>
      </c>
      <c r="H4223" s="69">
        <v>-0.6</v>
      </c>
    </row>
    <row r="4224" spans="6:8">
      <c r="F4224" s="68" t="s">
        <v>251</v>
      </c>
      <c r="G4224" s="67" t="s">
        <v>329</v>
      </c>
      <c r="H4224" s="69">
        <v>0.16</v>
      </c>
    </row>
    <row r="4225" spans="6:8">
      <c r="F4225" s="68" t="s">
        <v>122</v>
      </c>
      <c r="G4225" s="67" t="s">
        <v>329</v>
      </c>
      <c r="H4225" s="69">
        <v>-0.7</v>
      </c>
    </row>
    <row r="4226" spans="6:8">
      <c r="F4226" s="68" t="s">
        <v>123</v>
      </c>
      <c r="G4226" s="67" t="s">
        <v>329</v>
      </c>
      <c r="H4226" s="69">
        <v>-0.5</v>
      </c>
    </row>
    <row r="4227" spans="6:8">
      <c r="F4227" s="68" t="s">
        <v>124</v>
      </c>
      <c r="G4227" s="67" t="s">
        <v>329</v>
      </c>
      <c r="H4227" s="69">
        <v>-0.55000000000000004</v>
      </c>
    </row>
    <row r="4228" spans="6:8">
      <c r="F4228" s="68" t="s">
        <v>252</v>
      </c>
      <c r="G4228" s="67" t="s">
        <v>329</v>
      </c>
      <c r="H4228" s="69">
        <v>0.21</v>
      </c>
    </row>
    <row r="4229" spans="6:8">
      <c r="F4229" s="68" t="s">
        <v>314</v>
      </c>
      <c r="G4229" s="67" t="s">
        <v>329</v>
      </c>
      <c r="H4229" s="69">
        <v>-0.65</v>
      </c>
    </row>
    <row r="4230" spans="6:8">
      <c r="F4230" s="68" t="s">
        <v>125</v>
      </c>
      <c r="G4230" s="67" t="s">
        <v>329</v>
      </c>
      <c r="H4230" s="69">
        <v>-0.8</v>
      </c>
    </row>
    <row r="4231" spans="6:8">
      <c r="F4231" s="68" t="s">
        <v>126</v>
      </c>
      <c r="G4231" s="67" t="s">
        <v>329</v>
      </c>
      <c r="H4231" s="69">
        <v>-0.5</v>
      </c>
    </row>
    <row r="4232" spans="6:8">
      <c r="F4232" s="68" t="s">
        <v>127</v>
      </c>
      <c r="G4232" s="67" t="s">
        <v>329</v>
      </c>
      <c r="H4232" s="69">
        <v>-0.15</v>
      </c>
    </row>
    <row r="4233" spans="6:8">
      <c r="F4233" s="68" t="s">
        <v>253</v>
      </c>
      <c r="G4233" s="67" t="s">
        <v>329</v>
      </c>
      <c r="H4233" s="69">
        <v>0.27</v>
      </c>
    </row>
    <row r="4234" spans="6:8">
      <c r="F4234" s="68" t="s">
        <v>315</v>
      </c>
      <c r="G4234" s="67" t="s">
        <v>329</v>
      </c>
      <c r="H4234" s="69">
        <v>-0.55000000000000004</v>
      </c>
    </row>
    <row r="4235" spans="6:8">
      <c r="F4235" s="68" t="s">
        <v>128</v>
      </c>
      <c r="G4235" s="67" t="s">
        <v>329</v>
      </c>
      <c r="H4235" s="69">
        <v>-0.45</v>
      </c>
    </row>
    <row r="4236" spans="6:8">
      <c r="F4236" s="68" t="s">
        <v>129</v>
      </c>
      <c r="G4236" s="67" t="s">
        <v>329</v>
      </c>
      <c r="H4236" s="69">
        <v>-0.25</v>
      </c>
    </row>
    <row r="4237" spans="6:8">
      <c r="F4237" s="68" t="s">
        <v>254</v>
      </c>
      <c r="G4237" s="67" t="s">
        <v>329</v>
      </c>
      <c r="H4237" s="69">
        <v>0.37</v>
      </c>
    </row>
    <row r="4238" spans="6:8">
      <c r="F4238" s="68" t="s">
        <v>304</v>
      </c>
      <c r="G4238" s="67" t="s">
        <v>329</v>
      </c>
      <c r="H4238" s="69">
        <v>17.75</v>
      </c>
    </row>
    <row r="4239" spans="6:8">
      <c r="F4239" s="68" t="s">
        <v>130</v>
      </c>
      <c r="G4239" s="67" t="s">
        <v>329</v>
      </c>
      <c r="H4239" s="69">
        <v>-0.65</v>
      </c>
    </row>
    <row r="4240" spans="6:8">
      <c r="F4240" s="68" t="s">
        <v>131</v>
      </c>
      <c r="G4240" s="67" t="s">
        <v>329</v>
      </c>
      <c r="H4240" s="69">
        <v>-0.35</v>
      </c>
    </row>
    <row r="4241" spans="6:8">
      <c r="F4241" s="68" t="s">
        <v>255</v>
      </c>
      <c r="G4241" s="67" t="s">
        <v>329</v>
      </c>
      <c r="H4241" s="69">
        <v>0.51</v>
      </c>
    </row>
    <row r="4242" spans="6:8">
      <c r="F4242" s="68" t="s">
        <v>303</v>
      </c>
      <c r="G4242" s="67" t="s">
        <v>329</v>
      </c>
      <c r="H4242" s="69">
        <v>18.75</v>
      </c>
    </row>
    <row r="4243" spans="6:8">
      <c r="F4243" s="68" t="s">
        <v>132</v>
      </c>
      <c r="G4243" s="67" t="s">
        <v>329</v>
      </c>
      <c r="H4243" s="69">
        <v>-0.6</v>
      </c>
    </row>
    <row r="4244" spans="6:8">
      <c r="F4244" s="68" t="s">
        <v>133</v>
      </c>
      <c r="G4244" s="67" t="s">
        <v>329</v>
      </c>
      <c r="H4244" s="69">
        <v>-0.35</v>
      </c>
    </row>
    <row r="4245" spans="6:8">
      <c r="F4245" s="68" t="s">
        <v>256</v>
      </c>
      <c r="G4245" s="67" t="s">
        <v>329</v>
      </c>
      <c r="H4245" s="69">
        <v>0.72</v>
      </c>
    </row>
    <row r="4246" spans="6:8">
      <c r="F4246" s="68" t="s">
        <v>134</v>
      </c>
      <c r="G4246" s="67" t="s">
        <v>329</v>
      </c>
      <c r="H4246" s="69">
        <v>-0.65</v>
      </c>
    </row>
    <row r="4247" spans="6:8">
      <c r="F4247" s="68" t="s">
        <v>135</v>
      </c>
      <c r="G4247" s="67" t="s">
        <v>329</v>
      </c>
      <c r="H4247" s="69">
        <v>-0.35</v>
      </c>
    </row>
    <row r="4248" spans="6:8">
      <c r="F4248" s="68" t="s">
        <v>257</v>
      </c>
      <c r="G4248" s="67" t="s">
        <v>329</v>
      </c>
      <c r="H4248" s="69">
        <v>0.92</v>
      </c>
    </row>
    <row r="4249" spans="6:8">
      <c r="F4249" s="68" t="s">
        <v>258</v>
      </c>
      <c r="G4249" s="67" t="s">
        <v>329</v>
      </c>
      <c r="H4249" s="69">
        <v>0.1</v>
      </c>
    </row>
    <row r="4250" spans="6:8">
      <c r="F4250" s="68" t="s">
        <v>136</v>
      </c>
      <c r="G4250" s="67" t="s">
        <v>329</v>
      </c>
      <c r="H4250" s="69">
        <v>-0.75</v>
      </c>
    </row>
    <row r="4251" spans="6:8">
      <c r="F4251" s="68" t="s">
        <v>137</v>
      </c>
      <c r="G4251" s="67" t="s">
        <v>329</v>
      </c>
      <c r="H4251" s="69">
        <v>-0.45</v>
      </c>
    </row>
    <row r="4252" spans="6:8">
      <c r="F4252" s="68" t="s">
        <v>138</v>
      </c>
      <c r="G4252" s="67" t="s">
        <v>329</v>
      </c>
      <c r="H4252" s="69">
        <v>-0.6</v>
      </c>
    </row>
    <row r="4253" spans="6:8">
      <c r="F4253" s="68" t="s">
        <v>259</v>
      </c>
      <c r="G4253" s="67" t="s">
        <v>329</v>
      </c>
      <c r="H4253" s="69">
        <v>0.14000000000000001</v>
      </c>
    </row>
    <row r="4254" spans="6:8">
      <c r="F4254" s="68" t="s">
        <v>259</v>
      </c>
      <c r="G4254" s="67" t="s">
        <v>330</v>
      </c>
      <c r="H4254" s="69">
        <v>0.14000000000000001</v>
      </c>
    </row>
    <row r="4255" spans="6:8">
      <c r="F4255" s="68" t="s">
        <v>138</v>
      </c>
      <c r="G4255" s="67" t="s">
        <v>330</v>
      </c>
      <c r="H4255" s="69">
        <v>-0.65</v>
      </c>
    </row>
    <row r="4256" spans="6:8">
      <c r="F4256" s="68" t="s">
        <v>137</v>
      </c>
      <c r="G4256" s="67" t="s">
        <v>330</v>
      </c>
      <c r="H4256" s="69">
        <v>-0.5</v>
      </c>
    </row>
    <row r="4257" spans="6:8">
      <c r="F4257" s="68" t="s">
        <v>136</v>
      </c>
      <c r="G4257" s="67" t="s">
        <v>330</v>
      </c>
      <c r="H4257" s="69">
        <v>-0.8</v>
      </c>
    </row>
    <row r="4258" spans="6:8">
      <c r="F4258" s="68" t="s">
        <v>258</v>
      </c>
      <c r="G4258" s="67" t="s">
        <v>330</v>
      </c>
      <c r="H4258" s="69">
        <v>0.1</v>
      </c>
    </row>
    <row r="4259" spans="6:8">
      <c r="F4259" s="68" t="s">
        <v>257</v>
      </c>
      <c r="G4259" s="67" t="s">
        <v>330</v>
      </c>
      <c r="H4259" s="69">
        <v>0.91</v>
      </c>
    </row>
    <row r="4260" spans="6:8">
      <c r="F4260" s="68" t="s">
        <v>135</v>
      </c>
      <c r="G4260" s="67" t="s">
        <v>330</v>
      </c>
      <c r="H4260" s="69">
        <v>-0.35</v>
      </c>
    </row>
    <row r="4261" spans="6:8">
      <c r="F4261" s="68" t="s">
        <v>134</v>
      </c>
      <c r="G4261" s="67" t="s">
        <v>330</v>
      </c>
      <c r="H4261" s="69">
        <v>-0.7</v>
      </c>
    </row>
    <row r="4262" spans="6:8">
      <c r="F4262" s="68" t="s">
        <v>256</v>
      </c>
      <c r="G4262" s="67" t="s">
        <v>330</v>
      </c>
      <c r="H4262" s="69">
        <v>0.71</v>
      </c>
    </row>
    <row r="4263" spans="6:8">
      <c r="F4263" s="68" t="s">
        <v>133</v>
      </c>
      <c r="G4263" s="67" t="s">
        <v>330</v>
      </c>
      <c r="H4263" s="69">
        <v>-0.35</v>
      </c>
    </row>
    <row r="4264" spans="6:8">
      <c r="F4264" s="68" t="s">
        <v>132</v>
      </c>
      <c r="G4264" s="67" t="s">
        <v>330</v>
      </c>
      <c r="H4264" s="69">
        <v>-0.65</v>
      </c>
    </row>
    <row r="4265" spans="6:8">
      <c r="F4265" s="68" t="s">
        <v>303</v>
      </c>
      <c r="G4265" s="67" t="s">
        <v>330</v>
      </c>
      <c r="H4265" s="69">
        <v>18.75</v>
      </c>
    </row>
    <row r="4266" spans="6:8">
      <c r="F4266" s="68" t="s">
        <v>255</v>
      </c>
      <c r="G4266" s="67" t="s">
        <v>330</v>
      </c>
      <c r="H4266" s="69">
        <v>0.5</v>
      </c>
    </row>
    <row r="4267" spans="6:8">
      <c r="F4267" s="68" t="s">
        <v>131</v>
      </c>
      <c r="G4267" s="67" t="s">
        <v>330</v>
      </c>
      <c r="H4267" s="69">
        <v>-0.35</v>
      </c>
    </row>
    <row r="4268" spans="6:8">
      <c r="F4268" s="68" t="s">
        <v>130</v>
      </c>
      <c r="G4268" s="67" t="s">
        <v>330</v>
      </c>
      <c r="H4268" s="69">
        <v>-0.7</v>
      </c>
    </row>
    <row r="4269" spans="6:8">
      <c r="F4269" s="68" t="s">
        <v>304</v>
      </c>
      <c r="G4269" s="67" t="s">
        <v>330</v>
      </c>
      <c r="H4269" s="69">
        <v>17.6875</v>
      </c>
    </row>
    <row r="4270" spans="6:8">
      <c r="F4270" s="68" t="s">
        <v>254</v>
      </c>
      <c r="G4270" s="67" t="s">
        <v>330</v>
      </c>
      <c r="H4270" s="69">
        <v>0.36</v>
      </c>
    </row>
    <row r="4271" spans="6:8">
      <c r="F4271" s="68" t="s">
        <v>129</v>
      </c>
      <c r="G4271" s="67" t="s">
        <v>330</v>
      </c>
      <c r="H4271" s="69">
        <v>-0.25</v>
      </c>
    </row>
    <row r="4272" spans="6:8">
      <c r="F4272" s="68" t="s">
        <v>128</v>
      </c>
      <c r="G4272" s="67" t="s">
        <v>330</v>
      </c>
      <c r="H4272" s="69">
        <v>-0.5</v>
      </c>
    </row>
    <row r="4273" spans="6:8">
      <c r="F4273" s="68" t="s">
        <v>315</v>
      </c>
      <c r="G4273" s="67" t="s">
        <v>330</v>
      </c>
      <c r="H4273" s="69">
        <v>-0.6</v>
      </c>
    </row>
    <row r="4274" spans="6:8">
      <c r="F4274" s="68" t="s">
        <v>253</v>
      </c>
      <c r="G4274" s="67" t="s">
        <v>330</v>
      </c>
      <c r="H4274" s="69">
        <v>0.26</v>
      </c>
    </row>
    <row r="4275" spans="6:8">
      <c r="F4275" s="68" t="s">
        <v>127</v>
      </c>
      <c r="G4275" s="67" t="s">
        <v>330</v>
      </c>
      <c r="H4275" s="69">
        <v>-0.15</v>
      </c>
    </row>
    <row r="4276" spans="6:8">
      <c r="F4276" s="68" t="s">
        <v>126</v>
      </c>
      <c r="G4276" s="67" t="s">
        <v>330</v>
      </c>
      <c r="H4276" s="69">
        <v>-0.55000000000000004</v>
      </c>
    </row>
    <row r="4277" spans="6:8">
      <c r="F4277" s="68" t="s">
        <v>125</v>
      </c>
      <c r="G4277" s="67" t="s">
        <v>330</v>
      </c>
      <c r="H4277" s="69">
        <v>-0.85</v>
      </c>
    </row>
    <row r="4278" spans="6:8">
      <c r="F4278" s="68" t="s">
        <v>314</v>
      </c>
      <c r="G4278" s="67" t="s">
        <v>330</v>
      </c>
      <c r="H4278" s="69">
        <v>-0.7</v>
      </c>
    </row>
    <row r="4279" spans="6:8">
      <c r="F4279" s="68" t="s">
        <v>252</v>
      </c>
      <c r="G4279" s="67" t="s">
        <v>330</v>
      </c>
      <c r="H4279" s="69">
        <v>0.21</v>
      </c>
    </row>
    <row r="4280" spans="6:8">
      <c r="F4280" s="68" t="s">
        <v>124</v>
      </c>
      <c r="G4280" s="67" t="s">
        <v>330</v>
      </c>
      <c r="H4280" s="69">
        <v>-0.6</v>
      </c>
    </row>
    <row r="4281" spans="6:8">
      <c r="F4281" s="68" t="s">
        <v>123</v>
      </c>
      <c r="G4281" s="67" t="s">
        <v>330</v>
      </c>
      <c r="H4281" s="69">
        <v>-0.55000000000000004</v>
      </c>
    </row>
    <row r="4282" spans="6:8">
      <c r="F4282" s="68" t="s">
        <v>122</v>
      </c>
      <c r="G4282" s="67" t="s">
        <v>330</v>
      </c>
      <c r="H4282" s="69">
        <v>-0.75</v>
      </c>
    </row>
    <row r="4283" spans="6:8">
      <c r="F4283" s="68" t="s">
        <v>251</v>
      </c>
      <c r="G4283" s="67" t="s">
        <v>330</v>
      </c>
      <c r="H4283" s="69">
        <v>0.16</v>
      </c>
    </row>
    <row r="4284" spans="6:8">
      <c r="F4284" s="68" t="s">
        <v>121</v>
      </c>
      <c r="G4284" s="67" t="s">
        <v>330</v>
      </c>
      <c r="H4284" s="69">
        <v>-0.65</v>
      </c>
    </row>
    <row r="4285" spans="6:8">
      <c r="F4285" s="68" t="s">
        <v>120</v>
      </c>
      <c r="G4285" s="67" t="s">
        <v>330</v>
      </c>
      <c r="H4285" s="69">
        <v>-0.5</v>
      </c>
    </row>
    <row r="4286" spans="6:8">
      <c r="F4286" s="68" t="s">
        <v>119</v>
      </c>
      <c r="G4286" s="67" t="s">
        <v>330</v>
      </c>
      <c r="H4286" s="69">
        <v>-0.75</v>
      </c>
    </row>
    <row r="4287" spans="6:8">
      <c r="F4287" s="68" t="s">
        <v>119</v>
      </c>
      <c r="G4287" s="67" t="s">
        <v>331</v>
      </c>
      <c r="H4287" s="69">
        <v>-0.75</v>
      </c>
    </row>
    <row r="4288" spans="6:8">
      <c r="F4288" s="68" t="s">
        <v>120</v>
      </c>
      <c r="G4288" s="67" t="s">
        <v>331</v>
      </c>
      <c r="H4288" s="69">
        <v>-0.5</v>
      </c>
    </row>
    <row r="4289" spans="6:8">
      <c r="F4289" s="68" t="s">
        <v>121</v>
      </c>
      <c r="G4289" s="67" t="s">
        <v>331</v>
      </c>
      <c r="H4289" s="69">
        <v>-0.65</v>
      </c>
    </row>
    <row r="4290" spans="6:8">
      <c r="F4290" s="68" t="s">
        <v>251</v>
      </c>
      <c r="G4290" s="67" t="s">
        <v>331</v>
      </c>
      <c r="H4290" s="69">
        <v>0.16</v>
      </c>
    </row>
    <row r="4291" spans="6:8">
      <c r="F4291" s="68" t="s">
        <v>122</v>
      </c>
      <c r="G4291" s="67" t="s">
        <v>331</v>
      </c>
      <c r="H4291" s="69">
        <v>-0.75</v>
      </c>
    </row>
    <row r="4292" spans="6:8">
      <c r="F4292" s="68" t="s">
        <v>123</v>
      </c>
      <c r="G4292" s="67" t="s">
        <v>331</v>
      </c>
      <c r="H4292" s="69">
        <v>-0.55000000000000004</v>
      </c>
    </row>
    <row r="4293" spans="6:8">
      <c r="F4293" s="68" t="s">
        <v>124</v>
      </c>
      <c r="G4293" s="67" t="s">
        <v>331</v>
      </c>
      <c r="H4293" s="69">
        <v>-0.6</v>
      </c>
    </row>
    <row r="4294" spans="6:8">
      <c r="F4294" s="68" t="s">
        <v>252</v>
      </c>
      <c r="G4294" s="67" t="s">
        <v>331</v>
      </c>
      <c r="H4294" s="69">
        <v>0.21</v>
      </c>
    </row>
    <row r="4295" spans="6:8">
      <c r="F4295" s="68" t="s">
        <v>314</v>
      </c>
      <c r="G4295" s="67" t="s">
        <v>331</v>
      </c>
      <c r="H4295" s="69">
        <v>-0.7</v>
      </c>
    </row>
    <row r="4296" spans="6:8">
      <c r="F4296" s="68" t="s">
        <v>125</v>
      </c>
      <c r="G4296" s="67" t="s">
        <v>331</v>
      </c>
      <c r="H4296" s="69">
        <v>-0.85</v>
      </c>
    </row>
    <row r="4297" spans="6:8">
      <c r="F4297" s="68" t="s">
        <v>126</v>
      </c>
      <c r="G4297" s="67" t="s">
        <v>331</v>
      </c>
      <c r="H4297" s="69">
        <v>-0.55000000000000004</v>
      </c>
    </row>
    <row r="4298" spans="6:8">
      <c r="F4298" s="68" t="s">
        <v>127</v>
      </c>
      <c r="G4298" s="67" t="s">
        <v>331</v>
      </c>
      <c r="H4298" s="69">
        <v>-0.15</v>
      </c>
    </row>
    <row r="4299" spans="6:8">
      <c r="F4299" s="68" t="s">
        <v>253</v>
      </c>
      <c r="G4299" s="67" t="s">
        <v>331</v>
      </c>
      <c r="H4299" s="69">
        <v>0.26</v>
      </c>
    </row>
    <row r="4300" spans="6:8">
      <c r="F4300" s="68" t="s">
        <v>315</v>
      </c>
      <c r="G4300" s="67" t="s">
        <v>331</v>
      </c>
      <c r="H4300" s="69">
        <v>-0.6</v>
      </c>
    </row>
    <row r="4301" spans="6:8">
      <c r="F4301" s="68" t="s">
        <v>128</v>
      </c>
      <c r="G4301" s="67" t="s">
        <v>331</v>
      </c>
      <c r="H4301" s="69">
        <v>-0.5</v>
      </c>
    </row>
    <row r="4302" spans="6:8">
      <c r="F4302" s="68" t="s">
        <v>129</v>
      </c>
      <c r="G4302" s="67" t="s">
        <v>331</v>
      </c>
      <c r="H4302" s="69">
        <v>-0.25</v>
      </c>
    </row>
    <row r="4303" spans="6:8">
      <c r="F4303" s="68" t="s">
        <v>254</v>
      </c>
      <c r="G4303" s="67" t="s">
        <v>331</v>
      </c>
      <c r="H4303" s="69">
        <v>0.36</v>
      </c>
    </row>
    <row r="4304" spans="6:8">
      <c r="F4304" s="68" t="s">
        <v>304</v>
      </c>
      <c r="G4304" s="67" t="s">
        <v>331</v>
      </c>
      <c r="H4304" s="69">
        <v>17.6875</v>
      </c>
    </row>
    <row r="4305" spans="6:8">
      <c r="F4305" s="68" t="s">
        <v>130</v>
      </c>
      <c r="G4305" s="67" t="s">
        <v>331</v>
      </c>
      <c r="H4305" s="69">
        <v>-0.7</v>
      </c>
    </row>
    <row r="4306" spans="6:8">
      <c r="F4306" s="68" t="s">
        <v>131</v>
      </c>
      <c r="G4306" s="67" t="s">
        <v>331</v>
      </c>
      <c r="H4306" s="69">
        <v>-0.35</v>
      </c>
    </row>
    <row r="4307" spans="6:8">
      <c r="F4307" s="68" t="s">
        <v>255</v>
      </c>
      <c r="G4307" s="67" t="s">
        <v>331</v>
      </c>
      <c r="H4307" s="69">
        <v>0.5</v>
      </c>
    </row>
    <row r="4308" spans="6:8">
      <c r="F4308" s="68" t="s">
        <v>303</v>
      </c>
      <c r="G4308" s="67" t="s">
        <v>331</v>
      </c>
      <c r="H4308" s="69">
        <v>18.75</v>
      </c>
    </row>
    <row r="4309" spans="6:8">
      <c r="F4309" s="68" t="s">
        <v>132</v>
      </c>
      <c r="G4309" s="67" t="s">
        <v>331</v>
      </c>
      <c r="H4309" s="69">
        <v>-0.65</v>
      </c>
    </row>
    <row r="4310" spans="6:8">
      <c r="F4310" s="68" t="s">
        <v>133</v>
      </c>
      <c r="G4310" s="67" t="s">
        <v>331</v>
      </c>
      <c r="H4310" s="69">
        <v>-0.35</v>
      </c>
    </row>
    <row r="4311" spans="6:8">
      <c r="F4311" s="68" t="s">
        <v>256</v>
      </c>
      <c r="G4311" s="67" t="s">
        <v>331</v>
      </c>
      <c r="H4311" s="69">
        <v>0.71</v>
      </c>
    </row>
    <row r="4312" spans="6:8">
      <c r="F4312" s="68" t="s">
        <v>134</v>
      </c>
      <c r="G4312" s="67" t="s">
        <v>331</v>
      </c>
      <c r="H4312" s="69">
        <v>-0.7</v>
      </c>
    </row>
    <row r="4313" spans="6:8">
      <c r="F4313" s="68" t="s">
        <v>135</v>
      </c>
      <c r="G4313" s="67" t="s">
        <v>331</v>
      </c>
      <c r="H4313" s="69">
        <v>-0.35</v>
      </c>
    </row>
    <row r="4314" spans="6:8">
      <c r="F4314" s="68" t="s">
        <v>257</v>
      </c>
      <c r="G4314" s="67" t="s">
        <v>331</v>
      </c>
      <c r="H4314" s="69">
        <v>0.91</v>
      </c>
    </row>
    <row r="4315" spans="6:8">
      <c r="F4315" s="68" t="s">
        <v>258</v>
      </c>
      <c r="G4315" s="67" t="s">
        <v>331</v>
      </c>
      <c r="H4315" s="69">
        <v>0.1</v>
      </c>
    </row>
    <row r="4316" spans="6:8">
      <c r="F4316" s="68" t="s">
        <v>136</v>
      </c>
      <c r="G4316" s="67" t="s">
        <v>331</v>
      </c>
      <c r="H4316" s="69">
        <v>-0.8</v>
      </c>
    </row>
    <row r="4317" spans="6:8">
      <c r="F4317" s="68" t="s">
        <v>137</v>
      </c>
      <c r="G4317" s="67" t="s">
        <v>331</v>
      </c>
      <c r="H4317" s="69">
        <v>-0.5</v>
      </c>
    </row>
    <row r="4318" spans="6:8">
      <c r="F4318" s="68" t="s">
        <v>138</v>
      </c>
      <c r="G4318" s="67" t="s">
        <v>331</v>
      </c>
      <c r="H4318" s="69">
        <v>-0.65</v>
      </c>
    </row>
    <row r="4319" spans="6:8">
      <c r="F4319" s="68" t="s">
        <v>259</v>
      </c>
      <c r="G4319" s="67" t="s">
        <v>331</v>
      </c>
      <c r="H4319" s="69">
        <v>0.14000000000000001</v>
      </c>
    </row>
    <row r="4320" spans="6:8">
      <c r="F4320" s="68" t="s">
        <v>259</v>
      </c>
      <c r="G4320" s="67" t="s">
        <v>332</v>
      </c>
      <c r="H4320" s="69">
        <v>0.14000000000000001</v>
      </c>
    </row>
    <row r="4321" spans="6:8">
      <c r="F4321" s="68" t="s">
        <v>138</v>
      </c>
      <c r="G4321" s="67" t="s">
        <v>332</v>
      </c>
      <c r="H4321" s="69">
        <v>-0.65</v>
      </c>
    </row>
    <row r="4322" spans="6:8">
      <c r="F4322" s="68" t="s">
        <v>137</v>
      </c>
      <c r="G4322" s="67" t="s">
        <v>332</v>
      </c>
      <c r="H4322" s="69">
        <v>-0.5</v>
      </c>
    </row>
    <row r="4323" spans="6:8">
      <c r="F4323" s="68" t="s">
        <v>136</v>
      </c>
      <c r="G4323" s="67" t="s">
        <v>332</v>
      </c>
      <c r="H4323" s="69">
        <v>-0.8</v>
      </c>
    </row>
    <row r="4324" spans="6:8">
      <c r="F4324" s="68" t="s">
        <v>258</v>
      </c>
      <c r="G4324" s="67" t="s">
        <v>332</v>
      </c>
      <c r="H4324" s="69">
        <v>0.1</v>
      </c>
    </row>
    <row r="4325" spans="6:8">
      <c r="F4325" s="68" t="s">
        <v>257</v>
      </c>
      <c r="G4325" s="67" t="s">
        <v>332</v>
      </c>
      <c r="H4325" s="69">
        <v>0.91</v>
      </c>
    </row>
    <row r="4326" spans="6:8">
      <c r="F4326" s="68" t="s">
        <v>135</v>
      </c>
      <c r="G4326" s="67" t="s">
        <v>332</v>
      </c>
      <c r="H4326" s="69">
        <v>-0.35</v>
      </c>
    </row>
    <row r="4327" spans="6:8">
      <c r="F4327" s="68" t="s">
        <v>134</v>
      </c>
      <c r="G4327" s="67" t="s">
        <v>332</v>
      </c>
      <c r="H4327" s="69">
        <v>-0.7</v>
      </c>
    </row>
    <row r="4328" spans="6:8">
      <c r="F4328" s="68" t="s">
        <v>256</v>
      </c>
      <c r="G4328" s="67" t="s">
        <v>332</v>
      </c>
      <c r="H4328" s="69">
        <v>0.71</v>
      </c>
    </row>
    <row r="4329" spans="6:8">
      <c r="F4329" s="68" t="s">
        <v>133</v>
      </c>
      <c r="G4329" s="67" t="s">
        <v>332</v>
      </c>
      <c r="H4329" s="69">
        <v>-0.35</v>
      </c>
    </row>
    <row r="4330" spans="6:8">
      <c r="F4330" s="68" t="s">
        <v>132</v>
      </c>
      <c r="G4330" s="67" t="s">
        <v>332</v>
      </c>
      <c r="H4330" s="69">
        <v>-0.65</v>
      </c>
    </row>
    <row r="4331" spans="6:8">
      <c r="F4331" s="68" t="s">
        <v>303</v>
      </c>
      <c r="G4331" s="67" t="s">
        <v>332</v>
      </c>
      <c r="H4331" s="69">
        <v>18.75</v>
      </c>
    </row>
    <row r="4332" spans="6:8">
      <c r="F4332" s="68" t="s">
        <v>255</v>
      </c>
      <c r="G4332" s="67" t="s">
        <v>332</v>
      </c>
      <c r="H4332" s="69">
        <v>0.5</v>
      </c>
    </row>
    <row r="4333" spans="6:8">
      <c r="F4333" s="68" t="s">
        <v>131</v>
      </c>
      <c r="G4333" s="67" t="s">
        <v>332</v>
      </c>
      <c r="H4333" s="69">
        <v>-0.35</v>
      </c>
    </row>
    <row r="4334" spans="6:8">
      <c r="F4334" s="68" t="s">
        <v>130</v>
      </c>
      <c r="G4334" s="67" t="s">
        <v>332</v>
      </c>
      <c r="H4334" s="69">
        <v>-0.7</v>
      </c>
    </row>
    <row r="4335" spans="6:8">
      <c r="F4335" s="68" t="s">
        <v>304</v>
      </c>
      <c r="G4335" s="67" t="s">
        <v>332</v>
      </c>
      <c r="H4335" s="69">
        <v>17.6875</v>
      </c>
    </row>
    <row r="4336" spans="6:8">
      <c r="F4336" s="68" t="s">
        <v>254</v>
      </c>
      <c r="G4336" s="67" t="s">
        <v>332</v>
      </c>
      <c r="H4336" s="69">
        <v>0.36</v>
      </c>
    </row>
    <row r="4337" spans="6:8">
      <c r="F4337" s="68" t="s">
        <v>129</v>
      </c>
      <c r="G4337" s="67" t="s">
        <v>332</v>
      </c>
      <c r="H4337" s="69">
        <v>-0.25</v>
      </c>
    </row>
    <row r="4338" spans="6:8">
      <c r="F4338" s="68" t="s">
        <v>128</v>
      </c>
      <c r="G4338" s="67" t="s">
        <v>332</v>
      </c>
      <c r="H4338" s="69">
        <v>-0.5</v>
      </c>
    </row>
    <row r="4339" spans="6:8">
      <c r="F4339" s="68" t="s">
        <v>315</v>
      </c>
      <c r="G4339" s="67" t="s">
        <v>332</v>
      </c>
      <c r="H4339" s="69">
        <v>-0.6</v>
      </c>
    </row>
    <row r="4340" spans="6:8">
      <c r="F4340" s="68" t="s">
        <v>253</v>
      </c>
      <c r="G4340" s="67" t="s">
        <v>332</v>
      </c>
      <c r="H4340" s="69">
        <v>0.26</v>
      </c>
    </row>
    <row r="4341" spans="6:8">
      <c r="F4341" s="68" t="s">
        <v>127</v>
      </c>
      <c r="G4341" s="67" t="s">
        <v>332</v>
      </c>
      <c r="H4341" s="69">
        <v>-0.15</v>
      </c>
    </row>
    <row r="4342" spans="6:8">
      <c r="F4342" s="68" t="s">
        <v>126</v>
      </c>
      <c r="G4342" s="67" t="s">
        <v>332</v>
      </c>
      <c r="H4342" s="69">
        <v>-0.55000000000000004</v>
      </c>
    </row>
    <row r="4343" spans="6:8">
      <c r="F4343" s="68" t="s">
        <v>125</v>
      </c>
      <c r="G4343" s="67" t="s">
        <v>332</v>
      </c>
      <c r="H4343" s="69">
        <v>-0.85</v>
      </c>
    </row>
    <row r="4344" spans="6:8">
      <c r="F4344" s="68" t="s">
        <v>314</v>
      </c>
      <c r="G4344" s="67" t="s">
        <v>332</v>
      </c>
      <c r="H4344" s="69">
        <v>-0.7</v>
      </c>
    </row>
    <row r="4345" spans="6:8">
      <c r="F4345" s="68" t="s">
        <v>252</v>
      </c>
      <c r="G4345" s="67" t="s">
        <v>332</v>
      </c>
      <c r="H4345" s="69">
        <v>0.21</v>
      </c>
    </row>
    <row r="4346" spans="6:8">
      <c r="F4346" s="68" t="s">
        <v>124</v>
      </c>
      <c r="G4346" s="67" t="s">
        <v>332</v>
      </c>
      <c r="H4346" s="69">
        <v>-0.6</v>
      </c>
    </row>
    <row r="4347" spans="6:8">
      <c r="F4347" s="68" t="s">
        <v>123</v>
      </c>
      <c r="G4347" s="67" t="s">
        <v>332</v>
      </c>
      <c r="H4347" s="69">
        <v>-0.55000000000000004</v>
      </c>
    </row>
    <row r="4348" spans="6:8">
      <c r="F4348" s="68" t="s">
        <v>122</v>
      </c>
      <c r="G4348" s="67" t="s">
        <v>332</v>
      </c>
      <c r="H4348" s="69">
        <v>-0.75</v>
      </c>
    </row>
    <row r="4349" spans="6:8">
      <c r="F4349" s="68" t="s">
        <v>251</v>
      </c>
      <c r="G4349" s="67" t="s">
        <v>332</v>
      </c>
      <c r="H4349" s="69">
        <v>0.16</v>
      </c>
    </row>
    <row r="4350" spans="6:8">
      <c r="F4350" s="68" t="s">
        <v>121</v>
      </c>
      <c r="G4350" s="67" t="s">
        <v>332</v>
      </c>
      <c r="H4350" s="69">
        <v>-0.65</v>
      </c>
    </row>
    <row r="4351" spans="6:8">
      <c r="F4351" s="68" t="s">
        <v>120</v>
      </c>
      <c r="G4351" s="67" t="s">
        <v>332</v>
      </c>
      <c r="H4351" s="69">
        <v>-0.5</v>
      </c>
    </row>
    <row r="4352" spans="6:8">
      <c r="F4352" s="68" t="s">
        <v>119</v>
      </c>
      <c r="G4352" s="67" t="s">
        <v>332</v>
      </c>
      <c r="H4352" s="69">
        <v>-0.75</v>
      </c>
    </row>
    <row r="4353" spans="6:8">
      <c r="F4353" s="68" t="s">
        <v>119</v>
      </c>
      <c r="G4353" s="67" t="s">
        <v>333</v>
      </c>
      <c r="H4353" s="69">
        <v>-0.8</v>
      </c>
    </row>
    <row r="4354" spans="6:8">
      <c r="F4354" s="68" t="s">
        <v>120</v>
      </c>
      <c r="G4354" s="67" t="s">
        <v>333</v>
      </c>
      <c r="H4354" s="69">
        <v>-0.5</v>
      </c>
    </row>
    <row r="4355" spans="6:8">
      <c r="F4355" s="68" t="s">
        <v>121</v>
      </c>
      <c r="G4355" s="67" t="s">
        <v>333</v>
      </c>
      <c r="H4355" s="69">
        <v>-0.7</v>
      </c>
    </row>
    <row r="4356" spans="6:8">
      <c r="F4356" s="68" t="s">
        <v>251</v>
      </c>
      <c r="G4356" s="67" t="s">
        <v>333</v>
      </c>
      <c r="H4356" s="69">
        <v>0.16</v>
      </c>
    </row>
    <row r="4357" spans="6:8">
      <c r="F4357" s="68" t="s">
        <v>122</v>
      </c>
      <c r="G4357" s="67" t="s">
        <v>333</v>
      </c>
      <c r="H4357" s="69">
        <v>-0.8</v>
      </c>
    </row>
    <row r="4358" spans="6:8">
      <c r="F4358" s="68" t="s">
        <v>123</v>
      </c>
      <c r="G4358" s="67" t="s">
        <v>333</v>
      </c>
      <c r="H4358" s="69">
        <v>-0.55000000000000004</v>
      </c>
    </row>
    <row r="4359" spans="6:8">
      <c r="F4359" s="68" t="s">
        <v>124</v>
      </c>
      <c r="G4359" s="67" t="s">
        <v>333</v>
      </c>
      <c r="H4359" s="69">
        <v>-0.65</v>
      </c>
    </row>
    <row r="4360" spans="6:8">
      <c r="F4360" s="68" t="s">
        <v>252</v>
      </c>
      <c r="G4360" s="67" t="s">
        <v>333</v>
      </c>
      <c r="H4360" s="69">
        <v>0.2</v>
      </c>
    </row>
    <row r="4361" spans="6:8">
      <c r="F4361" s="68" t="s">
        <v>314</v>
      </c>
      <c r="G4361" s="67" t="s">
        <v>333</v>
      </c>
      <c r="H4361" s="69">
        <v>-0.75</v>
      </c>
    </row>
    <row r="4362" spans="6:8">
      <c r="F4362" s="68" t="s">
        <v>125</v>
      </c>
      <c r="G4362" s="67" t="s">
        <v>333</v>
      </c>
      <c r="H4362" s="69">
        <v>-0.9</v>
      </c>
    </row>
    <row r="4363" spans="6:8">
      <c r="F4363" s="68" t="s">
        <v>126</v>
      </c>
      <c r="G4363" s="67" t="s">
        <v>333</v>
      </c>
      <c r="H4363" s="69">
        <v>-0.55000000000000004</v>
      </c>
    </row>
    <row r="4364" spans="6:8">
      <c r="F4364" s="68" t="s">
        <v>127</v>
      </c>
      <c r="G4364" s="67" t="s">
        <v>333</v>
      </c>
      <c r="H4364" s="69">
        <v>-0.15</v>
      </c>
    </row>
    <row r="4365" spans="6:8">
      <c r="F4365" s="68" t="s">
        <v>253</v>
      </c>
      <c r="G4365" s="67" t="s">
        <v>333</v>
      </c>
      <c r="H4365" s="69">
        <v>0.25</v>
      </c>
    </row>
    <row r="4366" spans="6:8">
      <c r="F4366" s="68" t="s">
        <v>315</v>
      </c>
      <c r="G4366" s="67" t="s">
        <v>333</v>
      </c>
      <c r="H4366" s="69">
        <v>-0.65</v>
      </c>
    </row>
    <row r="4367" spans="6:8">
      <c r="F4367" s="68" t="s">
        <v>128</v>
      </c>
      <c r="G4367" s="67" t="s">
        <v>333</v>
      </c>
      <c r="H4367" s="69">
        <v>-0.5</v>
      </c>
    </row>
    <row r="4368" spans="6:8">
      <c r="F4368" s="68" t="s">
        <v>129</v>
      </c>
      <c r="G4368" s="67" t="s">
        <v>333</v>
      </c>
      <c r="H4368" s="69">
        <v>-0.25</v>
      </c>
    </row>
    <row r="4369" spans="6:8">
      <c r="F4369" s="68" t="s">
        <v>254</v>
      </c>
      <c r="G4369" s="67" t="s">
        <v>333</v>
      </c>
      <c r="H4369" s="69">
        <v>0.35</v>
      </c>
    </row>
    <row r="4370" spans="6:8">
      <c r="F4370" s="68" t="s">
        <v>304</v>
      </c>
      <c r="G4370" s="67" t="s">
        <v>333</v>
      </c>
      <c r="H4370" s="69">
        <v>18</v>
      </c>
    </row>
    <row r="4371" spans="6:8">
      <c r="F4371" s="68" t="s">
        <v>130</v>
      </c>
      <c r="G4371" s="67" t="s">
        <v>333</v>
      </c>
      <c r="H4371" s="69">
        <v>-0.75</v>
      </c>
    </row>
    <row r="4372" spans="6:8">
      <c r="F4372" s="68" t="s">
        <v>131</v>
      </c>
      <c r="G4372" s="67" t="s">
        <v>333</v>
      </c>
      <c r="H4372" s="69">
        <v>-0.35</v>
      </c>
    </row>
    <row r="4373" spans="6:8">
      <c r="F4373" s="68" t="s">
        <v>255</v>
      </c>
      <c r="G4373" s="67" t="s">
        <v>333</v>
      </c>
      <c r="H4373" s="69">
        <v>0.49</v>
      </c>
    </row>
    <row r="4374" spans="6:8">
      <c r="F4374" s="68" t="s">
        <v>303</v>
      </c>
      <c r="G4374" s="67" t="s">
        <v>333</v>
      </c>
      <c r="H4374" s="69">
        <v>19.0625</v>
      </c>
    </row>
    <row r="4375" spans="6:8">
      <c r="F4375" s="68" t="s">
        <v>132</v>
      </c>
      <c r="G4375" s="67" t="s">
        <v>333</v>
      </c>
      <c r="H4375" s="69">
        <v>-0.7</v>
      </c>
    </row>
    <row r="4376" spans="6:8">
      <c r="F4376" s="68" t="s">
        <v>133</v>
      </c>
      <c r="G4376" s="67" t="s">
        <v>333</v>
      </c>
      <c r="H4376" s="69">
        <v>-0.35</v>
      </c>
    </row>
    <row r="4377" spans="6:8">
      <c r="F4377" s="68" t="s">
        <v>256</v>
      </c>
      <c r="G4377" s="67" t="s">
        <v>333</v>
      </c>
      <c r="H4377" s="69">
        <v>0.7</v>
      </c>
    </row>
    <row r="4378" spans="6:8">
      <c r="F4378" s="68" t="s">
        <v>134</v>
      </c>
      <c r="G4378" s="67" t="s">
        <v>333</v>
      </c>
      <c r="H4378" s="69">
        <v>-0.75</v>
      </c>
    </row>
    <row r="4379" spans="6:8">
      <c r="F4379" s="68" t="s">
        <v>135</v>
      </c>
      <c r="G4379" s="67" t="s">
        <v>333</v>
      </c>
      <c r="H4379" s="69">
        <v>-0.35</v>
      </c>
    </row>
    <row r="4380" spans="6:8">
      <c r="F4380" s="68" t="s">
        <v>257</v>
      </c>
      <c r="G4380" s="67" t="s">
        <v>333</v>
      </c>
      <c r="H4380" s="69">
        <v>0.9</v>
      </c>
    </row>
    <row r="4381" spans="6:8">
      <c r="F4381" s="68" t="s">
        <v>258</v>
      </c>
      <c r="G4381" s="67" t="s">
        <v>333</v>
      </c>
      <c r="H4381" s="69">
        <v>0.1</v>
      </c>
    </row>
    <row r="4382" spans="6:8">
      <c r="F4382" s="68" t="s">
        <v>136</v>
      </c>
      <c r="G4382" s="67" t="s">
        <v>333</v>
      </c>
      <c r="H4382" s="69">
        <v>-0.85</v>
      </c>
    </row>
    <row r="4383" spans="6:8">
      <c r="F4383" s="68" t="s">
        <v>137</v>
      </c>
      <c r="G4383" s="67" t="s">
        <v>333</v>
      </c>
      <c r="H4383" s="69">
        <v>-0.5</v>
      </c>
    </row>
    <row r="4384" spans="6:8">
      <c r="F4384" s="68" t="s">
        <v>138</v>
      </c>
      <c r="G4384" s="67" t="s">
        <v>333</v>
      </c>
      <c r="H4384" s="69">
        <v>-0.7</v>
      </c>
    </row>
    <row r="4385" spans="6:8">
      <c r="F4385" s="68" t="s">
        <v>259</v>
      </c>
      <c r="G4385" s="67" t="s">
        <v>333</v>
      </c>
      <c r="H4385" s="69">
        <v>0.14000000000000001</v>
      </c>
    </row>
    <row r="4386" spans="6:8">
      <c r="F4386" s="68" t="s">
        <v>259</v>
      </c>
      <c r="G4386" s="67" t="s">
        <v>334</v>
      </c>
      <c r="H4386" s="69">
        <v>0.14000000000000001</v>
      </c>
    </row>
    <row r="4387" spans="6:8">
      <c r="F4387" s="68" t="s">
        <v>138</v>
      </c>
      <c r="G4387" s="67" t="s">
        <v>334</v>
      </c>
      <c r="H4387" s="69">
        <v>-0.7</v>
      </c>
    </row>
    <row r="4388" spans="6:8">
      <c r="F4388" s="68" t="s">
        <v>137</v>
      </c>
      <c r="G4388" s="67" t="s">
        <v>334</v>
      </c>
      <c r="H4388" s="69">
        <v>-0.5</v>
      </c>
    </row>
    <row r="4389" spans="6:8">
      <c r="F4389" s="68" t="s">
        <v>136</v>
      </c>
      <c r="G4389" s="67" t="s">
        <v>334</v>
      </c>
      <c r="H4389" s="69">
        <v>-0.85</v>
      </c>
    </row>
    <row r="4390" spans="6:8">
      <c r="F4390" s="68" t="s">
        <v>258</v>
      </c>
      <c r="G4390" s="67" t="s">
        <v>334</v>
      </c>
      <c r="H4390" s="69">
        <v>0.1</v>
      </c>
    </row>
    <row r="4391" spans="6:8">
      <c r="F4391" s="68" t="s">
        <v>257</v>
      </c>
      <c r="G4391" s="67" t="s">
        <v>334</v>
      </c>
      <c r="H4391" s="69">
        <v>0.9</v>
      </c>
    </row>
    <row r="4392" spans="6:8">
      <c r="F4392" s="68" t="s">
        <v>135</v>
      </c>
      <c r="G4392" s="67" t="s">
        <v>334</v>
      </c>
      <c r="H4392" s="69">
        <v>-0.35</v>
      </c>
    </row>
    <row r="4393" spans="6:8">
      <c r="F4393" s="68" t="s">
        <v>134</v>
      </c>
      <c r="G4393" s="67" t="s">
        <v>334</v>
      </c>
      <c r="H4393" s="69">
        <v>-0.75</v>
      </c>
    </row>
    <row r="4394" spans="6:8">
      <c r="F4394" s="68" t="s">
        <v>256</v>
      </c>
      <c r="G4394" s="67" t="s">
        <v>334</v>
      </c>
      <c r="H4394" s="69">
        <v>0.7</v>
      </c>
    </row>
    <row r="4395" spans="6:8">
      <c r="F4395" s="68" t="s">
        <v>133</v>
      </c>
      <c r="G4395" s="67" t="s">
        <v>334</v>
      </c>
      <c r="H4395" s="69">
        <v>-0.35</v>
      </c>
    </row>
    <row r="4396" spans="6:8">
      <c r="F4396" s="68" t="s">
        <v>132</v>
      </c>
      <c r="G4396" s="67" t="s">
        <v>334</v>
      </c>
      <c r="H4396" s="69">
        <v>-0.7</v>
      </c>
    </row>
    <row r="4397" spans="6:8">
      <c r="F4397" s="68" t="s">
        <v>303</v>
      </c>
      <c r="G4397" s="67" t="s">
        <v>334</v>
      </c>
      <c r="H4397" s="69">
        <v>19</v>
      </c>
    </row>
    <row r="4398" spans="6:8">
      <c r="F4398" s="68" t="s">
        <v>255</v>
      </c>
      <c r="G4398" s="67" t="s">
        <v>334</v>
      </c>
      <c r="H4398" s="69">
        <v>0.49</v>
      </c>
    </row>
    <row r="4399" spans="6:8">
      <c r="F4399" s="68" t="s">
        <v>131</v>
      </c>
      <c r="G4399" s="67" t="s">
        <v>334</v>
      </c>
      <c r="H4399" s="69">
        <v>-0.35</v>
      </c>
    </row>
    <row r="4400" spans="6:8">
      <c r="F4400" s="68" t="s">
        <v>130</v>
      </c>
      <c r="G4400" s="67" t="s">
        <v>334</v>
      </c>
      <c r="H4400" s="69">
        <v>-0.75</v>
      </c>
    </row>
    <row r="4401" spans="6:8">
      <c r="F4401" s="68" t="s">
        <v>304</v>
      </c>
      <c r="G4401" s="67" t="s">
        <v>334</v>
      </c>
      <c r="H4401" s="69">
        <v>18</v>
      </c>
    </row>
    <row r="4402" spans="6:8">
      <c r="F4402" s="68" t="s">
        <v>254</v>
      </c>
      <c r="G4402" s="67" t="s">
        <v>334</v>
      </c>
      <c r="H4402" s="69">
        <v>0.35</v>
      </c>
    </row>
    <row r="4403" spans="6:8">
      <c r="F4403" s="68" t="s">
        <v>129</v>
      </c>
      <c r="G4403" s="67" t="s">
        <v>334</v>
      </c>
      <c r="H4403" s="69">
        <v>-0.25</v>
      </c>
    </row>
    <row r="4404" spans="6:8">
      <c r="F4404" s="68" t="s">
        <v>128</v>
      </c>
      <c r="G4404" s="67" t="s">
        <v>334</v>
      </c>
      <c r="H4404" s="69">
        <v>-0.5</v>
      </c>
    </row>
    <row r="4405" spans="6:8">
      <c r="F4405" s="68" t="s">
        <v>315</v>
      </c>
      <c r="G4405" s="67" t="s">
        <v>334</v>
      </c>
      <c r="H4405" s="69">
        <v>-0.65</v>
      </c>
    </row>
    <row r="4406" spans="6:8">
      <c r="F4406" s="68" t="s">
        <v>253</v>
      </c>
      <c r="G4406" s="67" t="s">
        <v>334</v>
      </c>
      <c r="H4406" s="69">
        <v>0.25</v>
      </c>
    </row>
    <row r="4407" spans="6:8">
      <c r="F4407" s="68" t="s">
        <v>127</v>
      </c>
      <c r="G4407" s="67" t="s">
        <v>334</v>
      </c>
      <c r="H4407" s="69">
        <v>-0.15</v>
      </c>
    </row>
    <row r="4408" spans="6:8">
      <c r="F4408" s="68" t="s">
        <v>126</v>
      </c>
      <c r="G4408" s="67" t="s">
        <v>334</v>
      </c>
      <c r="H4408" s="69">
        <v>-0.55000000000000004</v>
      </c>
    </row>
    <row r="4409" spans="6:8">
      <c r="F4409" s="68" t="s">
        <v>125</v>
      </c>
      <c r="G4409" s="67" t="s">
        <v>334</v>
      </c>
      <c r="H4409" s="69">
        <v>-0.9</v>
      </c>
    </row>
    <row r="4410" spans="6:8">
      <c r="F4410" s="68" t="s">
        <v>314</v>
      </c>
      <c r="G4410" s="67" t="s">
        <v>334</v>
      </c>
      <c r="H4410" s="69">
        <v>-0.75</v>
      </c>
    </row>
    <row r="4411" spans="6:8">
      <c r="F4411" s="68" t="s">
        <v>252</v>
      </c>
      <c r="G4411" s="67" t="s">
        <v>334</v>
      </c>
      <c r="H4411" s="69">
        <v>0.2</v>
      </c>
    </row>
    <row r="4412" spans="6:8">
      <c r="F4412" s="68" t="s">
        <v>124</v>
      </c>
      <c r="G4412" s="67" t="s">
        <v>334</v>
      </c>
      <c r="H4412" s="69">
        <v>-0.65</v>
      </c>
    </row>
    <row r="4413" spans="6:8">
      <c r="F4413" s="68" t="s">
        <v>123</v>
      </c>
      <c r="G4413" s="67" t="s">
        <v>334</v>
      </c>
      <c r="H4413" s="69">
        <v>-0.55000000000000004</v>
      </c>
    </row>
    <row r="4414" spans="6:8">
      <c r="F4414" s="68" t="s">
        <v>122</v>
      </c>
      <c r="G4414" s="67" t="s">
        <v>334</v>
      </c>
      <c r="H4414" s="69">
        <v>-0.8</v>
      </c>
    </row>
    <row r="4415" spans="6:8">
      <c r="F4415" s="68" t="s">
        <v>251</v>
      </c>
      <c r="G4415" s="67" t="s">
        <v>334</v>
      </c>
      <c r="H4415" s="69">
        <v>0.16</v>
      </c>
    </row>
    <row r="4416" spans="6:8">
      <c r="F4416" s="68" t="s">
        <v>121</v>
      </c>
      <c r="G4416" s="67" t="s">
        <v>334</v>
      </c>
      <c r="H4416" s="69">
        <v>-0.7</v>
      </c>
    </row>
    <row r="4417" spans="6:8">
      <c r="F4417" s="68" t="s">
        <v>120</v>
      </c>
      <c r="G4417" s="67" t="s">
        <v>334</v>
      </c>
      <c r="H4417" s="69">
        <v>-0.5</v>
      </c>
    </row>
    <row r="4418" spans="6:8">
      <c r="F4418" s="68" t="s">
        <v>119</v>
      </c>
      <c r="G4418" s="67" t="s">
        <v>334</v>
      </c>
      <c r="H4418" s="69">
        <v>-0.8</v>
      </c>
    </row>
    <row r="4419" spans="6:8">
      <c r="F4419" s="68" t="s">
        <v>119</v>
      </c>
      <c r="G4419" s="67" t="s">
        <v>335</v>
      </c>
      <c r="H4419" s="69">
        <v>-0.8</v>
      </c>
    </row>
    <row r="4420" spans="6:8">
      <c r="F4420" s="68" t="s">
        <v>120</v>
      </c>
      <c r="G4420" s="67" t="s">
        <v>335</v>
      </c>
      <c r="H4420" s="69">
        <v>-0.5</v>
      </c>
    </row>
    <row r="4421" spans="6:8">
      <c r="F4421" s="68" t="s">
        <v>121</v>
      </c>
      <c r="G4421" s="67" t="s">
        <v>335</v>
      </c>
      <c r="H4421" s="69">
        <v>-0.7</v>
      </c>
    </row>
    <row r="4422" spans="6:8">
      <c r="F4422" s="68" t="s">
        <v>251</v>
      </c>
      <c r="G4422" s="67" t="s">
        <v>335</v>
      </c>
      <c r="H4422" s="69">
        <v>0.16</v>
      </c>
    </row>
    <row r="4423" spans="6:8">
      <c r="F4423" s="68" t="s">
        <v>122</v>
      </c>
      <c r="G4423" s="67" t="s">
        <v>335</v>
      </c>
      <c r="H4423" s="69">
        <v>-0.8</v>
      </c>
    </row>
    <row r="4424" spans="6:8">
      <c r="F4424" s="68" t="s">
        <v>123</v>
      </c>
      <c r="G4424" s="67" t="s">
        <v>335</v>
      </c>
      <c r="H4424" s="69">
        <v>-0.55000000000000004</v>
      </c>
    </row>
    <row r="4425" spans="6:8">
      <c r="F4425" s="68" t="s">
        <v>124</v>
      </c>
      <c r="G4425" s="67" t="s">
        <v>335</v>
      </c>
      <c r="H4425" s="69">
        <v>-0.65</v>
      </c>
    </row>
    <row r="4426" spans="6:8">
      <c r="F4426" s="68" t="s">
        <v>252</v>
      </c>
      <c r="G4426" s="67" t="s">
        <v>335</v>
      </c>
      <c r="H4426" s="69">
        <v>0.2</v>
      </c>
    </row>
    <row r="4427" spans="6:8">
      <c r="F4427" s="68" t="s">
        <v>314</v>
      </c>
      <c r="G4427" s="67" t="s">
        <v>335</v>
      </c>
      <c r="H4427" s="69">
        <v>-0.75</v>
      </c>
    </row>
    <row r="4428" spans="6:8">
      <c r="F4428" s="68" t="s">
        <v>125</v>
      </c>
      <c r="G4428" s="67" t="s">
        <v>335</v>
      </c>
      <c r="H4428" s="69">
        <v>-0.9</v>
      </c>
    </row>
    <row r="4429" spans="6:8">
      <c r="F4429" s="68" t="s">
        <v>126</v>
      </c>
      <c r="G4429" s="67" t="s">
        <v>335</v>
      </c>
      <c r="H4429" s="69">
        <v>-0.55000000000000004</v>
      </c>
    </row>
    <row r="4430" spans="6:8">
      <c r="F4430" s="68" t="s">
        <v>127</v>
      </c>
      <c r="G4430" s="67" t="s">
        <v>335</v>
      </c>
      <c r="H4430" s="69">
        <v>-0.15</v>
      </c>
    </row>
    <row r="4431" spans="6:8">
      <c r="F4431" s="68" t="s">
        <v>253</v>
      </c>
      <c r="G4431" s="67" t="s">
        <v>335</v>
      </c>
      <c r="H4431" s="69">
        <v>0.25</v>
      </c>
    </row>
    <row r="4432" spans="6:8">
      <c r="F4432" s="68" t="s">
        <v>315</v>
      </c>
      <c r="G4432" s="67" t="s">
        <v>335</v>
      </c>
      <c r="H4432" s="69">
        <v>-0.7</v>
      </c>
    </row>
    <row r="4433" spans="6:8">
      <c r="F4433" s="68" t="s">
        <v>128</v>
      </c>
      <c r="G4433" s="67" t="s">
        <v>335</v>
      </c>
      <c r="H4433" s="69">
        <v>-0.5</v>
      </c>
    </row>
    <row r="4434" spans="6:8">
      <c r="F4434" s="68" t="s">
        <v>129</v>
      </c>
      <c r="G4434" s="67" t="s">
        <v>335</v>
      </c>
      <c r="H4434" s="69">
        <v>-0.25</v>
      </c>
    </row>
    <row r="4435" spans="6:8">
      <c r="F4435" s="68" t="s">
        <v>254</v>
      </c>
      <c r="G4435" s="67" t="s">
        <v>335</v>
      </c>
      <c r="H4435" s="69">
        <v>0.35</v>
      </c>
    </row>
    <row r="4436" spans="6:8">
      <c r="F4436" s="68" t="s">
        <v>304</v>
      </c>
      <c r="G4436" s="67" t="s">
        <v>335</v>
      </c>
      <c r="H4436" s="69">
        <v>18</v>
      </c>
    </row>
    <row r="4437" spans="6:8">
      <c r="F4437" s="68" t="s">
        <v>130</v>
      </c>
      <c r="G4437" s="67" t="s">
        <v>335</v>
      </c>
      <c r="H4437" s="69">
        <v>-0.75</v>
      </c>
    </row>
    <row r="4438" spans="6:8">
      <c r="F4438" s="68" t="s">
        <v>131</v>
      </c>
      <c r="G4438" s="67" t="s">
        <v>335</v>
      </c>
      <c r="H4438" s="69">
        <v>-0.35</v>
      </c>
    </row>
    <row r="4439" spans="6:8">
      <c r="F4439" s="68" t="s">
        <v>255</v>
      </c>
      <c r="G4439" s="67" t="s">
        <v>335</v>
      </c>
      <c r="H4439" s="69">
        <v>0.49</v>
      </c>
    </row>
    <row r="4440" spans="6:8">
      <c r="F4440" s="68" t="s">
        <v>303</v>
      </c>
      <c r="G4440" s="67" t="s">
        <v>335</v>
      </c>
      <c r="H4440" s="69">
        <v>19</v>
      </c>
    </row>
    <row r="4441" spans="6:8">
      <c r="F4441" s="68" t="s">
        <v>132</v>
      </c>
      <c r="G4441" s="67" t="s">
        <v>335</v>
      </c>
      <c r="H4441" s="69">
        <v>-0.7</v>
      </c>
    </row>
    <row r="4442" spans="6:8">
      <c r="F4442" s="68" t="s">
        <v>133</v>
      </c>
      <c r="G4442" s="67" t="s">
        <v>335</v>
      </c>
      <c r="H4442" s="69">
        <v>-0.35</v>
      </c>
    </row>
    <row r="4443" spans="6:8">
      <c r="F4443" s="68" t="s">
        <v>256</v>
      </c>
      <c r="G4443" s="67" t="s">
        <v>335</v>
      </c>
      <c r="H4443" s="69">
        <v>0.7</v>
      </c>
    </row>
    <row r="4444" spans="6:8">
      <c r="F4444" s="68" t="s">
        <v>134</v>
      </c>
      <c r="G4444" s="67" t="s">
        <v>335</v>
      </c>
      <c r="H4444" s="69">
        <v>-0.75</v>
      </c>
    </row>
    <row r="4445" spans="6:8">
      <c r="F4445" s="68" t="s">
        <v>135</v>
      </c>
      <c r="G4445" s="67" t="s">
        <v>335</v>
      </c>
      <c r="H4445" s="69">
        <v>-0.35</v>
      </c>
    </row>
    <row r="4446" spans="6:8">
      <c r="F4446" s="68" t="s">
        <v>257</v>
      </c>
      <c r="G4446" s="67" t="s">
        <v>335</v>
      </c>
      <c r="H4446" s="69">
        <v>0.9</v>
      </c>
    </row>
    <row r="4447" spans="6:8">
      <c r="F4447" s="68" t="s">
        <v>258</v>
      </c>
      <c r="G4447" s="67" t="s">
        <v>335</v>
      </c>
      <c r="H4447" s="69">
        <v>0.1</v>
      </c>
    </row>
    <row r="4448" spans="6:8">
      <c r="F4448" s="68" t="s">
        <v>136</v>
      </c>
      <c r="G4448" s="67" t="s">
        <v>335</v>
      </c>
      <c r="H4448" s="69">
        <v>-0.85</v>
      </c>
    </row>
    <row r="4449" spans="6:8">
      <c r="F4449" s="68" t="s">
        <v>137</v>
      </c>
      <c r="G4449" s="67" t="s">
        <v>335</v>
      </c>
      <c r="H4449" s="69">
        <v>-0.5</v>
      </c>
    </row>
    <row r="4450" spans="6:8">
      <c r="F4450" s="68" t="s">
        <v>138</v>
      </c>
      <c r="G4450" s="67" t="s">
        <v>335</v>
      </c>
      <c r="H4450" s="69">
        <v>-0.75</v>
      </c>
    </row>
    <row r="4451" spans="6:8">
      <c r="F4451" s="68" t="s">
        <v>259</v>
      </c>
      <c r="G4451" s="67" t="s">
        <v>335</v>
      </c>
      <c r="H4451" s="69">
        <v>0.14000000000000001</v>
      </c>
    </row>
    <row r="4452" spans="6:8">
      <c r="F4452" s="68" t="s">
        <v>259</v>
      </c>
      <c r="G4452" s="67" t="s">
        <v>336</v>
      </c>
      <c r="H4452" s="69">
        <v>0.14000000000000001</v>
      </c>
    </row>
    <row r="4453" spans="6:8">
      <c r="F4453" s="68" t="s">
        <v>138</v>
      </c>
      <c r="G4453" s="67" t="s">
        <v>336</v>
      </c>
      <c r="H4453" s="69">
        <v>-0.7</v>
      </c>
    </row>
    <row r="4454" spans="6:8">
      <c r="F4454" s="68" t="s">
        <v>137</v>
      </c>
      <c r="G4454" s="67" t="s">
        <v>336</v>
      </c>
      <c r="H4454" s="69">
        <v>-0.5</v>
      </c>
    </row>
    <row r="4455" spans="6:8">
      <c r="F4455" s="68" t="s">
        <v>136</v>
      </c>
      <c r="G4455" s="67" t="s">
        <v>336</v>
      </c>
      <c r="H4455" s="69">
        <v>-0.8</v>
      </c>
    </row>
    <row r="4456" spans="6:8">
      <c r="F4456" s="68" t="s">
        <v>258</v>
      </c>
      <c r="G4456" s="67" t="s">
        <v>336</v>
      </c>
      <c r="H4456" s="69">
        <v>0.1</v>
      </c>
    </row>
    <row r="4457" spans="6:8">
      <c r="F4457" s="68" t="s">
        <v>257</v>
      </c>
      <c r="G4457" s="67" t="s">
        <v>336</v>
      </c>
      <c r="H4457" s="69">
        <v>0.91</v>
      </c>
    </row>
    <row r="4458" spans="6:8">
      <c r="F4458" s="68" t="s">
        <v>135</v>
      </c>
      <c r="G4458" s="67" t="s">
        <v>336</v>
      </c>
      <c r="H4458" s="69">
        <v>-0.35</v>
      </c>
    </row>
    <row r="4459" spans="6:8">
      <c r="F4459" s="68" t="s">
        <v>134</v>
      </c>
      <c r="G4459" s="67" t="s">
        <v>336</v>
      </c>
      <c r="H4459" s="69">
        <v>-0.7</v>
      </c>
    </row>
    <row r="4460" spans="6:8">
      <c r="F4460" s="68" t="s">
        <v>256</v>
      </c>
      <c r="G4460" s="67" t="s">
        <v>336</v>
      </c>
      <c r="H4460" s="69">
        <v>0.71</v>
      </c>
    </row>
    <row r="4461" spans="6:8">
      <c r="F4461" s="68" t="s">
        <v>133</v>
      </c>
      <c r="G4461" s="67" t="s">
        <v>336</v>
      </c>
      <c r="H4461" s="69">
        <v>-0.35</v>
      </c>
    </row>
    <row r="4462" spans="6:8">
      <c r="F4462" s="68" t="s">
        <v>132</v>
      </c>
      <c r="G4462" s="67" t="s">
        <v>336</v>
      </c>
      <c r="H4462" s="69">
        <v>-0.65</v>
      </c>
    </row>
    <row r="4463" spans="6:8">
      <c r="F4463" s="68" t="s">
        <v>303</v>
      </c>
      <c r="G4463" s="67" t="s">
        <v>336</v>
      </c>
      <c r="H4463" s="69">
        <v>19.125</v>
      </c>
    </row>
    <row r="4464" spans="6:8">
      <c r="F4464" s="68" t="s">
        <v>255</v>
      </c>
      <c r="G4464" s="67" t="s">
        <v>336</v>
      </c>
      <c r="H4464" s="69">
        <v>0.5</v>
      </c>
    </row>
    <row r="4465" spans="6:8">
      <c r="F4465" s="68" t="s">
        <v>131</v>
      </c>
      <c r="G4465" s="67" t="s">
        <v>336</v>
      </c>
      <c r="H4465" s="69">
        <v>-0.35</v>
      </c>
    </row>
    <row r="4466" spans="6:8">
      <c r="F4466" s="68" t="s">
        <v>130</v>
      </c>
      <c r="G4466" s="67" t="s">
        <v>336</v>
      </c>
      <c r="H4466" s="69">
        <v>-0.7</v>
      </c>
    </row>
    <row r="4467" spans="6:8">
      <c r="F4467" s="68" t="s">
        <v>304</v>
      </c>
      <c r="G4467" s="67" t="s">
        <v>336</v>
      </c>
      <c r="H4467" s="69">
        <v>18.125</v>
      </c>
    </row>
    <row r="4468" spans="6:8">
      <c r="F4468" s="68" t="s">
        <v>254</v>
      </c>
      <c r="G4468" s="67" t="s">
        <v>336</v>
      </c>
      <c r="H4468" s="69">
        <v>0.36</v>
      </c>
    </row>
    <row r="4469" spans="6:8">
      <c r="F4469" s="68" t="s">
        <v>129</v>
      </c>
      <c r="G4469" s="67" t="s">
        <v>336</v>
      </c>
      <c r="H4469" s="69">
        <v>-0.25</v>
      </c>
    </row>
    <row r="4470" spans="6:8">
      <c r="F4470" s="68" t="s">
        <v>128</v>
      </c>
      <c r="G4470" s="67" t="s">
        <v>336</v>
      </c>
      <c r="H4470" s="69">
        <v>-0.5</v>
      </c>
    </row>
    <row r="4471" spans="6:8">
      <c r="F4471" s="68" t="s">
        <v>315</v>
      </c>
      <c r="G4471" s="67" t="s">
        <v>336</v>
      </c>
      <c r="H4471" s="69">
        <v>-0.65</v>
      </c>
    </row>
    <row r="4472" spans="6:8">
      <c r="F4472" s="68" t="s">
        <v>253</v>
      </c>
      <c r="G4472" s="67" t="s">
        <v>336</v>
      </c>
      <c r="H4472" s="69">
        <v>0.26</v>
      </c>
    </row>
    <row r="4473" spans="6:8">
      <c r="F4473" s="68" t="s">
        <v>127</v>
      </c>
      <c r="G4473" s="67" t="s">
        <v>336</v>
      </c>
      <c r="H4473" s="69">
        <v>-0.15</v>
      </c>
    </row>
    <row r="4474" spans="6:8">
      <c r="F4474" s="68" t="s">
        <v>126</v>
      </c>
      <c r="G4474" s="67" t="s">
        <v>336</v>
      </c>
      <c r="H4474" s="69">
        <v>-0.55000000000000004</v>
      </c>
    </row>
    <row r="4475" spans="6:8">
      <c r="F4475" s="68" t="s">
        <v>125</v>
      </c>
      <c r="G4475" s="67" t="s">
        <v>336</v>
      </c>
      <c r="H4475" s="69">
        <v>-0.85</v>
      </c>
    </row>
    <row r="4476" spans="6:8">
      <c r="F4476" s="68" t="s">
        <v>314</v>
      </c>
      <c r="G4476" s="67" t="s">
        <v>336</v>
      </c>
      <c r="H4476" s="69">
        <v>-0.7</v>
      </c>
    </row>
    <row r="4477" spans="6:8">
      <c r="F4477" s="68" t="s">
        <v>252</v>
      </c>
      <c r="G4477" s="67" t="s">
        <v>336</v>
      </c>
      <c r="H4477" s="69">
        <v>0.2</v>
      </c>
    </row>
    <row r="4478" spans="6:8">
      <c r="F4478" s="68" t="s">
        <v>124</v>
      </c>
      <c r="G4478" s="67" t="s">
        <v>336</v>
      </c>
      <c r="H4478" s="69">
        <v>-0.6</v>
      </c>
    </row>
    <row r="4479" spans="6:8">
      <c r="F4479" s="68" t="s">
        <v>123</v>
      </c>
      <c r="G4479" s="67" t="s">
        <v>336</v>
      </c>
      <c r="H4479" s="69">
        <v>-0.55000000000000004</v>
      </c>
    </row>
    <row r="4480" spans="6:8">
      <c r="F4480" s="68" t="s">
        <v>122</v>
      </c>
      <c r="G4480" s="67" t="s">
        <v>336</v>
      </c>
      <c r="H4480" s="69">
        <v>-0.75</v>
      </c>
    </row>
    <row r="4481" spans="6:8">
      <c r="F4481" s="68" t="s">
        <v>251</v>
      </c>
      <c r="G4481" s="67" t="s">
        <v>336</v>
      </c>
      <c r="H4481" s="69">
        <v>0.16</v>
      </c>
    </row>
    <row r="4482" spans="6:8">
      <c r="F4482" s="68" t="s">
        <v>121</v>
      </c>
      <c r="G4482" s="67" t="s">
        <v>336</v>
      </c>
      <c r="H4482" s="69">
        <v>-0.65</v>
      </c>
    </row>
    <row r="4483" spans="6:8">
      <c r="F4483" s="68" t="s">
        <v>120</v>
      </c>
      <c r="G4483" s="67" t="s">
        <v>336</v>
      </c>
      <c r="H4483" s="69">
        <v>-0.5</v>
      </c>
    </row>
    <row r="4484" spans="6:8">
      <c r="F4484" s="68" t="s">
        <v>119</v>
      </c>
      <c r="G4484" s="67" t="s">
        <v>336</v>
      </c>
      <c r="H4484" s="69">
        <v>-0.75</v>
      </c>
    </row>
    <row r="4485" spans="6:8">
      <c r="F4485" s="68" t="s">
        <v>119</v>
      </c>
      <c r="G4485" s="67" t="s">
        <v>337</v>
      </c>
      <c r="H4485" s="69">
        <v>-0.75</v>
      </c>
    </row>
    <row r="4486" spans="6:8">
      <c r="F4486" s="68" t="s">
        <v>120</v>
      </c>
      <c r="G4486" s="67" t="s">
        <v>337</v>
      </c>
      <c r="H4486" s="69">
        <v>-0.5</v>
      </c>
    </row>
    <row r="4487" spans="6:8">
      <c r="F4487" s="68" t="s">
        <v>121</v>
      </c>
      <c r="G4487" s="67" t="s">
        <v>337</v>
      </c>
      <c r="H4487" s="69">
        <v>-0.65</v>
      </c>
    </row>
    <row r="4488" spans="6:8">
      <c r="F4488" s="68" t="s">
        <v>251</v>
      </c>
      <c r="G4488" s="67" t="s">
        <v>337</v>
      </c>
      <c r="H4488" s="69">
        <v>0.16</v>
      </c>
    </row>
    <row r="4489" spans="6:8">
      <c r="F4489" s="68" t="s">
        <v>122</v>
      </c>
      <c r="G4489" s="67" t="s">
        <v>337</v>
      </c>
      <c r="H4489" s="69">
        <v>-0.75</v>
      </c>
    </row>
    <row r="4490" spans="6:8">
      <c r="F4490" s="68" t="s">
        <v>123</v>
      </c>
      <c r="G4490" s="67" t="s">
        <v>337</v>
      </c>
      <c r="H4490" s="69">
        <v>-0.55000000000000004</v>
      </c>
    </row>
    <row r="4491" spans="6:8">
      <c r="F4491" s="68" t="s">
        <v>124</v>
      </c>
      <c r="G4491" s="67" t="s">
        <v>337</v>
      </c>
      <c r="H4491" s="69">
        <v>-0.6</v>
      </c>
    </row>
    <row r="4492" spans="6:8">
      <c r="F4492" s="68" t="s">
        <v>252</v>
      </c>
      <c r="G4492" s="67" t="s">
        <v>337</v>
      </c>
      <c r="H4492" s="69">
        <v>0.2</v>
      </c>
    </row>
    <row r="4493" spans="6:8">
      <c r="F4493" s="68" t="s">
        <v>314</v>
      </c>
      <c r="G4493" s="67" t="s">
        <v>337</v>
      </c>
      <c r="H4493" s="69">
        <v>-0.7</v>
      </c>
    </row>
    <row r="4494" spans="6:8">
      <c r="F4494" s="68" t="s">
        <v>125</v>
      </c>
      <c r="G4494" s="67" t="s">
        <v>337</v>
      </c>
      <c r="H4494" s="69">
        <v>-0.85</v>
      </c>
    </row>
    <row r="4495" spans="6:8">
      <c r="F4495" s="68" t="s">
        <v>126</v>
      </c>
      <c r="G4495" s="67" t="s">
        <v>337</v>
      </c>
      <c r="H4495" s="69">
        <v>-0.55000000000000004</v>
      </c>
    </row>
    <row r="4496" spans="6:8">
      <c r="F4496" s="68" t="s">
        <v>127</v>
      </c>
      <c r="G4496" s="67" t="s">
        <v>337</v>
      </c>
      <c r="H4496" s="69">
        <v>-0.15</v>
      </c>
    </row>
    <row r="4497" spans="6:8">
      <c r="F4497" s="68" t="s">
        <v>253</v>
      </c>
      <c r="G4497" s="67" t="s">
        <v>337</v>
      </c>
      <c r="H4497" s="69">
        <v>0.26</v>
      </c>
    </row>
    <row r="4498" spans="6:8">
      <c r="F4498" s="68" t="s">
        <v>315</v>
      </c>
      <c r="G4498" s="67" t="s">
        <v>337</v>
      </c>
      <c r="H4498" s="69">
        <v>-0.65</v>
      </c>
    </row>
    <row r="4499" spans="6:8">
      <c r="F4499" s="68" t="s">
        <v>128</v>
      </c>
      <c r="G4499" s="67" t="s">
        <v>337</v>
      </c>
      <c r="H4499" s="69">
        <v>-0.5</v>
      </c>
    </row>
    <row r="4500" spans="6:8">
      <c r="F4500" s="68" t="s">
        <v>129</v>
      </c>
      <c r="G4500" s="67" t="s">
        <v>337</v>
      </c>
      <c r="H4500" s="69">
        <v>-0.25</v>
      </c>
    </row>
    <row r="4501" spans="6:8">
      <c r="F4501" s="68" t="s">
        <v>254</v>
      </c>
      <c r="G4501" s="67" t="s">
        <v>337</v>
      </c>
      <c r="H4501" s="69">
        <v>0.36</v>
      </c>
    </row>
    <row r="4502" spans="6:8">
      <c r="F4502" s="68" t="s">
        <v>304</v>
      </c>
      <c r="G4502" s="67" t="s">
        <v>337</v>
      </c>
      <c r="H4502" s="69">
        <v>18.125</v>
      </c>
    </row>
    <row r="4503" spans="6:8">
      <c r="F4503" s="68" t="s">
        <v>130</v>
      </c>
      <c r="G4503" s="67" t="s">
        <v>337</v>
      </c>
      <c r="H4503" s="69">
        <v>-0.7</v>
      </c>
    </row>
    <row r="4504" spans="6:8">
      <c r="F4504" s="68" t="s">
        <v>131</v>
      </c>
      <c r="G4504" s="67" t="s">
        <v>337</v>
      </c>
      <c r="H4504" s="69">
        <v>-0.35</v>
      </c>
    </row>
    <row r="4505" spans="6:8">
      <c r="F4505" s="68" t="s">
        <v>255</v>
      </c>
      <c r="G4505" s="67" t="s">
        <v>337</v>
      </c>
      <c r="H4505" s="69">
        <v>0.5</v>
      </c>
    </row>
    <row r="4506" spans="6:8">
      <c r="F4506" s="68" t="s">
        <v>303</v>
      </c>
      <c r="G4506" s="67" t="s">
        <v>337</v>
      </c>
      <c r="H4506" s="69">
        <v>19.125</v>
      </c>
    </row>
    <row r="4507" spans="6:8">
      <c r="F4507" s="68" t="s">
        <v>132</v>
      </c>
      <c r="G4507" s="67" t="s">
        <v>337</v>
      </c>
      <c r="H4507" s="69">
        <v>-0.65</v>
      </c>
    </row>
    <row r="4508" spans="6:8">
      <c r="F4508" s="68" t="s">
        <v>133</v>
      </c>
      <c r="G4508" s="67" t="s">
        <v>337</v>
      </c>
      <c r="H4508" s="69">
        <v>-0.35</v>
      </c>
    </row>
    <row r="4509" spans="6:8">
      <c r="F4509" s="68" t="s">
        <v>256</v>
      </c>
      <c r="G4509" s="67" t="s">
        <v>337</v>
      </c>
      <c r="H4509" s="69">
        <v>0.71</v>
      </c>
    </row>
    <row r="4510" spans="6:8">
      <c r="F4510" s="68" t="s">
        <v>134</v>
      </c>
      <c r="G4510" s="67" t="s">
        <v>337</v>
      </c>
      <c r="H4510" s="69">
        <v>-0.7</v>
      </c>
    </row>
    <row r="4511" spans="6:8">
      <c r="F4511" s="68" t="s">
        <v>135</v>
      </c>
      <c r="G4511" s="67" t="s">
        <v>337</v>
      </c>
      <c r="H4511" s="69">
        <v>-0.35</v>
      </c>
    </row>
    <row r="4512" spans="6:8">
      <c r="F4512" s="68" t="s">
        <v>257</v>
      </c>
      <c r="G4512" s="67" t="s">
        <v>337</v>
      </c>
      <c r="H4512" s="69">
        <v>0.91</v>
      </c>
    </row>
    <row r="4513" spans="6:8">
      <c r="F4513" s="68" t="s">
        <v>258</v>
      </c>
      <c r="G4513" s="67" t="s">
        <v>337</v>
      </c>
      <c r="H4513" s="69">
        <v>0.1</v>
      </c>
    </row>
    <row r="4514" spans="6:8">
      <c r="F4514" s="68" t="s">
        <v>136</v>
      </c>
      <c r="G4514" s="67" t="s">
        <v>337</v>
      </c>
      <c r="H4514" s="69">
        <v>-0.8</v>
      </c>
    </row>
    <row r="4515" spans="6:8">
      <c r="F4515" s="68" t="s">
        <v>137</v>
      </c>
      <c r="G4515" s="67" t="s">
        <v>337</v>
      </c>
      <c r="H4515" s="69">
        <v>-0.5</v>
      </c>
    </row>
    <row r="4516" spans="6:8">
      <c r="F4516" s="68" t="s">
        <v>138</v>
      </c>
      <c r="G4516" s="67" t="s">
        <v>337</v>
      </c>
      <c r="H4516" s="69">
        <v>-0.7</v>
      </c>
    </row>
    <row r="4517" spans="6:8">
      <c r="F4517" s="68" t="s">
        <v>259</v>
      </c>
      <c r="G4517" s="67" t="s">
        <v>337</v>
      </c>
      <c r="H4517" s="69">
        <v>0.14000000000000001</v>
      </c>
    </row>
    <row r="4518" spans="6:8">
      <c r="F4518" s="68" t="s">
        <v>259</v>
      </c>
      <c r="G4518" s="67" t="s">
        <v>338</v>
      </c>
      <c r="H4518" s="69">
        <v>0.14000000000000001</v>
      </c>
    </row>
    <row r="4519" spans="6:8">
      <c r="F4519" s="68" t="s">
        <v>138</v>
      </c>
      <c r="G4519" s="67" t="s">
        <v>338</v>
      </c>
      <c r="H4519" s="69">
        <v>-0.7</v>
      </c>
    </row>
    <row r="4520" spans="6:8">
      <c r="F4520" s="68" t="s">
        <v>137</v>
      </c>
      <c r="G4520" s="67" t="s">
        <v>338</v>
      </c>
      <c r="H4520" s="69">
        <v>-0.5</v>
      </c>
    </row>
    <row r="4521" spans="6:8">
      <c r="F4521" s="68" t="s">
        <v>136</v>
      </c>
      <c r="G4521" s="67" t="s">
        <v>338</v>
      </c>
      <c r="H4521" s="69">
        <v>-0.8</v>
      </c>
    </row>
    <row r="4522" spans="6:8">
      <c r="F4522" s="68" t="s">
        <v>258</v>
      </c>
      <c r="G4522" s="67" t="s">
        <v>338</v>
      </c>
      <c r="H4522" s="69">
        <v>0.1</v>
      </c>
    </row>
    <row r="4523" spans="6:8">
      <c r="F4523" s="68" t="s">
        <v>257</v>
      </c>
      <c r="G4523" s="67" t="s">
        <v>338</v>
      </c>
      <c r="H4523" s="69">
        <v>0.91</v>
      </c>
    </row>
    <row r="4524" spans="6:8">
      <c r="F4524" s="68" t="s">
        <v>135</v>
      </c>
      <c r="G4524" s="67" t="s">
        <v>338</v>
      </c>
      <c r="H4524" s="69">
        <v>-0.35</v>
      </c>
    </row>
    <row r="4525" spans="6:8">
      <c r="F4525" s="68" t="s">
        <v>134</v>
      </c>
      <c r="G4525" s="67" t="s">
        <v>338</v>
      </c>
      <c r="H4525" s="69">
        <v>-0.7</v>
      </c>
    </row>
    <row r="4526" spans="6:8">
      <c r="F4526" s="68" t="s">
        <v>256</v>
      </c>
      <c r="G4526" s="67" t="s">
        <v>338</v>
      </c>
      <c r="H4526" s="69">
        <v>0.71</v>
      </c>
    </row>
    <row r="4527" spans="6:8">
      <c r="F4527" s="68" t="s">
        <v>133</v>
      </c>
      <c r="G4527" s="67" t="s">
        <v>338</v>
      </c>
      <c r="H4527" s="69">
        <v>-0.35</v>
      </c>
    </row>
    <row r="4528" spans="6:8">
      <c r="F4528" s="68" t="s">
        <v>132</v>
      </c>
      <c r="G4528" s="67" t="s">
        <v>338</v>
      </c>
      <c r="H4528" s="69">
        <v>-0.65</v>
      </c>
    </row>
    <row r="4529" spans="6:8">
      <c r="F4529" s="68" t="s">
        <v>303</v>
      </c>
      <c r="G4529" s="67" t="s">
        <v>338</v>
      </c>
      <c r="H4529" s="69">
        <v>19</v>
      </c>
    </row>
    <row r="4530" spans="6:8">
      <c r="F4530" s="68" t="s">
        <v>255</v>
      </c>
      <c r="G4530" s="67" t="s">
        <v>338</v>
      </c>
      <c r="H4530" s="69">
        <v>0.5</v>
      </c>
    </row>
    <row r="4531" spans="6:8">
      <c r="F4531" s="68" t="s">
        <v>131</v>
      </c>
      <c r="G4531" s="67" t="s">
        <v>338</v>
      </c>
      <c r="H4531" s="69">
        <v>-0.35</v>
      </c>
    </row>
    <row r="4532" spans="6:8">
      <c r="F4532" s="68" t="s">
        <v>130</v>
      </c>
      <c r="G4532" s="67" t="s">
        <v>338</v>
      </c>
      <c r="H4532" s="69">
        <v>-0.7</v>
      </c>
    </row>
    <row r="4533" spans="6:8">
      <c r="F4533" s="68" t="s">
        <v>304</v>
      </c>
      <c r="G4533" s="67" t="s">
        <v>338</v>
      </c>
      <c r="H4533" s="69">
        <v>17.875</v>
      </c>
    </row>
    <row r="4534" spans="6:8">
      <c r="F4534" s="68" t="s">
        <v>254</v>
      </c>
      <c r="G4534" s="67" t="s">
        <v>338</v>
      </c>
      <c r="H4534" s="69">
        <v>0.36</v>
      </c>
    </row>
    <row r="4535" spans="6:8">
      <c r="F4535" s="68" t="s">
        <v>129</v>
      </c>
      <c r="G4535" s="67" t="s">
        <v>338</v>
      </c>
      <c r="H4535" s="69">
        <v>-0.25</v>
      </c>
    </row>
    <row r="4536" spans="6:8">
      <c r="F4536" s="68" t="s">
        <v>128</v>
      </c>
      <c r="G4536" s="67" t="s">
        <v>338</v>
      </c>
      <c r="H4536" s="69">
        <v>-0.5</v>
      </c>
    </row>
    <row r="4537" spans="6:8">
      <c r="F4537" s="68" t="s">
        <v>315</v>
      </c>
      <c r="G4537" s="67" t="s">
        <v>338</v>
      </c>
      <c r="H4537" s="69">
        <v>-0.65</v>
      </c>
    </row>
    <row r="4538" spans="6:8">
      <c r="F4538" s="68" t="s">
        <v>253</v>
      </c>
      <c r="G4538" s="67" t="s">
        <v>338</v>
      </c>
      <c r="H4538" s="69">
        <v>0.26</v>
      </c>
    </row>
    <row r="4539" spans="6:8">
      <c r="F4539" s="68" t="s">
        <v>127</v>
      </c>
      <c r="G4539" s="67" t="s">
        <v>338</v>
      </c>
      <c r="H4539" s="69">
        <v>-0.15</v>
      </c>
    </row>
    <row r="4540" spans="6:8">
      <c r="F4540" s="68" t="s">
        <v>126</v>
      </c>
      <c r="G4540" s="67" t="s">
        <v>338</v>
      </c>
      <c r="H4540" s="69">
        <v>-0.55000000000000004</v>
      </c>
    </row>
    <row r="4541" spans="6:8">
      <c r="F4541" s="68" t="s">
        <v>125</v>
      </c>
      <c r="G4541" s="67" t="s">
        <v>338</v>
      </c>
      <c r="H4541" s="69">
        <v>-0.85</v>
      </c>
    </row>
    <row r="4542" spans="6:8">
      <c r="F4542" s="68" t="s">
        <v>314</v>
      </c>
      <c r="G4542" s="67" t="s">
        <v>338</v>
      </c>
      <c r="H4542" s="69">
        <v>-0.7</v>
      </c>
    </row>
    <row r="4543" spans="6:8">
      <c r="F4543" s="68" t="s">
        <v>252</v>
      </c>
      <c r="G4543" s="67" t="s">
        <v>338</v>
      </c>
      <c r="H4543" s="69">
        <v>0.2</v>
      </c>
    </row>
    <row r="4544" spans="6:8">
      <c r="F4544" s="68" t="s">
        <v>124</v>
      </c>
      <c r="G4544" s="67" t="s">
        <v>338</v>
      </c>
      <c r="H4544" s="69">
        <v>-0.6</v>
      </c>
    </row>
    <row r="4545" spans="6:8">
      <c r="F4545" s="68" t="s">
        <v>123</v>
      </c>
      <c r="G4545" s="67" t="s">
        <v>338</v>
      </c>
      <c r="H4545" s="69">
        <v>-0.55000000000000004</v>
      </c>
    </row>
    <row r="4546" spans="6:8">
      <c r="F4546" s="68" t="s">
        <v>122</v>
      </c>
      <c r="G4546" s="67" t="s">
        <v>338</v>
      </c>
      <c r="H4546" s="69">
        <v>-0.75</v>
      </c>
    </row>
    <row r="4547" spans="6:8">
      <c r="F4547" s="68" t="s">
        <v>251</v>
      </c>
      <c r="G4547" s="67" t="s">
        <v>338</v>
      </c>
      <c r="H4547" s="69">
        <v>0.16</v>
      </c>
    </row>
    <row r="4548" spans="6:8">
      <c r="F4548" s="68" t="s">
        <v>121</v>
      </c>
      <c r="G4548" s="67" t="s">
        <v>338</v>
      </c>
      <c r="H4548" s="69">
        <v>-0.65</v>
      </c>
    </row>
    <row r="4549" spans="6:8">
      <c r="F4549" s="68" t="s">
        <v>120</v>
      </c>
      <c r="G4549" s="67" t="s">
        <v>338</v>
      </c>
      <c r="H4549" s="69">
        <v>-0.5</v>
      </c>
    </row>
    <row r="4550" spans="6:8">
      <c r="F4550" s="68" t="s">
        <v>119</v>
      </c>
      <c r="G4550" s="67" t="s">
        <v>338</v>
      </c>
      <c r="H4550" s="69">
        <v>-0.75</v>
      </c>
    </row>
    <row r="4551" spans="6:8">
      <c r="F4551" s="68" t="s">
        <v>119</v>
      </c>
      <c r="G4551" s="67" t="s">
        <v>339</v>
      </c>
      <c r="H4551" s="69">
        <v>-0.75</v>
      </c>
    </row>
    <row r="4552" spans="6:8">
      <c r="F4552" s="68" t="s">
        <v>120</v>
      </c>
      <c r="G4552" s="67" t="s">
        <v>339</v>
      </c>
      <c r="H4552" s="69">
        <v>-0.5</v>
      </c>
    </row>
    <row r="4553" spans="6:8">
      <c r="F4553" s="68" t="s">
        <v>121</v>
      </c>
      <c r="G4553" s="67" t="s">
        <v>339</v>
      </c>
      <c r="H4553" s="69">
        <v>-0.65</v>
      </c>
    </row>
    <row r="4554" spans="6:8">
      <c r="F4554" s="68" t="s">
        <v>251</v>
      </c>
      <c r="G4554" s="67" t="s">
        <v>339</v>
      </c>
      <c r="H4554" s="69">
        <v>0.16</v>
      </c>
    </row>
    <row r="4555" spans="6:8">
      <c r="F4555" s="68" t="s">
        <v>122</v>
      </c>
      <c r="G4555" s="67" t="s">
        <v>339</v>
      </c>
      <c r="H4555" s="69">
        <v>-0.75</v>
      </c>
    </row>
    <row r="4556" spans="6:8">
      <c r="F4556" s="68" t="s">
        <v>123</v>
      </c>
      <c r="G4556" s="67" t="s">
        <v>339</v>
      </c>
      <c r="H4556" s="69">
        <v>-0.55000000000000004</v>
      </c>
    </row>
    <row r="4557" spans="6:8">
      <c r="F4557" s="68" t="s">
        <v>124</v>
      </c>
      <c r="G4557" s="67" t="s">
        <v>339</v>
      </c>
      <c r="H4557" s="69">
        <v>-0.6</v>
      </c>
    </row>
    <row r="4558" spans="6:8">
      <c r="F4558" s="68" t="s">
        <v>252</v>
      </c>
      <c r="G4558" s="67" t="s">
        <v>339</v>
      </c>
      <c r="H4558" s="69">
        <v>0.2</v>
      </c>
    </row>
    <row r="4559" spans="6:8">
      <c r="F4559" s="68" t="s">
        <v>314</v>
      </c>
      <c r="G4559" s="67" t="s">
        <v>339</v>
      </c>
      <c r="H4559" s="69">
        <v>-0.7</v>
      </c>
    </row>
    <row r="4560" spans="6:8">
      <c r="F4560" s="68" t="s">
        <v>125</v>
      </c>
      <c r="G4560" s="67" t="s">
        <v>339</v>
      </c>
      <c r="H4560" s="69">
        <v>-0.85</v>
      </c>
    </row>
    <row r="4561" spans="6:8">
      <c r="F4561" s="68" t="s">
        <v>126</v>
      </c>
      <c r="G4561" s="67" t="s">
        <v>339</v>
      </c>
      <c r="H4561" s="69">
        <v>-0.55000000000000004</v>
      </c>
    </row>
    <row r="4562" spans="6:8">
      <c r="F4562" s="68" t="s">
        <v>127</v>
      </c>
      <c r="G4562" s="67" t="s">
        <v>339</v>
      </c>
      <c r="H4562" s="69">
        <v>-0.15</v>
      </c>
    </row>
    <row r="4563" spans="6:8">
      <c r="F4563" s="68" t="s">
        <v>253</v>
      </c>
      <c r="G4563" s="67" t="s">
        <v>339</v>
      </c>
      <c r="H4563" s="69">
        <v>0.26</v>
      </c>
    </row>
    <row r="4564" spans="6:8">
      <c r="F4564" s="68" t="s">
        <v>315</v>
      </c>
      <c r="G4564" s="67" t="s">
        <v>339</v>
      </c>
      <c r="H4564" s="69">
        <v>-0.65</v>
      </c>
    </row>
    <row r="4565" spans="6:8">
      <c r="F4565" s="68" t="s">
        <v>128</v>
      </c>
      <c r="G4565" s="67" t="s">
        <v>339</v>
      </c>
      <c r="H4565" s="69">
        <v>-0.5</v>
      </c>
    </row>
    <row r="4566" spans="6:8">
      <c r="F4566" s="68" t="s">
        <v>129</v>
      </c>
      <c r="G4566" s="67" t="s">
        <v>339</v>
      </c>
      <c r="H4566" s="69">
        <v>-0.25</v>
      </c>
    </row>
    <row r="4567" spans="6:8">
      <c r="F4567" s="68" t="s">
        <v>254</v>
      </c>
      <c r="G4567" s="67" t="s">
        <v>339</v>
      </c>
      <c r="H4567" s="69">
        <v>0.36</v>
      </c>
    </row>
    <row r="4568" spans="6:8">
      <c r="F4568" s="68" t="s">
        <v>304</v>
      </c>
      <c r="G4568" s="67" t="s">
        <v>339</v>
      </c>
      <c r="H4568" s="69">
        <v>17.875</v>
      </c>
    </row>
    <row r="4569" spans="6:8">
      <c r="F4569" s="68" t="s">
        <v>130</v>
      </c>
      <c r="G4569" s="67" t="s">
        <v>339</v>
      </c>
      <c r="H4569" s="69">
        <v>-0.7</v>
      </c>
    </row>
    <row r="4570" spans="6:8">
      <c r="F4570" s="68" t="s">
        <v>131</v>
      </c>
      <c r="G4570" s="67" t="s">
        <v>339</v>
      </c>
      <c r="H4570" s="69">
        <v>-0.35</v>
      </c>
    </row>
    <row r="4571" spans="6:8">
      <c r="F4571" s="68" t="s">
        <v>255</v>
      </c>
      <c r="G4571" s="67" t="s">
        <v>339</v>
      </c>
      <c r="H4571" s="69">
        <v>0.5</v>
      </c>
    </row>
    <row r="4572" spans="6:8">
      <c r="F4572" s="68" t="s">
        <v>303</v>
      </c>
      <c r="G4572" s="67" t="s">
        <v>339</v>
      </c>
      <c r="H4572" s="69">
        <v>19</v>
      </c>
    </row>
    <row r="4573" spans="6:8">
      <c r="F4573" s="68" t="s">
        <v>132</v>
      </c>
      <c r="G4573" s="67" t="s">
        <v>339</v>
      </c>
      <c r="H4573" s="69">
        <v>-0.65</v>
      </c>
    </row>
    <row r="4574" spans="6:8">
      <c r="F4574" s="68" t="s">
        <v>133</v>
      </c>
      <c r="G4574" s="67" t="s">
        <v>339</v>
      </c>
      <c r="H4574" s="69">
        <v>-0.35</v>
      </c>
    </row>
    <row r="4575" spans="6:8">
      <c r="F4575" s="68" t="s">
        <v>256</v>
      </c>
      <c r="G4575" s="67" t="s">
        <v>339</v>
      </c>
      <c r="H4575" s="69">
        <v>0.71</v>
      </c>
    </row>
    <row r="4576" spans="6:8">
      <c r="F4576" s="68" t="s">
        <v>134</v>
      </c>
      <c r="G4576" s="67" t="s">
        <v>339</v>
      </c>
      <c r="H4576" s="69">
        <v>-0.7</v>
      </c>
    </row>
    <row r="4577" spans="6:8">
      <c r="F4577" s="68" t="s">
        <v>135</v>
      </c>
      <c r="G4577" s="67" t="s">
        <v>339</v>
      </c>
      <c r="H4577" s="69">
        <v>-0.35</v>
      </c>
    </row>
    <row r="4578" spans="6:8">
      <c r="F4578" s="68" t="s">
        <v>257</v>
      </c>
      <c r="G4578" s="67" t="s">
        <v>339</v>
      </c>
      <c r="H4578" s="69">
        <v>0.91</v>
      </c>
    </row>
    <row r="4579" spans="6:8">
      <c r="F4579" s="68" t="s">
        <v>258</v>
      </c>
      <c r="G4579" s="67" t="s">
        <v>339</v>
      </c>
      <c r="H4579" s="69">
        <v>0.1</v>
      </c>
    </row>
    <row r="4580" spans="6:8">
      <c r="F4580" s="68" t="s">
        <v>136</v>
      </c>
      <c r="G4580" s="67" t="s">
        <v>339</v>
      </c>
      <c r="H4580" s="69">
        <v>-0.8</v>
      </c>
    </row>
    <row r="4581" spans="6:8">
      <c r="F4581" s="68" t="s">
        <v>137</v>
      </c>
      <c r="G4581" s="67" t="s">
        <v>339</v>
      </c>
      <c r="H4581" s="69">
        <v>-0.5</v>
      </c>
    </row>
    <row r="4582" spans="6:8">
      <c r="F4582" s="68" t="s">
        <v>138</v>
      </c>
      <c r="G4582" s="67" t="s">
        <v>339</v>
      </c>
      <c r="H4582" s="69">
        <v>-0.7</v>
      </c>
    </row>
    <row r="4583" spans="6:8">
      <c r="F4583" s="68" t="s">
        <v>259</v>
      </c>
      <c r="G4583" s="67" t="s">
        <v>339</v>
      </c>
      <c r="H4583" s="69">
        <v>0.14000000000000001</v>
      </c>
    </row>
    <row r="4584" spans="6:8">
      <c r="F4584" s="68" t="s">
        <v>259</v>
      </c>
      <c r="G4584" s="67" t="s">
        <v>340</v>
      </c>
      <c r="H4584" s="69">
        <v>0.14000000000000001</v>
      </c>
    </row>
    <row r="4585" spans="6:8">
      <c r="F4585" s="68" t="s">
        <v>138</v>
      </c>
      <c r="G4585" s="67" t="s">
        <v>340</v>
      </c>
      <c r="H4585" s="69">
        <v>-0.75</v>
      </c>
    </row>
    <row r="4586" spans="6:8">
      <c r="F4586" s="68" t="s">
        <v>137</v>
      </c>
      <c r="G4586" s="67" t="s">
        <v>340</v>
      </c>
      <c r="H4586" s="69">
        <v>-0.5</v>
      </c>
    </row>
    <row r="4587" spans="6:8">
      <c r="F4587" s="68" t="s">
        <v>136</v>
      </c>
      <c r="G4587" s="67" t="s">
        <v>340</v>
      </c>
      <c r="H4587" s="69">
        <v>-0.85</v>
      </c>
    </row>
    <row r="4588" spans="6:8">
      <c r="F4588" s="68" t="s">
        <v>258</v>
      </c>
      <c r="G4588" s="67" t="s">
        <v>340</v>
      </c>
      <c r="H4588" s="69">
        <v>0.1</v>
      </c>
    </row>
    <row r="4589" spans="6:8">
      <c r="F4589" s="68" t="s">
        <v>257</v>
      </c>
      <c r="G4589" s="67" t="s">
        <v>340</v>
      </c>
      <c r="H4589" s="69">
        <v>0.9</v>
      </c>
    </row>
    <row r="4590" spans="6:8">
      <c r="F4590" s="68" t="s">
        <v>135</v>
      </c>
      <c r="G4590" s="67" t="s">
        <v>340</v>
      </c>
      <c r="H4590" s="69">
        <v>-0.35</v>
      </c>
    </row>
    <row r="4591" spans="6:8">
      <c r="F4591" s="68" t="s">
        <v>134</v>
      </c>
      <c r="G4591" s="67" t="s">
        <v>340</v>
      </c>
      <c r="H4591" s="69">
        <v>-0.75</v>
      </c>
    </row>
    <row r="4592" spans="6:8">
      <c r="F4592" s="68" t="s">
        <v>256</v>
      </c>
      <c r="G4592" s="67" t="s">
        <v>340</v>
      </c>
      <c r="H4592" s="69">
        <v>0.7</v>
      </c>
    </row>
    <row r="4593" spans="6:8">
      <c r="F4593" s="68" t="s">
        <v>133</v>
      </c>
      <c r="G4593" s="67" t="s">
        <v>340</v>
      </c>
      <c r="H4593" s="69">
        <v>-0.35</v>
      </c>
    </row>
    <row r="4594" spans="6:8">
      <c r="F4594" s="68" t="s">
        <v>132</v>
      </c>
      <c r="G4594" s="67" t="s">
        <v>340</v>
      </c>
      <c r="H4594" s="69">
        <v>-0.7</v>
      </c>
    </row>
    <row r="4595" spans="6:8">
      <c r="F4595" s="68" t="s">
        <v>303</v>
      </c>
      <c r="G4595" s="67" t="s">
        <v>340</v>
      </c>
      <c r="H4595" s="69">
        <v>18.75</v>
      </c>
    </row>
    <row r="4596" spans="6:8">
      <c r="F4596" s="68" t="s">
        <v>255</v>
      </c>
      <c r="G4596" s="67" t="s">
        <v>340</v>
      </c>
      <c r="H4596" s="69">
        <v>0.49</v>
      </c>
    </row>
    <row r="4597" spans="6:8">
      <c r="F4597" s="68" t="s">
        <v>131</v>
      </c>
      <c r="G4597" s="67" t="s">
        <v>340</v>
      </c>
      <c r="H4597" s="69">
        <v>-0.35</v>
      </c>
    </row>
    <row r="4598" spans="6:8">
      <c r="F4598" s="68" t="s">
        <v>130</v>
      </c>
      <c r="G4598" s="67" t="s">
        <v>340</v>
      </c>
      <c r="H4598" s="69">
        <v>-0.75</v>
      </c>
    </row>
    <row r="4599" spans="6:8">
      <c r="F4599" s="68" t="s">
        <v>304</v>
      </c>
      <c r="G4599" s="67" t="s">
        <v>340</v>
      </c>
      <c r="H4599" s="69">
        <v>17.625</v>
      </c>
    </row>
    <row r="4600" spans="6:8">
      <c r="F4600" s="68" t="s">
        <v>254</v>
      </c>
      <c r="G4600" s="67" t="s">
        <v>340</v>
      </c>
      <c r="H4600" s="69">
        <v>0.35</v>
      </c>
    </row>
    <row r="4601" spans="6:8">
      <c r="F4601" s="68" t="s">
        <v>129</v>
      </c>
      <c r="G4601" s="67" t="s">
        <v>340</v>
      </c>
      <c r="H4601" s="69">
        <v>-0.25</v>
      </c>
    </row>
    <row r="4602" spans="6:8">
      <c r="F4602" s="68" t="s">
        <v>128</v>
      </c>
      <c r="G4602" s="67" t="s">
        <v>340</v>
      </c>
      <c r="H4602" s="69">
        <v>-0.5</v>
      </c>
    </row>
    <row r="4603" spans="6:8">
      <c r="F4603" s="68" t="s">
        <v>315</v>
      </c>
      <c r="G4603" s="67" t="s">
        <v>340</v>
      </c>
      <c r="H4603" s="69">
        <v>-0.7</v>
      </c>
    </row>
    <row r="4604" spans="6:8">
      <c r="F4604" s="68" t="s">
        <v>253</v>
      </c>
      <c r="G4604" s="67" t="s">
        <v>340</v>
      </c>
      <c r="H4604" s="69">
        <v>0.25</v>
      </c>
    </row>
    <row r="4605" spans="6:8">
      <c r="F4605" s="68" t="s">
        <v>127</v>
      </c>
      <c r="G4605" s="67" t="s">
        <v>340</v>
      </c>
      <c r="H4605" s="69">
        <v>-0.15</v>
      </c>
    </row>
    <row r="4606" spans="6:8">
      <c r="F4606" s="68" t="s">
        <v>126</v>
      </c>
      <c r="G4606" s="67" t="s">
        <v>340</v>
      </c>
      <c r="H4606" s="69">
        <v>-0.55000000000000004</v>
      </c>
    </row>
    <row r="4607" spans="6:8">
      <c r="F4607" s="68" t="s">
        <v>125</v>
      </c>
      <c r="G4607" s="67" t="s">
        <v>340</v>
      </c>
      <c r="H4607" s="69">
        <v>-0.9</v>
      </c>
    </row>
    <row r="4608" spans="6:8">
      <c r="F4608" s="68" t="s">
        <v>314</v>
      </c>
      <c r="G4608" s="67" t="s">
        <v>340</v>
      </c>
      <c r="H4608" s="69">
        <v>-0.75</v>
      </c>
    </row>
    <row r="4609" spans="6:8">
      <c r="F4609" s="68" t="s">
        <v>252</v>
      </c>
      <c r="G4609" s="67" t="s">
        <v>340</v>
      </c>
      <c r="H4609" s="69">
        <v>0.2</v>
      </c>
    </row>
    <row r="4610" spans="6:8">
      <c r="F4610" s="68" t="s">
        <v>124</v>
      </c>
      <c r="G4610" s="67" t="s">
        <v>340</v>
      </c>
      <c r="H4610" s="69">
        <v>-0.65</v>
      </c>
    </row>
    <row r="4611" spans="6:8">
      <c r="F4611" s="68" t="s">
        <v>123</v>
      </c>
      <c r="G4611" s="67" t="s">
        <v>340</v>
      </c>
      <c r="H4611" s="69">
        <v>-0.55000000000000004</v>
      </c>
    </row>
    <row r="4612" spans="6:8">
      <c r="F4612" s="68" t="s">
        <v>122</v>
      </c>
      <c r="G4612" s="67" t="s">
        <v>340</v>
      </c>
      <c r="H4612" s="69">
        <v>-0.8</v>
      </c>
    </row>
    <row r="4613" spans="6:8">
      <c r="F4613" s="68" t="s">
        <v>251</v>
      </c>
      <c r="G4613" s="67" t="s">
        <v>340</v>
      </c>
      <c r="H4613" s="69">
        <v>0.16</v>
      </c>
    </row>
    <row r="4614" spans="6:8">
      <c r="F4614" s="68" t="s">
        <v>121</v>
      </c>
      <c r="G4614" s="67" t="s">
        <v>340</v>
      </c>
      <c r="H4614" s="69">
        <v>-0.7</v>
      </c>
    </row>
    <row r="4615" spans="6:8">
      <c r="F4615" s="68" t="s">
        <v>120</v>
      </c>
      <c r="G4615" s="67" t="s">
        <v>340</v>
      </c>
      <c r="H4615" s="69">
        <v>-0.5</v>
      </c>
    </row>
    <row r="4616" spans="6:8">
      <c r="F4616" s="68" t="s">
        <v>119</v>
      </c>
      <c r="G4616" s="67" t="s">
        <v>340</v>
      </c>
      <c r="H4616" s="69">
        <v>-0.8</v>
      </c>
    </row>
    <row r="4617" spans="6:8">
      <c r="F4617" s="68" t="s">
        <v>119</v>
      </c>
      <c r="G4617" s="67" t="s">
        <v>341</v>
      </c>
      <c r="H4617" s="69">
        <v>-0.8</v>
      </c>
    </row>
    <row r="4618" spans="6:8">
      <c r="F4618" s="68" t="s">
        <v>120</v>
      </c>
      <c r="G4618" s="67" t="s">
        <v>341</v>
      </c>
      <c r="H4618" s="69">
        <v>-0.5</v>
      </c>
    </row>
    <row r="4619" spans="6:8">
      <c r="F4619" s="68" t="s">
        <v>121</v>
      </c>
      <c r="G4619" s="67" t="s">
        <v>341</v>
      </c>
      <c r="H4619" s="69">
        <v>-0.7</v>
      </c>
    </row>
    <row r="4620" spans="6:8">
      <c r="F4620" s="68" t="s">
        <v>251</v>
      </c>
      <c r="G4620" s="67" t="s">
        <v>341</v>
      </c>
      <c r="H4620" s="69">
        <v>0.16</v>
      </c>
    </row>
    <row r="4621" spans="6:8">
      <c r="F4621" s="68" t="s">
        <v>122</v>
      </c>
      <c r="G4621" s="67" t="s">
        <v>341</v>
      </c>
      <c r="H4621" s="69">
        <v>-0.8</v>
      </c>
    </row>
    <row r="4622" spans="6:8">
      <c r="F4622" s="68" t="s">
        <v>123</v>
      </c>
      <c r="G4622" s="67" t="s">
        <v>341</v>
      </c>
      <c r="H4622" s="69">
        <v>-0.55000000000000004</v>
      </c>
    </row>
    <row r="4623" spans="6:8">
      <c r="F4623" s="68" t="s">
        <v>124</v>
      </c>
      <c r="G4623" s="67" t="s">
        <v>341</v>
      </c>
      <c r="H4623" s="69">
        <v>-0.65</v>
      </c>
    </row>
    <row r="4624" spans="6:8">
      <c r="F4624" s="68" t="s">
        <v>252</v>
      </c>
      <c r="G4624" s="67" t="s">
        <v>341</v>
      </c>
      <c r="H4624" s="69">
        <v>0.2</v>
      </c>
    </row>
    <row r="4625" spans="6:8">
      <c r="F4625" s="68" t="s">
        <v>314</v>
      </c>
      <c r="G4625" s="67" t="s">
        <v>341</v>
      </c>
      <c r="H4625" s="69">
        <v>-0.75</v>
      </c>
    </row>
    <row r="4626" spans="6:8">
      <c r="F4626" s="68" t="s">
        <v>125</v>
      </c>
      <c r="G4626" s="67" t="s">
        <v>341</v>
      </c>
      <c r="H4626" s="69">
        <v>-0.9</v>
      </c>
    </row>
    <row r="4627" spans="6:8">
      <c r="F4627" s="68" t="s">
        <v>126</v>
      </c>
      <c r="G4627" s="67" t="s">
        <v>341</v>
      </c>
      <c r="H4627" s="69">
        <v>-0.55000000000000004</v>
      </c>
    </row>
    <row r="4628" spans="6:8">
      <c r="F4628" s="68" t="s">
        <v>127</v>
      </c>
      <c r="G4628" s="67" t="s">
        <v>341</v>
      </c>
      <c r="H4628" s="69">
        <v>-0.15</v>
      </c>
    </row>
    <row r="4629" spans="6:8">
      <c r="F4629" s="68" t="s">
        <v>253</v>
      </c>
      <c r="G4629" s="67" t="s">
        <v>341</v>
      </c>
      <c r="H4629" s="69">
        <v>0.25</v>
      </c>
    </row>
    <row r="4630" spans="6:8">
      <c r="F4630" s="68" t="s">
        <v>315</v>
      </c>
      <c r="G4630" s="67" t="s">
        <v>341</v>
      </c>
      <c r="H4630" s="69">
        <v>-0.7</v>
      </c>
    </row>
    <row r="4631" spans="6:8">
      <c r="F4631" s="68" t="s">
        <v>128</v>
      </c>
      <c r="G4631" s="67" t="s">
        <v>341</v>
      </c>
      <c r="H4631" s="69">
        <v>-0.5</v>
      </c>
    </row>
    <row r="4632" spans="6:8">
      <c r="F4632" s="68" t="s">
        <v>129</v>
      </c>
      <c r="G4632" s="67" t="s">
        <v>341</v>
      </c>
      <c r="H4632" s="69">
        <v>-0.25</v>
      </c>
    </row>
    <row r="4633" spans="6:8">
      <c r="F4633" s="68" t="s">
        <v>254</v>
      </c>
      <c r="G4633" s="67" t="s">
        <v>341</v>
      </c>
      <c r="H4633" s="69">
        <v>0.35</v>
      </c>
    </row>
    <row r="4634" spans="6:8">
      <c r="F4634" s="68" t="s">
        <v>304</v>
      </c>
      <c r="G4634" s="67" t="s">
        <v>341</v>
      </c>
      <c r="H4634" s="69">
        <v>17.625</v>
      </c>
    </row>
    <row r="4635" spans="6:8">
      <c r="F4635" s="68" t="s">
        <v>130</v>
      </c>
      <c r="G4635" s="67" t="s">
        <v>341</v>
      </c>
      <c r="H4635" s="69">
        <v>-0.75</v>
      </c>
    </row>
    <row r="4636" spans="6:8">
      <c r="F4636" s="68" t="s">
        <v>131</v>
      </c>
      <c r="G4636" s="67" t="s">
        <v>341</v>
      </c>
      <c r="H4636" s="69">
        <v>-0.35</v>
      </c>
    </row>
    <row r="4637" spans="6:8">
      <c r="F4637" s="68" t="s">
        <v>255</v>
      </c>
      <c r="G4637" s="67" t="s">
        <v>341</v>
      </c>
      <c r="H4637" s="69">
        <v>0.49</v>
      </c>
    </row>
    <row r="4638" spans="6:8">
      <c r="F4638" s="68" t="s">
        <v>303</v>
      </c>
      <c r="G4638" s="67" t="s">
        <v>341</v>
      </c>
      <c r="H4638" s="69">
        <v>18.75</v>
      </c>
    </row>
    <row r="4639" spans="6:8">
      <c r="F4639" s="68" t="s">
        <v>132</v>
      </c>
      <c r="G4639" s="67" t="s">
        <v>341</v>
      </c>
      <c r="H4639" s="69">
        <v>-0.7</v>
      </c>
    </row>
    <row r="4640" spans="6:8">
      <c r="F4640" s="68" t="s">
        <v>133</v>
      </c>
      <c r="G4640" s="67" t="s">
        <v>341</v>
      </c>
      <c r="H4640" s="69">
        <v>-0.35</v>
      </c>
    </row>
    <row r="4641" spans="6:8">
      <c r="F4641" s="68" t="s">
        <v>256</v>
      </c>
      <c r="G4641" s="67" t="s">
        <v>341</v>
      </c>
      <c r="H4641" s="69">
        <v>0.7</v>
      </c>
    </row>
    <row r="4642" spans="6:8">
      <c r="F4642" s="68" t="s">
        <v>134</v>
      </c>
      <c r="G4642" s="67" t="s">
        <v>341</v>
      </c>
      <c r="H4642" s="69">
        <v>-0.75</v>
      </c>
    </row>
    <row r="4643" spans="6:8">
      <c r="F4643" s="68" t="s">
        <v>135</v>
      </c>
      <c r="G4643" s="67" t="s">
        <v>341</v>
      </c>
      <c r="H4643" s="69">
        <v>-0.35</v>
      </c>
    </row>
    <row r="4644" spans="6:8">
      <c r="F4644" s="68" t="s">
        <v>257</v>
      </c>
      <c r="G4644" s="67" t="s">
        <v>341</v>
      </c>
      <c r="H4644" s="69">
        <v>0.9</v>
      </c>
    </row>
    <row r="4645" spans="6:8">
      <c r="F4645" s="68" t="s">
        <v>258</v>
      </c>
      <c r="G4645" s="67" t="s">
        <v>341</v>
      </c>
      <c r="H4645" s="69">
        <v>0.1</v>
      </c>
    </row>
    <row r="4646" spans="6:8">
      <c r="F4646" s="68" t="s">
        <v>136</v>
      </c>
      <c r="G4646" s="67" t="s">
        <v>341</v>
      </c>
      <c r="H4646" s="69">
        <v>-0.85</v>
      </c>
    </row>
    <row r="4647" spans="6:8">
      <c r="F4647" s="68" t="s">
        <v>137</v>
      </c>
      <c r="G4647" s="67" t="s">
        <v>341</v>
      </c>
      <c r="H4647" s="69">
        <v>-0.5</v>
      </c>
    </row>
    <row r="4648" spans="6:8">
      <c r="F4648" s="68" t="s">
        <v>138</v>
      </c>
      <c r="G4648" s="67" t="s">
        <v>341</v>
      </c>
      <c r="H4648" s="69">
        <v>-0.75</v>
      </c>
    </row>
    <row r="4649" spans="6:8">
      <c r="F4649" s="68" t="s">
        <v>259</v>
      </c>
      <c r="G4649" s="67" t="s">
        <v>341</v>
      </c>
      <c r="H4649" s="69">
        <v>0.14000000000000001</v>
      </c>
    </row>
    <row r="4650" spans="6:8">
      <c r="F4650" s="68" t="s">
        <v>259</v>
      </c>
      <c r="G4650" s="67" t="s">
        <v>342</v>
      </c>
      <c r="H4650" s="69">
        <v>0.14000000000000001</v>
      </c>
    </row>
    <row r="4651" spans="6:8">
      <c r="F4651" s="68" t="s">
        <v>138</v>
      </c>
      <c r="G4651" s="67" t="s">
        <v>342</v>
      </c>
      <c r="H4651" s="69">
        <v>-0.75</v>
      </c>
    </row>
    <row r="4652" spans="6:8">
      <c r="F4652" s="68" t="s">
        <v>137</v>
      </c>
      <c r="G4652" s="67" t="s">
        <v>342</v>
      </c>
      <c r="H4652" s="69">
        <v>-0.5</v>
      </c>
    </row>
    <row r="4653" spans="6:8">
      <c r="F4653" s="68" t="s">
        <v>136</v>
      </c>
      <c r="G4653" s="67" t="s">
        <v>342</v>
      </c>
      <c r="H4653" s="69">
        <v>-0.85</v>
      </c>
    </row>
    <row r="4654" spans="6:8">
      <c r="F4654" s="68" t="s">
        <v>258</v>
      </c>
      <c r="G4654" s="67" t="s">
        <v>342</v>
      </c>
      <c r="H4654" s="69">
        <v>0.1</v>
      </c>
    </row>
    <row r="4655" spans="6:8">
      <c r="F4655" s="68" t="s">
        <v>257</v>
      </c>
      <c r="G4655" s="67" t="s">
        <v>342</v>
      </c>
      <c r="H4655" s="69">
        <v>0.9</v>
      </c>
    </row>
    <row r="4656" spans="6:8">
      <c r="F4656" s="68" t="s">
        <v>135</v>
      </c>
      <c r="G4656" s="67" t="s">
        <v>342</v>
      </c>
      <c r="H4656" s="69">
        <v>-0.35</v>
      </c>
    </row>
    <row r="4657" spans="6:8">
      <c r="F4657" s="68" t="s">
        <v>134</v>
      </c>
      <c r="G4657" s="67" t="s">
        <v>342</v>
      </c>
      <c r="H4657" s="69">
        <v>-0.75</v>
      </c>
    </row>
    <row r="4658" spans="6:8">
      <c r="F4658" s="68" t="s">
        <v>256</v>
      </c>
      <c r="G4658" s="67" t="s">
        <v>342</v>
      </c>
      <c r="H4658" s="69">
        <v>0.69</v>
      </c>
    </row>
    <row r="4659" spans="6:8">
      <c r="F4659" s="68" t="s">
        <v>133</v>
      </c>
      <c r="G4659" s="67" t="s">
        <v>342</v>
      </c>
      <c r="H4659" s="69">
        <v>-0.35</v>
      </c>
    </row>
    <row r="4660" spans="6:8">
      <c r="F4660" s="68" t="s">
        <v>132</v>
      </c>
      <c r="G4660" s="67" t="s">
        <v>342</v>
      </c>
      <c r="H4660" s="69">
        <v>-0.7</v>
      </c>
    </row>
    <row r="4661" spans="6:8">
      <c r="F4661" s="68" t="s">
        <v>303</v>
      </c>
      <c r="G4661" s="67" t="s">
        <v>342</v>
      </c>
      <c r="H4661" s="69">
        <v>18.75</v>
      </c>
    </row>
    <row r="4662" spans="6:8">
      <c r="F4662" s="68" t="s">
        <v>255</v>
      </c>
      <c r="G4662" s="67" t="s">
        <v>342</v>
      </c>
      <c r="H4662" s="69">
        <v>0.49</v>
      </c>
    </row>
    <row r="4663" spans="6:8">
      <c r="F4663" s="68" t="s">
        <v>131</v>
      </c>
      <c r="G4663" s="67" t="s">
        <v>342</v>
      </c>
      <c r="H4663" s="69">
        <v>-0.35</v>
      </c>
    </row>
    <row r="4664" spans="6:8">
      <c r="F4664" s="68" t="s">
        <v>130</v>
      </c>
      <c r="G4664" s="67" t="s">
        <v>342</v>
      </c>
      <c r="H4664" s="69">
        <v>-0.75</v>
      </c>
    </row>
    <row r="4665" spans="6:8">
      <c r="F4665" s="68" t="s">
        <v>304</v>
      </c>
      <c r="G4665" s="67" t="s">
        <v>342</v>
      </c>
      <c r="H4665" s="69">
        <v>17.625</v>
      </c>
    </row>
    <row r="4666" spans="6:8">
      <c r="F4666" s="68" t="s">
        <v>254</v>
      </c>
      <c r="G4666" s="67" t="s">
        <v>342</v>
      </c>
      <c r="H4666" s="69">
        <v>0.35</v>
      </c>
    </row>
    <row r="4667" spans="6:8">
      <c r="F4667" s="68" t="s">
        <v>129</v>
      </c>
      <c r="G4667" s="67" t="s">
        <v>342</v>
      </c>
      <c r="H4667" s="69">
        <v>-0.25</v>
      </c>
    </row>
    <row r="4668" spans="6:8">
      <c r="F4668" s="68" t="s">
        <v>128</v>
      </c>
      <c r="G4668" s="67" t="s">
        <v>342</v>
      </c>
      <c r="H4668" s="69">
        <v>-0.5</v>
      </c>
    </row>
    <row r="4669" spans="6:8">
      <c r="F4669" s="68" t="s">
        <v>315</v>
      </c>
      <c r="G4669" s="67" t="s">
        <v>342</v>
      </c>
      <c r="H4669" s="69">
        <v>-0.7</v>
      </c>
    </row>
    <row r="4670" spans="6:8">
      <c r="F4670" s="68" t="s">
        <v>253</v>
      </c>
      <c r="G4670" s="67" t="s">
        <v>342</v>
      </c>
      <c r="H4670" s="69">
        <v>0.25</v>
      </c>
    </row>
    <row r="4671" spans="6:8">
      <c r="F4671" s="68" t="s">
        <v>127</v>
      </c>
      <c r="G4671" s="67" t="s">
        <v>342</v>
      </c>
      <c r="H4671" s="69">
        <v>-0.15</v>
      </c>
    </row>
    <row r="4672" spans="6:8">
      <c r="F4672" s="68" t="s">
        <v>126</v>
      </c>
      <c r="G4672" s="67" t="s">
        <v>342</v>
      </c>
      <c r="H4672" s="69">
        <v>-0.55000000000000004</v>
      </c>
    </row>
    <row r="4673" spans="6:8">
      <c r="F4673" s="68" t="s">
        <v>125</v>
      </c>
      <c r="G4673" s="67" t="s">
        <v>342</v>
      </c>
      <c r="H4673" s="69">
        <v>-0.9</v>
      </c>
    </row>
    <row r="4674" spans="6:8">
      <c r="F4674" s="68" t="s">
        <v>314</v>
      </c>
      <c r="G4674" s="67" t="s">
        <v>342</v>
      </c>
      <c r="H4674" s="69">
        <v>-0.75</v>
      </c>
    </row>
    <row r="4675" spans="6:8">
      <c r="F4675" s="68" t="s">
        <v>252</v>
      </c>
      <c r="G4675" s="67" t="s">
        <v>342</v>
      </c>
      <c r="H4675" s="69">
        <v>0.2</v>
      </c>
    </row>
    <row r="4676" spans="6:8">
      <c r="F4676" s="68" t="s">
        <v>124</v>
      </c>
      <c r="G4676" s="67" t="s">
        <v>342</v>
      </c>
      <c r="H4676" s="69">
        <v>-0.65</v>
      </c>
    </row>
    <row r="4677" spans="6:8">
      <c r="F4677" s="68" t="s">
        <v>123</v>
      </c>
      <c r="G4677" s="67" t="s">
        <v>342</v>
      </c>
      <c r="H4677" s="69">
        <v>-0.55000000000000004</v>
      </c>
    </row>
    <row r="4678" spans="6:8">
      <c r="F4678" s="68" t="s">
        <v>122</v>
      </c>
      <c r="G4678" s="67" t="s">
        <v>342</v>
      </c>
      <c r="H4678" s="69">
        <v>-0.8</v>
      </c>
    </row>
    <row r="4679" spans="6:8">
      <c r="F4679" s="68" t="s">
        <v>251</v>
      </c>
      <c r="G4679" s="67" t="s">
        <v>342</v>
      </c>
      <c r="H4679" s="69">
        <v>0.16</v>
      </c>
    </row>
    <row r="4680" spans="6:8">
      <c r="F4680" s="68" t="s">
        <v>121</v>
      </c>
      <c r="G4680" s="67" t="s">
        <v>342</v>
      </c>
      <c r="H4680" s="69">
        <v>-0.7</v>
      </c>
    </row>
    <row r="4681" spans="6:8">
      <c r="F4681" s="68" t="s">
        <v>120</v>
      </c>
      <c r="G4681" s="67" t="s">
        <v>342</v>
      </c>
      <c r="H4681" s="69">
        <v>-0.5</v>
      </c>
    </row>
    <row r="4682" spans="6:8">
      <c r="F4682" s="68" t="s">
        <v>119</v>
      </c>
      <c r="G4682" s="67" t="s">
        <v>342</v>
      </c>
      <c r="H4682" s="69">
        <v>-0.8</v>
      </c>
    </row>
    <row r="4683" spans="6:8">
      <c r="F4683" s="68" t="s">
        <v>119</v>
      </c>
      <c r="G4683" s="67" t="s">
        <v>343</v>
      </c>
      <c r="H4683" s="69">
        <v>-0.8</v>
      </c>
    </row>
    <row r="4684" spans="6:8">
      <c r="F4684" s="68" t="s">
        <v>120</v>
      </c>
      <c r="G4684" s="67" t="s">
        <v>343</v>
      </c>
      <c r="H4684" s="69">
        <v>-0.5</v>
      </c>
    </row>
    <row r="4685" spans="6:8">
      <c r="F4685" s="68" t="s">
        <v>121</v>
      </c>
      <c r="G4685" s="67" t="s">
        <v>343</v>
      </c>
      <c r="H4685" s="69">
        <v>-0.7</v>
      </c>
    </row>
    <row r="4686" spans="6:8">
      <c r="F4686" s="68" t="s">
        <v>251</v>
      </c>
      <c r="G4686" s="67" t="s">
        <v>343</v>
      </c>
      <c r="H4686" s="69">
        <v>0.16</v>
      </c>
    </row>
    <row r="4687" spans="6:8">
      <c r="F4687" s="68" t="s">
        <v>122</v>
      </c>
      <c r="G4687" s="67" t="s">
        <v>343</v>
      </c>
      <c r="H4687" s="69">
        <v>-0.8</v>
      </c>
    </row>
    <row r="4688" spans="6:8">
      <c r="F4688" s="68" t="s">
        <v>123</v>
      </c>
      <c r="G4688" s="67" t="s">
        <v>343</v>
      </c>
      <c r="H4688" s="69">
        <v>-0.55000000000000004</v>
      </c>
    </row>
    <row r="4689" spans="6:8">
      <c r="F4689" s="68" t="s">
        <v>124</v>
      </c>
      <c r="G4689" s="67" t="s">
        <v>343</v>
      </c>
      <c r="H4689" s="69">
        <v>-0.65</v>
      </c>
    </row>
    <row r="4690" spans="6:8">
      <c r="F4690" s="68" t="s">
        <v>252</v>
      </c>
      <c r="G4690" s="67" t="s">
        <v>343</v>
      </c>
      <c r="H4690" s="69">
        <v>0.2</v>
      </c>
    </row>
    <row r="4691" spans="6:8">
      <c r="F4691" s="68" t="s">
        <v>314</v>
      </c>
      <c r="G4691" s="67" t="s">
        <v>343</v>
      </c>
      <c r="H4691" s="69">
        <v>-0.75</v>
      </c>
    </row>
    <row r="4692" spans="6:8">
      <c r="F4692" s="68" t="s">
        <v>125</v>
      </c>
      <c r="G4692" s="67" t="s">
        <v>343</v>
      </c>
      <c r="H4692" s="69">
        <v>-0.9</v>
      </c>
    </row>
    <row r="4693" spans="6:8">
      <c r="F4693" s="68" t="s">
        <v>126</v>
      </c>
      <c r="G4693" s="67" t="s">
        <v>343</v>
      </c>
      <c r="H4693" s="69">
        <v>-0.55000000000000004</v>
      </c>
    </row>
    <row r="4694" spans="6:8">
      <c r="F4694" s="68" t="s">
        <v>127</v>
      </c>
      <c r="G4694" s="67" t="s">
        <v>343</v>
      </c>
      <c r="H4694" s="69">
        <v>-0.15</v>
      </c>
    </row>
    <row r="4695" spans="6:8">
      <c r="F4695" s="68" t="s">
        <v>253</v>
      </c>
      <c r="G4695" s="67" t="s">
        <v>343</v>
      </c>
      <c r="H4695" s="69">
        <v>0.25</v>
      </c>
    </row>
    <row r="4696" spans="6:8">
      <c r="F4696" s="68" t="s">
        <v>315</v>
      </c>
      <c r="G4696" s="67" t="s">
        <v>343</v>
      </c>
      <c r="H4696" s="69">
        <v>-0.7</v>
      </c>
    </row>
    <row r="4697" spans="6:8">
      <c r="F4697" s="68" t="s">
        <v>128</v>
      </c>
      <c r="G4697" s="67" t="s">
        <v>343</v>
      </c>
      <c r="H4697" s="69">
        <v>-0.5</v>
      </c>
    </row>
    <row r="4698" spans="6:8">
      <c r="F4698" s="68" t="s">
        <v>129</v>
      </c>
      <c r="G4698" s="67" t="s">
        <v>343</v>
      </c>
      <c r="H4698" s="69">
        <v>-0.25</v>
      </c>
    </row>
    <row r="4699" spans="6:8">
      <c r="F4699" s="68" t="s">
        <v>254</v>
      </c>
      <c r="G4699" s="67" t="s">
        <v>343</v>
      </c>
      <c r="H4699" s="69">
        <v>0.35</v>
      </c>
    </row>
    <row r="4700" spans="6:8">
      <c r="F4700" s="68" t="s">
        <v>304</v>
      </c>
      <c r="G4700" s="67" t="s">
        <v>343</v>
      </c>
      <c r="H4700" s="69">
        <v>17.4375</v>
      </c>
    </row>
    <row r="4701" spans="6:8">
      <c r="F4701" s="68" t="s">
        <v>130</v>
      </c>
      <c r="G4701" s="67" t="s">
        <v>343</v>
      </c>
      <c r="H4701" s="69">
        <v>-0.75</v>
      </c>
    </row>
    <row r="4702" spans="6:8">
      <c r="F4702" s="68" t="s">
        <v>131</v>
      </c>
      <c r="G4702" s="67" t="s">
        <v>343</v>
      </c>
      <c r="H4702" s="69">
        <v>-0.35</v>
      </c>
    </row>
    <row r="4703" spans="6:8">
      <c r="F4703" s="68" t="s">
        <v>255</v>
      </c>
      <c r="G4703" s="67" t="s">
        <v>343</v>
      </c>
      <c r="H4703" s="69">
        <v>0.49</v>
      </c>
    </row>
    <row r="4704" spans="6:8">
      <c r="F4704" s="68" t="s">
        <v>303</v>
      </c>
      <c r="G4704" s="67" t="s">
        <v>343</v>
      </c>
      <c r="H4704" s="69">
        <v>18.6875</v>
      </c>
    </row>
    <row r="4705" spans="6:8">
      <c r="F4705" s="68" t="s">
        <v>132</v>
      </c>
      <c r="G4705" s="67" t="s">
        <v>343</v>
      </c>
      <c r="H4705" s="69">
        <v>-0.7</v>
      </c>
    </row>
    <row r="4706" spans="6:8">
      <c r="F4706" s="68" t="s">
        <v>133</v>
      </c>
      <c r="G4706" s="67" t="s">
        <v>343</v>
      </c>
      <c r="H4706" s="69">
        <v>-0.35</v>
      </c>
    </row>
    <row r="4707" spans="6:8">
      <c r="F4707" s="68" t="s">
        <v>256</v>
      </c>
      <c r="G4707" s="67" t="s">
        <v>343</v>
      </c>
      <c r="H4707" s="69">
        <v>0.69</v>
      </c>
    </row>
    <row r="4708" spans="6:8">
      <c r="F4708" s="68" t="s">
        <v>134</v>
      </c>
      <c r="G4708" s="67" t="s">
        <v>343</v>
      </c>
      <c r="H4708" s="69">
        <v>-0.75</v>
      </c>
    </row>
    <row r="4709" spans="6:8">
      <c r="F4709" s="68" t="s">
        <v>135</v>
      </c>
      <c r="G4709" s="67" t="s">
        <v>343</v>
      </c>
      <c r="H4709" s="69">
        <v>-0.35</v>
      </c>
    </row>
    <row r="4710" spans="6:8">
      <c r="F4710" s="68" t="s">
        <v>257</v>
      </c>
      <c r="G4710" s="67" t="s">
        <v>343</v>
      </c>
      <c r="H4710" s="69">
        <v>0.9</v>
      </c>
    </row>
    <row r="4711" spans="6:8">
      <c r="F4711" s="68" t="s">
        <v>258</v>
      </c>
      <c r="G4711" s="67" t="s">
        <v>343</v>
      </c>
      <c r="H4711" s="69">
        <v>0.1</v>
      </c>
    </row>
    <row r="4712" spans="6:8">
      <c r="F4712" s="68" t="s">
        <v>136</v>
      </c>
      <c r="G4712" s="67" t="s">
        <v>343</v>
      </c>
      <c r="H4712" s="69">
        <v>-0.85</v>
      </c>
    </row>
    <row r="4713" spans="6:8">
      <c r="F4713" s="68" t="s">
        <v>137</v>
      </c>
      <c r="G4713" s="67" t="s">
        <v>343</v>
      </c>
      <c r="H4713" s="69">
        <v>-0.5</v>
      </c>
    </row>
    <row r="4714" spans="6:8">
      <c r="F4714" s="68" t="s">
        <v>138</v>
      </c>
      <c r="G4714" s="67" t="s">
        <v>343</v>
      </c>
      <c r="H4714" s="69">
        <v>-0.75</v>
      </c>
    </row>
    <row r="4715" spans="6:8">
      <c r="F4715" s="68" t="s">
        <v>259</v>
      </c>
      <c r="G4715" s="67" t="s">
        <v>343</v>
      </c>
      <c r="H4715" s="69">
        <v>0.14000000000000001</v>
      </c>
    </row>
    <row r="4716" spans="6:8">
      <c r="F4716" s="68" t="s">
        <v>259</v>
      </c>
      <c r="G4716" s="67" t="s">
        <v>344</v>
      </c>
      <c r="H4716" s="69">
        <v>0.14000000000000001</v>
      </c>
    </row>
    <row r="4717" spans="6:8">
      <c r="F4717" s="68" t="s">
        <v>138</v>
      </c>
      <c r="G4717" s="67" t="s">
        <v>344</v>
      </c>
      <c r="H4717" s="69">
        <v>-0.75</v>
      </c>
    </row>
    <row r="4718" spans="6:8">
      <c r="F4718" s="68" t="s">
        <v>137</v>
      </c>
      <c r="G4718" s="67" t="s">
        <v>344</v>
      </c>
      <c r="H4718" s="69">
        <v>-0.5</v>
      </c>
    </row>
    <row r="4719" spans="6:8">
      <c r="F4719" s="68" t="s">
        <v>136</v>
      </c>
      <c r="G4719" s="67" t="s">
        <v>344</v>
      </c>
      <c r="H4719" s="69">
        <v>-0.85</v>
      </c>
    </row>
    <row r="4720" spans="6:8">
      <c r="F4720" s="68" t="s">
        <v>258</v>
      </c>
      <c r="G4720" s="67" t="s">
        <v>344</v>
      </c>
      <c r="H4720" s="69">
        <v>0.1</v>
      </c>
    </row>
    <row r="4721" spans="6:8">
      <c r="F4721" s="68" t="s">
        <v>257</v>
      </c>
      <c r="G4721" s="67" t="s">
        <v>344</v>
      </c>
      <c r="H4721" s="69">
        <v>0.89</v>
      </c>
    </row>
    <row r="4722" spans="6:8">
      <c r="F4722" s="68" t="s">
        <v>135</v>
      </c>
      <c r="G4722" s="67" t="s">
        <v>344</v>
      </c>
      <c r="H4722" s="69">
        <v>-0.35</v>
      </c>
    </row>
    <row r="4723" spans="6:8">
      <c r="F4723" s="68" t="s">
        <v>134</v>
      </c>
      <c r="G4723" s="67" t="s">
        <v>344</v>
      </c>
      <c r="H4723" s="69">
        <v>-0.75</v>
      </c>
    </row>
    <row r="4724" spans="6:8">
      <c r="F4724" s="68" t="s">
        <v>256</v>
      </c>
      <c r="G4724" s="67" t="s">
        <v>344</v>
      </c>
      <c r="H4724" s="69">
        <v>0.68</v>
      </c>
    </row>
    <row r="4725" spans="6:8">
      <c r="F4725" s="68" t="s">
        <v>133</v>
      </c>
      <c r="G4725" s="67" t="s">
        <v>344</v>
      </c>
      <c r="H4725" s="69">
        <v>-0.35</v>
      </c>
    </row>
    <row r="4726" spans="6:8">
      <c r="F4726" s="68" t="s">
        <v>132</v>
      </c>
      <c r="G4726" s="67" t="s">
        <v>344</v>
      </c>
      <c r="H4726" s="69">
        <v>-0.7</v>
      </c>
    </row>
    <row r="4727" spans="6:8">
      <c r="F4727" s="68" t="s">
        <v>303</v>
      </c>
      <c r="G4727" s="67" t="s">
        <v>344</v>
      </c>
      <c r="H4727" s="69">
        <v>18.5625</v>
      </c>
    </row>
    <row r="4728" spans="6:8">
      <c r="F4728" s="68" t="s">
        <v>255</v>
      </c>
      <c r="G4728" s="67" t="s">
        <v>344</v>
      </c>
      <c r="H4728" s="69">
        <v>0.48</v>
      </c>
    </row>
    <row r="4729" spans="6:8">
      <c r="F4729" s="68" t="s">
        <v>131</v>
      </c>
      <c r="G4729" s="67" t="s">
        <v>344</v>
      </c>
      <c r="H4729" s="69">
        <v>-0.35</v>
      </c>
    </row>
    <row r="4730" spans="6:8">
      <c r="F4730" s="68" t="s">
        <v>130</v>
      </c>
      <c r="G4730" s="67" t="s">
        <v>344</v>
      </c>
      <c r="H4730" s="69">
        <v>-0.75</v>
      </c>
    </row>
    <row r="4731" spans="6:8">
      <c r="F4731" s="68" t="s">
        <v>304</v>
      </c>
      <c r="G4731" s="67" t="s">
        <v>344</v>
      </c>
      <c r="H4731" s="69">
        <v>17.3125</v>
      </c>
    </row>
    <row r="4732" spans="6:8">
      <c r="F4732" s="68" t="s">
        <v>254</v>
      </c>
      <c r="G4732" s="67" t="s">
        <v>344</v>
      </c>
      <c r="H4732" s="69">
        <v>0.34</v>
      </c>
    </row>
    <row r="4733" spans="6:8">
      <c r="F4733" s="68" t="s">
        <v>129</v>
      </c>
      <c r="G4733" s="67" t="s">
        <v>344</v>
      </c>
      <c r="H4733" s="69">
        <v>-0.25</v>
      </c>
    </row>
    <row r="4734" spans="6:8">
      <c r="F4734" s="68" t="s">
        <v>128</v>
      </c>
      <c r="G4734" s="67" t="s">
        <v>344</v>
      </c>
      <c r="H4734" s="69">
        <v>-0.5</v>
      </c>
    </row>
    <row r="4735" spans="6:8">
      <c r="F4735" s="68" t="s">
        <v>315</v>
      </c>
      <c r="G4735" s="67" t="s">
        <v>344</v>
      </c>
      <c r="H4735" s="69">
        <v>-0.75</v>
      </c>
    </row>
    <row r="4736" spans="6:8">
      <c r="F4736" s="68" t="s">
        <v>253</v>
      </c>
      <c r="G4736" s="67" t="s">
        <v>344</v>
      </c>
      <c r="H4736" s="69">
        <v>0.25</v>
      </c>
    </row>
    <row r="4737" spans="6:8">
      <c r="F4737" s="68" t="s">
        <v>127</v>
      </c>
      <c r="G4737" s="67" t="s">
        <v>344</v>
      </c>
      <c r="H4737" s="69">
        <v>-0.15</v>
      </c>
    </row>
    <row r="4738" spans="6:8">
      <c r="F4738" s="68" t="s">
        <v>126</v>
      </c>
      <c r="G4738" s="67" t="s">
        <v>344</v>
      </c>
      <c r="H4738" s="69">
        <v>-0.55000000000000004</v>
      </c>
    </row>
    <row r="4739" spans="6:8">
      <c r="F4739" s="68" t="s">
        <v>125</v>
      </c>
      <c r="G4739" s="67" t="s">
        <v>344</v>
      </c>
      <c r="H4739" s="69">
        <v>-0.9</v>
      </c>
    </row>
    <row r="4740" spans="6:8">
      <c r="F4740" s="68" t="s">
        <v>314</v>
      </c>
      <c r="G4740" s="67" t="s">
        <v>344</v>
      </c>
      <c r="H4740" s="69">
        <v>-0.8</v>
      </c>
    </row>
    <row r="4741" spans="6:8">
      <c r="F4741" s="68" t="s">
        <v>252</v>
      </c>
      <c r="G4741" s="67" t="s">
        <v>344</v>
      </c>
      <c r="H4741" s="69">
        <v>0.2</v>
      </c>
    </row>
    <row r="4742" spans="6:8">
      <c r="F4742" s="68" t="s">
        <v>124</v>
      </c>
      <c r="G4742" s="67" t="s">
        <v>344</v>
      </c>
      <c r="H4742" s="69">
        <v>-0.65</v>
      </c>
    </row>
    <row r="4743" spans="6:8">
      <c r="F4743" s="68" t="s">
        <v>123</v>
      </c>
      <c r="G4743" s="67" t="s">
        <v>344</v>
      </c>
      <c r="H4743" s="69">
        <v>-0.55000000000000004</v>
      </c>
    </row>
    <row r="4744" spans="6:8">
      <c r="F4744" s="68" t="s">
        <v>122</v>
      </c>
      <c r="G4744" s="67" t="s">
        <v>344</v>
      </c>
      <c r="H4744" s="69">
        <v>-0.8</v>
      </c>
    </row>
    <row r="4745" spans="6:8">
      <c r="F4745" s="68" t="s">
        <v>251</v>
      </c>
      <c r="G4745" s="67" t="s">
        <v>344</v>
      </c>
      <c r="H4745" s="69">
        <v>0.16</v>
      </c>
    </row>
    <row r="4746" spans="6:8">
      <c r="F4746" s="68" t="s">
        <v>121</v>
      </c>
      <c r="G4746" s="67" t="s">
        <v>344</v>
      </c>
      <c r="H4746" s="69">
        <v>-0.7</v>
      </c>
    </row>
    <row r="4747" spans="6:8">
      <c r="F4747" s="68" t="s">
        <v>120</v>
      </c>
      <c r="G4747" s="67" t="s">
        <v>344</v>
      </c>
      <c r="H4747" s="69">
        <v>-0.5</v>
      </c>
    </row>
    <row r="4748" spans="6:8">
      <c r="F4748" s="68" t="s">
        <v>119</v>
      </c>
      <c r="G4748" s="67" t="s">
        <v>344</v>
      </c>
      <c r="H4748" s="69">
        <v>-0.8</v>
      </c>
    </row>
    <row r="4749" spans="6:8">
      <c r="F4749" s="68" t="s">
        <v>119</v>
      </c>
      <c r="G4749" s="67" t="s">
        <v>345</v>
      </c>
      <c r="H4749" s="69">
        <v>-0.85</v>
      </c>
    </row>
    <row r="4750" spans="6:8">
      <c r="F4750" s="68" t="s">
        <v>120</v>
      </c>
      <c r="G4750" s="67" t="s">
        <v>345</v>
      </c>
      <c r="H4750" s="69">
        <v>-0.5</v>
      </c>
    </row>
    <row r="4751" spans="6:8">
      <c r="F4751" s="68" t="s">
        <v>121</v>
      </c>
      <c r="G4751" s="67" t="s">
        <v>345</v>
      </c>
      <c r="H4751" s="69">
        <v>-0.75</v>
      </c>
    </row>
    <row r="4752" spans="6:8">
      <c r="F4752" s="68" t="s">
        <v>251</v>
      </c>
      <c r="G4752" s="67" t="s">
        <v>345</v>
      </c>
      <c r="H4752" s="69">
        <v>0.16</v>
      </c>
    </row>
    <row r="4753" spans="6:8">
      <c r="F4753" s="68" t="s">
        <v>122</v>
      </c>
      <c r="G4753" s="67" t="s">
        <v>345</v>
      </c>
      <c r="H4753" s="69">
        <v>-0.85</v>
      </c>
    </row>
    <row r="4754" spans="6:8">
      <c r="F4754" s="68" t="s">
        <v>123</v>
      </c>
      <c r="G4754" s="67" t="s">
        <v>345</v>
      </c>
      <c r="H4754" s="69">
        <v>-0.55000000000000004</v>
      </c>
    </row>
    <row r="4755" spans="6:8">
      <c r="F4755" s="68" t="s">
        <v>124</v>
      </c>
      <c r="G4755" s="67" t="s">
        <v>345</v>
      </c>
      <c r="H4755" s="69">
        <v>-0.7</v>
      </c>
    </row>
    <row r="4756" spans="6:8">
      <c r="F4756" s="68" t="s">
        <v>252</v>
      </c>
      <c r="G4756" s="67" t="s">
        <v>345</v>
      </c>
      <c r="H4756" s="69">
        <v>0.2</v>
      </c>
    </row>
    <row r="4757" spans="6:8">
      <c r="F4757" s="68" t="s">
        <v>314</v>
      </c>
      <c r="G4757" s="67" t="s">
        <v>345</v>
      </c>
      <c r="H4757" s="69">
        <v>-0.85</v>
      </c>
    </row>
    <row r="4758" spans="6:8">
      <c r="F4758" s="68" t="s">
        <v>125</v>
      </c>
      <c r="G4758" s="67" t="s">
        <v>345</v>
      </c>
      <c r="H4758" s="69">
        <v>-0.95</v>
      </c>
    </row>
    <row r="4759" spans="6:8">
      <c r="F4759" s="68" t="s">
        <v>126</v>
      </c>
      <c r="G4759" s="67" t="s">
        <v>345</v>
      </c>
      <c r="H4759" s="69">
        <v>-0.55000000000000004</v>
      </c>
    </row>
    <row r="4760" spans="6:8">
      <c r="F4760" s="68" t="s">
        <v>127</v>
      </c>
      <c r="G4760" s="67" t="s">
        <v>345</v>
      </c>
      <c r="H4760" s="69">
        <v>-0.15</v>
      </c>
    </row>
    <row r="4761" spans="6:8">
      <c r="F4761" s="68" t="s">
        <v>253</v>
      </c>
      <c r="G4761" s="67" t="s">
        <v>345</v>
      </c>
      <c r="H4761" s="69">
        <v>0.24</v>
      </c>
    </row>
    <row r="4762" spans="6:8">
      <c r="F4762" s="68" t="s">
        <v>315</v>
      </c>
      <c r="G4762" s="67" t="s">
        <v>345</v>
      </c>
      <c r="H4762" s="69">
        <v>-0.8</v>
      </c>
    </row>
    <row r="4763" spans="6:8">
      <c r="F4763" s="68" t="s">
        <v>128</v>
      </c>
      <c r="G4763" s="67" t="s">
        <v>345</v>
      </c>
      <c r="H4763" s="69">
        <v>-0.5</v>
      </c>
    </row>
    <row r="4764" spans="6:8">
      <c r="F4764" s="68" t="s">
        <v>129</v>
      </c>
      <c r="G4764" s="67" t="s">
        <v>345</v>
      </c>
      <c r="H4764" s="69">
        <v>-0.25</v>
      </c>
    </row>
    <row r="4765" spans="6:8">
      <c r="F4765" s="68" t="s">
        <v>254</v>
      </c>
      <c r="G4765" s="67" t="s">
        <v>345</v>
      </c>
      <c r="H4765" s="69">
        <v>0.33</v>
      </c>
    </row>
    <row r="4766" spans="6:8">
      <c r="F4766" s="68" t="s">
        <v>304</v>
      </c>
      <c r="G4766" s="67" t="s">
        <v>345</v>
      </c>
      <c r="H4766" s="69">
        <v>17.1875</v>
      </c>
    </row>
    <row r="4767" spans="6:8">
      <c r="F4767" s="68" t="s">
        <v>130</v>
      </c>
      <c r="G4767" s="67" t="s">
        <v>345</v>
      </c>
      <c r="H4767" s="69">
        <v>-0.8</v>
      </c>
    </row>
    <row r="4768" spans="6:8">
      <c r="F4768" s="68" t="s">
        <v>131</v>
      </c>
      <c r="G4768" s="67" t="s">
        <v>345</v>
      </c>
      <c r="H4768" s="69">
        <v>-0.35</v>
      </c>
    </row>
    <row r="4769" spans="6:8">
      <c r="F4769" s="68" t="s">
        <v>255</v>
      </c>
      <c r="G4769" s="67" t="s">
        <v>345</v>
      </c>
      <c r="H4769" s="69">
        <v>0.47</v>
      </c>
    </row>
    <row r="4770" spans="6:8">
      <c r="F4770" s="68" t="s">
        <v>303</v>
      </c>
      <c r="G4770" s="67" t="s">
        <v>345</v>
      </c>
      <c r="H4770" s="69">
        <v>18.4375</v>
      </c>
    </row>
    <row r="4771" spans="6:8">
      <c r="F4771" s="68" t="s">
        <v>132</v>
      </c>
      <c r="G4771" s="67" t="s">
        <v>345</v>
      </c>
      <c r="H4771" s="69">
        <v>-0.75</v>
      </c>
    </row>
    <row r="4772" spans="6:8">
      <c r="F4772" s="68" t="s">
        <v>133</v>
      </c>
      <c r="G4772" s="67" t="s">
        <v>345</v>
      </c>
      <c r="H4772" s="69">
        <v>-0.35</v>
      </c>
    </row>
    <row r="4773" spans="6:8">
      <c r="F4773" s="68" t="s">
        <v>256</v>
      </c>
      <c r="G4773" s="67" t="s">
        <v>345</v>
      </c>
      <c r="H4773" s="69">
        <v>0.67</v>
      </c>
    </row>
    <row r="4774" spans="6:8">
      <c r="F4774" s="68" t="s">
        <v>134</v>
      </c>
      <c r="G4774" s="67" t="s">
        <v>345</v>
      </c>
      <c r="H4774" s="69">
        <v>-0.8</v>
      </c>
    </row>
    <row r="4775" spans="6:8">
      <c r="F4775" s="68" t="s">
        <v>135</v>
      </c>
      <c r="G4775" s="67" t="s">
        <v>345</v>
      </c>
      <c r="H4775" s="69">
        <v>-0.35</v>
      </c>
    </row>
    <row r="4776" spans="6:8">
      <c r="F4776" s="68" t="s">
        <v>257</v>
      </c>
      <c r="G4776" s="67" t="s">
        <v>345</v>
      </c>
      <c r="H4776" s="69">
        <v>0.88</v>
      </c>
    </row>
    <row r="4777" spans="6:8">
      <c r="F4777" s="68" t="s">
        <v>258</v>
      </c>
      <c r="G4777" s="67" t="s">
        <v>345</v>
      </c>
      <c r="H4777" s="69">
        <v>0.1</v>
      </c>
    </row>
    <row r="4778" spans="6:8">
      <c r="F4778" s="68" t="s">
        <v>136</v>
      </c>
      <c r="G4778" s="67" t="s">
        <v>345</v>
      </c>
      <c r="H4778" s="69">
        <v>-0.9</v>
      </c>
    </row>
    <row r="4779" spans="6:8">
      <c r="F4779" s="68" t="s">
        <v>137</v>
      </c>
      <c r="G4779" s="67" t="s">
        <v>345</v>
      </c>
      <c r="H4779" s="69">
        <v>-0.5</v>
      </c>
    </row>
    <row r="4780" spans="6:8">
      <c r="F4780" s="68" t="s">
        <v>138</v>
      </c>
      <c r="G4780" s="67" t="s">
        <v>345</v>
      </c>
      <c r="H4780" s="69">
        <v>-0.8</v>
      </c>
    </row>
    <row r="4781" spans="6:8">
      <c r="F4781" s="68" t="s">
        <v>259</v>
      </c>
      <c r="G4781" s="67" t="s">
        <v>345</v>
      </c>
      <c r="H4781" s="69">
        <v>0.14000000000000001</v>
      </c>
    </row>
    <row r="4782" spans="6:8">
      <c r="F4782" s="68" t="s">
        <v>259</v>
      </c>
      <c r="G4782" s="67" t="s">
        <v>346</v>
      </c>
      <c r="H4782" s="69">
        <v>0.14000000000000001</v>
      </c>
    </row>
    <row r="4783" spans="6:8">
      <c r="F4783" s="68" t="s">
        <v>138</v>
      </c>
      <c r="G4783" s="67" t="s">
        <v>346</v>
      </c>
      <c r="H4783" s="69">
        <v>-0.8</v>
      </c>
    </row>
    <row r="4784" spans="6:8">
      <c r="F4784" s="68" t="s">
        <v>137</v>
      </c>
      <c r="G4784" s="67" t="s">
        <v>346</v>
      </c>
      <c r="H4784" s="69">
        <v>-0.5</v>
      </c>
    </row>
    <row r="4785" spans="6:8">
      <c r="F4785" s="68" t="s">
        <v>136</v>
      </c>
      <c r="G4785" s="67" t="s">
        <v>346</v>
      </c>
      <c r="H4785" s="69">
        <v>-0.9</v>
      </c>
    </row>
    <row r="4786" spans="6:8">
      <c r="F4786" s="68" t="s">
        <v>258</v>
      </c>
      <c r="G4786" s="67" t="s">
        <v>346</v>
      </c>
      <c r="H4786" s="69">
        <v>0.1</v>
      </c>
    </row>
    <row r="4787" spans="6:8">
      <c r="F4787" s="68" t="s">
        <v>257</v>
      </c>
      <c r="G4787" s="67" t="s">
        <v>346</v>
      </c>
      <c r="H4787" s="69">
        <v>0.88</v>
      </c>
    </row>
    <row r="4788" spans="6:8">
      <c r="F4788" s="68" t="s">
        <v>135</v>
      </c>
      <c r="G4788" s="67" t="s">
        <v>346</v>
      </c>
      <c r="H4788" s="69">
        <v>-0.35</v>
      </c>
    </row>
    <row r="4789" spans="6:8">
      <c r="F4789" s="68" t="s">
        <v>134</v>
      </c>
      <c r="G4789" s="67" t="s">
        <v>346</v>
      </c>
      <c r="H4789" s="69">
        <v>-0.8</v>
      </c>
    </row>
    <row r="4790" spans="6:8">
      <c r="F4790" s="68" t="s">
        <v>256</v>
      </c>
      <c r="G4790" s="67" t="s">
        <v>346</v>
      </c>
      <c r="H4790" s="69">
        <v>0.67</v>
      </c>
    </row>
    <row r="4791" spans="6:8">
      <c r="F4791" s="68" t="s">
        <v>133</v>
      </c>
      <c r="G4791" s="67" t="s">
        <v>346</v>
      </c>
      <c r="H4791" s="69">
        <v>-0.35</v>
      </c>
    </row>
    <row r="4792" spans="6:8">
      <c r="F4792" s="68" t="s">
        <v>132</v>
      </c>
      <c r="G4792" s="67" t="s">
        <v>346</v>
      </c>
      <c r="H4792" s="69">
        <v>-0.75</v>
      </c>
    </row>
    <row r="4793" spans="6:8">
      <c r="F4793" s="68" t="s">
        <v>303</v>
      </c>
      <c r="G4793" s="67" t="s">
        <v>346</v>
      </c>
      <c r="H4793" s="69">
        <v>18</v>
      </c>
    </row>
    <row r="4794" spans="6:8">
      <c r="F4794" s="68" t="s">
        <v>255</v>
      </c>
      <c r="G4794" s="67" t="s">
        <v>346</v>
      </c>
      <c r="H4794" s="69">
        <v>0.47</v>
      </c>
    </row>
    <row r="4795" spans="6:8">
      <c r="F4795" s="68" t="s">
        <v>131</v>
      </c>
      <c r="G4795" s="67" t="s">
        <v>346</v>
      </c>
      <c r="H4795" s="69">
        <v>-0.35</v>
      </c>
    </row>
    <row r="4796" spans="6:8">
      <c r="F4796" s="68" t="s">
        <v>130</v>
      </c>
      <c r="G4796" s="67" t="s">
        <v>346</v>
      </c>
      <c r="H4796" s="69">
        <v>-0.8</v>
      </c>
    </row>
    <row r="4797" spans="6:8">
      <c r="F4797" s="68" t="s">
        <v>304</v>
      </c>
      <c r="G4797" s="67" t="s">
        <v>346</v>
      </c>
      <c r="H4797" s="69">
        <v>16.75</v>
      </c>
    </row>
    <row r="4798" spans="6:8">
      <c r="F4798" s="68" t="s">
        <v>254</v>
      </c>
      <c r="G4798" s="67" t="s">
        <v>346</v>
      </c>
      <c r="H4798" s="69">
        <v>0.33</v>
      </c>
    </row>
    <row r="4799" spans="6:8">
      <c r="F4799" s="68" t="s">
        <v>129</v>
      </c>
      <c r="G4799" s="67" t="s">
        <v>346</v>
      </c>
      <c r="H4799" s="69">
        <v>-0.25</v>
      </c>
    </row>
    <row r="4800" spans="6:8">
      <c r="F4800" s="68" t="s">
        <v>128</v>
      </c>
      <c r="G4800" s="67" t="s">
        <v>346</v>
      </c>
      <c r="H4800" s="69">
        <v>-0.5</v>
      </c>
    </row>
    <row r="4801" spans="6:8">
      <c r="F4801" s="68" t="s">
        <v>315</v>
      </c>
      <c r="G4801" s="67" t="s">
        <v>346</v>
      </c>
      <c r="H4801" s="69">
        <v>-0.8</v>
      </c>
    </row>
    <row r="4802" spans="6:8">
      <c r="F4802" s="68" t="s">
        <v>253</v>
      </c>
      <c r="G4802" s="67" t="s">
        <v>346</v>
      </c>
      <c r="H4802" s="69">
        <v>0.24</v>
      </c>
    </row>
    <row r="4803" spans="6:8">
      <c r="F4803" s="68" t="s">
        <v>127</v>
      </c>
      <c r="G4803" s="67" t="s">
        <v>346</v>
      </c>
      <c r="H4803" s="69">
        <v>-0.15</v>
      </c>
    </row>
    <row r="4804" spans="6:8">
      <c r="F4804" s="68" t="s">
        <v>126</v>
      </c>
      <c r="G4804" s="67" t="s">
        <v>346</v>
      </c>
      <c r="H4804" s="69">
        <v>-0.55000000000000004</v>
      </c>
    </row>
    <row r="4805" spans="6:8">
      <c r="F4805" s="68" t="s">
        <v>125</v>
      </c>
      <c r="G4805" s="67" t="s">
        <v>346</v>
      </c>
      <c r="H4805" s="69">
        <v>-0.95</v>
      </c>
    </row>
    <row r="4806" spans="6:8">
      <c r="F4806" s="68" t="s">
        <v>314</v>
      </c>
      <c r="G4806" s="67" t="s">
        <v>346</v>
      </c>
      <c r="H4806" s="69">
        <v>-0.85</v>
      </c>
    </row>
    <row r="4807" spans="6:8">
      <c r="F4807" s="68" t="s">
        <v>252</v>
      </c>
      <c r="G4807" s="67" t="s">
        <v>346</v>
      </c>
      <c r="H4807" s="69">
        <v>0.2</v>
      </c>
    </row>
    <row r="4808" spans="6:8">
      <c r="F4808" s="68" t="s">
        <v>124</v>
      </c>
      <c r="G4808" s="67" t="s">
        <v>346</v>
      </c>
      <c r="H4808" s="69">
        <v>-0.7</v>
      </c>
    </row>
    <row r="4809" spans="6:8">
      <c r="F4809" s="68" t="s">
        <v>123</v>
      </c>
      <c r="G4809" s="67" t="s">
        <v>346</v>
      </c>
      <c r="H4809" s="69">
        <v>-0.55000000000000004</v>
      </c>
    </row>
    <row r="4810" spans="6:8">
      <c r="F4810" s="68" t="s">
        <v>122</v>
      </c>
      <c r="G4810" s="67" t="s">
        <v>346</v>
      </c>
      <c r="H4810" s="69">
        <v>-0.85</v>
      </c>
    </row>
    <row r="4811" spans="6:8">
      <c r="F4811" s="68" t="s">
        <v>251</v>
      </c>
      <c r="G4811" s="67" t="s">
        <v>346</v>
      </c>
      <c r="H4811" s="69">
        <v>0.16</v>
      </c>
    </row>
    <row r="4812" spans="6:8">
      <c r="F4812" s="68" t="s">
        <v>121</v>
      </c>
      <c r="G4812" s="67" t="s">
        <v>346</v>
      </c>
      <c r="H4812" s="69">
        <v>-0.75</v>
      </c>
    </row>
    <row r="4813" spans="6:8">
      <c r="F4813" s="68" t="s">
        <v>120</v>
      </c>
      <c r="G4813" s="67" t="s">
        <v>346</v>
      </c>
      <c r="H4813" s="69">
        <v>-0.5</v>
      </c>
    </row>
    <row r="4814" spans="6:8">
      <c r="F4814" s="68" t="s">
        <v>119</v>
      </c>
      <c r="G4814" s="67" t="s">
        <v>346</v>
      </c>
      <c r="H4814" s="69">
        <v>-0.85</v>
      </c>
    </row>
    <row r="4815" spans="6:8">
      <c r="F4815" s="68" t="s">
        <v>119</v>
      </c>
      <c r="G4815" s="67" t="s">
        <v>347</v>
      </c>
      <c r="H4815" s="69">
        <v>-0.8</v>
      </c>
    </row>
    <row r="4816" spans="6:8">
      <c r="F4816" s="68" t="s">
        <v>120</v>
      </c>
      <c r="G4816" s="67" t="s">
        <v>347</v>
      </c>
      <c r="H4816" s="69">
        <v>-0.5</v>
      </c>
    </row>
    <row r="4817" spans="6:8">
      <c r="F4817" s="68" t="s">
        <v>121</v>
      </c>
      <c r="G4817" s="67" t="s">
        <v>347</v>
      </c>
      <c r="H4817" s="69">
        <v>-0.7</v>
      </c>
    </row>
    <row r="4818" spans="6:8">
      <c r="F4818" s="68" t="s">
        <v>251</v>
      </c>
      <c r="G4818" s="67" t="s">
        <v>347</v>
      </c>
      <c r="H4818" s="69">
        <v>0.16</v>
      </c>
    </row>
    <row r="4819" spans="6:8">
      <c r="F4819" s="68" t="s">
        <v>122</v>
      </c>
      <c r="G4819" s="67" t="s">
        <v>347</v>
      </c>
      <c r="H4819" s="69">
        <v>-0.8</v>
      </c>
    </row>
    <row r="4820" spans="6:8">
      <c r="F4820" s="68" t="s">
        <v>123</v>
      </c>
      <c r="G4820" s="67" t="s">
        <v>347</v>
      </c>
      <c r="H4820" s="69">
        <v>-0.55000000000000004</v>
      </c>
    </row>
    <row r="4821" spans="6:8">
      <c r="F4821" s="68" t="s">
        <v>124</v>
      </c>
      <c r="G4821" s="67" t="s">
        <v>347</v>
      </c>
      <c r="H4821" s="69">
        <v>-0.6</v>
      </c>
    </row>
    <row r="4822" spans="6:8">
      <c r="F4822" s="68" t="s">
        <v>252</v>
      </c>
      <c r="G4822" s="67" t="s">
        <v>347</v>
      </c>
      <c r="H4822" s="69">
        <v>0.2</v>
      </c>
    </row>
    <row r="4823" spans="6:8">
      <c r="F4823" s="68" t="s">
        <v>314</v>
      </c>
      <c r="G4823" s="67" t="s">
        <v>347</v>
      </c>
      <c r="H4823" s="69">
        <v>-0.8</v>
      </c>
    </row>
    <row r="4824" spans="6:8">
      <c r="F4824" s="68" t="s">
        <v>125</v>
      </c>
      <c r="G4824" s="67" t="s">
        <v>347</v>
      </c>
      <c r="H4824" s="69">
        <v>-0.9</v>
      </c>
    </row>
    <row r="4825" spans="6:8">
      <c r="F4825" s="68" t="s">
        <v>126</v>
      </c>
      <c r="G4825" s="67" t="s">
        <v>347</v>
      </c>
      <c r="H4825" s="69">
        <v>-0.55000000000000004</v>
      </c>
    </row>
    <row r="4826" spans="6:8">
      <c r="F4826" s="68" t="s">
        <v>127</v>
      </c>
      <c r="G4826" s="67" t="s">
        <v>347</v>
      </c>
      <c r="H4826" s="69">
        <v>-0.15</v>
      </c>
    </row>
    <row r="4827" spans="6:8">
      <c r="F4827" s="68" t="s">
        <v>253</v>
      </c>
      <c r="G4827" s="67" t="s">
        <v>347</v>
      </c>
      <c r="H4827" s="69">
        <v>0.24</v>
      </c>
    </row>
    <row r="4828" spans="6:8">
      <c r="F4828" s="68" t="s">
        <v>315</v>
      </c>
      <c r="G4828" s="67" t="s">
        <v>347</v>
      </c>
      <c r="H4828" s="69">
        <v>-0.75</v>
      </c>
    </row>
    <row r="4829" spans="6:8">
      <c r="F4829" s="68" t="s">
        <v>128</v>
      </c>
      <c r="G4829" s="67" t="s">
        <v>347</v>
      </c>
      <c r="H4829" s="69">
        <v>-0.5</v>
      </c>
    </row>
    <row r="4830" spans="6:8">
      <c r="F4830" s="68" t="s">
        <v>129</v>
      </c>
      <c r="G4830" s="67" t="s">
        <v>347</v>
      </c>
      <c r="H4830" s="69">
        <v>-0.25</v>
      </c>
    </row>
    <row r="4831" spans="6:8">
      <c r="F4831" s="68" t="s">
        <v>254</v>
      </c>
      <c r="G4831" s="67" t="s">
        <v>347</v>
      </c>
      <c r="H4831" s="69">
        <v>0.34</v>
      </c>
    </row>
    <row r="4832" spans="6:8">
      <c r="F4832" s="68" t="s">
        <v>304</v>
      </c>
      <c r="G4832" s="67" t="s">
        <v>347</v>
      </c>
      <c r="H4832" s="69">
        <v>16.875</v>
      </c>
    </row>
    <row r="4833" spans="6:8">
      <c r="F4833" s="68" t="s">
        <v>130</v>
      </c>
      <c r="G4833" s="67" t="s">
        <v>347</v>
      </c>
      <c r="H4833" s="69">
        <v>-0.75</v>
      </c>
    </row>
    <row r="4834" spans="6:8">
      <c r="F4834" s="68" t="s">
        <v>131</v>
      </c>
      <c r="G4834" s="67" t="s">
        <v>347</v>
      </c>
      <c r="H4834" s="69">
        <v>-0.35</v>
      </c>
    </row>
    <row r="4835" spans="6:8">
      <c r="F4835" s="68" t="s">
        <v>255</v>
      </c>
      <c r="G4835" s="67" t="s">
        <v>347</v>
      </c>
      <c r="H4835" s="69">
        <v>0.48</v>
      </c>
    </row>
    <row r="4836" spans="6:8">
      <c r="F4836" s="68" t="s">
        <v>303</v>
      </c>
      <c r="G4836" s="67" t="s">
        <v>347</v>
      </c>
      <c r="H4836" s="69">
        <v>18.25</v>
      </c>
    </row>
    <row r="4837" spans="6:8">
      <c r="F4837" s="68" t="s">
        <v>132</v>
      </c>
      <c r="G4837" s="67" t="s">
        <v>347</v>
      </c>
      <c r="H4837" s="69">
        <v>-0.7</v>
      </c>
    </row>
    <row r="4838" spans="6:8">
      <c r="F4838" s="68" t="s">
        <v>133</v>
      </c>
      <c r="G4838" s="67" t="s">
        <v>347</v>
      </c>
      <c r="H4838" s="69">
        <v>-0.35</v>
      </c>
    </row>
    <row r="4839" spans="6:8">
      <c r="F4839" s="68" t="s">
        <v>256</v>
      </c>
      <c r="G4839" s="67" t="s">
        <v>347</v>
      </c>
      <c r="H4839" s="69">
        <v>0.68</v>
      </c>
    </row>
    <row r="4840" spans="6:8">
      <c r="F4840" s="68" t="s">
        <v>134</v>
      </c>
      <c r="G4840" s="67" t="s">
        <v>347</v>
      </c>
      <c r="H4840" s="69">
        <v>-0.75</v>
      </c>
    </row>
    <row r="4841" spans="6:8">
      <c r="F4841" s="68" t="s">
        <v>135</v>
      </c>
      <c r="G4841" s="67" t="s">
        <v>347</v>
      </c>
      <c r="H4841" s="69">
        <v>-0.35</v>
      </c>
    </row>
    <row r="4842" spans="6:8">
      <c r="F4842" s="68" t="s">
        <v>257</v>
      </c>
      <c r="G4842" s="67" t="s">
        <v>347</v>
      </c>
      <c r="H4842" s="69">
        <v>0.89</v>
      </c>
    </row>
    <row r="4843" spans="6:8">
      <c r="F4843" s="68" t="s">
        <v>258</v>
      </c>
      <c r="G4843" s="67" t="s">
        <v>347</v>
      </c>
      <c r="H4843" s="69">
        <v>0.1</v>
      </c>
    </row>
    <row r="4844" spans="6:8">
      <c r="F4844" s="68" t="s">
        <v>136</v>
      </c>
      <c r="G4844" s="67" t="s">
        <v>347</v>
      </c>
      <c r="H4844" s="69">
        <v>-0.85</v>
      </c>
    </row>
    <row r="4845" spans="6:8">
      <c r="F4845" s="68" t="s">
        <v>137</v>
      </c>
      <c r="G4845" s="67" t="s">
        <v>347</v>
      </c>
      <c r="H4845" s="69">
        <v>-0.5</v>
      </c>
    </row>
    <row r="4846" spans="6:8">
      <c r="F4846" s="68" t="s">
        <v>138</v>
      </c>
      <c r="G4846" s="67" t="s">
        <v>347</v>
      </c>
      <c r="H4846" s="69">
        <v>-0.75</v>
      </c>
    </row>
    <row r="4847" spans="6:8">
      <c r="F4847" s="68" t="s">
        <v>259</v>
      </c>
      <c r="G4847" s="67" t="s">
        <v>347</v>
      </c>
      <c r="H4847" s="69">
        <v>0.14000000000000001</v>
      </c>
    </row>
    <row r="4848" spans="6:8">
      <c r="F4848" s="68" t="s">
        <v>259</v>
      </c>
      <c r="G4848" s="67" t="s">
        <v>348</v>
      </c>
      <c r="H4848" s="69">
        <v>0.14000000000000001</v>
      </c>
    </row>
    <row r="4849" spans="6:8">
      <c r="F4849" s="68" t="s">
        <v>138</v>
      </c>
      <c r="G4849" s="67" t="s">
        <v>348</v>
      </c>
      <c r="H4849" s="69">
        <v>-0.75</v>
      </c>
    </row>
    <row r="4850" spans="6:8">
      <c r="F4850" s="68" t="s">
        <v>137</v>
      </c>
      <c r="G4850" s="67" t="s">
        <v>348</v>
      </c>
      <c r="H4850" s="69">
        <v>-0.5</v>
      </c>
    </row>
    <row r="4851" spans="6:8">
      <c r="F4851" s="68" t="s">
        <v>136</v>
      </c>
      <c r="G4851" s="67" t="s">
        <v>348</v>
      </c>
      <c r="H4851" s="69">
        <v>-0.85</v>
      </c>
    </row>
    <row r="4852" spans="6:8">
      <c r="F4852" s="68" t="s">
        <v>258</v>
      </c>
      <c r="G4852" s="67" t="s">
        <v>348</v>
      </c>
      <c r="H4852" s="69">
        <v>0.1</v>
      </c>
    </row>
    <row r="4853" spans="6:8">
      <c r="F4853" s="68" t="s">
        <v>257</v>
      </c>
      <c r="G4853" s="67" t="s">
        <v>348</v>
      </c>
      <c r="H4853" s="69">
        <v>0.89</v>
      </c>
    </row>
    <row r="4854" spans="6:8">
      <c r="F4854" s="68" t="s">
        <v>135</v>
      </c>
      <c r="G4854" s="67" t="s">
        <v>348</v>
      </c>
      <c r="H4854" s="69">
        <v>-0.35</v>
      </c>
    </row>
    <row r="4855" spans="6:8">
      <c r="F4855" s="68" t="s">
        <v>134</v>
      </c>
      <c r="G4855" s="67" t="s">
        <v>348</v>
      </c>
      <c r="H4855" s="69">
        <v>-0.75</v>
      </c>
    </row>
    <row r="4856" spans="6:8">
      <c r="F4856" s="68" t="s">
        <v>256</v>
      </c>
      <c r="G4856" s="67" t="s">
        <v>348</v>
      </c>
      <c r="H4856" s="69">
        <v>0.68</v>
      </c>
    </row>
    <row r="4857" spans="6:8">
      <c r="F4857" s="68" t="s">
        <v>133</v>
      </c>
      <c r="G4857" s="67" t="s">
        <v>348</v>
      </c>
      <c r="H4857" s="69">
        <v>-0.35</v>
      </c>
    </row>
    <row r="4858" spans="6:8">
      <c r="F4858" s="68" t="s">
        <v>132</v>
      </c>
      <c r="G4858" s="67" t="s">
        <v>348</v>
      </c>
      <c r="H4858" s="69">
        <v>-0.7</v>
      </c>
    </row>
    <row r="4859" spans="6:8">
      <c r="F4859" s="68" t="s">
        <v>303</v>
      </c>
      <c r="G4859" s="67" t="s">
        <v>348</v>
      </c>
      <c r="H4859" s="69">
        <v>18.25</v>
      </c>
    </row>
    <row r="4860" spans="6:8">
      <c r="F4860" s="68" t="s">
        <v>255</v>
      </c>
      <c r="G4860" s="67" t="s">
        <v>348</v>
      </c>
      <c r="H4860" s="69">
        <v>0.48</v>
      </c>
    </row>
    <row r="4861" spans="6:8">
      <c r="F4861" s="68" t="s">
        <v>131</v>
      </c>
      <c r="G4861" s="67" t="s">
        <v>348</v>
      </c>
      <c r="H4861" s="69">
        <v>-0.35</v>
      </c>
    </row>
    <row r="4862" spans="6:8">
      <c r="F4862" s="68" t="s">
        <v>130</v>
      </c>
      <c r="G4862" s="67" t="s">
        <v>348</v>
      </c>
      <c r="H4862" s="69">
        <v>-0.75</v>
      </c>
    </row>
    <row r="4863" spans="6:8">
      <c r="F4863" s="68" t="s">
        <v>304</v>
      </c>
      <c r="G4863" s="67" t="s">
        <v>348</v>
      </c>
      <c r="H4863" s="69">
        <v>16.875</v>
      </c>
    </row>
    <row r="4864" spans="6:8">
      <c r="F4864" s="68" t="s">
        <v>254</v>
      </c>
      <c r="G4864" s="67" t="s">
        <v>348</v>
      </c>
      <c r="H4864" s="69">
        <v>0.34</v>
      </c>
    </row>
    <row r="4865" spans="6:8">
      <c r="F4865" s="68" t="s">
        <v>129</v>
      </c>
      <c r="G4865" s="67" t="s">
        <v>348</v>
      </c>
      <c r="H4865" s="69">
        <v>-0.25</v>
      </c>
    </row>
    <row r="4866" spans="6:8">
      <c r="F4866" s="68" t="s">
        <v>128</v>
      </c>
      <c r="G4866" s="67" t="s">
        <v>348</v>
      </c>
      <c r="H4866" s="69">
        <v>-0.5</v>
      </c>
    </row>
    <row r="4867" spans="6:8">
      <c r="F4867" s="68" t="s">
        <v>315</v>
      </c>
      <c r="G4867" s="67" t="s">
        <v>348</v>
      </c>
      <c r="H4867" s="69">
        <v>-0.75</v>
      </c>
    </row>
    <row r="4868" spans="6:8">
      <c r="F4868" s="68" t="s">
        <v>253</v>
      </c>
      <c r="G4868" s="67" t="s">
        <v>348</v>
      </c>
      <c r="H4868" s="69">
        <v>0.24</v>
      </c>
    </row>
    <row r="4869" spans="6:8">
      <c r="F4869" s="68" t="s">
        <v>127</v>
      </c>
      <c r="G4869" s="67" t="s">
        <v>348</v>
      </c>
      <c r="H4869" s="69">
        <v>-0.15</v>
      </c>
    </row>
    <row r="4870" spans="6:8">
      <c r="F4870" s="68" t="s">
        <v>126</v>
      </c>
      <c r="G4870" s="67" t="s">
        <v>348</v>
      </c>
      <c r="H4870" s="69">
        <v>-0.55000000000000004</v>
      </c>
    </row>
    <row r="4871" spans="6:8">
      <c r="F4871" s="68" t="s">
        <v>125</v>
      </c>
      <c r="G4871" s="67" t="s">
        <v>348</v>
      </c>
      <c r="H4871" s="69">
        <v>-0.9</v>
      </c>
    </row>
    <row r="4872" spans="6:8">
      <c r="F4872" s="68" t="s">
        <v>314</v>
      </c>
      <c r="G4872" s="67" t="s">
        <v>348</v>
      </c>
      <c r="H4872" s="69">
        <v>-0.8</v>
      </c>
    </row>
    <row r="4873" spans="6:8">
      <c r="F4873" s="68" t="s">
        <v>252</v>
      </c>
      <c r="G4873" s="67" t="s">
        <v>348</v>
      </c>
      <c r="H4873" s="69">
        <v>0.2</v>
      </c>
    </row>
    <row r="4874" spans="6:8">
      <c r="F4874" s="68" t="s">
        <v>124</v>
      </c>
      <c r="G4874" s="67" t="s">
        <v>348</v>
      </c>
      <c r="H4874" s="69">
        <v>-0.6</v>
      </c>
    </row>
    <row r="4875" spans="6:8">
      <c r="F4875" s="68" t="s">
        <v>123</v>
      </c>
      <c r="G4875" s="67" t="s">
        <v>348</v>
      </c>
      <c r="H4875" s="69">
        <v>-0.55000000000000004</v>
      </c>
    </row>
    <row r="4876" spans="6:8">
      <c r="F4876" s="68" t="s">
        <v>122</v>
      </c>
      <c r="G4876" s="67" t="s">
        <v>348</v>
      </c>
      <c r="H4876" s="69">
        <v>-0.8</v>
      </c>
    </row>
    <row r="4877" spans="6:8">
      <c r="F4877" s="68" t="s">
        <v>251</v>
      </c>
      <c r="G4877" s="67" t="s">
        <v>348</v>
      </c>
      <c r="H4877" s="69">
        <v>0.16</v>
      </c>
    </row>
    <row r="4878" spans="6:8">
      <c r="F4878" s="68" t="s">
        <v>121</v>
      </c>
      <c r="G4878" s="67" t="s">
        <v>348</v>
      </c>
      <c r="H4878" s="69">
        <v>-0.7</v>
      </c>
    </row>
    <row r="4879" spans="6:8">
      <c r="F4879" s="68" t="s">
        <v>120</v>
      </c>
      <c r="G4879" s="67" t="s">
        <v>348</v>
      </c>
      <c r="H4879" s="69">
        <v>-0.5</v>
      </c>
    </row>
    <row r="4880" spans="6:8">
      <c r="F4880" s="68" t="s">
        <v>119</v>
      </c>
      <c r="G4880" s="67" t="s">
        <v>348</v>
      </c>
      <c r="H4880" s="69">
        <v>-0.8</v>
      </c>
    </row>
    <row r="4881" spans="6:8">
      <c r="F4881" s="68" t="s">
        <v>119</v>
      </c>
      <c r="G4881" s="67" t="s">
        <v>349</v>
      </c>
      <c r="H4881" s="69">
        <v>-0.8</v>
      </c>
    </row>
    <row r="4882" spans="6:8">
      <c r="F4882" s="68" t="s">
        <v>120</v>
      </c>
      <c r="G4882" s="67" t="s">
        <v>349</v>
      </c>
      <c r="H4882" s="69">
        <v>-0.5</v>
      </c>
    </row>
    <row r="4883" spans="6:8">
      <c r="F4883" s="68" t="s">
        <v>121</v>
      </c>
      <c r="G4883" s="67" t="s">
        <v>349</v>
      </c>
      <c r="H4883" s="69">
        <v>-0.7</v>
      </c>
    </row>
    <row r="4884" spans="6:8">
      <c r="F4884" s="68" t="s">
        <v>251</v>
      </c>
      <c r="G4884" s="67" t="s">
        <v>349</v>
      </c>
      <c r="H4884" s="69">
        <v>0.16</v>
      </c>
    </row>
    <row r="4885" spans="6:8">
      <c r="F4885" s="68" t="s">
        <v>122</v>
      </c>
      <c r="G4885" s="67" t="s">
        <v>349</v>
      </c>
      <c r="H4885" s="69">
        <v>-0.8</v>
      </c>
    </row>
    <row r="4886" spans="6:8">
      <c r="F4886" s="68" t="s">
        <v>123</v>
      </c>
      <c r="G4886" s="67" t="s">
        <v>349</v>
      </c>
      <c r="H4886" s="69">
        <v>-0.55000000000000004</v>
      </c>
    </row>
    <row r="4887" spans="6:8">
      <c r="F4887" s="68" t="s">
        <v>124</v>
      </c>
      <c r="G4887" s="67" t="s">
        <v>349</v>
      </c>
      <c r="H4887" s="69">
        <v>-0.6</v>
      </c>
    </row>
    <row r="4888" spans="6:8">
      <c r="F4888" s="68" t="s">
        <v>252</v>
      </c>
      <c r="G4888" s="67" t="s">
        <v>349</v>
      </c>
      <c r="H4888" s="69">
        <v>0.2</v>
      </c>
    </row>
    <row r="4889" spans="6:8">
      <c r="F4889" s="68" t="s">
        <v>314</v>
      </c>
      <c r="G4889" s="67" t="s">
        <v>349</v>
      </c>
      <c r="H4889" s="69">
        <v>-0.8</v>
      </c>
    </row>
    <row r="4890" spans="6:8">
      <c r="F4890" s="68" t="s">
        <v>125</v>
      </c>
      <c r="G4890" s="67" t="s">
        <v>349</v>
      </c>
      <c r="H4890" s="69">
        <v>-0.9</v>
      </c>
    </row>
    <row r="4891" spans="6:8">
      <c r="F4891" s="68" t="s">
        <v>126</v>
      </c>
      <c r="G4891" s="67" t="s">
        <v>349</v>
      </c>
      <c r="H4891" s="69">
        <v>-0.55000000000000004</v>
      </c>
    </row>
    <row r="4892" spans="6:8">
      <c r="F4892" s="68" t="s">
        <v>127</v>
      </c>
      <c r="G4892" s="67" t="s">
        <v>349</v>
      </c>
      <c r="H4892" s="69">
        <v>-0.15</v>
      </c>
    </row>
    <row r="4893" spans="6:8">
      <c r="F4893" s="68" t="s">
        <v>253</v>
      </c>
      <c r="G4893" s="67" t="s">
        <v>349</v>
      </c>
      <c r="H4893" s="69">
        <v>0.24</v>
      </c>
    </row>
    <row r="4894" spans="6:8">
      <c r="F4894" s="68" t="s">
        <v>315</v>
      </c>
      <c r="G4894" s="67" t="s">
        <v>349</v>
      </c>
      <c r="H4894" s="69">
        <v>-0.75</v>
      </c>
    </row>
    <row r="4895" spans="6:8">
      <c r="F4895" s="68" t="s">
        <v>128</v>
      </c>
      <c r="G4895" s="67" t="s">
        <v>349</v>
      </c>
      <c r="H4895" s="69">
        <v>-0.5</v>
      </c>
    </row>
    <row r="4896" spans="6:8">
      <c r="F4896" s="68" t="s">
        <v>129</v>
      </c>
      <c r="G4896" s="67" t="s">
        <v>349</v>
      </c>
      <c r="H4896" s="69">
        <v>-0.25</v>
      </c>
    </row>
    <row r="4897" spans="6:8">
      <c r="F4897" s="68" t="s">
        <v>254</v>
      </c>
      <c r="G4897" s="67" t="s">
        <v>349</v>
      </c>
      <c r="H4897" s="69">
        <v>0.34</v>
      </c>
    </row>
    <row r="4898" spans="6:8">
      <c r="F4898" s="68" t="s">
        <v>304</v>
      </c>
      <c r="G4898" s="67" t="s">
        <v>349</v>
      </c>
      <c r="H4898" s="69">
        <v>16.5</v>
      </c>
    </row>
    <row r="4899" spans="6:8">
      <c r="F4899" s="68" t="s">
        <v>130</v>
      </c>
      <c r="G4899" s="67" t="s">
        <v>349</v>
      </c>
      <c r="H4899" s="69">
        <v>-0.75</v>
      </c>
    </row>
    <row r="4900" spans="6:8">
      <c r="F4900" s="68" t="s">
        <v>131</v>
      </c>
      <c r="G4900" s="67" t="s">
        <v>349</v>
      </c>
      <c r="H4900" s="69">
        <v>-0.35</v>
      </c>
    </row>
    <row r="4901" spans="6:8">
      <c r="F4901" s="68" t="s">
        <v>255</v>
      </c>
      <c r="G4901" s="67" t="s">
        <v>349</v>
      </c>
      <c r="H4901" s="69">
        <v>0.48</v>
      </c>
    </row>
    <row r="4902" spans="6:8">
      <c r="F4902" s="68" t="s">
        <v>303</v>
      </c>
      <c r="G4902" s="67" t="s">
        <v>349</v>
      </c>
      <c r="H4902" s="69">
        <v>18.0625</v>
      </c>
    </row>
    <row r="4903" spans="6:8">
      <c r="F4903" s="68" t="s">
        <v>132</v>
      </c>
      <c r="G4903" s="67" t="s">
        <v>349</v>
      </c>
      <c r="H4903" s="69">
        <v>-0.7</v>
      </c>
    </row>
    <row r="4904" spans="6:8">
      <c r="F4904" s="68" t="s">
        <v>133</v>
      </c>
      <c r="G4904" s="67" t="s">
        <v>349</v>
      </c>
      <c r="H4904" s="69">
        <v>-0.35</v>
      </c>
    </row>
    <row r="4905" spans="6:8">
      <c r="F4905" s="68" t="s">
        <v>256</v>
      </c>
      <c r="G4905" s="67" t="s">
        <v>349</v>
      </c>
      <c r="H4905" s="69">
        <v>0.68</v>
      </c>
    </row>
    <row r="4906" spans="6:8">
      <c r="F4906" s="68" t="s">
        <v>134</v>
      </c>
      <c r="G4906" s="67" t="s">
        <v>349</v>
      </c>
      <c r="H4906" s="69">
        <v>-0.75</v>
      </c>
    </row>
    <row r="4907" spans="6:8">
      <c r="F4907" s="68" t="s">
        <v>135</v>
      </c>
      <c r="G4907" s="67" t="s">
        <v>349</v>
      </c>
      <c r="H4907" s="69">
        <v>-0.35</v>
      </c>
    </row>
    <row r="4908" spans="6:8">
      <c r="F4908" s="68" t="s">
        <v>257</v>
      </c>
      <c r="G4908" s="67" t="s">
        <v>349</v>
      </c>
      <c r="H4908" s="69">
        <v>0.89</v>
      </c>
    </row>
    <row r="4909" spans="6:8">
      <c r="F4909" s="68" t="s">
        <v>258</v>
      </c>
      <c r="G4909" s="67" t="s">
        <v>349</v>
      </c>
      <c r="H4909" s="69">
        <v>0.1</v>
      </c>
    </row>
    <row r="4910" spans="6:8">
      <c r="F4910" s="68" t="s">
        <v>136</v>
      </c>
      <c r="G4910" s="67" t="s">
        <v>349</v>
      </c>
      <c r="H4910" s="69">
        <v>-0.85</v>
      </c>
    </row>
    <row r="4911" spans="6:8">
      <c r="F4911" s="68" t="s">
        <v>137</v>
      </c>
      <c r="G4911" s="67" t="s">
        <v>349</v>
      </c>
      <c r="H4911" s="69">
        <v>-0.5</v>
      </c>
    </row>
    <row r="4912" spans="6:8">
      <c r="F4912" s="68" t="s">
        <v>138</v>
      </c>
      <c r="G4912" s="67" t="s">
        <v>349</v>
      </c>
      <c r="H4912" s="69">
        <v>-0.75</v>
      </c>
    </row>
    <row r="4913" spans="6:8">
      <c r="F4913" s="68" t="s">
        <v>259</v>
      </c>
      <c r="G4913" s="67" t="s">
        <v>349</v>
      </c>
      <c r="H4913" s="69">
        <v>0.14000000000000001</v>
      </c>
    </row>
    <row r="4914" spans="6:8">
      <c r="F4914" s="68" t="s">
        <v>259</v>
      </c>
      <c r="G4914" s="67" t="s">
        <v>350</v>
      </c>
      <c r="H4914" s="69">
        <v>0.14000000000000001</v>
      </c>
    </row>
    <row r="4915" spans="6:8">
      <c r="F4915" s="68" t="s">
        <v>138</v>
      </c>
      <c r="G4915" s="67" t="s">
        <v>350</v>
      </c>
      <c r="H4915" s="69">
        <v>-0.75</v>
      </c>
    </row>
    <row r="4916" spans="6:8">
      <c r="F4916" s="68" t="s">
        <v>137</v>
      </c>
      <c r="G4916" s="67" t="s">
        <v>350</v>
      </c>
      <c r="H4916" s="69">
        <v>-0.5</v>
      </c>
    </row>
    <row r="4917" spans="6:8">
      <c r="F4917" s="68" t="s">
        <v>136</v>
      </c>
      <c r="G4917" s="67" t="s">
        <v>350</v>
      </c>
      <c r="H4917" s="69">
        <v>-0.85</v>
      </c>
    </row>
    <row r="4918" spans="6:8">
      <c r="F4918" s="68" t="s">
        <v>258</v>
      </c>
      <c r="G4918" s="67" t="s">
        <v>350</v>
      </c>
      <c r="H4918" s="69">
        <v>0.1</v>
      </c>
    </row>
    <row r="4919" spans="6:8">
      <c r="F4919" s="68" t="s">
        <v>257</v>
      </c>
      <c r="G4919" s="67" t="s">
        <v>350</v>
      </c>
      <c r="H4919" s="69">
        <v>0.89</v>
      </c>
    </row>
    <row r="4920" spans="6:8">
      <c r="F4920" s="68" t="s">
        <v>135</v>
      </c>
      <c r="G4920" s="67" t="s">
        <v>350</v>
      </c>
      <c r="H4920" s="69">
        <v>-0.35</v>
      </c>
    </row>
    <row r="4921" spans="6:8">
      <c r="F4921" s="68" t="s">
        <v>134</v>
      </c>
      <c r="G4921" s="67" t="s">
        <v>350</v>
      </c>
      <c r="H4921" s="69">
        <v>-0.75</v>
      </c>
    </row>
    <row r="4922" spans="6:8">
      <c r="F4922" s="68" t="s">
        <v>256</v>
      </c>
      <c r="G4922" s="67" t="s">
        <v>350</v>
      </c>
      <c r="H4922" s="69">
        <v>0.68</v>
      </c>
    </row>
    <row r="4923" spans="6:8">
      <c r="F4923" s="68" t="s">
        <v>133</v>
      </c>
      <c r="G4923" s="67" t="s">
        <v>350</v>
      </c>
      <c r="H4923" s="69">
        <v>-0.35</v>
      </c>
    </row>
    <row r="4924" spans="6:8">
      <c r="F4924" s="68" t="s">
        <v>132</v>
      </c>
      <c r="G4924" s="67" t="s">
        <v>350</v>
      </c>
      <c r="H4924" s="69">
        <v>-0.7</v>
      </c>
    </row>
    <row r="4925" spans="6:8">
      <c r="F4925" s="68" t="s">
        <v>303</v>
      </c>
      <c r="G4925" s="67" t="s">
        <v>350</v>
      </c>
      <c r="H4925" s="69">
        <v>17.875</v>
      </c>
    </row>
    <row r="4926" spans="6:8">
      <c r="F4926" s="68" t="s">
        <v>255</v>
      </c>
      <c r="G4926" s="67" t="s">
        <v>350</v>
      </c>
      <c r="H4926" s="69">
        <v>0.48</v>
      </c>
    </row>
    <row r="4927" spans="6:8">
      <c r="F4927" s="68" t="s">
        <v>131</v>
      </c>
      <c r="G4927" s="67" t="s">
        <v>350</v>
      </c>
      <c r="H4927" s="69">
        <v>-0.35</v>
      </c>
    </row>
    <row r="4928" spans="6:8">
      <c r="F4928" s="68" t="s">
        <v>130</v>
      </c>
      <c r="G4928" s="67" t="s">
        <v>350</v>
      </c>
      <c r="H4928" s="69">
        <v>-0.75</v>
      </c>
    </row>
    <row r="4929" spans="6:8">
      <c r="F4929" s="68" t="s">
        <v>304</v>
      </c>
      <c r="G4929" s="67" t="s">
        <v>350</v>
      </c>
      <c r="H4929" s="69">
        <v>16.25</v>
      </c>
    </row>
    <row r="4930" spans="6:8">
      <c r="F4930" s="68" t="s">
        <v>254</v>
      </c>
      <c r="G4930" s="67" t="s">
        <v>350</v>
      </c>
      <c r="H4930" s="69">
        <v>0.34</v>
      </c>
    </row>
    <row r="4931" spans="6:8">
      <c r="F4931" s="68" t="s">
        <v>129</v>
      </c>
      <c r="G4931" s="67" t="s">
        <v>350</v>
      </c>
      <c r="H4931" s="69">
        <v>-0.25</v>
      </c>
    </row>
    <row r="4932" spans="6:8">
      <c r="F4932" s="68" t="s">
        <v>128</v>
      </c>
      <c r="G4932" s="67" t="s">
        <v>350</v>
      </c>
      <c r="H4932" s="69">
        <v>-0.5</v>
      </c>
    </row>
    <row r="4933" spans="6:8">
      <c r="F4933" s="68" t="s">
        <v>315</v>
      </c>
      <c r="G4933" s="67" t="s">
        <v>350</v>
      </c>
      <c r="H4933" s="69">
        <v>-0.75</v>
      </c>
    </row>
    <row r="4934" spans="6:8">
      <c r="F4934" s="68" t="s">
        <v>253</v>
      </c>
      <c r="G4934" s="67" t="s">
        <v>350</v>
      </c>
      <c r="H4934" s="69">
        <v>0.24</v>
      </c>
    </row>
    <row r="4935" spans="6:8">
      <c r="F4935" s="68" t="s">
        <v>127</v>
      </c>
      <c r="G4935" s="67" t="s">
        <v>350</v>
      </c>
      <c r="H4935" s="69">
        <v>-0.15</v>
      </c>
    </row>
    <row r="4936" spans="6:8">
      <c r="F4936" s="68" t="s">
        <v>126</v>
      </c>
      <c r="G4936" s="67" t="s">
        <v>350</v>
      </c>
      <c r="H4936" s="69">
        <v>-0.55000000000000004</v>
      </c>
    </row>
    <row r="4937" spans="6:8">
      <c r="F4937" s="68" t="s">
        <v>125</v>
      </c>
      <c r="G4937" s="67" t="s">
        <v>350</v>
      </c>
      <c r="H4937" s="69">
        <v>-0.9</v>
      </c>
    </row>
    <row r="4938" spans="6:8">
      <c r="F4938" s="68" t="s">
        <v>314</v>
      </c>
      <c r="G4938" s="67" t="s">
        <v>350</v>
      </c>
      <c r="H4938" s="69">
        <v>-0.8</v>
      </c>
    </row>
    <row r="4939" spans="6:8">
      <c r="F4939" s="68" t="s">
        <v>252</v>
      </c>
      <c r="G4939" s="67" t="s">
        <v>350</v>
      </c>
      <c r="H4939" s="69">
        <v>0.2</v>
      </c>
    </row>
    <row r="4940" spans="6:8">
      <c r="F4940" s="68" t="s">
        <v>124</v>
      </c>
      <c r="G4940" s="67" t="s">
        <v>350</v>
      </c>
      <c r="H4940" s="69">
        <v>-0.6</v>
      </c>
    </row>
    <row r="4941" spans="6:8">
      <c r="F4941" s="68" t="s">
        <v>123</v>
      </c>
      <c r="G4941" s="67" t="s">
        <v>350</v>
      </c>
      <c r="H4941" s="69">
        <v>-0.55000000000000004</v>
      </c>
    </row>
    <row r="4942" spans="6:8">
      <c r="F4942" s="68" t="s">
        <v>122</v>
      </c>
      <c r="G4942" s="67" t="s">
        <v>350</v>
      </c>
      <c r="H4942" s="69">
        <v>-0.8</v>
      </c>
    </row>
    <row r="4943" spans="6:8">
      <c r="F4943" s="68" t="s">
        <v>251</v>
      </c>
      <c r="G4943" s="67" t="s">
        <v>350</v>
      </c>
      <c r="H4943" s="69">
        <v>0.16</v>
      </c>
    </row>
    <row r="4944" spans="6:8">
      <c r="F4944" s="68" t="s">
        <v>121</v>
      </c>
      <c r="G4944" s="67" t="s">
        <v>350</v>
      </c>
      <c r="H4944" s="69">
        <v>-0.7</v>
      </c>
    </row>
    <row r="4945" spans="6:8">
      <c r="F4945" s="68" t="s">
        <v>120</v>
      </c>
      <c r="G4945" s="67" t="s">
        <v>350</v>
      </c>
      <c r="H4945" s="69">
        <v>-0.5</v>
      </c>
    </row>
    <row r="4946" spans="6:8">
      <c r="F4946" s="68" t="s">
        <v>119</v>
      </c>
      <c r="G4946" s="67" t="s">
        <v>350</v>
      </c>
      <c r="H4946" s="69">
        <v>-0.8</v>
      </c>
    </row>
    <row r="4947" spans="6:8">
      <c r="F4947" s="68" t="s">
        <v>119</v>
      </c>
      <c r="G4947" s="67" t="s">
        <v>351</v>
      </c>
      <c r="H4947" s="69">
        <v>-0.8</v>
      </c>
    </row>
    <row r="4948" spans="6:8">
      <c r="F4948" s="68" t="s">
        <v>120</v>
      </c>
      <c r="G4948" s="67" t="s">
        <v>351</v>
      </c>
      <c r="H4948" s="69">
        <v>-0.5</v>
      </c>
    </row>
    <row r="4949" spans="6:8">
      <c r="F4949" s="68" t="s">
        <v>121</v>
      </c>
      <c r="G4949" s="67" t="s">
        <v>351</v>
      </c>
      <c r="H4949" s="69">
        <v>-0.7</v>
      </c>
    </row>
    <row r="4950" spans="6:8">
      <c r="F4950" s="68" t="s">
        <v>251</v>
      </c>
      <c r="G4950" s="67" t="s">
        <v>351</v>
      </c>
      <c r="H4950" s="69">
        <v>0.16</v>
      </c>
    </row>
    <row r="4951" spans="6:8">
      <c r="F4951" s="68" t="s">
        <v>122</v>
      </c>
      <c r="G4951" s="67" t="s">
        <v>351</v>
      </c>
      <c r="H4951" s="69">
        <v>-0.8</v>
      </c>
    </row>
    <row r="4952" spans="6:8">
      <c r="F4952" s="68" t="s">
        <v>123</v>
      </c>
      <c r="G4952" s="67" t="s">
        <v>351</v>
      </c>
      <c r="H4952" s="69">
        <v>-0.55000000000000004</v>
      </c>
    </row>
    <row r="4953" spans="6:8">
      <c r="F4953" s="68" t="s">
        <v>124</v>
      </c>
      <c r="G4953" s="67" t="s">
        <v>351</v>
      </c>
      <c r="H4953" s="69">
        <v>-0.6</v>
      </c>
    </row>
    <row r="4954" spans="6:8">
      <c r="F4954" s="68" t="s">
        <v>252</v>
      </c>
      <c r="G4954" s="67" t="s">
        <v>351</v>
      </c>
      <c r="H4954" s="69">
        <v>0.2</v>
      </c>
    </row>
    <row r="4955" spans="6:8">
      <c r="F4955" s="68" t="s">
        <v>314</v>
      </c>
      <c r="G4955" s="67" t="s">
        <v>351</v>
      </c>
      <c r="H4955" s="69">
        <v>-0.8</v>
      </c>
    </row>
    <row r="4956" spans="6:8">
      <c r="F4956" s="68" t="s">
        <v>125</v>
      </c>
      <c r="G4956" s="67" t="s">
        <v>351</v>
      </c>
      <c r="H4956" s="69">
        <v>-0.9</v>
      </c>
    </row>
    <row r="4957" spans="6:8">
      <c r="F4957" s="68" t="s">
        <v>126</v>
      </c>
      <c r="G4957" s="67" t="s">
        <v>351</v>
      </c>
      <c r="H4957" s="69">
        <v>-0.55000000000000004</v>
      </c>
    </row>
    <row r="4958" spans="6:8">
      <c r="F4958" s="68" t="s">
        <v>127</v>
      </c>
      <c r="G4958" s="67" t="s">
        <v>351</v>
      </c>
      <c r="H4958" s="69">
        <v>-0.15</v>
      </c>
    </row>
    <row r="4959" spans="6:8">
      <c r="F4959" s="68" t="s">
        <v>253</v>
      </c>
      <c r="G4959" s="67" t="s">
        <v>351</v>
      </c>
      <c r="H4959" s="69">
        <v>0.24</v>
      </c>
    </row>
    <row r="4960" spans="6:8">
      <c r="F4960" s="68" t="s">
        <v>315</v>
      </c>
      <c r="G4960" s="67" t="s">
        <v>351</v>
      </c>
      <c r="H4960" s="69">
        <v>-0.75</v>
      </c>
    </row>
    <row r="4961" spans="6:8">
      <c r="F4961" s="68" t="s">
        <v>128</v>
      </c>
      <c r="G4961" s="67" t="s">
        <v>351</v>
      </c>
      <c r="H4961" s="69">
        <v>-0.5</v>
      </c>
    </row>
    <row r="4962" spans="6:8">
      <c r="F4962" s="68" t="s">
        <v>129</v>
      </c>
      <c r="G4962" s="67" t="s">
        <v>351</v>
      </c>
      <c r="H4962" s="69">
        <v>-0.25</v>
      </c>
    </row>
    <row r="4963" spans="6:8">
      <c r="F4963" s="68" t="s">
        <v>254</v>
      </c>
      <c r="G4963" s="67" t="s">
        <v>351</v>
      </c>
      <c r="H4963" s="69">
        <v>0.33</v>
      </c>
    </row>
    <row r="4964" spans="6:8">
      <c r="F4964" s="68" t="s">
        <v>304</v>
      </c>
      <c r="G4964" s="67" t="s">
        <v>351</v>
      </c>
      <c r="H4964" s="69">
        <v>16.0625</v>
      </c>
    </row>
    <row r="4965" spans="6:8">
      <c r="F4965" s="68" t="s">
        <v>130</v>
      </c>
      <c r="G4965" s="67" t="s">
        <v>351</v>
      </c>
      <c r="H4965" s="69">
        <v>-0.75</v>
      </c>
    </row>
    <row r="4966" spans="6:8">
      <c r="F4966" s="68" t="s">
        <v>131</v>
      </c>
      <c r="G4966" s="67" t="s">
        <v>351</v>
      </c>
      <c r="H4966" s="69">
        <v>-0.35</v>
      </c>
    </row>
    <row r="4967" spans="6:8">
      <c r="F4967" s="68" t="s">
        <v>255</v>
      </c>
      <c r="G4967" s="67" t="s">
        <v>351</v>
      </c>
      <c r="H4967" s="69">
        <v>0.47</v>
      </c>
    </row>
    <row r="4968" spans="6:8">
      <c r="F4968" s="68" t="s">
        <v>303</v>
      </c>
      <c r="G4968" s="67" t="s">
        <v>351</v>
      </c>
      <c r="H4968" s="69">
        <v>17.6875</v>
      </c>
    </row>
    <row r="4969" spans="6:8">
      <c r="F4969" s="68" t="s">
        <v>132</v>
      </c>
      <c r="G4969" s="67" t="s">
        <v>351</v>
      </c>
      <c r="H4969" s="69">
        <v>-0.7</v>
      </c>
    </row>
    <row r="4970" spans="6:8">
      <c r="F4970" s="68" t="s">
        <v>133</v>
      </c>
      <c r="G4970" s="67" t="s">
        <v>351</v>
      </c>
      <c r="H4970" s="69">
        <v>-0.35</v>
      </c>
    </row>
    <row r="4971" spans="6:8">
      <c r="F4971" s="68" t="s">
        <v>256</v>
      </c>
      <c r="G4971" s="67" t="s">
        <v>351</v>
      </c>
      <c r="H4971" s="69">
        <v>0.67</v>
      </c>
    </row>
    <row r="4972" spans="6:8">
      <c r="F4972" s="68" t="s">
        <v>134</v>
      </c>
      <c r="G4972" s="67" t="s">
        <v>351</v>
      </c>
      <c r="H4972" s="69">
        <v>-0.75</v>
      </c>
    </row>
    <row r="4973" spans="6:8">
      <c r="F4973" s="68" t="s">
        <v>135</v>
      </c>
      <c r="G4973" s="67" t="s">
        <v>351</v>
      </c>
      <c r="H4973" s="69">
        <v>-0.35</v>
      </c>
    </row>
    <row r="4974" spans="6:8">
      <c r="F4974" s="68" t="s">
        <v>257</v>
      </c>
      <c r="G4974" s="67" t="s">
        <v>351</v>
      </c>
      <c r="H4974" s="69">
        <v>0.88</v>
      </c>
    </row>
    <row r="4975" spans="6:8">
      <c r="F4975" s="68" t="s">
        <v>258</v>
      </c>
      <c r="G4975" s="67" t="s">
        <v>351</v>
      </c>
      <c r="H4975" s="69">
        <v>0.1</v>
      </c>
    </row>
    <row r="4976" spans="6:8">
      <c r="F4976" s="68" t="s">
        <v>136</v>
      </c>
      <c r="G4976" s="67" t="s">
        <v>351</v>
      </c>
      <c r="H4976" s="69">
        <v>-0.85</v>
      </c>
    </row>
    <row r="4977" spans="6:8">
      <c r="F4977" s="68" t="s">
        <v>137</v>
      </c>
      <c r="G4977" s="67" t="s">
        <v>351</v>
      </c>
      <c r="H4977" s="69">
        <v>-0.5</v>
      </c>
    </row>
    <row r="4978" spans="6:8">
      <c r="F4978" s="68" t="s">
        <v>138</v>
      </c>
      <c r="G4978" s="67" t="s">
        <v>351</v>
      </c>
      <c r="H4978" s="69">
        <v>-0.75</v>
      </c>
    </row>
    <row r="4979" spans="6:8">
      <c r="F4979" s="68" t="s">
        <v>259</v>
      </c>
      <c r="G4979" s="67" t="s">
        <v>351</v>
      </c>
      <c r="H4979" s="69">
        <v>0.14000000000000001</v>
      </c>
    </row>
    <row r="4980" spans="6:8">
      <c r="F4980" s="68" t="s">
        <v>259</v>
      </c>
      <c r="G4980" s="67" t="s">
        <v>352</v>
      </c>
      <c r="H4980" s="69">
        <v>0.14000000000000001</v>
      </c>
    </row>
    <row r="4981" spans="6:8">
      <c r="F4981" s="68" t="s">
        <v>138</v>
      </c>
      <c r="G4981" s="67" t="s">
        <v>352</v>
      </c>
      <c r="H4981" s="69">
        <v>-0.8</v>
      </c>
    </row>
    <row r="4982" spans="6:8">
      <c r="F4982" s="68" t="s">
        <v>137</v>
      </c>
      <c r="G4982" s="67" t="s">
        <v>352</v>
      </c>
      <c r="H4982" s="69">
        <v>-0.5</v>
      </c>
    </row>
    <row r="4983" spans="6:8">
      <c r="F4983" s="68" t="s">
        <v>136</v>
      </c>
      <c r="G4983" s="67" t="s">
        <v>352</v>
      </c>
      <c r="H4983" s="69">
        <v>-0.9</v>
      </c>
    </row>
    <row r="4984" spans="6:8">
      <c r="F4984" s="68" t="s">
        <v>258</v>
      </c>
      <c r="G4984" s="67" t="s">
        <v>352</v>
      </c>
      <c r="H4984" s="69">
        <v>0.1</v>
      </c>
    </row>
    <row r="4985" spans="6:8">
      <c r="F4985" s="68" t="s">
        <v>257</v>
      </c>
      <c r="G4985" s="67" t="s">
        <v>352</v>
      </c>
      <c r="H4985" s="69">
        <v>0.87</v>
      </c>
    </row>
    <row r="4986" spans="6:8">
      <c r="F4986" s="68" t="s">
        <v>135</v>
      </c>
      <c r="G4986" s="67" t="s">
        <v>352</v>
      </c>
      <c r="H4986" s="69">
        <v>-0.35</v>
      </c>
    </row>
    <row r="4987" spans="6:8">
      <c r="F4987" s="68" t="s">
        <v>134</v>
      </c>
      <c r="G4987" s="67" t="s">
        <v>352</v>
      </c>
      <c r="H4987" s="69">
        <v>-0.8</v>
      </c>
    </row>
    <row r="4988" spans="6:8">
      <c r="F4988" s="68" t="s">
        <v>256</v>
      </c>
      <c r="G4988" s="67" t="s">
        <v>352</v>
      </c>
      <c r="H4988" s="69">
        <v>0.66</v>
      </c>
    </row>
    <row r="4989" spans="6:8">
      <c r="F4989" s="68" t="s">
        <v>133</v>
      </c>
      <c r="G4989" s="67" t="s">
        <v>352</v>
      </c>
      <c r="H4989" s="69">
        <v>-0.35</v>
      </c>
    </row>
    <row r="4990" spans="6:8">
      <c r="F4990" s="68" t="s">
        <v>132</v>
      </c>
      <c r="G4990" s="67" t="s">
        <v>352</v>
      </c>
      <c r="H4990" s="69">
        <v>-0.75</v>
      </c>
    </row>
    <row r="4991" spans="6:8">
      <c r="F4991" s="68" t="s">
        <v>303</v>
      </c>
      <c r="G4991" s="67" t="s">
        <v>352</v>
      </c>
      <c r="H4991" s="69">
        <v>17.6875</v>
      </c>
    </row>
    <row r="4992" spans="6:8">
      <c r="F4992" s="68" t="s">
        <v>255</v>
      </c>
      <c r="G4992" s="67" t="s">
        <v>352</v>
      </c>
      <c r="H4992" s="69">
        <v>0.46</v>
      </c>
    </row>
    <row r="4993" spans="6:8">
      <c r="F4993" s="68" t="s">
        <v>131</v>
      </c>
      <c r="G4993" s="67" t="s">
        <v>352</v>
      </c>
      <c r="H4993" s="69">
        <v>-0.35</v>
      </c>
    </row>
    <row r="4994" spans="6:8">
      <c r="F4994" s="68" t="s">
        <v>130</v>
      </c>
      <c r="G4994" s="67" t="s">
        <v>352</v>
      </c>
      <c r="H4994" s="69">
        <v>-0.8</v>
      </c>
    </row>
    <row r="4995" spans="6:8">
      <c r="F4995" s="68" t="s">
        <v>304</v>
      </c>
      <c r="G4995" s="67" t="s">
        <v>352</v>
      </c>
      <c r="H4995" s="69">
        <v>16.0625</v>
      </c>
    </row>
    <row r="4996" spans="6:8">
      <c r="F4996" s="68" t="s">
        <v>254</v>
      </c>
      <c r="G4996" s="67" t="s">
        <v>352</v>
      </c>
      <c r="H4996" s="69">
        <v>0.32</v>
      </c>
    </row>
    <row r="4997" spans="6:8">
      <c r="F4997" s="68" t="s">
        <v>129</v>
      </c>
      <c r="G4997" s="67" t="s">
        <v>352</v>
      </c>
      <c r="H4997" s="69">
        <v>-0.25</v>
      </c>
    </row>
    <row r="4998" spans="6:8">
      <c r="F4998" s="68" t="s">
        <v>128</v>
      </c>
      <c r="G4998" s="67" t="s">
        <v>352</v>
      </c>
      <c r="H4998" s="69">
        <v>-0.5</v>
      </c>
    </row>
    <row r="4999" spans="6:8">
      <c r="F4999" s="68" t="s">
        <v>315</v>
      </c>
      <c r="G4999" s="67" t="s">
        <v>352</v>
      </c>
      <c r="H4999" s="69">
        <v>-0.8</v>
      </c>
    </row>
    <row r="5000" spans="6:8">
      <c r="F5000" s="68" t="s">
        <v>253</v>
      </c>
      <c r="G5000" s="67" t="s">
        <v>352</v>
      </c>
      <c r="H5000" s="69">
        <v>0.23</v>
      </c>
    </row>
    <row r="5001" spans="6:8">
      <c r="F5001" s="68" t="s">
        <v>127</v>
      </c>
      <c r="G5001" s="67" t="s">
        <v>352</v>
      </c>
      <c r="H5001" s="69">
        <v>-0.15</v>
      </c>
    </row>
    <row r="5002" spans="6:8">
      <c r="F5002" s="68" t="s">
        <v>126</v>
      </c>
      <c r="G5002" s="67" t="s">
        <v>352</v>
      </c>
      <c r="H5002" s="69">
        <v>-0.55000000000000004</v>
      </c>
    </row>
    <row r="5003" spans="6:8">
      <c r="F5003" s="68" t="s">
        <v>125</v>
      </c>
      <c r="G5003" s="67" t="s">
        <v>352</v>
      </c>
      <c r="H5003" s="69">
        <v>-0.95</v>
      </c>
    </row>
    <row r="5004" spans="6:8">
      <c r="F5004" s="68" t="s">
        <v>314</v>
      </c>
      <c r="G5004" s="67" t="s">
        <v>352</v>
      </c>
      <c r="H5004" s="69">
        <v>-0.85</v>
      </c>
    </row>
    <row r="5005" spans="6:8">
      <c r="F5005" s="68" t="s">
        <v>252</v>
      </c>
      <c r="G5005" s="67" t="s">
        <v>352</v>
      </c>
      <c r="H5005" s="69">
        <v>0.19</v>
      </c>
    </row>
    <row r="5006" spans="6:8">
      <c r="F5006" s="68" t="s">
        <v>124</v>
      </c>
      <c r="G5006" s="67" t="s">
        <v>352</v>
      </c>
      <c r="H5006" s="69">
        <v>-0.65</v>
      </c>
    </row>
    <row r="5007" spans="6:8">
      <c r="F5007" s="68" t="s">
        <v>123</v>
      </c>
      <c r="G5007" s="67" t="s">
        <v>352</v>
      </c>
      <c r="H5007" s="69">
        <v>-0.55000000000000004</v>
      </c>
    </row>
    <row r="5008" spans="6:8">
      <c r="F5008" s="68" t="s">
        <v>122</v>
      </c>
      <c r="G5008" s="67" t="s">
        <v>352</v>
      </c>
      <c r="H5008" s="69">
        <v>-0.85</v>
      </c>
    </row>
    <row r="5009" spans="6:8">
      <c r="F5009" s="68" t="s">
        <v>251</v>
      </c>
      <c r="G5009" s="67" t="s">
        <v>352</v>
      </c>
      <c r="H5009" s="69">
        <v>0.16</v>
      </c>
    </row>
    <row r="5010" spans="6:8">
      <c r="F5010" s="68" t="s">
        <v>121</v>
      </c>
      <c r="G5010" s="67" t="s">
        <v>352</v>
      </c>
      <c r="H5010" s="69">
        <v>-0.75</v>
      </c>
    </row>
    <row r="5011" spans="6:8">
      <c r="F5011" s="68" t="s">
        <v>120</v>
      </c>
      <c r="G5011" s="67" t="s">
        <v>352</v>
      </c>
      <c r="H5011" s="69">
        <v>-0.5</v>
      </c>
    </row>
    <row r="5012" spans="6:8">
      <c r="F5012" s="68" t="s">
        <v>119</v>
      </c>
      <c r="G5012" s="67" t="s">
        <v>352</v>
      </c>
      <c r="H5012" s="69">
        <v>-0.85</v>
      </c>
    </row>
    <row r="5013" spans="6:8">
      <c r="F5013" s="68" t="s">
        <v>119</v>
      </c>
      <c r="G5013" s="67" t="s">
        <v>353</v>
      </c>
      <c r="H5013" s="69">
        <v>-0.8</v>
      </c>
    </row>
    <row r="5014" spans="6:8">
      <c r="F5014" s="68" t="s">
        <v>120</v>
      </c>
      <c r="G5014" s="67" t="s">
        <v>353</v>
      </c>
      <c r="H5014" s="69">
        <v>-0.5</v>
      </c>
    </row>
    <row r="5015" spans="6:8">
      <c r="F5015" s="68" t="s">
        <v>121</v>
      </c>
      <c r="G5015" s="67" t="s">
        <v>353</v>
      </c>
      <c r="H5015" s="69">
        <v>-0.7</v>
      </c>
    </row>
    <row r="5016" spans="6:8">
      <c r="F5016" s="68" t="s">
        <v>251</v>
      </c>
      <c r="G5016" s="67" t="s">
        <v>353</v>
      </c>
      <c r="H5016" s="69">
        <v>0.16</v>
      </c>
    </row>
    <row r="5017" spans="6:8">
      <c r="F5017" s="68" t="s">
        <v>122</v>
      </c>
      <c r="G5017" s="67" t="s">
        <v>353</v>
      </c>
      <c r="H5017" s="69">
        <v>-0.8</v>
      </c>
    </row>
    <row r="5018" spans="6:8">
      <c r="F5018" s="68" t="s">
        <v>123</v>
      </c>
      <c r="G5018" s="67" t="s">
        <v>353</v>
      </c>
      <c r="H5018" s="69">
        <v>-0.55000000000000004</v>
      </c>
    </row>
    <row r="5019" spans="6:8">
      <c r="F5019" s="68" t="s">
        <v>124</v>
      </c>
      <c r="G5019" s="67" t="s">
        <v>353</v>
      </c>
      <c r="H5019" s="69">
        <v>-0.6</v>
      </c>
    </row>
    <row r="5020" spans="6:8">
      <c r="F5020" s="68" t="s">
        <v>252</v>
      </c>
      <c r="G5020" s="67" t="s">
        <v>353</v>
      </c>
      <c r="H5020" s="69">
        <v>0.19</v>
      </c>
    </row>
    <row r="5021" spans="6:8">
      <c r="F5021" s="68" t="s">
        <v>314</v>
      </c>
      <c r="G5021" s="67" t="s">
        <v>353</v>
      </c>
      <c r="H5021" s="69">
        <v>-0.8</v>
      </c>
    </row>
    <row r="5022" spans="6:8">
      <c r="F5022" s="68" t="s">
        <v>125</v>
      </c>
      <c r="G5022" s="67" t="s">
        <v>353</v>
      </c>
      <c r="H5022" s="69">
        <v>-0.9</v>
      </c>
    </row>
    <row r="5023" spans="6:8">
      <c r="F5023" s="68" t="s">
        <v>126</v>
      </c>
      <c r="G5023" s="67" t="s">
        <v>353</v>
      </c>
      <c r="H5023" s="69">
        <v>-0.55000000000000004</v>
      </c>
    </row>
    <row r="5024" spans="6:8">
      <c r="F5024" s="68" t="s">
        <v>127</v>
      </c>
      <c r="G5024" s="67" t="s">
        <v>353</v>
      </c>
      <c r="H5024" s="69">
        <v>-0.15</v>
      </c>
    </row>
    <row r="5025" spans="6:8">
      <c r="F5025" s="68" t="s">
        <v>253</v>
      </c>
      <c r="G5025" s="67" t="s">
        <v>353</v>
      </c>
      <c r="H5025" s="69">
        <v>0.23</v>
      </c>
    </row>
    <row r="5026" spans="6:8">
      <c r="F5026" s="68" t="s">
        <v>315</v>
      </c>
      <c r="G5026" s="67" t="s">
        <v>353</v>
      </c>
      <c r="H5026" s="69">
        <v>-0.75</v>
      </c>
    </row>
    <row r="5027" spans="6:8">
      <c r="F5027" s="68" t="s">
        <v>128</v>
      </c>
      <c r="G5027" s="67" t="s">
        <v>353</v>
      </c>
      <c r="H5027" s="69">
        <v>-0.5</v>
      </c>
    </row>
    <row r="5028" spans="6:8">
      <c r="F5028" s="68" t="s">
        <v>129</v>
      </c>
      <c r="G5028" s="67" t="s">
        <v>353</v>
      </c>
      <c r="H5028" s="69">
        <v>-0.25</v>
      </c>
    </row>
    <row r="5029" spans="6:8">
      <c r="F5029" s="68" t="s">
        <v>254</v>
      </c>
      <c r="G5029" s="67" t="s">
        <v>353</v>
      </c>
      <c r="H5029" s="69">
        <v>0.33</v>
      </c>
    </row>
    <row r="5030" spans="6:8">
      <c r="F5030" s="68" t="s">
        <v>304</v>
      </c>
      <c r="G5030" s="67" t="s">
        <v>353</v>
      </c>
      <c r="H5030" s="69">
        <v>16.0625</v>
      </c>
    </row>
    <row r="5031" spans="6:8">
      <c r="F5031" s="68" t="s">
        <v>130</v>
      </c>
      <c r="G5031" s="67" t="s">
        <v>353</v>
      </c>
      <c r="H5031" s="69">
        <v>-0.75</v>
      </c>
    </row>
    <row r="5032" spans="6:8">
      <c r="F5032" s="68" t="s">
        <v>131</v>
      </c>
      <c r="G5032" s="67" t="s">
        <v>353</v>
      </c>
      <c r="H5032" s="69">
        <v>-0.35</v>
      </c>
    </row>
    <row r="5033" spans="6:8">
      <c r="F5033" s="68" t="s">
        <v>255</v>
      </c>
      <c r="G5033" s="67" t="s">
        <v>353</v>
      </c>
      <c r="H5033" s="69">
        <v>0.47</v>
      </c>
    </row>
    <row r="5034" spans="6:8">
      <c r="F5034" s="68" t="s">
        <v>303</v>
      </c>
      <c r="G5034" s="67" t="s">
        <v>353</v>
      </c>
      <c r="H5034" s="69">
        <v>17.625</v>
      </c>
    </row>
    <row r="5035" spans="6:8">
      <c r="F5035" s="68" t="s">
        <v>132</v>
      </c>
      <c r="G5035" s="67" t="s">
        <v>353</v>
      </c>
      <c r="H5035" s="69">
        <v>-0.7</v>
      </c>
    </row>
    <row r="5036" spans="6:8">
      <c r="F5036" s="68" t="s">
        <v>133</v>
      </c>
      <c r="G5036" s="67" t="s">
        <v>353</v>
      </c>
      <c r="H5036" s="69">
        <v>-0.35</v>
      </c>
    </row>
    <row r="5037" spans="6:8">
      <c r="F5037" s="68" t="s">
        <v>256</v>
      </c>
      <c r="G5037" s="67" t="s">
        <v>353</v>
      </c>
      <c r="H5037" s="69">
        <v>0.67</v>
      </c>
    </row>
    <row r="5038" spans="6:8">
      <c r="F5038" s="68" t="s">
        <v>134</v>
      </c>
      <c r="G5038" s="67" t="s">
        <v>353</v>
      </c>
      <c r="H5038" s="69">
        <v>-0.75</v>
      </c>
    </row>
    <row r="5039" spans="6:8">
      <c r="F5039" s="68" t="s">
        <v>135</v>
      </c>
      <c r="G5039" s="67" t="s">
        <v>353</v>
      </c>
      <c r="H5039" s="69">
        <v>-0.35</v>
      </c>
    </row>
    <row r="5040" spans="6:8">
      <c r="F5040" s="68" t="s">
        <v>257</v>
      </c>
      <c r="G5040" s="67" t="s">
        <v>353</v>
      </c>
      <c r="H5040" s="69">
        <v>0.88</v>
      </c>
    </row>
    <row r="5041" spans="6:8">
      <c r="F5041" s="68" t="s">
        <v>258</v>
      </c>
      <c r="G5041" s="67" t="s">
        <v>353</v>
      </c>
      <c r="H5041" s="69">
        <v>0.1</v>
      </c>
    </row>
    <row r="5042" spans="6:8">
      <c r="F5042" s="68" t="s">
        <v>136</v>
      </c>
      <c r="G5042" s="67" t="s">
        <v>353</v>
      </c>
      <c r="H5042" s="69">
        <v>-0.85</v>
      </c>
    </row>
    <row r="5043" spans="6:8">
      <c r="F5043" s="68" t="s">
        <v>137</v>
      </c>
      <c r="G5043" s="67" t="s">
        <v>353</v>
      </c>
      <c r="H5043" s="69">
        <v>-0.5</v>
      </c>
    </row>
    <row r="5044" spans="6:8">
      <c r="F5044" s="68" t="s">
        <v>138</v>
      </c>
      <c r="G5044" s="67" t="s">
        <v>353</v>
      </c>
      <c r="H5044" s="69">
        <v>-0.75</v>
      </c>
    </row>
    <row r="5045" spans="6:8">
      <c r="F5045" s="68" t="s">
        <v>259</v>
      </c>
      <c r="G5045" s="67" t="s">
        <v>353</v>
      </c>
      <c r="H5045" s="69">
        <v>0.14000000000000001</v>
      </c>
    </row>
    <row r="5046" spans="6:8">
      <c r="F5046" s="68" t="s">
        <v>259</v>
      </c>
      <c r="G5046" s="67" t="s">
        <v>354</v>
      </c>
      <c r="H5046" s="69">
        <v>0.14000000000000001</v>
      </c>
    </row>
    <row r="5047" spans="6:8">
      <c r="F5047" s="68" t="s">
        <v>138</v>
      </c>
      <c r="G5047" s="67" t="s">
        <v>354</v>
      </c>
      <c r="H5047" s="69">
        <v>-0.75</v>
      </c>
    </row>
    <row r="5048" spans="6:8">
      <c r="F5048" s="68" t="s">
        <v>137</v>
      </c>
      <c r="G5048" s="67" t="s">
        <v>354</v>
      </c>
      <c r="H5048" s="69">
        <v>-0.5</v>
      </c>
    </row>
    <row r="5049" spans="6:8">
      <c r="F5049" s="68" t="s">
        <v>136</v>
      </c>
      <c r="G5049" s="67" t="s">
        <v>354</v>
      </c>
      <c r="H5049" s="69">
        <v>-0.85</v>
      </c>
    </row>
    <row r="5050" spans="6:8">
      <c r="F5050" s="68" t="s">
        <v>258</v>
      </c>
      <c r="G5050" s="67" t="s">
        <v>354</v>
      </c>
      <c r="H5050" s="69">
        <v>0.1</v>
      </c>
    </row>
    <row r="5051" spans="6:8">
      <c r="F5051" s="68" t="s">
        <v>257</v>
      </c>
      <c r="G5051" s="67" t="s">
        <v>354</v>
      </c>
      <c r="H5051" s="69">
        <v>0.88</v>
      </c>
    </row>
    <row r="5052" spans="6:8">
      <c r="F5052" s="68" t="s">
        <v>135</v>
      </c>
      <c r="G5052" s="67" t="s">
        <v>354</v>
      </c>
      <c r="H5052" s="69">
        <v>-0.35</v>
      </c>
    </row>
    <row r="5053" spans="6:8">
      <c r="F5053" s="68" t="s">
        <v>134</v>
      </c>
      <c r="G5053" s="67" t="s">
        <v>354</v>
      </c>
      <c r="H5053" s="69">
        <v>-0.75</v>
      </c>
    </row>
    <row r="5054" spans="6:8">
      <c r="F5054" s="68" t="s">
        <v>256</v>
      </c>
      <c r="G5054" s="67" t="s">
        <v>354</v>
      </c>
      <c r="H5054" s="69">
        <v>0.67</v>
      </c>
    </row>
    <row r="5055" spans="6:8">
      <c r="F5055" s="68" t="s">
        <v>133</v>
      </c>
      <c r="G5055" s="67" t="s">
        <v>354</v>
      </c>
      <c r="H5055" s="69">
        <v>-0.35</v>
      </c>
    </row>
    <row r="5056" spans="6:8">
      <c r="F5056" s="68" t="s">
        <v>132</v>
      </c>
      <c r="G5056" s="67" t="s">
        <v>354</v>
      </c>
      <c r="H5056" s="69">
        <v>-0.7</v>
      </c>
    </row>
    <row r="5057" spans="6:8">
      <c r="F5057" s="68" t="s">
        <v>303</v>
      </c>
      <c r="G5057" s="67" t="s">
        <v>354</v>
      </c>
      <c r="H5057" s="69">
        <v>18.0625</v>
      </c>
    </row>
    <row r="5058" spans="6:8">
      <c r="F5058" s="68" t="s">
        <v>255</v>
      </c>
      <c r="G5058" s="67" t="s">
        <v>354</v>
      </c>
      <c r="H5058" s="69">
        <v>0.47</v>
      </c>
    </row>
    <row r="5059" spans="6:8">
      <c r="F5059" s="68" t="s">
        <v>131</v>
      </c>
      <c r="G5059" s="67" t="s">
        <v>354</v>
      </c>
      <c r="H5059" s="69">
        <v>-0.35</v>
      </c>
    </row>
    <row r="5060" spans="6:8">
      <c r="F5060" s="68" t="s">
        <v>130</v>
      </c>
      <c r="G5060" s="67" t="s">
        <v>354</v>
      </c>
      <c r="H5060" s="69">
        <v>-0.75</v>
      </c>
    </row>
    <row r="5061" spans="6:8">
      <c r="F5061" s="68" t="s">
        <v>304</v>
      </c>
      <c r="G5061" s="67" t="s">
        <v>354</v>
      </c>
      <c r="H5061" s="69">
        <v>16.5</v>
      </c>
    </row>
    <row r="5062" spans="6:8">
      <c r="F5062" s="68" t="s">
        <v>254</v>
      </c>
      <c r="G5062" s="67" t="s">
        <v>354</v>
      </c>
      <c r="H5062" s="69">
        <v>0.33</v>
      </c>
    </row>
    <row r="5063" spans="6:8">
      <c r="F5063" s="68" t="s">
        <v>129</v>
      </c>
      <c r="G5063" s="67" t="s">
        <v>354</v>
      </c>
      <c r="H5063" s="69">
        <v>-0.25</v>
      </c>
    </row>
    <row r="5064" spans="6:8">
      <c r="F5064" s="68" t="s">
        <v>128</v>
      </c>
      <c r="G5064" s="67" t="s">
        <v>354</v>
      </c>
      <c r="H5064" s="69">
        <v>-0.5</v>
      </c>
    </row>
    <row r="5065" spans="6:8">
      <c r="F5065" s="68" t="s">
        <v>315</v>
      </c>
      <c r="G5065" s="67" t="s">
        <v>354</v>
      </c>
      <c r="H5065" s="69">
        <v>-0.75</v>
      </c>
    </row>
    <row r="5066" spans="6:8">
      <c r="F5066" s="68" t="s">
        <v>253</v>
      </c>
      <c r="G5066" s="67" t="s">
        <v>354</v>
      </c>
      <c r="H5066" s="69">
        <v>0.23</v>
      </c>
    </row>
    <row r="5067" spans="6:8">
      <c r="F5067" s="68" t="s">
        <v>127</v>
      </c>
      <c r="G5067" s="67" t="s">
        <v>354</v>
      </c>
      <c r="H5067" s="69">
        <v>-0.15</v>
      </c>
    </row>
    <row r="5068" spans="6:8">
      <c r="F5068" s="68" t="s">
        <v>126</v>
      </c>
      <c r="G5068" s="67" t="s">
        <v>354</v>
      </c>
      <c r="H5068" s="69">
        <v>-0.55000000000000004</v>
      </c>
    </row>
    <row r="5069" spans="6:8">
      <c r="F5069" s="68" t="s">
        <v>125</v>
      </c>
      <c r="G5069" s="67" t="s">
        <v>354</v>
      </c>
      <c r="H5069" s="69">
        <v>-0.9</v>
      </c>
    </row>
    <row r="5070" spans="6:8">
      <c r="F5070" s="68" t="s">
        <v>314</v>
      </c>
      <c r="G5070" s="67" t="s">
        <v>354</v>
      </c>
      <c r="H5070" s="69">
        <v>-0.8</v>
      </c>
    </row>
    <row r="5071" spans="6:8">
      <c r="F5071" s="68" t="s">
        <v>252</v>
      </c>
      <c r="G5071" s="67" t="s">
        <v>354</v>
      </c>
      <c r="H5071" s="69">
        <v>0.19</v>
      </c>
    </row>
    <row r="5072" spans="6:8">
      <c r="F5072" s="68" t="s">
        <v>124</v>
      </c>
      <c r="G5072" s="67" t="s">
        <v>354</v>
      </c>
      <c r="H5072" s="69">
        <v>-0.6</v>
      </c>
    </row>
    <row r="5073" spans="6:8">
      <c r="F5073" s="68" t="s">
        <v>123</v>
      </c>
      <c r="G5073" s="67" t="s">
        <v>354</v>
      </c>
      <c r="H5073" s="69">
        <v>-0.55000000000000004</v>
      </c>
    </row>
    <row r="5074" spans="6:8">
      <c r="F5074" s="68" t="s">
        <v>122</v>
      </c>
      <c r="G5074" s="67" t="s">
        <v>354</v>
      </c>
      <c r="H5074" s="69">
        <v>-0.8</v>
      </c>
    </row>
    <row r="5075" spans="6:8">
      <c r="F5075" s="68" t="s">
        <v>251</v>
      </c>
      <c r="G5075" s="67" t="s">
        <v>354</v>
      </c>
      <c r="H5075" s="69">
        <v>0.16</v>
      </c>
    </row>
    <row r="5076" spans="6:8">
      <c r="F5076" s="68" t="s">
        <v>121</v>
      </c>
      <c r="G5076" s="67" t="s">
        <v>354</v>
      </c>
      <c r="H5076" s="69">
        <v>-0.7</v>
      </c>
    </row>
    <row r="5077" spans="6:8">
      <c r="F5077" s="68" t="s">
        <v>120</v>
      </c>
      <c r="G5077" s="67" t="s">
        <v>354</v>
      </c>
      <c r="H5077" s="69">
        <v>-0.5</v>
      </c>
    </row>
    <row r="5078" spans="6:8">
      <c r="F5078" s="68" t="s">
        <v>119</v>
      </c>
      <c r="G5078" s="67" t="s">
        <v>354</v>
      </c>
      <c r="H5078" s="69">
        <v>-0.8</v>
      </c>
    </row>
    <row r="5079" spans="6:8">
      <c r="F5079" s="68" t="s">
        <v>119</v>
      </c>
      <c r="G5079" s="67" t="s">
        <v>355</v>
      </c>
      <c r="H5079" s="69">
        <v>-0.8</v>
      </c>
    </row>
    <row r="5080" spans="6:8">
      <c r="F5080" s="68" t="s">
        <v>120</v>
      </c>
      <c r="G5080" s="67" t="s">
        <v>355</v>
      </c>
      <c r="H5080" s="69">
        <v>-0.5</v>
      </c>
    </row>
    <row r="5081" spans="6:8">
      <c r="F5081" s="68" t="s">
        <v>121</v>
      </c>
      <c r="G5081" s="67" t="s">
        <v>355</v>
      </c>
      <c r="H5081" s="69">
        <v>-0.7</v>
      </c>
    </row>
    <row r="5082" spans="6:8">
      <c r="F5082" s="68" t="s">
        <v>251</v>
      </c>
      <c r="G5082" s="67" t="s">
        <v>355</v>
      </c>
      <c r="H5082" s="69">
        <v>0.16</v>
      </c>
    </row>
    <row r="5083" spans="6:8">
      <c r="F5083" s="68" t="s">
        <v>122</v>
      </c>
      <c r="G5083" s="67" t="s">
        <v>355</v>
      </c>
      <c r="H5083" s="69">
        <v>-0.8</v>
      </c>
    </row>
    <row r="5084" spans="6:8">
      <c r="F5084" s="68" t="s">
        <v>123</v>
      </c>
      <c r="G5084" s="67" t="s">
        <v>355</v>
      </c>
      <c r="H5084" s="69">
        <v>-0.55000000000000004</v>
      </c>
    </row>
    <row r="5085" spans="6:8">
      <c r="F5085" s="68" t="s">
        <v>124</v>
      </c>
      <c r="G5085" s="67" t="s">
        <v>355</v>
      </c>
      <c r="H5085" s="69">
        <v>-0.6</v>
      </c>
    </row>
    <row r="5086" spans="6:8">
      <c r="F5086" s="68" t="s">
        <v>252</v>
      </c>
      <c r="G5086" s="67" t="s">
        <v>355</v>
      </c>
      <c r="H5086" s="69">
        <v>0.19</v>
      </c>
    </row>
    <row r="5087" spans="6:8">
      <c r="F5087" s="68" t="s">
        <v>314</v>
      </c>
      <c r="G5087" s="67" t="s">
        <v>355</v>
      </c>
      <c r="H5087" s="69">
        <v>-0.8</v>
      </c>
    </row>
    <row r="5088" spans="6:8">
      <c r="F5088" s="68" t="s">
        <v>125</v>
      </c>
      <c r="G5088" s="67" t="s">
        <v>355</v>
      </c>
      <c r="H5088" s="69">
        <v>-0.9</v>
      </c>
    </row>
    <row r="5089" spans="6:8">
      <c r="F5089" s="68" t="s">
        <v>126</v>
      </c>
      <c r="G5089" s="67" t="s">
        <v>355</v>
      </c>
      <c r="H5089" s="69">
        <v>-0.55000000000000004</v>
      </c>
    </row>
    <row r="5090" spans="6:8">
      <c r="F5090" s="68" t="s">
        <v>127</v>
      </c>
      <c r="G5090" s="67" t="s">
        <v>355</v>
      </c>
      <c r="H5090" s="69">
        <v>-0.15</v>
      </c>
    </row>
    <row r="5091" spans="6:8">
      <c r="F5091" s="68" t="s">
        <v>253</v>
      </c>
      <c r="G5091" s="67" t="s">
        <v>355</v>
      </c>
      <c r="H5091" s="69">
        <v>0.23</v>
      </c>
    </row>
    <row r="5092" spans="6:8">
      <c r="F5092" s="68" t="s">
        <v>315</v>
      </c>
      <c r="G5092" s="67" t="s">
        <v>355</v>
      </c>
      <c r="H5092" s="69">
        <v>-0.75</v>
      </c>
    </row>
    <row r="5093" spans="6:8">
      <c r="F5093" s="68" t="s">
        <v>128</v>
      </c>
      <c r="G5093" s="67" t="s">
        <v>355</v>
      </c>
      <c r="H5093" s="69">
        <v>-0.5</v>
      </c>
    </row>
    <row r="5094" spans="6:8">
      <c r="F5094" s="68" t="s">
        <v>129</v>
      </c>
      <c r="G5094" s="67" t="s">
        <v>355</v>
      </c>
      <c r="H5094" s="69">
        <v>-0.25</v>
      </c>
    </row>
    <row r="5095" spans="6:8">
      <c r="F5095" s="68" t="s">
        <v>254</v>
      </c>
      <c r="G5095" s="67" t="s">
        <v>355</v>
      </c>
      <c r="H5095" s="69">
        <v>0.33</v>
      </c>
    </row>
    <row r="5096" spans="6:8">
      <c r="F5096" s="68" t="s">
        <v>304</v>
      </c>
      <c r="G5096" s="67" t="s">
        <v>355</v>
      </c>
      <c r="H5096" s="69">
        <v>16.4375</v>
      </c>
    </row>
    <row r="5097" spans="6:8">
      <c r="F5097" s="68" t="s">
        <v>130</v>
      </c>
      <c r="G5097" s="67" t="s">
        <v>355</v>
      </c>
      <c r="H5097" s="69">
        <v>-0.75</v>
      </c>
    </row>
    <row r="5098" spans="6:8">
      <c r="F5098" s="68" t="s">
        <v>131</v>
      </c>
      <c r="G5098" s="67" t="s">
        <v>355</v>
      </c>
      <c r="H5098" s="69">
        <v>-0.35</v>
      </c>
    </row>
    <row r="5099" spans="6:8">
      <c r="F5099" s="68" t="s">
        <v>255</v>
      </c>
      <c r="G5099" s="67" t="s">
        <v>355</v>
      </c>
      <c r="H5099" s="69">
        <v>0.47</v>
      </c>
    </row>
    <row r="5100" spans="6:8">
      <c r="F5100" s="68" t="s">
        <v>303</v>
      </c>
      <c r="G5100" s="67" t="s">
        <v>355</v>
      </c>
      <c r="H5100" s="69">
        <v>18</v>
      </c>
    </row>
    <row r="5101" spans="6:8">
      <c r="F5101" s="68" t="s">
        <v>132</v>
      </c>
      <c r="G5101" s="67" t="s">
        <v>355</v>
      </c>
      <c r="H5101" s="69">
        <v>-0.7</v>
      </c>
    </row>
    <row r="5102" spans="6:8">
      <c r="F5102" s="68" t="s">
        <v>133</v>
      </c>
      <c r="G5102" s="67" t="s">
        <v>355</v>
      </c>
      <c r="H5102" s="69">
        <v>-0.35</v>
      </c>
    </row>
    <row r="5103" spans="6:8">
      <c r="F5103" s="68" t="s">
        <v>256</v>
      </c>
      <c r="G5103" s="67" t="s">
        <v>355</v>
      </c>
      <c r="H5103" s="69">
        <v>0.67</v>
      </c>
    </row>
    <row r="5104" spans="6:8">
      <c r="F5104" s="68" t="s">
        <v>134</v>
      </c>
      <c r="G5104" s="67" t="s">
        <v>355</v>
      </c>
      <c r="H5104" s="69">
        <v>-0.75</v>
      </c>
    </row>
    <row r="5105" spans="6:8">
      <c r="F5105" s="68" t="s">
        <v>135</v>
      </c>
      <c r="G5105" s="67" t="s">
        <v>355</v>
      </c>
      <c r="H5105" s="69">
        <v>-0.35</v>
      </c>
    </row>
    <row r="5106" spans="6:8">
      <c r="F5106" s="68" t="s">
        <v>257</v>
      </c>
      <c r="G5106" s="67" t="s">
        <v>355</v>
      </c>
      <c r="H5106" s="69">
        <v>0.88</v>
      </c>
    </row>
    <row r="5107" spans="6:8">
      <c r="F5107" s="68" t="s">
        <v>258</v>
      </c>
      <c r="G5107" s="67" t="s">
        <v>355</v>
      </c>
      <c r="H5107" s="69">
        <v>0.1</v>
      </c>
    </row>
    <row r="5108" spans="6:8">
      <c r="F5108" s="68" t="s">
        <v>136</v>
      </c>
      <c r="G5108" s="67" t="s">
        <v>355</v>
      </c>
      <c r="H5108" s="69">
        <v>-0.85</v>
      </c>
    </row>
    <row r="5109" spans="6:8">
      <c r="F5109" s="68" t="s">
        <v>137</v>
      </c>
      <c r="G5109" s="67" t="s">
        <v>355</v>
      </c>
      <c r="H5109" s="69">
        <v>-0.5</v>
      </c>
    </row>
    <row r="5110" spans="6:8">
      <c r="F5110" s="68" t="s">
        <v>138</v>
      </c>
      <c r="G5110" s="67" t="s">
        <v>355</v>
      </c>
      <c r="H5110" s="69">
        <v>-0.75</v>
      </c>
    </row>
    <row r="5111" spans="6:8">
      <c r="F5111" s="68" t="s">
        <v>259</v>
      </c>
      <c r="G5111" s="67" t="s">
        <v>355</v>
      </c>
      <c r="H5111" s="69">
        <v>0.14000000000000001</v>
      </c>
    </row>
    <row r="5112" spans="6:8">
      <c r="F5112" s="68" t="s">
        <v>259</v>
      </c>
      <c r="G5112" s="67" t="s">
        <v>356</v>
      </c>
      <c r="H5112" s="69">
        <v>0.14000000000000001</v>
      </c>
    </row>
    <row r="5113" spans="6:8">
      <c r="F5113" s="68" t="s">
        <v>138</v>
      </c>
      <c r="G5113" s="67" t="s">
        <v>356</v>
      </c>
      <c r="H5113" s="69">
        <v>-0.75</v>
      </c>
    </row>
    <row r="5114" spans="6:8">
      <c r="F5114" s="68" t="s">
        <v>137</v>
      </c>
      <c r="G5114" s="67" t="s">
        <v>356</v>
      </c>
      <c r="H5114" s="69">
        <v>-0.5</v>
      </c>
    </row>
    <row r="5115" spans="6:8">
      <c r="F5115" s="68" t="s">
        <v>136</v>
      </c>
      <c r="G5115" s="67" t="s">
        <v>356</v>
      </c>
      <c r="H5115" s="69">
        <v>-0.85</v>
      </c>
    </row>
    <row r="5116" spans="6:8">
      <c r="F5116" s="68" t="s">
        <v>258</v>
      </c>
      <c r="G5116" s="67" t="s">
        <v>356</v>
      </c>
      <c r="H5116" s="69">
        <v>0.1</v>
      </c>
    </row>
    <row r="5117" spans="6:8">
      <c r="F5117" s="68" t="s">
        <v>257</v>
      </c>
      <c r="G5117" s="67" t="s">
        <v>356</v>
      </c>
      <c r="H5117" s="69">
        <v>0.88</v>
      </c>
    </row>
    <row r="5118" spans="6:8">
      <c r="F5118" s="68" t="s">
        <v>135</v>
      </c>
      <c r="G5118" s="67" t="s">
        <v>356</v>
      </c>
      <c r="H5118" s="69">
        <v>-0.35</v>
      </c>
    </row>
    <row r="5119" spans="6:8">
      <c r="F5119" s="68" t="s">
        <v>134</v>
      </c>
      <c r="G5119" s="67" t="s">
        <v>356</v>
      </c>
      <c r="H5119" s="69">
        <v>-0.75</v>
      </c>
    </row>
    <row r="5120" spans="6:8">
      <c r="F5120" s="68" t="s">
        <v>256</v>
      </c>
      <c r="G5120" s="67" t="s">
        <v>356</v>
      </c>
      <c r="H5120" s="69">
        <v>0.67</v>
      </c>
    </row>
    <row r="5121" spans="6:8">
      <c r="F5121" s="68" t="s">
        <v>133</v>
      </c>
      <c r="G5121" s="67" t="s">
        <v>356</v>
      </c>
      <c r="H5121" s="69">
        <v>-0.35</v>
      </c>
    </row>
    <row r="5122" spans="6:8">
      <c r="F5122" s="68" t="s">
        <v>132</v>
      </c>
      <c r="G5122" s="67" t="s">
        <v>356</v>
      </c>
      <c r="H5122" s="69">
        <v>-0.7</v>
      </c>
    </row>
    <row r="5123" spans="6:8">
      <c r="F5123" s="68" t="s">
        <v>303</v>
      </c>
      <c r="G5123" s="67" t="s">
        <v>356</v>
      </c>
      <c r="H5123" s="69">
        <v>18</v>
      </c>
    </row>
    <row r="5124" spans="6:8">
      <c r="F5124" s="68" t="s">
        <v>255</v>
      </c>
      <c r="G5124" s="67" t="s">
        <v>356</v>
      </c>
      <c r="H5124" s="69">
        <v>0.47</v>
      </c>
    </row>
    <row r="5125" spans="6:8">
      <c r="F5125" s="68" t="s">
        <v>131</v>
      </c>
      <c r="G5125" s="67" t="s">
        <v>356</v>
      </c>
      <c r="H5125" s="69">
        <v>-0.35</v>
      </c>
    </row>
    <row r="5126" spans="6:8">
      <c r="F5126" s="68" t="s">
        <v>130</v>
      </c>
      <c r="G5126" s="67" t="s">
        <v>356</v>
      </c>
      <c r="H5126" s="69">
        <v>-0.75</v>
      </c>
    </row>
    <row r="5127" spans="6:8">
      <c r="F5127" s="68" t="s">
        <v>304</v>
      </c>
      <c r="G5127" s="67" t="s">
        <v>356</v>
      </c>
      <c r="H5127" s="69">
        <v>16.4375</v>
      </c>
    </row>
    <row r="5128" spans="6:8">
      <c r="F5128" s="68" t="s">
        <v>254</v>
      </c>
      <c r="G5128" s="67" t="s">
        <v>356</v>
      </c>
      <c r="H5128" s="69">
        <v>0.33</v>
      </c>
    </row>
    <row r="5129" spans="6:8">
      <c r="F5129" s="68" t="s">
        <v>129</v>
      </c>
      <c r="G5129" s="67" t="s">
        <v>356</v>
      </c>
      <c r="H5129" s="69">
        <v>-0.25</v>
      </c>
    </row>
    <row r="5130" spans="6:8">
      <c r="F5130" s="68" t="s">
        <v>128</v>
      </c>
      <c r="G5130" s="67" t="s">
        <v>356</v>
      </c>
      <c r="H5130" s="69">
        <v>-0.5</v>
      </c>
    </row>
    <row r="5131" spans="6:8">
      <c r="F5131" s="68" t="s">
        <v>315</v>
      </c>
      <c r="G5131" s="67" t="s">
        <v>356</v>
      </c>
      <c r="H5131" s="69">
        <v>-0.75</v>
      </c>
    </row>
    <row r="5132" spans="6:8">
      <c r="F5132" s="68" t="s">
        <v>253</v>
      </c>
      <c r="G5132" s="67" t="s">
        <v>356</v>
      </c>
      <c r="H5132" s="69">
        <v>0.23</v>
      </c>
    </row>
    <row r="5133" spans="6:8">
      <c r="F5133" s="68" t="s">
        <v>127</v>
      </c>
      <c r="G5133" s="67" t="s">
        <v>356</v>
      </c>
      <c r="H5133" s="69">
        <v>-0.15</v>
      </c>
    </row>
    <row r="5134" spans="6:8">
      <c r="F5134" s="68" t="s">
        <v>126</v>
      </c>
      <c r="G5134" s="67" t="s">
        <v>356</v>
      </c>
      <c r="H5134" s="69">
        <v>-0.55000000000000004</v>
      </c>
    </row>
    <row r="5135" spans="6:8">
      <c r="F5135" s="68" t="s">
        <v>125</v>
      </c>
      <c r="G5135" s="67" t="s">
        <v>356</v>
      </c>
      <c r="H5135" s="69">
        <v>-0.9</v>
      </c>
    </row>
    <row r="5136" spans="6:8">
      <c r="F5136" s="68" t="s">
        <v>314</v>
      </c>
      <c r="G5136" s="67" t="s">
        <v>356</v>
      </c>
      <c r="H5136" s="69">
        <v>-0.8</v>
      </c>
    </row>
    <row r="5137" spans="6:8">
      <c r="F5137" s="68" t="s">
        <v>252</v>
      </c>
      <c r="G5137" s="67" t="s">
        <v>356</v>
      </c>
      <c r="H5137" s="69">
        <v>0.19</v>
      </c>
    </row>
    <row r="5138" spans="6:8">
      <c r="F5138" s="68" t="s">
        <v>124</v>
      </c>
      <c r="G5138" s="67" t="s">
        <v>356</v>
      </c>
      <c r="H5138" s="69">
        <v>-0.6</v>
      </c>
    </row>
    <row r="5139" spans="6:8">
      <c r="F5139" s="68" t="s">
        <v>123</v>
      </c>
      <c r="G5139" s="67" t="s">
        <v>356</v>
      </c>
      <c r="H5139" s="69">
        <v>-0.55000000000000004</v>
      </c>
    </row>
    <row r="5140" spans="6:8">
      <c r="F5140" s="68" t="s">
        <v>122</v>
      </c>
      <c r="G5140" s="67" t="s">
        <v>356</v>
      </c>
      <c r="H5140" s="69">
        <v>-0.8</v>
      </c>
    </row>
    <row r="5141" spans="6:8">
      <c r="F5141" s="68" t="s">
        <v>251</v>
      </c>
      <c r="G5141" s="67" t="s">
        <v>356</v>
      </c>
      <c r="H5141" s="69">
        <v>0.16</v>
      </c>
    </row>
    <row r="5142" spans="6:8">
      <c r="F5142" s="68" t="s">
        <v>121</v>
      </c>
      <c r="G5142" s="67" t="s">
        <v>356</v>
      </c>
      <c r="H5142" s="69">
        <v>-0.7</v>
      </c>
    </row>
    <row r="5143" spans="6:8">
      <c r="F5143" s="68" t="s">
        <v>120</v>
      </c>
      <c r="G5143" s="67" t="s">
        <v>356</v>
      </c>
      <c r="H5143" s="69">
        <v>-0.5</v>
      </c>
    </row>
    <row r="5144" spans="6:8">
      <c r="F5144" s="68" t="s">
        <v>119</v>
      </c>
      <c r="G5144" s="67" t="s">
        <v>356</v>
      </c>
      <c r="H5144" s="69">
        <v>-0.8</v>
      </c>
    </row>
    <row r="5145" spans="6:8">
      <c r="F5145" s="68" t="s">
        <v>119</v>
      </c>
      <c r="G5145" s="67" t="s">
        <v>357</v>
      </c>
      <c r="H5145" s="69">
        <v>-0.8</v>
      </c>
    </row>
    <row r="5146" spans="6:8">
      <c r="F5146" s="68" t="s">
        <v>120</v>
      </c>
      <c r="G5146" s="67" t="s">
        <v>357</v>
      </c>
      <c r="H5146" s="69">
        <v>-0.5</v>
      </c>
    </row>
    <row r="5147" spans="6:8">
      <c r="F5147" s="68" t="s">
        <v>121</v>
      </c>
      <c r="G5147" s="67" t="s">
        <v>357</v>
      </c>
      <c r="H5147" s="69">
        <v>-0.7</v>
      </c>
    </row>
    <row r="5148" spans="6:8">
      <c r="F5148" s="68" t="s">
        <v>251</v>
      </c>
      <c r="G5148" s="67" t="s">
        <v>357</v>
      </c>
      <c r="H5148" s="69">
        <v>0.14000000000000001</v>
      </c>
    </row>
    <row r="5149" spans="6:8">
      <c r="F5149" s="68" t="s">
        <v>122</v>
      </c>
      <c r="G5149" s="67" t="s">
        <v>357</v>
      </c>
      <c r="H5149" s="69">
        <v>-0.8</v>
      </c>
    </row>
    <row r="5150" spans="6:8">
      <c r="F5150" s="68" t="s">
        <v>123</v>
      </c>
      <c r="G5150" s="67" t="s">
        <v>357</v>
      </c>
      <c r="H5150" s="69">
        <v>-0.55000000000000004</v>
      </c>
    </row>
    <row r="5151" spans="6:8">
      <c r="F5151" s="68" t="s">
        <v>124</v>
      </c>
      <c r="G5151" s="67" t="s">
        <v>357</v>
      </c>
      <c r="H5151" s="69">
        <v>-0.6</v>
      </c>
    </row>
    <row r="5152" spans="6:8">
      <c r="F5152" s="68" t="s">
        <v>252</v>
      </c>
      <c r="G5152" s="67" t="s">
        <v>357</v>
      </c>
      <c r="H5152" s="69">
        <v>0.18</v>
      </c>
    </row>
    <row r="5153" spans="6:8">
      <c r="F5153" s="68" t="s">
        <v>314</v>
      </c>
      <c r="G5153" s="67" t="s">
        <v>357</v>
      </c>
      <c r="H5153" s="69">
        <v>-0.8</v>
      </c>
    </row>
    <row r="5154" spans="6:8">
      <c r="F5154" s="68" t="s">
        <v>125</v>
      </c>
      <c r="G5154" s="67" t="s">
        <v>357</v>
      </c>
      <c r="H5154" s="69">
        <v>-0.9</v>
      </c>
    </row>
    <row r="5155" spans="6:8">
      <c r="F5155" s="68" t="s">
        <v>126</v>
      </c>
      <c r="G5155" s="67" t="s">
        <v>357</v>
      </c>
      <c r="H5155" s="69">
        <v>-0.55000000000000004</v>
      </c>
    </row>
    <row r="5156" spans="6:8">
      <c r="F5156" s="68" t="s">
        <v>127</v>
      </c>
      <c r="G5156" s="67" t="s">
        <v>357</v>
      </c>
      <c r="H5156" s="69">
        <v>-0.15</v>
      </c>
    </row>
    <row r="5157" spans="6:8">
      <c r="F5157" s="68" t="s">
        <v>253</v>
      </c>
      <c r="G5157" s="67" t="s">
        <v>357</v>
      </c>
      <c r="H5157" s="69">
        <v>0.24</v>
      </c>
    </row>
    <row r="5158" spans="6:8">
      <c r="F5158" s="68" t="s">
        <v>315</v>
      </c>
      <c r="G5158" s="67" t="s">
        <v>357</v>
      </c>
      <c r="H5158" s="69">
        <v>-0.75</v>
      </c>
    </row>
    <row r="5159" spans="6:8">
      <c r="F5159" s="68" t="s">
        <v>128</v>
      </c>
      <c r="G5159" s="67" t="s">
        <v>357</v>
      </c>
      <c r="H5159" s="69">
        <v>-0.5</v>
      </c>
    </row>
    <row r="5160" spans="6:8">
      <c r="F5160" s="68" t="s">
        <v>129</v>
      </c>
      <c r="G5160" s="67" t="s">
        <v>357</v>
      </c>
      <c r="H5160" s="69">
        <v>-0.25</v>
      </c>
    </row>
    <row r="5161" spans="6:8">
      <c r="F5161" s="68" t="s">
        <v>254</v>
      </c>
      <c r="G5161" s="67" t="s">
        <v>357</v>
      </c>
      <c r="H5161" s="69">
        <v>0.33</v>
      </c>
    </row>
    <row r="5162" spans="6:8">
      <c r="F5162" s="68" t="s">
        <v>304</v>
      </c>
      <c r="G5162" s="67" t="s">
        <v>357</v>
      </c>
      <c r="H5162" s="69">
        <v>16.3125</v>
      </c>
    </row>
    <row r="5163" spans="6:8">
      <c r="F5163" s="68" t="s">
        <v>130</v>
      </c>
      <c r="G5163" s="67" t="s">
        <v>357</v>
      </c>
      <c r="H5163" s="69">
        <v>-0.75</v>
      </c>
    </row>
    <row r="5164" spans="6:8">
      <c r="F5164" s="68" t="s">
        <v>131</v>
      </c>
      <c r="G5164" s="67" t="s">
        <v>357</v>
      </c>
      <c r="H5164" s="69">
        <v>-0.35</v>
      </c>
    </row>
    <row r="5165" spans="6:8">
      <c r="F5165" s="68" t="s">
        <v>255</v>
      </c>
      <c r="G5165" s="67" t="s">
        <v>357</v>
      </c>
      <c r="H5165" s="69">
        <v>0.48</v>
      </c>
    </row>
    <row r="5166" spans="6:8">
      <c r="F5166" s="68" t="s">
        <v>303</v>
      </c>
      <c r="G5166" s="67" t="s">
        <v>357</v>
      </c>
      <c r="H5166" s="69">
        <v>17.8125</v>
      </c>
    </row>
    <row r="5167" spans="6:8">
      <c r="F5167" s="68" t="s">
        <v>132</v>
      </c>
      <c r="G5167" s="67" t="s">
        <v>357</v>
      </c>
      <c r="H5167" s="69">
        <v>-0.7</v>
      </c>
    </row>
    <row r="5168" spans="6:8">
      <c r="F5168" s="68" t="s">
        <v>133</v>
      </c>
      <c r="G5168" s="67" t="s">
        <v>357</v>
      </c>
      <c r="H5168" s="69">
        <v>-0.35</v>
      </c>
    </row>
    <row r="5169" spans="6:8">
      <c r="F5169" s="68" t="s">
        <v>256</v>
      </c>
      <c r="G5169" s="67" t="s">
        <v>357</v>
      </c>
      <c r="H5169" s="69">
        <v>0.67</v>
      </c>
    </row>
    <row r="5170" spans="6:8">
      <c r="F5170" s="68" t="s">
        <v>134</v>
      </c>
      <c r="G5170" s="67" t="s">
        <v>357</v>
      </c>
      <c r="H5170" s="69">
        <v>-0.75</v>
      </c>
    </row>
    <row r="5171" spans="6:8">
      <c r="F5171" s="68" t="s">
        <v>135</v>
      </c>
      <c r="G5171" s="67" t="s">
        <v>357</v>
      </c>
      <c r="H5171" s="69">
        <v>-0.35</v>
      </c>
    </row>
    <row r="5172" spans="6:8">
      <c r="F5172" s="68" t="s">
        <v>257</v>
      </c>
      <c r="G5172" s="67" t="s">
        <v>357</v>
      </c>
      <c r="H5172" s="69">
        <v>0.88</v>
      </c>
    </row>
    <row r="5173" spans="6:8">
      <c r="F5173" s="68" t="s">
        <v>258</v>
      </c>
      <c r="G5173" s="67" t="s">
        <v>357</v>
      </c>
      <c r="H5173" s="69">
        <v>0.1</v>
      </c>
    </row>
    <row r="5174" spans="6:8">
      <c r="F5174" s="68" t="s">
        <v>136</v>
      </c>
      <c r="G5174" s="67" t="s">
        <v>357</v>
      </c>
      <c r="H5174" s="69">
        <v>-0.85</v>
      </c>
    </row>
    <row r="5175" spans="6:8">
      <c r="F5175" s="68" t="s">
        <v>137</v>
      </c>
      <c r="G5175" s="67" t="s">
        <v>357</v>
      </c>
      <c r="H5175" s="69">
        <v>-0.5</v>
      </c>
    </row>
    <row r="5176" spans="6:8">
      <c r="F5176" s="68" t="s">
        <v>138</v>
      </c>
      <c r="G5176" s="67" t="s">
        <v>357</v>
      </c>
      <c r="H5176" s="69">
        <v>-0.75</v>
      </c>
    </row>
    <row r="5177" spans="6:8">
      <c r="F5177" s="68" t="s">
        <v>259</v>
      </c>
      <c r="G5177" s="67" t="s">
        <v>357</v>
      </c>
      <c r="H5177" s="69">
        <v>0.12</v>
      </c>
    </row>
    <row r="5178" spans="6:8">
      <c r="F5178" s="68" t="s">
        <v>259</v>
      </c>
      <c r="G5178" s="67" t="s">
        <v>358</v>
      </c>
      <c r="H5178" s="69">
        <v>0.12</v>
      </c>
    </row>
    <row r="5179" spans="6:8">
      <c r="F5179" s="68" t="s">
        <v>138</v>
      </c>
      <c r="G5179" s="67" t="s">
        <v>358</v>
      </c>
      <c r="H5179" s="69">
        <v>-0.75</v>
      </c>
    </row>
    <row r="5180" spans="6:8">
      <c r="F5180" s="68" t="s">
        <v>137</v>
      </c>
      <c r="G5180" s="67" t="s">
        <v>358</v>
      </c>
      <c r="H5180" s="69">
        <v>-0.5</v>
      </c>
    </row>
    <row r="5181" spans="6:8">
      <c r="F5181" s="68" t="s">
        <v>136</v>
      </c>
      <c r="G5181" s="67" t="s">
        <v>358</v>
      </c>
      <c r="H5181" s="69">
        <v>-0.85</v>
      </c>
    </row>
    <row r="5182" spans="6:8">
      <c r="F5182" s="68" t="s">
        <v>258</v>
      </c>
      <c r="G5182" s="67" t="s">
        <v>358</v>
      </c>
      <c r="H5182" s="69">
        <v>0.1</v>
      </c>
    </row>
    <row r="5183" spans="6:8">
      <c r="F5183" s="68" t="s">
        <v>257</v>
      </c>
      <c r="G5183" s="67" t="s">
        <v>358</v>
      </c>
      <c r="H5183" s="69">
        <v>0.88</v>
      </c>
    </row>
    <row r="5184" spans="6:8">
      <c r="F5184" s="68" t="s">
        <v>135</v>
      </c>
      <c r="G5184" s="67" t="s">
        <v>358</v>
      </c>
      <c r="H5184" s="69">
        <v>-0.35</v>
      </c>
    </row>
    <row r="5185" spans="6:8">
      <c r="F5185" s="68" t="s">
        <v>134</v>
      </c>
      <c r="G5185" s="67" t="s">
        <v>358</v>
      </c>
      <c r="H5185" s="69">
        <v>-0.75</v>
      </c>
    </row>
    <row r="5186" spans="6:8">
      <c r="F5186" s="68" t="s">
        <v>256</v>
      </c>
      <c r="G5186" s="67" t="s">
        <v>358</v>
      </c>
      <c r="H5186" s="69">
        <v>0.67</v>
      </c>
    </row>
    <row r="5187" spans="6:8">
      <c r="F5187" s="68" t="s">
        <v>133</v>
      </c>
      <c r="G5187" s="67" t="s">
        <v>358</v>
      </c>
      <c r="H5187" s="69">
        <v>-0.35</v>
      </c>
    </row>
    <row r="5188" spans="6:8">
      <c r="F5188" s="68" t="s">
        <v>132</v>
      </c>
      <c r="G5188" s="67" t="s">
        <v>358</v>
      </c>
      <c r="H5188" s="69">
        <v>-0.7</v>
      </c>
    </row>
    <row r="5189" spans="6:8">
      <c r="F5189" s="68" t="s">
        <v>303</v>
      </c>
      <c r="G5189" s="67" t="s">
        <v>358</v>
      </c>
      <c r="H5189" s="69">
        <v>17.75</v>
      </c>
    </row>
    <row r="5190" spans="6:8">
      <c r="F5190" s="68" t="s">
        <v>255</v>
      </c>
      <c r="G5190" s="67" t="s">
        <v>358</v>
      </c>
      <c r="H5190" s="69">
        <v>0.48</v>
      </c>
    </row>
    <row r="5191" spans="6:8">
      <c r="F5191" s="68" t="s">
        <v>131</v>
      </c>
      <c r="G5191" s="67" t="s">
        <v>358</v>
      </c>
      <c r="H5191" s="69">
        <v>-0.35</v>
      </c>
    </row>
    <row r="5192" spans="6:8">
      <c r="F5192" s="68" t="s">
        <v>130</v>
      </c>
      <c r="G5192" s="67" t="s">
        <v>358</v>
      </c>
      <c r="H5192" s="69">
        <v>-0.75</v>
      </c>
    </row>
    <row r="5193" spans="6:8">
      <c r="F5193" s="68" t="s">
        <v>304</v>
      </c>
      <c r="G5193" s="67" t="s">
        <v>358</v>
      </c>
      <c r="H5193" s="69">
        <v>16.25</v>
      </c>
    </row>
    <row r="5194" spans="6:8">
      <c r="F5194" s="68" t="s">
        <v>254</v>
      </c>
      <c r="G5194" s="67" t="s">
        <v>358</v>
      </c>
      <c r="H5194" s="69">
        <v>0.33</v>
      </c>
    </row>
    <row r="5195" spans="6:8">
      <c r="F5195" s="68" t="s">
        <v>129</v>
      </c>
      <c r="G5195" s="67" t="s">
        <v>358</v>
      </c>
      <c r="H5195" s="69">
        <v>-0.25</v>
      </c>
    </row>
    <row r="5196" spans="6:8">
      <c r="F5196" s="68" t="s">
        <v>128</v>
      </c>
      <c r="G5196" s="67" t="s">
        <v>358</v>
      </c>
      <c r="H5196" s="69">
        <v>-0.5</v>
      </c>
    </row>
    <row r="5197" spans="6:8">
      <c r="F5197" s="68" t="s">
        <v>315</v>
      </c>
      <c r="G5197" s="67" t="s">
        <v>358</v>
      </c>
      <c r="H5197" s="69">
        <v>-0.75</v>
      </c>
    </row>
    <row r="5198" spans="6:8">
      <c r="F5198" s="68" t="s">
        <v>253</v>
      </c>
      <c r="G5198" s="67" t="s">
        <v>358</v>
      </c>
      <c r="H5198" s="69">
        <v>0.24</v>
      </c>
    </row>
    <row r="5199" spans="6:8">
      <c r="F5199" s="68" t="s">
        <v>127</v>
      </c>
      <c r="G5199" s="67" t="s">
        <v>358</v>
      </c>
      <c r="H5199" s="69">
        <v>-0.15</v>
      </c>
    </row>
    <row r="5200" spans="6:8">
      <c r="F5200" s="68" t="s">
        <v>126</v>
      </c>
      <c r="G5200" s="67" t="s">
        <v>358</v>
      </c>
      <c r="H5200" s="69">
        <v>-0.55000000000000004</v>
      </c>
    </row>
    <row r="5201" spans="6:8">
      <c r="F5201" s="68" t="s">
        <v>125</v>
      </c>
      <c r="G5201" s="67" t="s">
        <v>358</v>
      </c>
      <c r="H5201" s="69">
        <v>-0.9</v>
      </c>
    </row>
    <row r="5202" spans="6:8">
      <c r="F5202" s="68" t="s">
        <v>314</v>
      </c>
      <c r="G5202" s="67" t="s">
        <v>358</v>
      </c>
      <c r="H5202" s="69">
        <v>-0.8</v>
      </c>
    </row>
    <row r="5203" spans="6:8">
      <c r="F5203" s="68" t="s">
        <v>252</v>
      </c>
      <c r="G5203" s="67" t="s">
        <v>358</v>
      </c>
      <c r="H5203" s="69">
        <v>0.18</v>
      </c>
    </row>
    <row r="5204" spans="6:8">
      <c r="F5204" s="68" t="s">
        <v>124</v>
      </c>
      <c r="G5204" s="67" t="s">
        <v>358</v>
      </c>
      <c r="H5204" s="69">
        <v>-0.6</v>
      </c>
    </row>
    <row r="5205" spans="6:8">
      <c r="F5205" s="68" t="s">
        <v>123</v>
      </c>
      <c r="G5205" s="67" t="s">
        <v>358</v>
      </c>
      <c r="H5205" s="69">
        <v>-0.55000000000000004</v>
      </c>
    </row>
    <row r="5206" spans="6:8">
      <c r="F5206" s="68" t="s">
        <v>122</v>
      </c>
      <c r="G5206" s="67" t="s">
        <v>358</v>
      </c>
      <c r="H5206" s="69">
        <v>-0.8</v>
      </c>
    </row>
    <row r="5207" spans="6:8">
      <c r="F5207" s="68" t="s">
        <v>251</v>
      </c>
      <c r="G5207" s="67" t="s">
        <v>358</v>
      </c>
      <c r="H5207" s="69">
        <v>0.14000000000000001</v>
      </c>
    </row>
    <row r="5208" spans="6:8">
      <c r="F5208" s="68" t="s">
        <v>121</v>
      </c>
      <c r="G5208" s="67" t="s">
        <v>358</v>
      </c>
      <c r="H5208" s="69">
        <v>-0.7</v>
      </c>
    </row>
    <row r="5209" spans="6:8">
      <c r="F5209" s="68" t="s">
        <v>120</v>
      </c>
      <c r="G5209" s="67" t="s">
        <v>358</v>
      </c>
      <c r="H5209" s="69">
        <v>-0.5</v>
      </c>
    </row>
    <row r="5210" spans="6:8">
      <c r="F5210" s="68" t="s">
        <v>119</v>
      </c>
      <c r="G5210" s="67" t="s">
        <v>358</v>
      </c>
      <c r="H5210" s="69">
        <v>-0.8</v>
      </c>
    </row>
    <row r="5211" spans="6:8">
      <c r="F5211" s="68" t="s">
        <v>119</v>
      </c>
      <c r="G5211" s="67" t="s">
        <v>359</v>
      </c>
      <c r="H5211" s="69">
        <v>-0.8</v>
      </c>
    </row>
    <row r="5212" spans="6:8">
      <c r="F5212" s="68" t="s">
        <v>120</v>
      </c>
      <c r="G5212" s="67" t="s">
        <v>359</v>
      </c>
      <c r="H5212" s="69">
        <v>-0.5</v>
      </c>
    </row>
    <row r="5213" spans="6:8">
      <c r="F5213" s="68" t="s">
        <v>121</v>
      </c>
      <c r="G5213" s="67" t="s">
        <v>359</v>
      </c>
      <c r="H5213" s="69">
        <v>-0.7</v>
      </c>
    </row>
    <row r="5214" spans="6:8">
      <c r="F5214" s="68" t="s">
        <v>251</v>
      </c>
      <c r="G5214" s="67" t="s">
        <v>359</v>
      </c>
      <c r="H5214" s="69">
        <v>0.16</v>
      </c>
    </row>
    <row r="5215" spans="6:8">
      <c r="F5215" s="68" t="s">
        <v>122</v>
      </c>
      <c r="G5215" s="67" t="s">
        <v>359</v>
      </c>
      <c r="H5215" s="69">
        <v>-0.8</v>
      </c>
    </row>
    <row r="5216" spans="6:8">
      <c r="F5216" s="68" t="s">
        <v>123</v>
      </c>
      <c r="G5216" s="67" t="s">
        <v>359</v>
      </c>
      <c r="H5216" s="69">
        <v>-0.55000000000000004</v>
      </c>
    </row>
    <row r="5217" spans="6:8">
      <c r="F5217" s="68" t="s">
        <v>124</v>
      </c>
      <c r="G5217" s="67" t="s">
        <v>359</v>
      </c>
      <c r="H5217" s="69">
        <v>-0.6</v>
      </c>
    </row>
    <row r="5218" spans="6:8">
      <c r="F5218" s="68" t="s">
        <v>252</v>
      </c>
      <c r="G5218" s="67" t="s">
        <v>359</v>
      </c>
      <c r="H5218" s="69">
        <v>0.19</v>
      </c>
    </row>
    <row r="5219" spans="6:8">
      <c r="F5219" s="68" t="s">
        <v>314</v>
      </c>
      <c r="G5219" s="67" t="s">
        <v>359</v>
      </c>
      <c r="H5219" s="69">
        <v>-0.8</v>
      </c>
    </row>
    <row r="5220" spans="6:8">
      <c r="F5220" s="68" t="s">
        <v>125</v>
      </c>
      <c r="G5220" s="67" t="s">
        <v>359</v>
      </c>
      <c r="H5220" s="69">
        <v>-0.9</v>
      </c>
    </row>
    <row r="5221" spans="6:8">
      <c r="F5221" s="68" t="s">
        <v>126</v>
      </c>
      <c r="G5221" s="67" t="s">
        <v>359</v>
      </c>
      <c r="H5221" s="69">
        <v>-0.55000000000000004</v>
      </c>
    </row>
    <row r="5222" spans="6:8">
      <c r="F5222" s="68" t="s">
        <v>127</v>
      </c>
      <c r="G5222" s="67" t="s">
        <v>359</v>
      </c>
      <c r="H5222" s="69">
        <v>-0.15</v>
      </c>
    </row>
    <row r="5223" spans="6:8">
      <c r="F5223" s="68" t="s">
        <v>253</v>
      </c>
      <c r="G5223" s="67" t="s">
        <v>359</v>
      </c>
      <c r="H5223" s="69">
        <v>0.23</v>
      </c>
    </row>
    <row r="5224" spans="6:8">
      <c r="F5224" s="68" t="s">
        <v>315</v>
      </c>
      <c r="G5224" s="67" t="s">
        <v>359</v>
      </c>
      <c r="H5224" s="69">
        <v>-0.75</v>
      </c>
    </row>
    <row r="5225" spans="6:8">
      <c r="F5225" s="68" t="s">
        <v>128</v>
      </c>
      <c r="G5225" s="67" t="s">
        <v>359</v>
      </c>
      <c r="H5225" s="69">
        <v>-0.5</v>
      </c>
    </row>
    <row r="5226" spans="6:8">
      <c r="F5226" s="68" t="s">
        <v>129</v>
      </c>
      <c r="G5226" s="67" t="s">
        <v>359</v>
      </c>
      <c r="H5226" s="69">
        <v>-0.25</v>
      </c>
    </row>
    <row r="5227" spans="6:8">
      <c r="F5227" s="68" t="s">
        <v>254</v>
      </c>
      <c r="G5227" s="67" t="s">
        <v>359</v>
      </c>
      <c r="H5227" s="69">
        <v>0.33</v>
      </c>
    </row>
    <row r="5228" spans="6:8">
      <c r="F5228" s="68" t="s">
        <v>304</v>
      </c>
      <c r="G5228" s="67" t="s">
        <v>359</v>
      </c>
      <c r="H5228" s="69">
        <v>16</v>
      </c>
    </row>
    <row r="5229" spans="6:8">
      <c r="F5229" s="68" t="s">
        <v>130</v>
      </c>
      <c r="G5229" s="67" t="s">
        <v>359</v>
      </c>
      <c r="H5229" s="69">
        <v>-0.75</v>
      </c>
    </row>
    <row r="5230" spans="6:8">
      <c r="F5230" s="68" t="s">
        <v>131</v>
      </c>
      <c r="G5230" s="67" t="s">
        <v>359</v>
      </c>
      <c r="H5230" s="69">
        <v>-0.35</v>
      </c>
    </row>
    <row r="5231" spans="6:8">
      <c r="F5231" s="68" t="s">
        <v>255</v>
      </c>
      <c r="G5231" s="67" t="s">
        <v>359</v>
      </c>
      <c r="H5231" s="69">
        <v>0.47</v>
      </c>
    </row>
    <row r="5232" spans="6:8">
      <c r="F5232" s="68" t="s">
        <v>303</v>
      </c>
      <c r="G5232" s="67" t="s">
        <v>359</v>
      </c>
      <c r="H5232" s="69">
        <v>17.375</v>
      </c>
    </row>
    <row r="5233" spans="6:8">
      <c r="F5233" s="68" t="s">
        <v>132</v>
      </c>
      <c r="G5233" s="67" t="s">
        <v>359</v>
      </c>
      <c r="H5233" s="69">
        <v>-0.7</v>
      </c>
    </row>
    <row r="5234" spans="6:8">
      <c r="F5234" s="68" t="s">
        <v>133</v>
      </c>
      <c r="G5234" s="67" t="s">
        <v>359</v>
      </c>
      <c r="H5234" s="69">
        <v>-0.35</v>
      </c>
    </row>
    <row r="5235" spans="6:8">
      <c r="F5235" s="68" t="s">
        <v>256</v>
      </c>
      <c r="G5235" s="67" t="s">
        <v>359</v>
      </c>
      <c r="H5235" s="69">
        <v>0.67</v>
      </c>
    </row>
    <row r="5236" spans="6:8">
      <c r="F5236" s="68" t="s">
        <v>134</v>
      </c>
      <c r="G5236" s="67" t="s">
        <v>359</v>
      </c>
      <c r="H5236" s="69">
        <v>-0.75</v>
      </c>
    </row>
    <row r="5237" spans="6:8">
      <c r="F5237" s="68" t="s">
        <v>135</v>
      </c>
      <c r="G5237" s="67" t="s">
        <v>359</v>
      </c>
      <c r="H5237" s="69">
        <v>-0.35</v>
      </c>
    </row>
    <row r="5238" spans="6:8">
      <c r="F5238" s="68" t="s">
        <v>257</v>
      </c>
      <c r="G5238" s="67" t="s">
        <v>359</v>
      </c>
      <c r="H5238" s="69">
        <v>0.88</v>
      </c>
    </row>
    <row r="5239" spans="6:8">
      <c r="F5239" s="68" t="s">
        <v>258</v>
      </c>
      <c r="G5239" s="67" t="s">
        <v>359</v>
      </c>
      <c r="H5239" s="69">
        <v>0.1</v>
      </c>
    </row>
    <row r="5240" spans="6:8">
      <c r="F5240" s="68" t="s">
        <v>136</v>
      </c>
      <c r="G5240" s="67" t="s">
        <v>359</v>
      </c>
      <c r="H5240" s="69">
        <v>-0.85</v>
      </c>
    </row>
    <row r="5241" spans="6:8">
      <c r="F5241" s="68" t="s">
        <v>137</v>
      </c>
      <c r="G5241" s="67" t="s">
        <v>359</v>
      </c>
      <c r="H5241" s="69">
        <v>-0.5</v>
      </c>
    </row>
    <row r="5242" spans="6:8">
      <c r="F5242" s="68" t="s">
        <v>138</v>
      </c>
      <c r="G5242" s="67" t="s">
        <v>359</v>
      </c>
      <c r="H5242" s="69">
        <v>-0.75</v>
      </c>
    </row>
    <row r="5243" spans="6:8">
      <c r="F5243" s="68" t="s">
        <v>259</v>
      </c>
      <c r="G5243" s="67" t="s">
        <v>359</v>
      </c>
      <c r="H5243" s="69">
        <v>0.14000000000000001</v>
      </c>
    </row>
    <row r="5244" spans="6:8">
      <c r="F5244" s="68" t="s">
        <v>259</v>
      </c>
      <c r="G5244" s="67" t="s">
        <v>360</v>
      </c>
      <c r="H5244" s="69">
        <v>0.14000000000000001</v>
      </c>
    </row>
    <row r="5245" spans="6:8">
      <c r="F5245" s="68" t="s">
        <v>138</v>
      </c>
      <c r="G5245" s="67" t="s">
        <v>360</v>
      </c>
      <c r="H5245" s="69">
        <v>-0.75</v>
      </c>
    </row>
    <row r="5246" spans="6:8">
      <c r="F5246" s="68" t="s">
        <v>137</v>
      </c>
      <c r="G5246" s="67" t="s">
        <v>360</v>
      </c>
      <c r="H5246" s="69">
        <v>-0.5</v>
      </c>
    </row>
    <row r="5247" spans="6:8">
      <c r="F5247" s="68" t="s">
        <v>136</v>
      </c>
      <c r="G5247" s="67" t="s">
        <v>360</v>
      </c>
      <c r="H5247" s="69">
        <v>-0.9</v>
      </c>
    </row>
    <row r="5248" spans="6:8">
      <c r="F5248" s="68" t="s">
        <v>258</v>
      </c>
      <c r="G5248" s="67" t="s">
        <v>360</v>
      </c>
      <c r="H5248" s="69">
        <v>0.1</v>
      </c>
    </row>
    <row r="5249" spans="6:8">
      <c r="F5249" s="68" t="s">
        <v>257</v>
      </c>
      <c r="G5249" s="67" t="s">
        <v>360</v>
      </c>
      <c r="H5249" s="69">
        <v>0.87</v>
      </c>
    </row>
    <row r="5250" spans="6:8">
      <c r="F5250" s="68" t="s">
        <v>135</v>
      </c>
      <c r="G5250" s="67" t="s">
        <v>360</v>
      </c>
      <c r="H5250" s="69">
        <v>-0.35</v>
      </c>
    </row>
    <row r="5251" spans="6:8">
      <c r="F5251" s="68" t="s">
        <v>134</v>
      </c>
      <c r="G5251" s="67" t="s">
        <v>360</v>
      </c>
      <c r="H5251" s="69">
        <v>-0.75</v>
      </c>
    </row>
    <row r="5252" spans="6:8">
      <c r="F5252" s="68" t="s">
        <v>256</v>
      </c>
      <c r="G5252" s="67" t="s">
        <v>360</v>
      </c>
      <c r="H5252" s="69">
        <v>0.66</v>
      </c>
    </row>
    <row r="5253" spans="6:8">
      <c r="F5253" s="68" t="s">
        <v>133</v>
      </c>
      <c r="G5253" s="67" t="s">
        <v>360</v>
      </c>
      <c r="H5253" s="69">
        <v>-0.35</v>
      </c>
    </row>
    <row r="5254" spans="6:8">
      <c r="F5254" s="68" t="s">
        <v>132</v>
      </c>
      <c r="G5254" s="67" t="s">
        <v>360</v>
      </c>
      <c r="H5254" s="69">
        <v>-0.75</v>
      </c>
    </row>
    <row r="5255" spans="6:8">
      <c r="F5255" s="68" t="s">
        <v>303</v>
      </c>
      <c r="G5255" s="67" t="s">
        <v>360</v>
      </c>
      <c r="H5255" s="69">
        <v>17.3125</v>
      </c>
    </row>
    <row r="5256" spans="6:8">
      <c r="F5256" s="68" t="s">
        <v>255</v>
      </c>
      <c r="G5256" s="67" t="s">
        <v>360</v>
      </c>
      <c r="H5256" s="69">
        <v>0.46</v>
      </c>
    </row>
    <row r="5257" spans="6:8">
      <c r="F5257" s="68" t="s">
        <v>131</v>
      </c>
      <c r="G5257" s="67" t="s">
        <v>360</v>
      </c>
      <c r="H5257" s="69">
        <v>-0.35</v>
      </c>
    </row>
    <row r="5258" spans="6:8">
      <c r="F5258" s="68" t="s">
        <v>130</v>
      </c>
      <c r="G5258" s="67" t="s">
        <v>360</v>
      </c>
      <c r="H5258" s="69">
        <v>-0.8</v>
      </c>
    </row>
    <row r="5259" spans="6:8">
      <c r="F5259" s="68" t="s">
        <v>304</v>
      </c>
      <c r="G5259" s="67" t="s">
        <v>360</v>
      </c>
      <c r="H5259" s="69">
        <v>15.875</v>
      </c>
    </row>
    <row r="5260" spans="6:8">
      <c r="F5260" s="68" t="s">
        <v>254</v>
      </c>
      <c r="G5260" s="67" t="s">
        <v>360</v>
      </c>
      <c r="H5260" s="69">
        <v>0.32</v>
      </c>
    </row>
    <row r="5261" spans="6:8">
      <c r="F5261" s="68" t="s">
        <v>129</v>
      </c>
      <c r="G5261" s="67" t="s">
        <v>360</v>
      </c>
      <c r="H5261" s="69">
        <v>-0.25</v>
      </c>
    </row>
    <row r="5262" spans="6:8">
      <c r="F5262" s="68" t="s">
        <v>128</v>
      </c>
      <c r="G5262" s="67" t="s">
        <v>360</v>
      </c>
      <c r="H5262" s="69">
        <v>-0.5</v>
      </c>
    </row>
    <row r="5263" spans="6:8">
      <c r="F5263" s="68" t="s">
        <v>315</v>
      </c>
      <c r="G5263" s="67" t="s">
        <v>360</v>
      </c>
      <c r="H5263" s="69">
        <v>-0.75</v>
      </c>
    </row>
    <row r="5264" spans="6:8">
      <c r="F5264" s="68" t="s">
        <v>253</v>
      </c>
      <c r="G5264" s="67" t="s">
        <v>360</v>
      </c>
      <c r="H5264" s="69">
        <v>0.22</v>
      </c>
    </row>
    <row r="5265" spans="6:8">
      <c r="F5265" s="68" t="s">
        <v>127</v>
      </c>
      <c r="G5265" s="67" t="s">
        <v>360</v>
      </c>
      <c r="H5265" s="69">
        <v>-0.15</v>
      </c>
    </row>
    <row r="5266" spans="6:8">
      <c r="F5266" s="68" t="s">
        <v>126</v>
      </c>
      <c r="G5266" s="67" t="s">
        <v>360</v>
      </c>
      <c r="H5266" s="69">
        <v>-0.55000000000000004</v>
      </c>
    </row>
    <row r="5267" spans="6:8">
      <c r="F5267" s="68" t="s">
        <v>125</v>
      </c>
      <c r="G5267" s="67" t="s">
        <v>360</v>
      </c>
      <c r="H5267" s="69">
        <v>-0.95</v>
      </c>
    </row>
    <row r="5268" spans="6:8">
      <c r="F5268" s="68" t="s">
        <v>314</v>
      </c>
      <c r="G5268" s="67" t="s">
        <v>360</v>
      </c>
      <c r="H5268" s="69">
        <v>-0.85</v>
      </c>
    </row>
    <row r="5269" spans="6:8">
      <c r="F5269" s="68" t="s">
        <v>252</v>
      </c>
      <c r="G5269" s="67" t="s">
        <v>360</v>
      </c>
      <c r="H5269" s="69">
        <v>0.19</v>
      </c>
    </row>
    <row r="5270" spans="6:8">
      <c r="F5270" s="68" t="s">
        <v>124</v>
      </c>
      <c r="G5270" s="67" t="s">
        <v>360</v>
      </c>
      <c r="H5270" s="69">
        <v>-0.6</v>
      </c>
    </row>
    <row r="5271" spans="6:8">
      <c r="F5271" s="68" t="s">
        <v>123</v>
      </c>
      <c r="G5271" s="67" t="s">
        <v>360</v>
      </c>
      <c r="H5271" s="69">
        <v>-0.55000000000000004</v>
      </c>
    </row>
    <row r="5272" spans="6:8">
      <c r="F5272" s="68" t="s">
        <v>122</v>
      </c>
      <c r="G5272" s="67" t="s">
        <v>360</v>
      </c>
      <c r="H5272" s="69">
        <v>-0.85</v>
      </c>
    </row>
    <row r="5273" spans="6:8">
      <c r="F5273" s="68" t="s">
        <v>251</v>
      </c>
      <c r="G5273" s="67" t="s">
        <v>360</v>
      </c>
      <c r="H5273" s="69">
        <v>0.16</v>
      </c>
    </row>
    <row r="5274" spans="6:8">
      <c r="F5274" s="68" t="s">
        <v>121</v>
      </c>
      <c r="G5274" s="67" t="s">
        <v>360</v>
      </c>
      <c r="H5274" s="69">
        <v>-0.7</v>
      </c>
    </row>
    <row r="5275" spans="6:8">
      <c r="F5275" s="68" t="s">
        <v>120</v>
      </c>
      <c r="G5275" s="67" t="s">
        <v>360</v>
      </c>
      <c r="H5275" s="69">
        <v>-0.5</v>
      </c>
    </row>
    <row r="5276" spans="6:8">
      <c r="F5276" s="68" t="s">
        <v>119</v>
      </c>
      <c r="G5276" s="67" t="s">
        <v>360</v>
      </c>
      <c r="H5276" s="69">
        <v>-0.85</v>
      </c>
    </row>
    <row r="5277" spans="6:8">
      <c r="F5277" s="68" t="s">
        <v>119</v>
      </c>
      <c r="G5277" s="67" t="s">
        <v>361</v>
      </c>
      <c r="H5277" s="69">
        <v>-0.85</v>
      </c>
    </row>
    <row r="5278" spans="6:8">
      <c r="F5278" s="68" t="s">
        <v>120</v>
      </c>
      <c r="G5278" s="67" t="s">
        <v>361</v>
      </c>
      <c r="H5278" s="69">
        <v>-0.5</v>
      </c>
    </row>
    <row r="5279" spans="6:8">
      <c r="F5279" s="68" t="s">
        <v>121</v>
      </c>
      <c r="G5279" s="67" t="s">
        <v>361</v>
      </c>
      <c r="H5279" s="69">
        <v>-0.7</v>
      </c>
    </row>
    <row r="5280" spans="6:8">
      <c r="F5280" s="68" t="s">
        <v>251</v>
      </c>
      <c r="G5280" s="67" t="s">
        <v>361</v>
      </c>
      <c r="H5280" s="69">
        <v>0.16</v>
      </c>
    </row>
    <row r="5281" spans="6:8">
      <c r="F5281" s="68" t="s">
        <v>122</v>
      </c>
      <c r="G5281" s="67" t="s">
        <v>361</v>
      </c>
      <c r="H5281" s="69">
        <v>-0.85</v>
      </c>
    </row>
    <row r="5282" spans="6:8">
      <c r="F5282" s="68" t="s">
        <v>123</v>
      </c>
      <c r="G5282" s="67" t="s">
        <v>361</v>
      </c>
      <c r="H5282" s="69">
        <v>-0.55000000000000004</v>
      </c>
    </row>
    <row r="5283" spans="6:8">
      <c r="F5283" s="68" t="s">
        <v>124</v>
      </c>
      <c r="G5283" s="67" t="s">
        <v>361</v>
      </c>
      <c r="H5283" s="69">
        <v>-0.6</v>
      </c>
    </row>
    <row r="5284" spans="6:8">
      <c r="F5284" s="68" t="s">
        <v>252</v>
      </c>
      <c r="G5284" s="67" t="s">
        <v>361</v>
      </c>
      <c r="H5284" s="69">
        <v>0.19</v>
      </c>
    </row>
    <row r="5285" spans="6:8">
      <c r="F5285" s="68" t="s">
        <v>314</v>
      </c>
      <c r="G5285" s="67" t="s">
        <v>361</v>
      </c>
      <c r="H5285" s="69">
        <v>-0.85</v>
      </c>
    </row>
    <row r="5286" spans="6:8">
      <c r="F5286" s="68" t="s">
        <v>125</v>
      </c>
      <c r="G5286" s="67" t="s">
        <v>361</v>
      </c>
      <c r="H5286" s="69">
        <v>-0.95</v>
      </c>
    </row>
    <row r="5287" spans="6:8">
      <c r="F5287" s="68" t="s">
        <v>126</v>
      </c>
      <c r="G5287" s="67" t="s">
        <v>361</v>
      </c>
      <c r="H5287" s="69">
        <v>-0.55000000000000004</v>
      </c>
    </row>
    <row r="5288" spans="6:8">
      <c r="F5288" s="68" t="s">
        <v>127</v>
      </c>
      <c r="G5288" s="67" t="s">
        <v>361</v>
      </c>
      <c r="H5288" s="69">
        <v>-0.15</v>
      </c>
    </row>
    <row r="5289" spans="6:8">
      <c r="F5289" s="68" t="s">
        <v>253</v>
      </c>
      <c r="G5289" s="67" t="s">
        <v>361</v>
      </c>
      <c r="H5289" s="69">
        <v>0.22</v>
      </c>
    </row>
    <row r="5290" spans="6:8">
      <c r="F5290" s="68" t="s">
        <v>315</v>
      </c>
      <c r="G5290" s="67" t="s">
        <v>361</v>
      </c>
      <c r="H5290" s="69">
        <v>-0.75</v>
      </c>
    </row>
    <row r="5291" spans="6:8">
      <c r="F5291" s="68" t="s">
        <v>128</v>
      </c>
      <c r="G5291" s="67" t="s">
        <v>361</v>
      </c>
      <c r="H5291" s="69">
        <v>-0.5</v>
      </c>
    </row>
    <row r="5292" spans="6:8">
      <c r="F5292" s="68" t="s">
        <v>129</v>
      </c>
      <c r="G5292" s="67" t="s">
        <v>361</v>
      </c>
      <c r="H5292" s="69">
        <v>-0.25</v>
      </c>
    </row>
    <row r="5293" spans="6:8">
      <c r="F5293" s="68" t="s">
        <v>254</v>
      </c>
      <c r="G5293" s="67" t="s">
        <v>361</v>
      </c>
      <c r="H5293" s="69">
        <v>0.32</v>
      </c>
    </row>
    <row r="5294" spans="6:8">
      <c r="F5294" s="68" t="s">
        <v>304</v>
      </c>
      <c r="G5294" s="67" t="s">
        <v>361</v>
      </c>
      <c r="H5294" s="69">
        <v>15.75</v>
      </c>
    </row>
    <row r="5295" spans="6:8">
      <c r="F5295" s="68" t="s">
        <v>130</v>
      </c>
      <c r="G5295" s="67" t="s">
        <v>361</v>
      </c>
      <c r="H5295" s="69">
        <v>-0.8</v>
      </c>
    </row>
    <row r="5296" spans="6:8">
      <c r="F5296" s="68" t="s">
        <v>131</v>
      </c>
      <c r="G5296" s="67" t="s">
        <v>361</v>
      </c>
      <c r="H5296" s="69">
        <v>-0.35</v>
      </c>
    </row>
    <row r="5297" spans="6:8">
      <c r="F5297" s="68" t="s">
        <v>255</v>
      </c>
      <c r="G5297" s="67" t="s">
        <v>361</v>
      </c>
      <c r="H5297" s="69">
        <v>0.46</v>
      </c>
    </row>
    <row r="5298" spans="6:8">
      <c r="F5298" s="68" t="s">
        <v>303</v>
      </c>
      <c r="G5298" s="67" t="s">
        <v>361</v>
      </c>
      <c r="H5298" s="69">
        <v>17.25</v>
      </c>
    </row>
    <row r="5299" spans="6:8">
      <c r="F5299" s="68" t="s">
        <v>132</v>
      </c>
      <c r="G5299" s="67" t="s">
        <v>361</v>
      </c>
      <c r="H5299" s="69">
        <v>-0.75</v>
      </c>
    </row>
    <row r="5300" spans="6:8">
      <c r="F5300" s="68" t="s">
        <v>133</v>
      </c>
      <c r="G5300" s="67" t="s">
        <v>361</v>
      </c>
      <c r="H5300" s="69">
        <v>-0.35</v>
      </c>
    </row>
    <row r="5301" spans="6:8">
      <c r="F5301" s="68" t="s">
        <v>256</v>
      </c>
      <c r="G5301" s="67" t="s">
        <v>361</v>
      </c>
      <c r="H5301" s="69">
        <v>0.66</v>
      </c>
    </row>
    <row r="5302" spans="6:8">
      <c r="F5302" s="68" t="s">
        <v>134</v>
      </c>
      <c r="G5302" s="67" t="s">
        <v>361</v>
      </c>
      <c r="H5302" s="69">
        <v>-0.75</v>
      </c>
    </row>
    <row r="5303" spans="6:8">
      <c r="F5303" s="68" t="s">
        <v>135</v>
      </c>
      <c r="G5303" s="67" t="s">
        <v>361</v>
      </c>
      <c r="H5303" s="69">
        <v>-0.35</v>
      </c>
    </row>
    <row r="5304" spans="6:8">
      <c r="F5304" s="68" t="s">
        <v>257</v>
      </c>
      <c r="G5304" s="67" t="s">
        <v>361</v>
      </c>
      <c r="H5304" s="69">
        <v>0.87</v>
      </c>
    </row>
    <row r="5305" spans="6:8">
      <c r="F5305" s="68" t="s">
        <v>258</v>
      </c>
      <c r="G5305" s="67" t="s">
        <v>361</v>
      </c>
      <c r="H5305" s="69">
        <v>0.1</v>
      </c>
    </row>
    <row r="5306" spans="6:8">
      <c r="F5306" s="68" t="s">
        <v>136</v>
      </c>
      <c r="G5306" s="67" t="s">
        <v>361</v>
      </c>
      <c r="H5306" s="69">
        <v>-0.9</v>
      </c>
    </row>
    <row r="5307" spans="6:8">
      <c r="F5307" s="68" t="s">
        <v>137</v>
      </c>
      <c r="G5307" s="67" t="s">
        <v>361</v>
      </c>
      <c r="H5307" s="69">
        <v>-0.5</v>
      </c>
    </row>
    <row r="5308" spans="6:8">
      <c r="F5308" s="68" t="s">
        <v>138</v>
      </c>
      <c r="G5308" s="67" t="s">
        <v>361</v>
      </c>
      <c r="H5308" s="69">
        <v>-0.75</v>
      </c>
    </row>
    <row r="5309" spans="6:8">
      <c r="F5309" s="68" t="s">
        <v>259</v>
      </c>
      <c r="G5309" s="67" t="s">
        <v>361</v>
      </c>
      <c r="H5309" s="69">
        <v>0.14000000000000001</v>
      </c>
    </row>
    <row r="5310" spans="6:8">
      <c r="F5310" s="68" t="s">
        <v>259</v>
      </c>
      <c r="G5310" s="67" t="s">
        <v>362</v>
      </c>
      <c r="H5310" s="69">
        <v>0.14000000000000001</v>
      </c>
    </row>
    <row r="5311" spans="6:8">
      <c r="F5311" s="68" t="s">
        <v>138</v>
      </c>
      <c r="G5311" s="67" t="s">
        <v>362</v>
      </c>
      <c r="H5311" s="69">
        <v>-0.75</v>
      </c>
    </row>
    <row r="5312" spans="6:8">
      <c r="F5312" s="68" t="s">
        <v>137</v>
      </c>
      <c r="G5312" s="67" t="s">
        <v>362</v>
      </c>
      <c r="H5312" s="69">
        <v>-0.5</v>
      </c>
    </row>
    <row r="5313" spans="6:8">
      <c r="F5313" s="68" t="s">
        <v>136</v>
      </c>
      <c r="G5313" s="67" t="s">
        <v>362</v>
      </c>
      <c r="H5313" s="69">
        <v>-0.9</v>
      </c>
    </row>
    <row r="5314" spans="6:8">
      <c r="F5314" s="68" t="s">
        <v>258</v>
      </c>
      <c r="G5314" s="67" t="s">
        <v>362</v>
      </c>
      <c r="H5314" s="69">
        <v>0.1</v>
      </c>
    </row>
    <row r="5315" spans="6:8">
      <c r="F5315" s="68" t="s">
        <v>257</v>
      </c>
      <c r="G5315" s="67" t="s">
        <v>362</v>
      </c>
      <c r="H5315" s="69">
        <v>0.87</v>
      </c>
    </row>
    <row r="5316" spans="6:8">
      <c r="F5316" s="68" t="s">
        <v>135</v>
      </c>
      <c r="G5316" s="67" t="s">
        <v>362</v>
      </c>
      <c r="H5316" s="69">
        <v>-0.35</v>
      </c>
    </row>
    <row r="5317" spans="6:8">
      <c r="F5317" s="68" t="s">
        <v>134</v>
      </c>
      <c r="G5317" s="67" t="s">
        <v>362</v>
      </c>
      <c r="H5317" s="69">
        <v>-0.75</v>
      </c>
    </row>
    <row r="5318" spans="6:8">
      <c r="F5318" s="68" t="s">
        <v>256</v>
      </c>
      <c r="G5318" s="67" t="s">
        <v>362</v>
      </c>
      <c r="H5318" s="69">
        <v>0.66</v>
      </c>
    </row>
    <row r="5319" spans="6:8">
      <c r="F5319" s="68" t="s">
        <v>133</v>
      </c>
      <c r="G5319" s="67" t="s">
        <v>362</v>
      </c>
      <c r="H5319" s="69">
        <v>-0.35</v>
      </c>
    </row>
    <row r="5320" spans="6:8">
      <c r="F5320" s="68" t="s">
        <v>132</v>
      </c>
      <c r="G5320" s="67" t="s">
        <v>362</v>
      </c>
      <c r="H5320" s="69">
        <v>-0.75</v>
      </c>
    </row>
    <row r="5321" spans="6:8">
      <c r="F5321" s="68" t="s">
        <v>303</v>
      </c>
      <c r="G5321" s="67" t="s">
        <v>362</v>
      </c>
      <c r="H5321" s="69">
        <v>17</v>
      </c>
    </row>
    <row r="5322" spans="6:8">
      <c r="F5322" s="68" t="s">
        <v>255</v>
      </c>
      <c r="G5322" s="67" t="s">
        <v>362</v>
      </c>
      <c r="H5322" s="69">
        <v>0.46</v>
      </c>
    </row>
    <row r="5323" spans="6:8">
      <c r="F5323" s="68" t="s">
        <v>131</v>
      </c>
      <c r="G5323" s="67" t="s">
        <v>362</v>
      </c>
      <c r="H5323" s="69">
        <v>-0.35</v>
      </c>
    </row>
    <row r="5324" spans="6:8">
      <c r="F5324" s="68" t="s">
        <v>130</v>
      </c>
      <c r="G5324" s="67" t="s">
        <v>362</v>
      </c>
      <c r="H5324" s="69">
        <v>-0.8</v>
      </c>
    </row>
    <row r="5325" spans="6:8">
      <c r="F5325" s="68" t="s">
        <v>304</v>
      </c>
      <c r="G5325" s="67" t="s">
        <v>362</v>
      </c>
      <c r="H5325" s="69">
        <v>15.75</v>
      </c>
    </row>
    <row r="5326" spans="6:8">
      <c r="F5326" s="68" t="s">
        <v>254</v>
      </c>
      <c r="G5326" s="67" t="s">
        <v>362</v>
      </c>
      <c r="H5326" s="69">
        <v>0.32</v>
      </c>
    </row>
    <row r="5327" spans="6:8">
      <c r="F5327" s="68" t="s">
        <v>129</v>
      </c>
      <c r="G5327" s="67" t="s">
        <v>362</v>
      </c>
      <c r="H5327" s="69">
        <v>-0.25</v>
      </c>
    </row>
    <row r="5328" spans="6:8">
      <c r="F5328" s="68" t="s">
        <v>128</v>
      </c>
      <c r="G5328" s="67" t="s">
        <v>362</v>
      </c>
      <c r="H5328" s="69">
        <v>-0.5</v>
      </c>
    </row>
    <row r="5329" spans="6:8">
      <c r="F5329" s="68" t="s">
        <v>315</v>
      </c>
      <c r="G5329" s="67" t="s">
        <v>362</v>
      </c>
      <c r="H5329" s="69">
        <v>-0.75</v>
      </c>
    </row>
    <row r="5330" spans="6:8">
      <c r="F5330" s="68" t="s">
        <v>253</v>
      </c>
      <c r="G5330" s="67" t="s">
        <v>362</v>
      </c>
      <c r="H5330" s="69">
        <v>0.22</v>
      </c>
    </row>
    <row r="5331" spans="6:8">
      <c r="F5331" s="68" t="s">
        <v>127</v>
      </c>
      <c r="G5331" s="67" t="s">
        <v>362</v>
      </c>
      <c r="H5331" s="69">
        <v>-0.15</v>
      </c>
    </row>
    <row r="5332" spans="6:8">
      <c r="F5332" s="68" t="s">
        <v>126</v>
      </c>
      <c r="G5332" s="67" t="s">
        <v>362</v>
      </c>
      <c r="H5332" s="69">
        <v>-0.55000000000000004</v>
      </c>
    </row>
    <row r="5333" spans="6:8">
      <c r="F5333" s="68" t="s">
        <v>125</v>
      </c>
      <c r="G5333" s="67" t="s">
        <v>362</v>
      </c>
      <c r="H5333" s="69">
        <v>-0.95</v>
      </c>
    </row>
    <row r="5334" spans="6:8">
      <c r="F5334" s="68" t="s">
        <v>314</v>
      </c>
      <c r="G5334" s="67" t="s">
        <v>362</v>
      </c>
      <c r="H5334" s="69">
        <v>-0.85</v>
      </c>
    </row>
    <row r="5335" spans="6:8">
      <c r="F5335" s="68" t="s">
        <v>252</v>
      </c>
      <c r="G5335" s="67" t="s">
        <v>362</v>
      </c>
      <c r="H5335" s="69">
        <v>0.19</v>
      </c>
    </row>
    <row r="5336" spans="6:8">
      <c r="F5336" s="68" t="s">
        <v>124</v>
      </c>
      <c r="G5336" s="67" t="s">
        <v>362</v>
      </c>
      <c r="H5336" s="69">
        <v>-0.6</v>
      </c>
    </row>
    <row r="5337" spans="6:8">
      <c r="F5337" s="68" t="s">
        <v>123</v>
      </c>
      <c r="G5337" s="67" t="s">
        <v>362</v>
      </c>
      <c r="H5337" s="69">
        <v>-0.55000000000000004</v>
      </c>
    </row>
    <row r="5338" spans="6:8">
      <c r="F5338" s="68" t="s">
        <v>122</v>
      </c>
      <c r="G5338" s="67" t="s">
        <v>362</v>
      </c>
      <c r="H5338" s="69">
        <v>-0.85</v>
      </c>
    </row>
    <row r="5339" spans="6:8">
      <c r="F5339" s="68" t="s">
        <v>251</v>
      </c>
      <c r="G5339" s="67" t="s">
        <v>362</v>
      </c>
      <c r="H5339" s="69">
        <v>0.16</v>
      </c>
    </row>
    <row r="5340" spans="6:8">
      <c r="F5340" s="68" t="s">
        <v>121</v>
      </c>
      <c r="G5340" s="67" t="s">
        <v>362</v>
      </c>
      <c r="H5340" s="69">
        <v>-0.7</v>
      </c>
    </row>
    <row r="5341" spans="6:8">
      <c r="F5341" s="68" t="s">
        <v>120</v>
      </c>
      <c r="G5341" s="67" t="s">
        <v>362</v>
      </c>
      <c r="H5341" s="69">
        <v>-0.5</v>
      </c>
    </row>
    <row r="5342" spans="6:8">
      <c r="F5342" s="68" t="s">
        <v>119</v>
      </c>
      <c r="G5342" s="67" t="s">
        <v>362</v>
      </c>
      <c r="H5342" s="69">
        <v>-0.85</v>
      </c>
    </row>
    <row r="5343" spans="6:8">
      <c r="F5343" s="68" t="s">
        <v>119</v>
      </c>
      <c r="G5343" s="67" t="s">
        <v>363</v>
      </c>
      <c r="H5343" s="69">
        <v>-0.9</v>
      </c>
    </row>
    <row r="5344" spans="6:8">
      <c r="F5344" s="68" t="s">
        <v>120</v>
      </c>
      <c r="G5344" s="67" t="s">
        <v>363</v>
      </c>
      <c r="H5344" s="69">
        <v>-0.5</v>
      </c>
    </row>
    <row r="5345" spans="6:8">
      <c r="F5345" s="68" t="s">
        <v>121</v>
      </c>
      <c r="G5345" s="67" t="s">
        <v>363</v>
      </c>
      <c r="H5345" s="69">
        <v>-0.75</v>
      </c>
    </row>
    <row r="5346" spans="6:8">
      <c r="F5346" s="68" t="s">
        <v>251</v>
      </c>
      <c r="G5346" s="67" t="s">
        <v>363</v>
      </c>
      <c r="H5346" s="69">
        <v>0.16</v>
      </c>
    </row>
    <row r="5347" spans="6:8">
      <c r="F5347" s="68" t="s">
        <v>122</v>
      </c>
      <c r="G5347" s="67" t="s">
        <v>363</v>
      </c>
      <c r="H5347" s="69">
        <v>-0.9</v>
      </c>
    </row>
    <row r="5348" spans="6:8">
      <c r="F5348" s="68" t="s">
        <v>123</v>
      </c>
      <c r="G5348" s="67" t="s">
        <v>363</v>
      </c>
      <c r="H5348" s="69">
        <v>-0.55000000000000004</v>
      </c>
    </row>
    <row r="5349" spans="6:8">
      <c r="F5349" s="68" t="s">
        <v>124</v>
      </c>
      <c r="G5349" s="67" t="s">
        <v>363</v>
      </c>
      <c r="H5349" s="69">
        <v>-0.65</v>
      </c>
    </row>
    <row r="5350" spans="6:8">
      <c r="F5350" s="68" t="s">
        <v>252</v>
      </c>
      <c r="G5350" s="67" t="s">
        <v>363</v>
      </c>
      <c r="H5350" s="69">
        <v>0.19</v>
      </c>
    </row>
    <row r="5351" spans="6:8">
      <c r="F5351" s="68" t="s">
        <v>314</v>
      </c>
      <c r="G5351" s="67" t="s">
        <v>363</v>
      </c>
      <c r="H5351" s="69">
        <v>-0.9</v>
      </c>
    </row>
    <row r="5352" spans="6:8">
      <c r="F5352" s="68" t="s">
        <v>125</v>
      </c>
      <c r="G5352" s="67" t="s">
        <v>363</v>
      </c>
      <c r="H5352" s="69">
        <v>-1</v>
      </c>
    </row>
    <row r="5353" spans="6:8">
      <c r="F5353" s="68" t="s">
        <v>126</v>
      </c>
      <c r="G5353" s="67" t="s">
        <v>363</v>
      </c>
      <c r="H5353" s="69">
        <v>-0.55000000000000004</v>
      </c>
    </row>
    <row r="5354" spans="6:8">
      <c r="F5354" s="68" t="s">
        <v>127</v>
      </c>
      <c r="G5354" s="67" t="s">
        <v>363</v>
      </c>
      <c r="H5354" s="69">
        <v>-0.15</v>
      </c>
    </row>
    <row r="5355" spans="6:8">
      <c r="F5355" s="68" t="s">
        <v>253</v>
      </c>
      <c r="G5355" s="67" t="s">
        <v>363</v>
      </c>
      <c r="H5355" s="69">
        <v>0.22</v>
      </c>
    </row>
    <row r="5356" spans="6:8">
      <c r="F5356" s="68" t="s">
        <v>315</v>
      </c>
      <c r="G5356" s="67" t="s">
        <v>363</v>
      </c>
      <c r="H5356" s="69">
        <v>-0.8</v>
      </c>
    </row>
    <row r="5357" spans="6:8">
      <c r="F5357" s="68" t="s">
        <v>128</v>
      </c>
      <c r="G5357" s="67" t="s">
        <v>363</v>
      </c>
      <c r="H5357" s="69">
        <v>-0.5</v>
      </c>
    </row>
    <row r="5358" spans="6:8">
      <c r="F5358" s="68" t="s">
        <v>129</v>
      </c>
      <c r="G5358" s="67" t="s">
        <v>363</v>
      </c>
      <c r="H5358" s="69">
        <v>-0.25</v>
      </c>
    </row>
    <row r="5359" spans="6:8">
      <c r="F5359" s="68" t="s">
        <v>254</v>
      </c>
      <c r="G5359" s="67" t="s">
        <v>363</v>
      </c>
      <c r="H5359" s="69">
        <v>0.31</v>
      </c>
    </row>
    <row r="5360" spans="6:8">
      <c r="F5360" s="68" t="s">
        <v>304</v>
      </c>
      <c r="G5360" s="67" t="s">
        <v>363</v>
      </c>
      <c r="H5360" s="69">
        <v>15.625</v>
      </c>
    </row>
    <row r="5361" spans="6:8">
      <c r="F5361" s="68" t="s">
        <v>130</v>
      </c>
      <c r="G5361" s="67" t="s">
        <v>363</v>
      </c>
      <c r="H5361" s="69">
        <v>-0.8</v>
      </c>
    </row>
    <row r="5362" spans="6:8">
      <c r="F5362" s="68" t="s">
        <v>131</v>
      </c>
      <c r="G5362" s="67" t="s">
        <v>363</v>
      </c>
      <c r="H5362" s="69">
        <v>-0.35</v>
      </c>
    </row>
    <row r="5363" spans="6:8">
      <c r="F5363" s="68" t="s">
        <v>255</v>
      </c>
      <c r="G5363" s="67" t="s">
        <v>363</v>
      </c>
      <c r="H5363" s="69">
        <v>0.45</v>
      </c>
    </row>
    <row r="5364" spans="6:8">
      <c r="F5364" s="68" t="s">
        <v>303</v>
      </c>
      <c r="G5364" s="67" t="s">
        <v>363</v>
      </c>
      <c r="H5364" s="69">
        <v>16.75</v>
      </c>
    </row>
    <row r="5365" spans="6:8">
      <c r="F5365" s="68" t="s">
        <v>132</v>
      </c>
      <c r="G5365" s="67" t="s">
        <v>363</v>
      </c>
      <c r="H5365" s="69">
        <v>-0.8</v>
      </c>
    </row>
    <row r="5366" spans="6:8">
      <c r="F5366" s="68" t="s">
        <v>133</v>
      </c>
      <c r="G5366" s="67" t="s">
        <v>363</v>
      </c>
      <c r="H5366" s="69">
        <v>-0.35</v>
      </c>
    </row>
    <row r="5367" spans="6:8">
      <c r="F5367" s="68" t="s">
        <v>256</v>
      </c>
      <c r="G5367" s="67" t="s">
        <v>363</v>
      </c>
      <c r="H5367" s="69">
        <v>0.65</v>
      </c>
    </row>
    <row r="5368" spans="6:8">
      <c r="F5368" s="68" t="s">
        <v>134</v>
      </c>
      <c r="G5368" s="67" t="s">
        <v>363</v>
      </c>
      <c r="H5368" s="69">
        <v>-0.8</v>
      </c>
    </row>
    <row r="5369" spans="6:8">
      <c r="F5369" s="68" t="s">
        <v>135</v>
      </c>
      <c r="G5369" s="67" t="s">
        <v>363</v>
      </c>
      <c r="H5369" s="69">
        <v>-0.35</v>
      </c>
    </row>
    <row r="5370" spans="6:8">
      <c r="F5370" s="68" t="s">
        <v>257</v>
      </c>
      <c r="G5370" s="67" t="s">
        <v>363</v>
      </c>
      <c r="H5370" s="69">
        <v>0.86</v>
      </c>
    </row>
    <row r="5371" spans="6:8">
      <c r="F5371" s="68" t="s">
        <v>258</v>
      </c>
      <c r="G5371" s="67" t="s">
        <v>363</v>
      </c>
      <c r="H5371" s="69">
        <v>0.1</v>
      </c>
    </row>
    <row r="5372" spans="6:8">
      <c r="F5372" s="68" t="s">
        <v>136</v>
      </c>
      <c r="G5372" s="67" t="s">
        <v>363</v>
      </c>
      <c r="H5372" s="69">
        <v>-0.9</v>
      </c>
    </row>
    <row r="5373" spans="6:8">
      <c r="F5373" s="68" t="s">
        <v>137</v>
      </c>
      <c r="G5373" s="67" t="s">
        <v>363</v>
      </c>
      <c r="H5373" s="69">
        <v>-0.5</v>
      </c>
    </row>
    <row r="5374" spans="6:8">
      <c r="F5374" s="68" t="s">
        <v>138</v>
      </c>
      <c r="G5374" s="67" t="s">
        <v>363</v>
      </c>
      <c r="H5374" s="69">
        <v>-0.8</v>
      </c>
    </row>
    <row r="5375" spans="6:8">
      <c r="F5375" s="68" t="s">
        <v>259</v>
      </c>
      <c r="G5375" s="67" t="s">
        <v>363</v>
      </c>
      <c r="H5375" s="69">
        <v>0.14000000000000001</v>
      </c>
    </row>
    <row r="5376" spans="6:8">
      <c r="F5376" s="68" t="s">
        <v>259</v>
      </c>
      <c r="G5376" s="67" t="s">
        <v>364</v>
      </c>
      <c r="H5376" s="69">
        <v>0.14000000000000001</v>
      </c>
    </row>
    <row r="5377" spans="6:8">
      <c r="F5377" s="68" t="s">
        <v>138</v>
      </c>
      <c r="G5377" s="67" t="s">
        <v>364</v>
      </c>
      <c r="H5377" s="69">
        <v>-0.8</v>
      </c>
    </row>
    <row r="5378" spans="6:8">
      <c r="F5378" s="68" t="s">
        <v>137</v>
      </c>
      <c r="G5378" s="67" t="s">
        <v>364</v>
      </c>
      <c r="H5378" s="69">
        <v>-0.5</v>
      </c>
    </row>
    <row r="5379" spans="6:8">
      <c r="F5379" s="68" t="s">
        <v>136</v>
      </c>
      <c r="G5379" s="67" t="s">
        <v>364</v>
      </c>
      <c r="H5379" s="69">
        <v>-0.9</v>
      </c>
    </row>
    <row r="5380" spans="6:8">
      <c r="F5380" s="68" t="s">
        <v>258</v>
      </c>
      <c r="G5380" s="67" t="s">
        <v>364</v>
      </c>
      <c r="H5380" s="69">
        <v>0.1</v>
      </c>
    </row>
    <row r="5381" spans="6:8">
      <c r="F5381" s="68" t="s">
        <v>257</v>
      </c>
      <c r="G5381" s="67" t="s">
        <v>364</v>
      </c>
      <c r="H5381" s="69">
        <v>0.86</v>
      </c>
    </row>
    <row r="5382" spans="6:8">
      <c r="F5382" s="68" t="s">
        <v>135</v>
      </c>
      <c r="G5382" s="67" t="s">
        <v>364</v>
      </c>
      <c r="H5382" s="69">
        <v>-0.35</v>
      </c>
    </row>
    <row r="5383" spans="6:8">
      <c r="F5383" s="68" t="s">
        <v>134</v>
      </c>
      <c r="G5383" s="67" t="s">
        <v>364</v>
      </c>
      <c r="H5383" s="69">
        <v>-0.8</v>
      </c>
    </row>
    <row r="5384" spans="6:8">
      <c r="F5384" s="68" t="s">
        <v>256</v>
      </c>
      <c r="G5384" s="67" t="s">
        <v>364</v>
      </c>
      <c r="H5384" s="69">
        <v>0.65</v>
      </c>
    </row>
    <row r="5385" spans="6:8">
      <c r="F5385" s="68" t="s">
        <v>133</v>
      </c>
      <c r="G5385" s="67" t="s">
        <v>364</v>
      </c>
      <c r="H5385" s="69">
        <v>-0.35</v>
      </c>
    </row>
    <row r="5386" spans="6:8">
      <c r="F5386" s="68" t="s">
        <v>132</v>
      </c>
      <c r="G5386" s="67" t="s">
        <v>364</v>
      </c>
      <c r="H5386" s="69">
        <v>-0.8</v>
      </c>
    </row>
    <row r="5387" spans="6:8">
      <c r="F5387" s="68" t="s">
        <v>303</v>
      </c>
      <c r="G5387" s="67" t="s">
        <v>364</v>
      </c>
      <c r="H5387" s="69">
        <v>16.875</v>
      </c>
    </row>
    <row r="5388" spans="6:8">
      <c r="F5388" s="68" t="s">
        <v>255</v>
      </c>
      <c r="G5388" s="67" t="s">
        <v>364</v>
      </c>
      <c r="H5388" s="69">
        <v>0.45</v>
      </c>
    </row>
    <row r="5389" spans="6:8">
      <c r="F5389" s="68" t="s">
        <v>131</v>
      </c>
      <c r="G5389" s="67" t="s">
        <v>364</v>
      </c>
      <c r="H5389" s="69">
        <v>-0.35</v>
      </c>
    </row>
    <row r="5390" spans="6:8">
      <c r="F5390" s="68" t="s">
        <v>130</v>
      </c>
      <c r="G5390" s="67" t="s">
        <v>364</v>
      </c>
      <c r="H5390" s="69">
        <v>-0.8</v>
      </c>
    </row>
    <row r="5391" spans="6:8">
      <c r="F5391" s="68" t="s">
        <v>304</v>
      </c>
      <c r="G5391" s="67" t="s">
        <v>364</v>
      </c>
      <c r="H5391" s="69">
        <v>15.6875</v>
      </c>
    </row>
    <row r="5392" spans="6:8">
      <c r="F5392" s="68" t="s">
        <v>254</v>
      </c>
      <c r="G5392" s="67" t="s">
        <v>364</v>
      </c>
      <c r="H5392" s="69">
        <v>0.31</v>
      </c>
    </row>
    <row r="5393" spans="6:8">
      <c r="F5393" s="68" t="s">
        <v>129</v>
      </c>
      <c r="G5393" s="67" t="s">
        <v>364</v>
      </c>
      <c r="H5393" s="69">
        <v>-0.25</v>
      </c>
    </row>
    <row r="5394" spans="6:8">
      <c r="F5394" s="68" t="s">
        <v>128</v>
      </c>
      <c r="G5394" s="67" t="s">
        <v>364</v>
      </c>
      <c r="H5394" s="69">
        <v>-0.5</v>
      </c>
    </row>
    <row r="5395" spans="6:8">
      <c r="F5395" s="68" t="s">
        <v>315</v>
      </c>
      <c r="G5395" s="67" t="s">
        <v>364</v>
      </c>
      <c r="H5395" s="69">
        <v>-0.8</v>
      </c>
    </row>
    <row r="5396" spans="6:8">
      <c r="F5396" s="68" t="s">
        <v>253</v>
      </c>
      <c r="G5396" s="67" t="s">
        <v>364</v>
      </c>
      <c r="H5396" s="69">
        <v>0.22</v>
      </c>
    </row>
    <row r="5397" spans="6:8">
      <c r="F5397" s="68" t="s">
        <v>127</v>
      </c>
      <c r="G5397" s="67" t="s">
        <v>364</v>
      </c>
      <c r="H5397" s="69">
        <v>-0.15</v>
      </c>
    </row>
    <row r="5398" spans="6:8">
      <c r="F5398" s="68" t="s">
        <v>126</v>
      </c>
      <c r="G5398" s="67" t="s">
        <v>364</v>
      </c>
      <c r="H5398" s="69">
        <v>-0.55000000000000004</v>
      </c>
    </row>
    <row r="5399" spans="6:8">
      <c r="F5399" s="68" t="s">
        <v>125</v>
      </c>
      <c r="G5399" s="67" t="s">
        <v>364</v>
      </c>
      <c r="H5399" s="69">
        <v>-1</v>
      </c>
    </row>
    <row r="5400" spans="6:8">
      <c r="F5400" s="68" t="s">
        <v>314</v>
      </c>
      <c r="G5400" s="67" t="s">
        <v>364</v>
      </c>
      <c r="H5400" s="69">
        <v>-0.9</v>
      </c>
    </row>
    <row r="5401" spans="6:8">
      <c r="F5401" s="68" t="s">
        <v>252</v>
      </c>
      <c r="G5401" s="67" t="s">
        <v>364</v>
      </c>
      <c r="H5401" s="69">
        <v>0.19</v>
      </c>
    </row>
    <row r="5402" spans="6:8">
      <c r="F5402" s="68" t="s">
        <v>124</v>
      </c>
      <c r="G5402" s="67" t="s">
        <v>364</v>
      </c>
      <c r="H5402" s="69">
        <v>-0.65</v>
      </c>
    </row>
    <row r="5403" spans="6:8">
      <c r="F5403" s="68" t="s">
        <v>123</v>
      </c>
      <c r="G5403" s="67" t="s">
        <v>364</v>
      </c>
      <c r="H5403" s="69">
        <v>-0.55000000000000004</v>
      </c>
    </row>
    <row r="5404" spans="6:8">
      <c r="F5404" s="68" t="s">
        <v>122</v>
      </c>
      <c r="G5404" s="67" t="s">
        <v>364</v>
      </c>
      <c r="H5404" s="69">
        <v>-0.9</v>
      </c>
    </row>
    <row r="5405" spans="6:8">
      <c r="F5405" s="68" t="s">
        <v>251</v>
      </c>
      <c r="G5405" s="67" t="s">
        <v>364</v>
      </c>
      <c r="H5405" s="69">
        <v>0.16</v>
      </c>
    </row>
    <row r="5406" spans="6:8">
      <c r="F5406" s="68" t="s">
        <v>121</v>
      </c>
      <c r="G5406" s="67" t="s">
        <v>364</v>
      </c>
      <c r="H5406" s="69">
        <v>-0.75</v>
      </c>
    </row>
    <row r="5407" spans="6:8">
      <c r="F5407" s="68" t="s">
        <v>120</v>
      </c>
      <c r="G5407" s="67" t="s">
        <v>364</v>
      </c>
      <c r="H5407" s="69">
        <v>-0.5</v>
      </c>
    </row>
    <row r="5408" spans="6:8">
      <c r="F5408" s="68" t="s">
        <v>119</v>
      </c>
      <c r="G5408" s="67" t="s">
        <v>364</v>
      </c>
      <c r="H5408" s="69">
        <v>-0.9</v>
      </c>
    </row>
    <row r="5409" spans="6:8">
      <c r="F5409" s="68" t="s">
        <v>119</v>
      </c>
      <c r="G5409" s="67" t="s">
        <v>365</v>
      </c>
      <c r="H5409" s="69">
        <v>-0.9</v>
      </c>
    </row>
    <row r="5410" spans="6:8">
      <c r="F5410" s="68" t="s">
        <v>120</v>
      </c>
      <c r="G5410" s="67" t="s">
        <v>365</v>
      </c>
      <c r="H5410" s="69">
        <v>-0.5</v>
      </c>
    </row>
    <row r="5411" spans="6:8">
      <c r="F5411" s="68" t="s">
        <v>121</v>
      </c>
      <c r="G5411" s="67" t="s">
        <v>365</v>
      </c>
      <c r="H5411" s="69">
        <v>-0.75</v>
      </c>
    </row>
    <row r="5412" spans="6:8">
      <c r="F5412" s="68" t="s">
        <v>251</v>
      </c>
      <c r="G5412" s="67" t="s">
        <v>365</v>
      </c>
      <c r="H5412" s="69">
        <v>0.16</v>
      </c>
    </row>
    <row r="5413" spans="6:8">
      <c r="F5413" s="68" t="s">
        <v>122</v>
      </c>
      <c r="G5413" s="67" t="s">
        <v>365</v>
      </c>
      <c r="H5413" s="69">
        <v>-0.9</v>
      </c>
    </row>
    <row r="5414" spans="6:8">
      <c r="F5414" s="68" t="s">
        <v>123</v>
      </c>
      <c r="G5414" s="67" t="s">
        <v>365</v>
      </c>
      <c r="H5414" s="69">
        <v>-0.55000000000000004</v>
      </c>
    </row>
    <row r="5415" spans="6:8">
      <c r="F5415" s="68" t="s">
        <v>124</v>
      </c>
      <c r="G5415" s="67" t="s">
        <v>365</v>
      </c>
      <c r="H5415" s="69">
        <v>-0.65</v>
      </c>
    </row>
    <row r="5416" spans="6:8">
      <c r="F5416" s="68" t="s">
        <v>252</v>
      </c>
      <c r="G5416" s="67" t="s">
        <v>365</v>
      </c>
      <c r="H5416" s="69">
        <v>0.19</v>
      </c>
    </row>
    <row r="5417" spans="6:8">
      <c r="F5417" s="68" t="s">
        <v>314</v>
      </c>
      <c r="G5417" s="67" t="s">
        <v>365</v>
      </c>
      <c r="H5417" s="69">
        <v>-0.9</v>
      </c>
    </row>
    <row r="5418" spans="6:8">
      <c r="F5418" s="68" t="s">
        <v>125</v>
      </c>
      <c r="G5418" s="67" t="s">
        <v>365</v>
      </c>
      <c r="H5418" s="69">
        <v>-1</v>
      </c>
    </row>
    <row r="5419" spans="6:8">
      <c r="F5419" s="68" t="s">
        <v>126</v>
      </c>
      <c r="G5419" s="67" t="s">
        <v>365</v>
      </c>
      <c r="H5419" s="69">
        <v>-0.55000000000000004</v>
      </c>
    </row>
    <row r="5420" spans="6:8">
      <c r="F5420" s="68" t="s">
        <v>127</v>
      </c>
      <c r="G5420" s="67" t="s">
        <v>365</v>
      </c>
      <c r="H5420" s="69">
        <v>-0.15</v>
      </c>
    </row>
    <row r="5421" spans="6:8">
      <c r="F5421" s="68" t="s">
        <v>253</v>
      </c>
      <c r="G5421" s="67" t="s">
        <v>365</v>
      </c>
      <c r="H5421" s="69">
        <v>0.22</v>
      </c>
    </row>
    <row r="5422" spans="6:8">
      <c r="F5422" s="68" t="s">
        <v>315</v>
      </c>
      <c r="G5422" s="67" t="s">
        <v>365</v>
      </c>
      <c r="H5422" s="69">
        <v>-0.8</v>
      </c>
    </row>
    <row r="5423" spans="6:8">
      <c r="F5423" s="68" t="s">
        <v>128</v>
      </c>
      <c r="G5423" s="67" t="s">
        <v>365</v>
      </c>
      <c r="H5423" s="69">
        <v>-0.5</v>
      </c>
    </row>
    <row r="5424" spans="6:8">
      <c r="F5424" s="68" t="s">
        <v>129</v>
      </c>
      <c r="G5424" s="67" t="s">
        <v>365</v>
      </c>
      <c r="H5424" s="69">
        <v>-0.25</v>
      </c>
    </row>
    <row r="5425" spans="6:8">
      <c r="F5425" s="68" t="s">
        <v>254</v>
      </c>
      <c r="G5425" s="67" t="s">
        <v>365</v>
      </c>
      <c r="H5425" s="69">
        <v>0.31</v>
      </c>
    </row>
    <row r="5426" spans="6:8">
      <c r="F5426" s="68" t="s">
        <v>304</v>
      </c>
      <c r="G5426" s="67" t="s">
        <v>365</v>
      </c>
      <c r="H5426" s="69">
        <v>15.75</v>
      </c>
    </row>
    <row r="5427" spans="6:8">
      <c r="F5427" s="68" t="s">
        <v>130</v>
      </c>
      <c r="G5427" s="67" t="s">
        <v>365</v>
      </c>
      <c r="H5427" s="69">
        <v>-0.8</v>
      </c>
    </row>
    <row r="5428" spans="6:8">
      <c r="F5428" s="68" t="s">
        <v>131</v>
      </c>
      <c r="G5428" s="67" t="s">
        <v>365</v>
      </c>
      <c r="H5428" s="69">
        <v>-0.35</v>
      </c>
    </row>
    <row r="5429" spans="6:8">
      <c r="F5429" s="68" t="s">
        <v>255</v>
      </c>
      <c r="G5429" s="67" t="s">
        <v>365</v>
      </c>
      <c r="H5429" s="69">
        <v>0.45</v>
      </c>
    </row>
    <row r="5430" spans="6:8">
      <c r="F5430" s="68" t="s">
        <v>303</v>
      </c>
      <c r="G5430" s="67" t="s">
        <v>365</v>
      </c>
      <c r="H5430" s="69">
        <v>16.906300000000002</v>
      </c>
    </row>
    <row r="5431" spans="6:8">
      <c r="F5431" s="68" t="s">
        <v>132</v>
      </c>
      <c r="G5431" s="67" t="s">
        <v>365</v>
      </c>
      <c r="H5431" s="69">
        <v>-0.8</v>
      </c>
    </row>
    <row r="5432" spans="6:8">
      <c r="F5432" s="68" t="s">
        <v>133</v>
      </c>
      <c r="G5432" s="67" t="s">
        <v>365</v>
      </c>
      <c r="H5432" s="69">
        <v>-0.35</v>
      </c>
    </row>
    <row r="5433" spans="6:8">
      <c r="F5433" s="68" t="s">
        <v>256</v>
      </c>
      <c r="G5433" s="67" t="s">
        <v>365</v>
      </c>
      <c r="H5433" s="69">
        <v>0.65</v>
      </c>
    </row>
    <row r="5434" spans="6:8">
      <c r="F5434" s="68" t="s">
        <v>134</v>
      </c>
      <c r="G5434" s="67" t="s">
        <v>365</v>
      </c>
      <c r="H5434" s="69">
        <v>-0.8</v>
      </c>
    </row>
    <row r="5435" spans="6:8">
      <c r="F5435" s="68" t="s">
        <v>135</v>
      </c>
      <c r="G5435" s="67" t="s">
        <v>365</v>
      </c>
      <c r="H5435" s="69">
        <v>-0.35</v>
      </c>
    </row>
    <row r="5436" spans="6:8">
      <c r="F5436" s="68" t="s">
        <v>257</v>
      </c>
      <c r="G5436" s="67" t="s">
        <v>365</v>
      </c>
      <c r="H5436" s="69">
        <v>0.86</v>
      </c>
    </row>
    <row r="5437" spans="6:8">
      <c r="F5437" s="68" t="s">
        <v>258</v>
      </c>
      <c r="G5437" s="67" t="s">
        <v>365</v>
      </c>
      <c r="H5437" s="69">
        <v>0.1</v>
      </c>
    </row>
    <row r="5438" spans="6:8">
      <c r="F5438" s="68" t="s">
        <v>136</v>
      </c>
      <c r="G5438" s="67" t="s">
        <v>365</v>
      </c>
      <c r="H5438" s="69">
        <v>-0.9</v>
      </c>
    </row>
    <row r="5439" spans="6:8">
      <c r="F5439" s="68" t="s">
        <v>137</v>
      </c>
      <c r="G5439" s="67" t="s">
        <v>365</v>
      </c>
      <c r="H5439" s="69">
        <v>-0.5</v>
      </c>
    </row>
    <row r="5440" spans="6:8">
      <c r="F5440" s="68" t="s">
        <v>138</v>
      </c>
      <c r="G5440" s="67" t="s">
        <v>365</v>
      </c>
      <c r="H5440" s="69">
        <v>-0.8</v>
      </c>
    </row>
    <row r="5441" spans="6:8">
      <c r="F5441" s="68" t="s">
        <v>259</v>
      </c>
      <c r="G5441" s="67" t="s">
        <v>365</v>
      </c>
      <c r="H5441" s="69">
        <v>0.14000000000000001</v>
      </c>
    </row>
    <row r="5442" spans="6:8">
      <c r="F5442" s="68" t="s">
        <v>259</v>
      </c>
      <c r="G5442" s="67" t="s">
        <v>366</v>
      </c>
      <c r="H5442" s="69">
        <v>0.14000000000000001</v>
      </c>
    </row>
    <row r="5443" spans="6:8">
      <c r="F5443" s="68" t="s">
        <v>138</v>
      </c>
      <c r="G5443" s="67" t="s">
        <v>366</v>
      </c>
      <c r="H5443" s="69">
        <v>-0.8</v>
      </c>
    </row>
    <row r="5444" spans="6:8">
      <c r="F5444" s="68" t="s">
        <v>137</v>
      </c>
      <c r="G5444" s="67" t="s">
        <v>366</v>
      </c>
      <c r="H5444" s="69">
        <v>-0.5</v>
      </c>
    </row>
    <row r="5445" spans="6:8">
      <c r="F5445" s="68" t="s">
        <v>136</v>
      </c>
      <c r="G5445" s="67" t="s">
        <v>366</v>
      </c>
      <c r="H5445" s="69">
        <v>-0.9</v>
      </c>
    </row>
    <row r="5446" spans="6:8">
      <c r="F5446" s="68" t="s">
        <v>258</v>
      </c>
      <c r="G5446" s="67" t="s">
        <v>366</v>
      </c>
      <c r="H5446" s="69">
        <v>0.1</v>
      </c>
    </row>
    <row r="5447" spans="6:8">
      <c r="F5447" s="68" t="s">
        <v>257</v>
      </c>
      <c r="G5447" s="67" t="s">
        <v>366</v>
      </c>
      <c r="H5447" s="69">
        <v>0.86</v>
      </c>
    </row>
    <row r="5448" spans="6:8">
      <c r="F5448" s="68" t="s">
        <v>135</v>
      </c>
      <c r="G5448" s="67" t="s">
        <v>366</v>
      </c>
      <c r="H5448" s="69">
        <v>-0.35</v>
      </c>
    </row>
    <row r="5449" spans="6:8">
      <c r="F5449" s="68" t="s">
        <v>134</v>
      </c>
      <c r="G5449" s="67" t="s">
        <v>366</v>
      </c>
      <c r="H5449" s="69">
        <v>-0.8</v>
      </c>
    </row>
    <row r="5450" spans="6:8">
      <c r="F5450" s="68" t="s">
        <v>256</v>
      </c>
      <c r="G5450" s="67" t="s">
        <v>366</v>
      </c>
      <c r="H5450" s="69">
        <v>0.65</v>
      </c>
    </row>
    <row r="5451" spans="6:8">
      <c r="F5451" s="68" t="s">
        <v>133</v>
      </c>
      <c r="G5451" s="67" t="s">
        <v>366</v>
      </c>
      <c r="H5451" s="69">
        <v>-0.35</v>
      </c>
    </row>
    <row r="5452" spans="6:8">
      <c r="F5452" s="68" t="s">
        <v>132</v>
      </c>
      <c r="G5452" s="67" t="s">
        <v>366</v>
      </c>
      <c r="H5452" s="69">
        <v>-0.8</v>
      </c>
    </row>
    <row r="5453" spans="6:8">
      <c r="F5453" s="68" t="s">
        <v>303</v>
      </c>
      <c r="G5453" s="67" t="s">
        <v>366</v>
      </c>
      <c r="H5453" s="69">
        <v>16.875</v>
      </c>
    </row>
    <row r="5454" spans="6:8">
      <c r="F5454" s="68" t="s">
        <v>255</v>
      </c>
      <c r="G5454" s="67" t="s">
        <v>366</v>
      </c>
      <c r="H5454" s="69">
        <v>0.45</v>
      </c>
    </row>
    <row r="5455" spans="6:8">
      <c r="F5455" s="68" t="s">
        <v>131</v>
      </c>
      <c r="G5455" s="67" t="s">
        <v>366</v>
      </c>
      <c r="H5455" s="69">
        <v>-0.35</v>
      </c>
    </row>
    <row r="5456" spans="6:8">
      <c r="F5456" s="68" t="s">
        <v>130</v>
      </c>
      <c r="G5456" s="67" t="s">
        <v>366</v>
      </c>
      <c r="H5456" s="69">
        <v>-0.8</v>
      </c>
    </row>
    <row r="5457" spans="6:8">
      <c r="F5457" s="68" t="s">
        <v>304</v>
      </c>
      <c r="G5457" s="67" t="s">
        <v>366</v>
      </c>
      <c r="H5457" s="69">
        <v>15.75</v>
      </c>
    </row>
    <row r="5458" spans="6:8">
      <c r="F5458" s="68" t="s">
        <v>254</v>
      </c>
      <c r="G5458" s="67" t="s">
        <v>366</v>
      </c>
      <c r="H5458" s="69">
        <v>0.31</v>
      </c>
    </row>
    <row r="5459" spans="6:8">
      <c r="F5459" s="68" t="s">
        <v>129</v>
      </c>
      <c r="G5459" s="67" t="s">
        <v>366</v>
      </c>
      <c r="H5459" s="69">
        <v>-0.25</v>
      </c>
    </row>
    <row r="5460" spans="6:8">
      <c r="F5460" s="68" t="s">
        <v>128</v>
      </c>
      <c r="G5460" s="67" t="s">
        <v>366</v>
      </c>
      <c r="H5460" s="69">
        <v>-0.5</v>
      </c>
    </row>
    <row r="5461" spans="6:8">
      <c r="F5461" s="68" t="s">
        <v>315</v>
      </c>
      <c r="G5461" s="67" t="s">
        <v>366</v>
      </c>
      <c r="H5461" s="69">
        <v>-0.8</v>
      </c>
    </row>
    <row r="5462" spans="6:8">
      <c r="F5462" s="68" t="s">
        <v>253</v>
      </c>
      <c r="G5462" s="67" t="s">
        <v>366</v>
      </c>
      <c r="H5462" s="69">
        <v>0.22</v>
      </c>
    </row>
    <row r="5463" spans="6:8">
      <c r="F5463" s="68" t="s">
        <v>127</v>
      </c>
      <c r="G5463" s="67" t="s">
        <v>366</v>
      </c>
      <c r="H5463" s="69">
        <v>-0.15</v>
      </c>
    </row>
    <row r="5464" spans="6:8">
      <c r="F5464" s="68" t="s">
        <v>126</v>
      </c>
      <c r="G5464" s="67" t="s">
        <v>366</v>
      </c>
      <c r="H5464" s="69">
        <v>-0.55000000000000004</v>
      </c>
    </row>
    <row r="5465" spans="6:8">
      <c r="F5465" s="68" t="s">
        <v>125</v>
      </c>
      <c r="G5465" s="67" t="s">
        <v>366</v>
      </c>
      <c r="H5465" s="69">
        <v>-1</v>
      </c>
    </row>
    <row r="5466" spans="6:8">
      <c r="F5466" s="68" t="s">
        <v>314</v>
      </c>
      <c r="G5466" s="67" t="s">
        <v>366</v>
      </c>
      <c r="H5466" s="69">
        <v>-0.9</v>
      </c>
    </row>
    <row r="5467" spans="6:8">
      <c r="F5467" s="68" t="s">
        <v>252</v>
      </c>
      <c r="G5467" s="67" t="s">
        <v>366</v>
      </c>
      <c r="H5467" s="69">
        <v>0.19</v>
      </c>
    </row>
    <row r="5468" spans="6:8">
      <c r="F5468" s="68" t="s">
        <v>124</v>
      </c>
      <c r="G5468" s="67" t="s">
        <v>366</v>
      </c>
      <c r="H5468" s="69">
        <v>-0.65</v>
      </c>
    </row>
    <row r="5469" spans="6:8">
      <c r="F5469" s="68" t="s">
        <v>123</v>
      </c>
      <c r="G5469" s="67" t="s">
        <v>366</v>
      </c>
      <c r="H5469" s="69">
        <v>-0.55000000000000004</v>
      </c>
    </row>
    <row r="5470" spans="6:8">
      <c r="F5470" s="68" t="s">
        <v>122</v>
      </c>
      <c r="G5470" s="67" t="s">
        <v>366</v>
      </c>
      <c r="H5470" s="69">
        <v>-0.9</v>
      </c>
    </row>
    <row r="5471" spans="6:8">
      <c r="F5471" s="68" t="s">
        <v>251</v>
      </c>
      <c r="G5471" s="67" t="s">
        <v>366</v>
      </c>
      <c r="H5471" s="69">
        <v>0.16</v>
      </c>
    </row>
    <row r="5472" spans="6:8">
      <c r="F5472" s="68" t="s">
        <v>121</v>
      </c>
      <c r="G5472" s="67" t="s">
        <v>366</v>
      </c>
      <c r="H5472" s="69">
        <v>-0.75</v>
      </c>
    </row>
    <row r="5473" spans="6:8">
      <c r="F5473" s="68" t="s">
        <v>120</v>
      </c>
      <c r="G5473" s="67" t="s">
        <v>366</v>
      </c>
      <c r="H5473" s="69">
        <v>-0.5</v>
      </c>
    </row>
    <row r="5474" spans="6:8">
      <c r="F5474" s="68" t="s">
        <v>119</v>
      </c>
      <c r="G5474" s="67" t="s">
        <v>366</v>
      </c>
      <c r="H5474" s="69">
        <v>-0.9</v>
      </c>
    </row>
    <row r="5475" spans="6:8">
      <c r="F5475" s="68" t="s">
        <v>119</v>
      </c>
      <c r="G5475" s="67" t="s">
        <v>367</v>
      </c>
      <c r="H5475" s="69">
        <v>-0.9</v>
      </c>
    </row>
    <row r="5476" spans="6:8">
      <c r="F5476" s="68" t="s">
        <v>120</v>
      </c>
      <c r="G5476" s="67" t="s">
        <v>367</v>
      </c>
      <c r="H5476" s="69">
        <v>-0.5</v>
      </c>
    </row>
    <row r="5477" spans="6:8">
      <c r="F5477" s="68" t="s">
        <v>121</v>
      </c>
      <c r="G5477" s="67" t="s">
        <v>367</v>
      </c>
      <c r="H5477" s="69">
        <v>-0.75</v>
      </c>
    </row>
    <row r="5478" spans="6:8">
      <c r="F5478" s="68" t="s">
        <v>251</v>
      </c>
      <c r="G5478" s="67" t="s">
        <v>367</v>
      </c>
      <c r="H5478" s="69">
        <v>0.16</v>
      </c>
    </row>
    <row r="5479" spans="6:8">
      <c r="F5479" s="68" t="s">
        <v>122</v>
      </c>
      <c r="G5479" s="67" t="s">
        <v>367</v>
      </c>
      <c r="H5479" s="69">
        <v>-0.9</v>
      </c>
    </row>
    <row r="5480" spans="6:8">
      <c r="F5480" s="68" t="s">
        <v>123</v>
      </c>
      <c r="G5480" s="67" t="s">
        <v>367</v>
      </c>
      <c r="H5480" s="69">
        <v>-0.55000000000000004</v>
      </c>
    </row>
    <row r="5481" spans="6:8">
      <c r="F5481" s="68" t="s">
        <v>124</v>
      </c>
      <c r="G5481" s="67" t="s">
        <v>367</v>
      </c>
      <c r="H5481" s="69">
        <v>-0.65</v>
      </c>
    </row>
    <row r="5482" spans="6:8">
      <c r="F5482" s="68" t="s">
        <v>252</v>
      </c>
      <c r="G5482" s="67" t="s">
        <v>367</v>
      </c>
      <c r="H5482" s="69">
        <v>0.19</v>
      </c>
    </row>
    <row r="5483" spans="6:8">
      <c r="F5483" s="68" t="s">
        <v>314</v>
      </c>
      <c r="G5483" s="67" t="s">
        <v>367</v>
      </c>
      <c r="H5483" s="69">
        <v>-0.9</v>
      </c>
    </row>
    <row r="5484" spans="6:8">
      <c r="F5484" s="68" t="s">
        <v>125</v>
      </c>
      <c r="G5484" s="67" t="s">
        <v>367</v>
      </c>
      <c r="H5484" s="69">
        <v>-1</v>
      </c>
    </row>
    <row r="5485" spans="6:8">
      <c r="F5485" s="68" t="s">
        <v>126</v>
      </c>
      <c r="G5485" s="67" t="s">
        <v>367</v>
      </c>
      <c r="H5485" s="69">
        <v>-0.55000000000000004</v>
      </c>
    </row>
    <row r="5486" spans="6:8">
      <c r="F5486" s="68" t="s">
        <v>127</v>
      </c>
      <c r="G5486" s="67" t="s">
        <v>367</v>
      </c>
      <c r="H5486" s="69">
        <v>-0.15</v>
      </c>
    </row>
    <row r="5487" spans="6:8">
      <c r="F5487" s="68" t="s">
        <v>253</v>
      </c>
      <c r="G5487" s="67" t="s">
        <v>367</v>
      </c>
      <c r="H5487" s="69">
        <v>0.22</v>
      </c>
    </row>
    <row r="5488" spans="6:8">
      <c r="F5488" s="68" t="s">
        <v>315</v>
      </c>
      <c r="G5488" s="67" t="s">
        <v>367</v>
      </c>
      <c r="H5488" s="69">
        <v>-0.8</v>
      </c>
    </row>
    <row r="5489" spans="6:8">
      <c r="F5489" s="68" t="s">
        <v>128</v>
      </c>
      <c r="G5489" s="67" t="s">
        <v>367</v>
      </c>
      <c r="H5489" s="69">
        <v>-0.5</v>
      </c>
    </row>
    <row r="5490" spans="6:8">
      <c r="F5490" s="68" t="s">
        <v>129</v>
      </c>
      <c r="G5490" s="67" t="s">
        <v>367</v>
      </c>
      <c r="H5490" s="69">
        <v>-0.25</v>
      </c>
    </row>
    <row r="5491" spans="6:8">
      <c r="F5491" s="68" t="s">
        <v>254</v>
      </c>
      <c r="G5491" s="67" t="s">
        <v>367</v>
      </c>
      <c r="H5491" s="69">
        <v>0.31</v>
      </c>
    </row>
    <row r="5492" spans="6:8">
      <c r="F5492" s="68" t="s">
        <v>304</v>
      </c>
      <c r="G5492" s="67" t="s">
        <v>367</v>
      </c>
      <c r="H5492" s="69">
        <v>14.5</v>
      </c>
    </row>
    <row r="5493" spans="6:8">
      <c r="F5493" s="68" t="s">
        <v>130</v>
      </c>
      <c r="G5493" s="67" t="s">
        <v>367</v>
      </c>
      <c r="H5493" s="69">
        <v>-0.8</v>
      </c>
    </row>
    <row r="5494" spans="6:8">
      <c r="F5494" s="68" t="s">
        <v>131</v>
      </c>
      <c r="G5494" s="67" t="s">
        <v>367</v>
      </c>
      <c r="H5494" s="69">
        <v>-0.35</v>
      </c>
    </row>
    <row r="5495" spans="6:8">
      <c r="F5495" s="68" t="s">
        <v>255</v>
      </c>
      <c r="G5495" s="67" t="s">
        <v>367</v>
      </c>
      <c r="H5495" s="69">
        <v>0.45</v>
      </c>
    </row>
    <row r="5496" spans="6:8">
      <c r="F5496" s="68" t="s">
        <v>303</v>
      </c>
      <c r="G5496" s="67" t="s">
        <v>367</v>
      </c>
      <c r="H5496" s="69">
        <v>16.5</v>
      </c>
    </row>
    <row r="5497" spans="6:8">
      <c r="F5497" s="68" t="s">
        <v>132</v>
      </c>
      <c r="G5497" s="67" t="s">
        <v>367</v>
      </c>
      <c r="H5497" s="69">
        <v>-0.8</v>
      </c>
    </row>
    <row r="5498" spans="6:8">
      <c r="F5498" s="68" t="s">
        <v>133</v>
      </c>
      <c r="G5498" s="67" t="s">
        <v>367</v>
      </c>
      <c r="H5498" s="69">
        <v>-0.35</v>
      </c>
    </row>
    <row r="5499" spans="6:8">
      <c r="F5499" s="68" t="s">
        <v>256</v>
      </c>
      <c r="G5499" s="67" t="s">
        <v>367</v>
      </c>
      <c r="H5499" s="69">
        <v>0.65</v>
      </c>
    </row>
    <row r="5500" spans="6:8">
      <c r="F5500" s="68" t="s">
        <v>134</v>
      </c>
      <c r="G5500" s="67" t="s">
        <v>367</v>
      </c>
      <c r="H5500" s="69">
        <v>-0.8</v>
      </c>
    </row>
    <row r="5501" spans="6:8">
      <c r="F5501" s="68" t="s">
        <v>135</v>
      </c>
      <c r="G5501" s="67" t="s">
        <v>367</v>
      </c>
      <c r="H5501" s="69">
        <v>-0.35</v>
      </c>
    </row>
    <row r="5502" spans="6:8">
      <c r="F5502" s="68" t="s">
        <v>257</v>
      </c>
      <c r="G5502" s="67" t="s">
        <v>367</v>
      </c>
      <c r="H5502" s="69">
        <v>0.86</v>
      </c>
    </row>
    <row r="5503" spans="6:8">
      <c r="F5503" s="68" t="s">
        <v>258</v>
      </c>
      <c r="G5503" s="67" t="s">
        <v>367</v>
      </c>
      <c r="H5503" s="69">
        <v>0.1</v>
      </c>
    </row>
    <row r="5504" spans="6:8">
      <c r="F5504" s="68" t="s">
        <v>136</v>
      </c>
      <c r="G5504" s="67" t="s">
        <v>367</v>
      </c>
      <c r="H5504" s="69">
        <v>-0.9</v>
      </c>
    </row>
    <row r="5505" spans="6:8">
      <c r="F5505" s="68" t="s">
        <v>137</v>
      </c>
      <c r="G5505" s="67" t="s">
        <v>367</v>
      </c>
      <c r="H5505" s="69">
        <v>-0.5</v>
      </c>
    </row>
    <row r="5506" spans="6:8">
      <c r="F5506" s="68" t="s">
        <v>138</v>
      </c>
      <c r="G5506" s="67" t="s">
        <v>367</v>
      </c>
      <c r="H5506" s="69">
        <v>-0.8</v>
      </c>
    </row>
    <row r="5507" spans="6:8">
      <c r="F5507" s="68" t="s">
        <v>259</v>
      </c>
      <c r="G5507" s="67" t="s">
        <v>367</v>
      </c>
      <c r="H5507" s="69">
        <v>0.14000000000000001</v>
      </c>
    </row>
    <row r="5508" spans="6:8">
      <c r="F5508" s="68" t="s">
        <v>259</v>
      </c>
      <c r="G5508" s="67" t="s">
        <v>368</v>
      </c>
      <c r="H5508" s="69">
        <v>0.14000000000000001</v>
      </c>
    </row>
    <row r="5509" spans="6:8">
      <c r="F5509" s="68" t="s">
        <v>138</v>
      </c>
      <c r="G5509" s="67" t="s">
        <v>368</v>
      </c>
      <c r="H5509" s="69">
        <v>-0.8</v>
      </c>
    </row>
    <row r="5510" spans="6:8">
      <c r="F5510" s="68" t="s">
        <v>137</v>
      </c>
      <c r="G5510" s="67" t="s">
        <v>368</v>
      </c>
      <c r="H5510" s="69">
        <v>-0.5</v>
      </c>
    </row>
    <row r="5511" spans="6:8">
      <c r="F5511" s="68" t="s">
        <v>136</v>
      </c>
      <c r="G5511" s="67" t="s">
        <v>368</v>
      </c>
      <c r="H5511" s="69">
        <v>-0.9</v>
      </c>
    </row>
    <row r="5512" spans="6:8">
      <c r="F5512" s="68" t="s">
        <v>258</v>
      </c>
      <c r="G5512" s="67" t="s">
        <v>368</v>
      </c>
      <c r="H5512" s="69">
        <v>0.1</v>
      </c>
    </row>
    <row r="5513" spans="6:8">
      <c r="F5513" s="68" t="s">
        <v>257</v>
      </c>
      <c r="G5513" s="67" t="s">
        <v>368</v>
      </c>
      <c r="H5513" s="69">
        <v>0.86</v>
      </c>
    </row>
    <row r="5514" spans="6:8">
      <c r="F5514" s="68" t="s">
        <v>135</v>
      </c>
      <c r="G5514" s="67" t="s">
        <v>368</v>
      </c>
      <c r="H5514" s="69">
        <v>-0.35</v>
      </c>
    </row>
    <row r="5515" spans="6:8">
      <c r="F5515" s="68" t="s">
        <v>134</v>
      </c>
      <c r="G5515" s="67" t="s">
        <v>368</v>
      </c>
      <c r="H5515" s="69">
        <v>-0.8</v>
      </c>
    </row>
    <row r="5516" spans="6:8">
      <c r="F5516" s="68" t="s">
        <v>256</v>
      </c>
      <c r="G5516" s="67" t="s">
        <v>368</v>
      </c>
      <c r="H5516" s="69">
        <v>0.65</v>
      </c>
    </row>
    <row r="5517" spans="6:8">
      <c r="F5517" s="68" t="s">
        <v>133</v>
      </c>
      <c r="G5517" s="67" t="s">
        <v>368</v>
      </c>
      <c r="H5517" s="69">
        <v>-0.35</v>
      </c>
    </row>
    <row r="5518" spans="6:8">
      <c r="F5518" s="68" t="s">
        <v>132</v>
      </c>
      <c r="G5518" s="67" t="s">
        <v>368</v>
      </c>
      <c r="H5518" s="69">
        <v>-0.8</v>
      </c>
    </row>
    <row r="5519" spans="6:8">
      <c r="F5519" s="68" t="s">
        <v>303</v>
      </c>
      <c r="G5519" s="67" t="s">
        <v>368</v>
      </c>
      <c r="H5519" s="69">
        <v>16.5625</v>
      </c>
    </row>
    <row r="5520" spans="6:8">
      <c r="F5520" s="68" t="s">
        <v>255</v>
      </c>
      <c r="G5520" s="67" t="s">
        <v>368</v>
      </c>
      <c r="H5520" s="69">
        <v>0.45</v>
      </c>
    </row>
    <row r="5521" spans="6:8">
      <c r="F5521" s="68" t="s">
        <v>131</v>
      </c>
      <c r="G5521" s="67" t="s">
        <v>368</v>
      </c>
      <c r="H5521" s="69">
        <v>-0.35</v>
      </c>
    </row>
    <row r="5522" spans="6:8">
      <c r="F5522" s="68" t="s">
        <v>130</v>
      </c>
      <c r="G5522" s="67" t="s">
        <v>368</v>
      </c>
      <c r="H5522" s="69">
        <v>-0.8</v>
      </c>
    </row>
    <row r="5523" spans="6:8">
      <c r="F5523" s="68" t="s">
        <v>304</v>
      </c>
      <c r="G5523" s="67" t="s">
        <v>368</v>
      </c>
      <c r="H5523" s="69">
        <v>14.5625</v>
      </c>
    </row>
    <row r="5524" spans="6:8">
      <c r="F5524" s="68" t="s">
        <v>254</v>
      </c>
      <c r="G5524" s="67" t="s">
        <v>368</v>
      </c>
      <c r="H5524" s="69">
        <v>0.31</v>
      </c>
    </row>
    <row r="5525" spans="6:8">
      <c r="F5525" s="68" t="s">
        <v>129</v>
      </c>
      <c r="G5525" s="67" t="s">
        <v>368</v>
      </c>
      <c r="H5525" s="69">
        <v>-0.25</v>
      </c>
    </row>
    <row r="5526" spans="6:8">
      <c r="F5526" s="68" t="s">
        <v>128</v>
      </c>
      <c r="G5526" s="67" t="s">
        <v>368</v>
      </c>
      <c r="H5526" s="69">
        <v>-0.5</v>
      </c>
    </row>
    <row r="5527" spans="6:8">
      <c r="F5527" s="68" t="s">
        <v>315</v>
      </c>
      <c r="G5527" s="67" t="s">
        <v>368</v>
      </c>
      <c r="H5527" s="69">
        <v>-0.8</v>
      </c>
    </row>
    <row r="5528" spans="6:8">
      <c r="F5528" s="68" t="s">
        <v>253</v>
      </c>
      <c r="G5528" s="67" t="s">
        <v>368</v>
      </c>
      <c r="H5528" s="69">
        <v>0.22</v>
      </c>
    </row>
    <row r="5529" spans="6:8">
      <c r="F5529" s="68" t="s">
        <v>127</v>
      </c>
      <c r="G5529" s="67" t="s">
        <v>368</v>
      </c>
      <c r="H5529" s="69">
        <v>-0.15</v>
      </c>
    </row>
    <row r="5530" spans="6:8">
      <c r="F5530" s="68" t="s">
        <v>126</v>
      </c>
      <c r="G5530" s="67" t="s">
        <v>368</v>
      </c>
      <c r="H5530" s="69">
        <v>-0.55000000000000004</v>
      </c>
    </row>
    <row r="5531" spans="6:8">
      <c r="F5531" s="68" t="s">
        <v>125</v>
      </c>
      <c r="G5531" s="67" t="s">
        <v>368</v>
      </c>
      <c r="H5531" s="69">
        <v>-1</v>
      </c>
    </row>
    <row r="5532" spans="6:8">
      <c r="F5532" s="68" t="s">
        <v>314</v>
      </c>
      <c r="G5532" s="67" t="s">
        <v>368</v>
      </c>
      <c r="H5532" s="69">
        <v>-0.9</v>
      </c>
    </row>
    <row r="5533" spans="6:8">
      <c r="F5533" s="68" t="s">
        <v>252</v>
      </c>
      <c r="G5533" s="67" t="s">
        <v>368</v>
      </c>
      <c r="H5533" s="69">
        <v>0.19</v>
      </c>
    </row>
    <row r="5534" spans="6:8">
      <c r="F5534" s="68" t="s">
        <v>124</v>
      </c>
      <c r="G5534" s="67" t="s">
        <v>368</v>
      </c>
      <c r="H5534" s="69">
        <v>-0.65</v>
      </c>
    </row>
    <row r="5535" spans="6:8">
      <c r="F5535" s="68" t="s">
        <v>123</v>
      </c>
      <c r="G5535" s="67" t="s">
        <v>368</v>
      </c>
      <c r="H5535" s="69">
        <v>-0.55000000000000004</v>
      </c>
    </row>
    <row r="5536" spans="6:8">
      <c r="F5536" s="68" t="s">
        <v>122</v>
      </c>
      <c r="G5536" s="67" t="s">
        <v>368</v>
      </c>
      <c r="H5536" s="69">
        <v>-0.9</v>
      </c>
    </row>
    <row r="5537" spans="6:8">
      <c r="F5537" s="68" t="s">
        <v>251</v>
      </c>
      <c r="G5537" s="67" t="s">
        <v>368</v>
      </c>
      <c r="H5537" s="69">
        <v>0.16</v>
      </c>
    </row>
    <row r="5538" spans="6:8">
      <c r="F5538" s="68" t="s">
        <v>121</v>
      </c>
      <c r="G5538" s="67" t="s">
        <v>368</v>
      </c>
      <c r="H5538" s="69">
        <v>-0.75</v>
      </c>
    </row>
    <row r="5539" spans="6:8">
      <c r="F5539" s="68" t="s">
        <v>120</v>
      </c>
      <c r="G5539" s="67" t="s">
        <v>368</v>
      </c>
      <c r="H5539" s="69">
        <v>-0.5</v>
      </c>
    </row>
    <row r="5540" spans="6:8">
      <c r="F5540" s="68" t="s">
        <v>119</v>
      </c>
      <c r="G5540" s="67" t="s">
        <v>368</v>
      </c>
      <c r="H5540" s="69">
        <v>-0.9</v>
      </c>
    </row>
    <row r="5541" spans="6:8">
      <c r="F5541" s="68" t="s">
        <v>119</v>
      </c>
      <c r="G5541" s="67" t="s">
        <v>369</v>
      </c>
      <c r="H5541" s="69">
        <v>-0.9</v>
      </c>
    </row>
    <row r="5542" spans="6:8">
      <c r="F5542" s="68" t="s">
        <v>120</v>
      </c>
      <c r="G5542" s="67" t="s">
        <v>369</v>
      </c>
      <c r="H5542" s="69">
        <v>-0.5</v>
      </c>
    </row>
    <row r="5543" spans="6:8">
      <c r="F5543" s="68" t="s">
        <v>121</v>
      </c>
      <c r="G5543" s="67" t="s">
        <v>369</v>
      </c>
      <c r="H5543" s="69">
        <v>-0.75</v>
      </c>
    </row>
    <row r="5544" spans="6:8">
      <c r="F5544" s="68" t="s">
        <v>251</v>
      </c>
      <c r="G5544" s="67" t="s">
        <v>369</v>
      </c>
      <c r="H5544" s="69">
        <v>0.16</v>
      </c>
    </row>
    <row r="5545" spans="6:8">
      <c r="F5545" s="68" t="s">
        <v>122</v>
      </c>
      <c r="G5545" s="67" t="s">
        <v>369</v>
      </c>
      <c r="H5545" s="69">
        <v>-0.9</v>
      </c>
    </row>
    <row r="5546" spans="6:8">
      <c r="F5546" s="68" t="s">
        <v>123</v>
      </c>
      <c r="G5546" s="67" t="s">
        <v>369</v>
      </c>
      <c r="H5546" s="69">
        <v>-0.55000000000000004</v>
      </c>
    </row>
    <row r="5547" spans="6:8">
      <c r="F5547" s="68" t="s">
        <v>124</v>
      </c>
      <c r="G5547" s="67" t="s">
        <v>369</v>
      </c>
      <c r="H5547" s="69">
        <v>-0.65</v>
      </c>
    </row>
    <row r="5548" spans="6:8">
      <c r="F5548" s="68" t="s">
        <v>252</v>
      </c>
      <c r="G5548" s="67" t="s">
        <v>369</v>
      </c>
      <c r="H5548" s="69">
        <v>0.19</v>
      </c>
    </row>
    <row r="5549" spans="6:8">
      <c r="F5549" s="68" t="s">
        <v>314</v>
      </c>
      <c r="G5549" s="67" t="s">
        <v>369</v>
      </c>
      <c r="H5549" s="69">
        <v>-0.9</v>
      </c>
    </row>
    <row r="5550" spans="6:8">
      <c r="F5550" s="68" t="s">
        <v>125</v>
      </c>
      <c r="G5550" s="67" t="s">
        <v>369</v>
      </c>
      <c r="H5550" s="69">
        <v>-1</v>
      </c>
    </row>
    <row r="5551" spans="6:8">
      <c r="F5551" s="68" t="s">
        <v>126</v>
      </c>
      <c r="G5551" s="67" t="s">
        <v>369</v>
      </c>
      <c r="H5551" s="69">
        <v>-0.55000000000000004</v>
      </c>
    </row>
    <row r="5552" spans="6:8">
      <c r="F5552" s="68" t="s">
        <v>127</v>
      </c>
      <c r="G5552" s="67" t="s">
        <v>369</v>
      </c>
      <c r="H5552" s="69">
        <v>-0.15</v>
      </c>
    </row>
    <row r="5553" spans="6:8">
      <c r="F5553" s="68" t="s">
        <v>253</v>
      </c>
      <c r="G5553" s="67" t="s">
        <v>369</v>
      </c>
      <c r="H5553" s="69">
        <v>0.22</v>
      </c>
    </row>
    <row r="5554" spans="6:8">
      <c r="F5554" s="68" t="s">
        <v>315</v>
      </c>
      <c r="G5554" s="67" t="s">
        <v>369</v>
      </c>
      <c r="H5554" s="69">
        <v>-0.8</v>
      </c>
    </row>
    <row r="5555" spans="6:8">
      <c r="F5555" s="68" t="s">
        <v>128</v>
      </c>
      <c r="G5555" s="67" t="s">
        <v>369</v>
      </c>
      <c r="H5555" s="69">
        <v>-0.5</v>
      </c>
    </row>
    <row r="5556" spans="6:8">
      <c r="F5556" s="68" t="s">
        <v>129</v>
      </c>
      <c r="G5556" s="67" t="s">
        <v>369</v>
      </c>
      <c r="H5556" s="69">
        <v>-0.25</v>
      </c>
    </row>
    <row r="5557" spans="6:8">
      <c r="F5557" s="68" t="s">
        <v>254</v>
      </c>
      <c r="G5557" s="67" t="s">
        <v>369</v>
      </c>
      <c r="H5557" s="69">
        <v>0.32</v>
      </c>
    </row>
    <row r="5558" spans="6:8">
      <c r="F5558" s="68" t="s">
        <v>304</v>
      </c>
      <c r="G5558" s="67" t="s">
        <v>369</v>
      </c>
      <c r="H5558" s="69">
        <v>14.75</v>
      </c>
    </row>
    <row r="5559" spans="6:8">
      <c r="F5559" s="68" t="s">
        <v>130</v>
      </c>
      <c r="G5559" s="67" t="s">
        <v>369</v>
      </c>
      <c r="H5559" s="69">
        <v>-0.8</v>
      </c>
    </row>
    <row r="5560" spans="6:8">
      <c r="F5560" s="68" t="s">
        <v>131</v>
      </c>
      <c r="G5560" s="67" t="s">
        <v>369</v>
      </c>
      <c r="H5560" s="69">
        <v>-0.35</v>
      </c>
    </row>
    <row r="5561" spans="6:8">
      <c r="F5561" s="68" t="s">
        <v>255</v>
      </c>
      <c r="G5561" s="67" t="s">
        <v>369</v>
      </c>
      <c r="H5561" s="69">
        <v>0.46</v>
      </c>
    </row>
    <row r="5562" spans="6:8">
      <c r="F5562" s="68" t="s">
        <v>303</v>
      </c>
      <c r="G5562" s="67" t="s">
        <v>369</v>
      </c>
      <c r="H5562" s="69">
        <v>16.75</v>
      </c>
    </row>
    <row r="5563" spans="6:8">
      <c r="F5563" s="68" t="s">
        <v>132</v>
      </c>
      <c r="G5563" s="67" t="s">
        <v>369</v>
      </c>
      <c r="H5563" s="69">
        <v>-0.8</v>
      </c>
    </row>
    <row r="5564" spans="6:8">
      <c r="F5564" s="68" t="s">
        <v>133</v>
      </c>
      <c r="G5564" s="67" t="s">
        <v>369</v>
      </c>
      <c r="H5564" s="69">
        <v>-0.35</v>
      </c>
    </row>
    <row r="5565" spans="6:8">
      <c r="F5565" s="68" t="s">
        <v>256</v>
      </c>
      <c r="G5565" s="67" t="s">
        <v>369</v>
      </c>
      <c r="H5565" s="69">
        <v>0.66</v>
      </c>
    </row>
    <row r="5566" spans="6:8">
      <c r="F5566" s="68" t="s">
        <v>134</v>
      </c>
      <c r="G5566" s="67" t="s">
        <v>369</v>
      </c>
      <c r="H5566" s="69">
        <v>-0.8</v>
      </c>
    </row>
    <row r="5567" spans="6:8">
      <c r="F5567" s="68" t="s">
        <v>135</v>
      </c>
      <c r="G5567" s="67" t="s">
        <v>369</v>
      </c>
      <c r="H5567" s="69">
        <v>-0.35</v>
      </c>
    </row>
    <row r="5568" spans="6:8">
      <c r="F5568" s="68" t="s">
        <v>257</v>
      </c>
      <c r="G5568" s="67" t="s">
        <v>369</v>
      </c>
      <c r="H5568" s="69">
        <v>0.87</v>
      </c>
    </row>
    <row r="5569" spans="6:8">
      <c r="F5569" s="68" t="s">
        <v>258</v>
      </c>
      <c r="G5569" s="67" t="s">
        <v>369</v>
      </c>
      <c r="H5569" s="69">
        <v>0.1</v>
      </c>
    </row>
    <row r="5570" spans="6:8">
      <c r="F5570" s="68" t="s">
        <v>136</v>
      </c>
      <c r="G5570" s="67" t="s">
        <v>369</v>
      </c>
      <c r="H5570" s="69">
        <v>-0.9</v>
      </c>
    </row>
    <row r="5571" spans="6:8">
      <c r="F5571" s="68" t="s">
        <v>137</v>
      </c>
      <c r="G5571" s="67" t="s">
        <v>369</v>
      </c>
      <c r="H5571" s="69">
        <v>-0.5</v>
      </c>
    </row>
    <row r="5572" spans="6:8">
      <c r="F5572" s="68" t="s">
        <v>138</v>
      </c>
      <c r="G5572" s="67" t="s">
        <v>369</v>
      </c>
      <c r="H5572" s="69">
        <v>-0.8</v>
      </c>
    </row>
    <row r="5573" spans="6:8">
      <c r="F5573" s="68" t="s">
        <v>259</v>
      </c>
      <c r="G5573" s="67" t="s">
        <v>369</v>
      </c>
      <c r="H5573" s="69">
        <v>0.14000000000000001</v>
      </c>
    </row>
    <row r="5574" spans="6:8">
      <c r="F5574" s="68" t="s">
        <v>259</v>
      </c>
      <c r="G5574" s="67" t="s">
        <v>370</v>
      </c>
      <c r="H5574" s="69">
        <v>0.14000000000000001</v>
      </c>
    </row>
    <row r="5575" spans="6:8">
      <c r="F5575" s="68" t="s">
        <v>138</v>
      </c>
      <c r="G5575" s="67" t="s">
        <v>370</v>
      </c>
      <c r="H5575" s="69">
        <v>-0.7</v>
      </c>
    </row>
    <row r="5576" spans="6:8">
      <c r="F5576" s="68" t="s">
        <v>137</v>
      </c>
      <c r="G5576" s="67" t="s">
        <v>370</v>
      </c>
      <c r="H5576" s="69">
        <v>-0.45</v>
      </c>
    </row>
    <row r="5577" spans="6:8">
      <c r="F5577" s="68" t="s">
        <v>136</v>
      </c>
      <c r="G5577" s="67" t="s">
        <v>370</v>
      </c>
      <c r="H5577" s="69">
        <v>-0.8</v>
      </c>
    </row>
    <row r="5578" spans="6:8">
      <c r="F5578" s="68" t="s">
        <v>258</v>
      </c>
      <c r="G5578" s="67" t="s">
        <v>370</v>
      </c>
      <c r="H5578" s="69">
        <v>0.1</v>
      </c>
    </row>
    <row r="5579" spans="6:8">
      <c r="F5579" s="68" t="s">
        <v>257</v>
      </c>
      <c r="G5579" s="67" t="s">
        <v>370</v>
      </c>
      <c r="H5579" s="69">
        <v>0.88</v>
      </c>
    </row>
    <row r="5580" spans="6:8">
      <c r="F5580" s="68" t="s">
        <v>135</v>
      </c>
      <c r="G5580" s="67" t="s">
        <v>370</v>
      </c>
      <c r="H5580" s="69">
        <v>-0.3</v>
      </c>
    </row>
    <row r="5581" spans="6:8">
      <c r="F5581" s="68" t="s">
        <v>134</v>
      </c>
      <c r="G5581" s="67" t="s">
        <v>370</v>
      </c>
      <c r="H5581" s="69">
        <v>-0.7</v>
      </c>
    </row>
    <row r="5582" spans="6:8">
      <c r="F5582" s="68" t="s">
        <v>256</v>
      </c>
      <c r="G5582" s="67" t="s">
        <v>370</v>
      </c>
      <c r="H5582" s="69">
        <v>0.67</v>
      </c>
    </row>
    <row r="5583" spans="6:8">
      <c r="F5583" s="68" t="s">
        <v>133</v>
      </c>
      <c r="G5583" s="67" t="s">
        <v>370</v>
      </c>
      <c r="H5583" s="69">
        <v>-0.3</v>
      </c>
    </row>
    <row r="5584" spans="6:8">
      <c r="F5584" s="68" t="s">
        <v>132</v>
      </c>
      <c r="G5584" s="67" t="s">
        <v>370</v>
      </c>
      <c r="H5584" s="69">
        <v>-0.7</v>
      </c>
    </row>
    <row r="5585" spans="6:8">
      <c r="F5585" s="68" t="s">
        <v>303</v>
      </c>
      <c r="G5585" s="67" t="s">
        <v>370</v>
      </c>
      <c r="H5585" s="69">
        <v>16.75</v>
      </c>
    </row>
    <row r="5586" spans="6:8">
      <c r="F5586" s="68" t="s">
        <v>255</v>
      </c>
      <c r="G5586" s="67" t="s">
        <v>370</v>
      </c>
      <c r="H5586" s="69">
        <v>0.47</v>
      </c>
    </row>
    <row r="5587" spans="6:8">
      <c r="F5587" s="68" t="s">
        <v>131</v>
      </c>
      <c r="G5587" s="67" t="s">
        <v>370</v>
      </c>
      <c r="H5587" s="69">
        <v>-0.3</v>
      </c>
    </row>
    <row r="5588" spans="6:8">
      <c r="F5588" s="68" t="s">
        <v>130</v>
      </c>
      <c r="G5588" s="67" t="s">
        <v>370</v>
      </c>
      <c r="H5588" s="69">
        <v>-0.7</v>
      </c>
    </row>
    <row r="5589" spans="6:8">
      <c r="F5589" s="68" t="s">
        <v>304</v>
      </c>
      <c r="G5589" s="67" t="s">
        <v>370</v>
      </c>
      <c r="H5589" s="69">
        <v>14.75</v>
      </c>
    </row>
    <row r="5590" spans="6:8">
      <c r="F5590" s="68" t="s">
        <v>254</v>
      </c>
      <c r="G5590" s="67" t="s">
        <v>370</v>
      </c>
      <c r="H5590" s="69">
        <v>0.33</v>
      </c>
    </row>
    <row r="5591" spans="6:8">
      <c r="F5591" s="68" t="s">
        <v>129</v>
      </c>
      <c r="G5591" s="67" t="s">
        <v>370</v>
      </c>
      <c r="H5591" s="69">
        <v>-0.25</v>
      </c>
    </row>
    <row r="5592" spans="6:8">
      <c r="F5592" s="68" t="s">
        <v>128</v>
      </c>
      <c r="G5592" s="67" t="s">
        <v>370</v>
      </c>
      <c r="H5592" s="69">
        <v>-0.45</v>
      </c>
    </row>
    <row r="5593" spans="6:8">
      <c r="F5593" s="68" t="s">
        <v>315</v>
      </c>
      <c r="G5593" s="67" t="s">
        <v>370</v>
      </c>
      <c r="H5593" s="69">
        <v>-0.75</v>
      </c>
    </row>
    <row r="5594" spans="6:8">
      <c r="F5594" s="68" t="s">
        <v>253</v>
      </c>
      <c r="G5594" s="67" t="s">
        <v>370</v>
      </c>
      <c r="H5594" s="69">
        <v>0.23</v>
      </c>
    </row>
    <row r="5595" spans="6:8">
      <c r="F5595" s="68" t="s">
        <v>127</v>
      </c>
      <c r="G5595" s="67" t="s">
        <v>370</v>
      </c>
      <c r="H5595" s="69">
        <v>-0.15</v>
      </c>
    </row>
    <row r="5596" spans="6:8">
      <c r="F5596" s="68" t="s">
        <v>126</v>
      </c>
      <c r="G5596" s="67" t="s">
        <v>370</v>
      </c>
      <c r="H5596" s="69">
        <v>-0.5</v>
      </c>
    </row>
    <row r="5597" spans="6:8">
      <c r="F5597" s="68" t="s">
        <v>125</v>
      </c>
      <c r="G5597" s="67" t="s">
        <v>370</v>
      </c>
      <c r="H5597" s="69">
        <v>-0.9</v>
      </c>
    </row>
    <row r="5598" spans="6:8">
      <c r="F5598" s="68" t="s">
        <v>314</v>
      </c>
      <c r="G5598" s="67" t="s">
        <v>370</v>
      </c>
      <c r="H5598" s="69">
        <v>-0.8</v>
      </c>
    </row>
    <row r="5599" spans="6:8">
      <c r="F5599" s="68" t="s">
        <v>252</v>
      </c>
      <c r="G5599" s="67" t="s">
        <v>370</v>
      </c>
      <c r="H5599" s="69">
        <v>0.19</v>
      </c>
    </row>
    <row r="5600" spans="6:8">
      <c r="F5600" s="68" t="s">
        <v>124</v>
      </c>
      <c r="G5600" s="67" t="s">
        <v>370</v>
      </c>
      <c r="H5600" s="69">
        <v>-0.6</v>
      </c>
    </row>
    <row r="5601" spans="6:8">
      <c r="F5601" s="68" t="s">
        <v>123</v>
      </c>
      <c r="G5601" s="67" t="s">
        <v>370</v>
      </c>
      <c r="H5601" s="69">
        <v>-0.5</v>
      </c>
    </row>
    <row r="5602" spans="6:8">
      <c r="F5602" s="68" t="s">
        <v>122</v>
      </c>
      <c r="G5602" s="67" t="s">
        <v>370</v>
      </c>
      <c r="H5602" s="69">
        <v>-0.8</v>
      </c>
    </row>
    <row r="5603" spans="6:8">
      <c r="F5603" s="68" t="s">
        <v>251</v>
      </c>
      <c r="G5603" s="67" t="s">
        <v>370</v>
      </c>
      <c r="H5603" s="69">
        <v>0.16</v>
      </c>
    </row>
    <row r="5604" spans="6:8">
      <c r="F5604" s="68" t="s">
        <v>121</v>
      </c>
      <c r="G5604" s="67" t="s">
        <v>370</v>
      </c>
      <c r="H5604" s="69">
        <v>-0.7</v>
      </c>
    </row>
    <row r="5605" spans="6:8">
      <c r="F5605" s="68" t="s">
        <v>120</v>
      </c>
      <c r="G5605" s="67" t="s">
        <v>370</v>
      </c>
      <c r="H5605" s="69">
        <v>-0.45</v>
      </c>
    </row>
    <row r="5606" spans="6:8">
      <c r="F5606" s="68" t="s">
        <v>119</v>
      </c>
      <c r="G5606" s="67" t="s">
        <v>370</v>
      </c>
      <c r="H5606" s="69">
        <v>-0.8</v>
      </c>
    </row>
    <row r="5607" spans="6:8">
      <c r="F5607" s="68" t="s">
        <v>119</v>
      </c>
      <c r="G5607" s="67" t="s">
        <v>371</v>
      </c>
      <c r="H5607" s="69">
        <v>-0.75</v>
      </c>
    </row>
    <row r="5608" spans="6:8">
      <c r="F5608" s="68" t="s">
        <v>120</v>
      </c>
      <c r="G5608" s="67" t="s">
        <v>371</v>
      </c>
      <c r="H5608" s="69">
        <v>-0.4</v>
      </c>
    </row>
    <row r="5609" spans="6:8">
      <c r="F5609" s="68" t="s">
        <v>121</v>
      </c>
      <c r="G5609" s="67" t="s">
        <v>371</v>
      </c>
      <c r="H5609" s="69">
        <v>-0.65</v>
      </c>
    </row>
    <row r="5610" spans="6:8">
      <c r="F5610" s="68" t="s">
        <v>251</v>
      </c>
      <c r="G5610" s="67" t="s">
        <v>371</v>
      </c>
      <c r="H5610" s="69">
        <v>0.16</v>
      </c>
    </row>
    <row r="5611" spans="6:8">
      <c r="F5611" s="68" t="s">
        <v>122</v>
      </c>
      <c r="G5611" s="67" t="s">
        <v>371</v>
      </c>
      <c r="H5611" s="69">
        <v>-0.75</v>
      </c>
    </row>
    <row r="5612" spans="6:8">
      <c r="F5612" s="68" t="s">
        <v>123</v>
      </c>
      <c r="G5612" s="67" t="s">
        <v>371</v>
      </c>
      <c r="H5612" s="69">
        <v>-0.45</v>
      </c>
    </row>
    <row r="5613" spans="6:8">
      <c r="F5613" s="68" t="s">
        <v>124</v>
      </c>
      <c r="G5613" s="67" t="s">
        <v>371</v>
      </c>
      <c r="H5613" s="69">
        <v>-0.6</v>
      </c>
    </row>
    <row r="5614" spans="6:8">
      <c r="F5614" s="68" t="s">
        <v>252</v>
      </c>
      <c r="G5614" s="67" t="s">
        <v>371</v>
      </c>
      <c r="H5614" s="69">
        <v>0.19</v>
      </c>
    </row>
    <row r="5615" spans="6:8">
      <c r="F5615" s="68" t="s">
        <v>314</v>
      </c>
      <c r="G5615" s="67" t="s">
        <v>371</v>
      </c>
      <c r="H5615" s="69">
        <v>-0.75</v>
      </c>
    </row>
    <row r="5616" spans="6:8">
      <c r="F5616" s="68" t="s">
        <v>125</v>
      </c>
      <c r="G5616" s="67" t="s">
        <v>371</v>
      </c>
      <c r="H5616" s="69">
        <v>-0.85</v>
      </c>
    </row>
    <row r="5617" spans="6:8">
      <c r="F5617" s="68" t="s">
        <v>126</v>
      </c>
      <c r="G5617" s="67" t="s">
        <v>371</v>
      </c>
      <c r="H5617" s="69">
        <v>-0.45</v>
      </c>
    </row>
    <row r="5618" spans="6:8">
      <c r="F5618" s="68" t="s">
        <v>127</v>
      </c>
      <c r="G5618" s="67" t="s">
        <v>371</v>
      </c>
      <c r="H5618" s="69">
        <v>-0.1</v>
      </c>
    </row>
    <row r="5619" spans="6:8">
      <c r="F5619" s="68" t="s">
        <v>253</v>
      </c>
      <c r="G5619" s="67" t="s">
        <v>371</v>
      </c>
      <c r="H5619" s="69">
        <v>0.23</v>
      </c>
    </row>
    <row r="5620" spans="6:8">
      <c r="F5620" s="68" t="s">
        <v>315</v>
      </c>
      <c r="G5620" s="67" t="s">
        <v>371</v>
      </c>
      <c r="H5620" s="69">
        <v>-0.7</v>
      </c>
    </row>
    <row r="5621" spans="6:8">
      <c r="F5621" s="68" t="s">
        <v>128</v>
      </c>
      <c r="G5621" s="67" t="s">
        <v>371</v>
      </c>
      <c r="H5621" s="69">
        <v>-0.4</v>
      </c>
    </row>
    <row r="5622" spans="6:8">
      <c r="F5622" s="68" t="s">
        <v>129</v>
      </c>
      <c r="G5622" s="67" t="s">
        <v>371</v>
      </c>
      <c r="H5622" s="69">
        <v>-0.2</v>
      </c>
    </row>
    <row r="5623" spans="6:8">
      <c r="F5623" s="68" t="s">
        <v>254</v>
      </c>
      <c r="G5623" s="67" t="s">
        <v>371</v>
      </c>
      <c r="H5623" s="69">
        <v>0.33</v>
      </c>
    </row>
    <row r="5624" spans="6:8">
      <c r="F5624" s="68" t="s">
        <v>304</v>
      </c>
      <c r="G5624" s="67" t="s">
        <v>371</v>
      </c>
      <c r="H5624" s="69">
        <v>14.3125</v>
      </c>
    </row>
    <row r="5625" spans="6:8">
      <c r="F5625" s="68" t="s">
        <v>130</v>
      </c>
      <c r="G5625" s="67" t="s">
        <v>371</v>
      </c>
      <c r="H5625" s="69">
        <v>-0.65</v>
      </c>
    </row>
    <row r="5626" spans="6:8">
      <c r="F5626" s="68" t="s">
        <v>131</v>
      </c>
      <c r="G5626" s="67" t="s">
        <v>371</v>
      </c>
      <c r="H5626" s="69">
        <v>-0.25</v>
      </c>
    </row>
    <row r="5627" spans="6:8">
      <c r="F5627" s="68" t="s">
        <v>255</v>
      </c>
      <c r="G5627" s="67" t="s">
        <v>371</v>
      </c>
      <c r="H5627" s="69">
        <v>0.48</v>
      </c>
    </row>
    <row r="5628" spans="6:8">
      <c r="F5628" s="68" t="s">
        <v>303</v>
      </c>
      <c r="G5628" s="67" t="s">
        <v>371</v>
      </c>
      <c r="H5628" s="69">
        <v>16.25</v>
      </c>
    </row>
    <row r="5629" spans="6:8">
      <c r="F5629" s="68" t="s">
        <v>132</v>
      </c>
      <c r="G5629" s="67" t="s">
        <v>371</v>
      </c>
      <c r="H5629" s="69">
        <v>-0.65</v>
      </c>
    </row>
    <row r="5630" spans="6:8">
      <c r="F5630" s="68" t="s">
        <v>133</v>
      </c>
      <c r="G5630" s="67" t="s">
        <v>371</v>
      </c>
      <c r="H5630" s="69">
        <v>-0.25</v>
      </c>
    </row>
    <row r="5631" spans="6:8">
      <c r="F5631" s="68" t="s">
        <v>256</v>
      </c>
      <c r="G5631" s="67" t="s">
        <v>371</v>
      </c>
      <c r="H5631" s="69">
        <v>0.68</v>
      </c>
    </row>
    <row r="5632" spans="6:8">
      <c r="F5632" s="68" t="s">
        <v>134</v>
      </c>
      <c r="G5632" s="67" t="s">
        <v>371</v>
      </c>
      <c r="H5632" s="69">
        <v>-0.65</v>
      </c>
    </row>
    <row r="5633" spans="6:8">
      <c r="F5633" s="68" t="s">
        <v>135</v>
      </c>
      <c r="G5633" s="67" t="s">
        <v>371</v>
      </c>
      <c r="H5633" s="69">
        <v>-0.25</v>
      </c>
    </row>
    <row r="5634" spans="6:8">
      <c r="F5634" s="68" t="s">
        <v>257</v>
      </c>
      <c r="G5634" s="67" t="s">
        <v>371</v>
      </c>
      <c r="H5634" s="69">
        <v>0.89</v>
      </c>
    </row>
    <row r="5635" spans="6:8">
      <c r="F5635" s="68" t="s">
        <v>258</v>
      </c>
      <c r="G5635" s="67" t="s">
        <v>371</v>
      </c>
      <c r="H5635" s="69">
        <v>0.1</v>
      </c>
    </row>
    <row r="5636" spans="6:8">
      <c r="F5636" s="68" t="s">
        <v>136</v>
      </c>
      <c r="G5636" s="67" t="s">
        <v>371</v>
      </c>
      <c r="H5636" s="69">
        <v>-0.75</v>
      </c>
    </row>
    <row r="5637" spans="6:8">
      <c r="F5637" s="68" t="s">
        <v>137</v>
      </c>
      <c r="G5637" s="67" t="s">
        <v>371</v>
      </c>
      <c r="H5637" s="69">
        <v>-0.4</v>
      </c>
    </row>
    <row r="5638" spans="6:8">
      <c r="F5638" s="68" t="s">
        <v>138</v>
      </c>
      <c r="G5638" s="67" t="s">
        <v>371</v>
      </c>
      <c r="H5638" s="69">
        <v>-0.6</v>
      </c>
    </row>
    <row r="5639" spans="6:8">
      <c r="F5639" s="68" t="s">
        <v>259</v>
      </c>
      <c r="G5639" s="67" t="s">
        <v>371</v>
      </c>
      <c r="H5639" s="69">
        <v>0.14000000000000001</v>
      </c>
    </row>
    <row r="5640" spans="6:8">
      <c r="F5640" s="68" t="s">
        <v>259</v>
      </c>
      <c r="G5640" s="67" t="s">
        <v>372</v>
      </c>
      <c r="H5640" s="69">
        <v>0.14000000000000001</v>
      </c>
    </row>
    <row r="5641" spans="6:8">
      <c r="F5641" s="68" t="s">
        <v>138</v>
      </c>
      <c r="G5641" s="67" t="s">
        <v>372</v>
      </c>
      <c r="H5641" s="69">
        <v>-0.5</v>
      </c>
    </row>
    <row r="5642" spans="6:8">
      <c r="F5642" s="68" t="s">
        <v>137</v>
      </c>
      <c r="G5642" s="67" t="s">
        <v>372</v>
      </c>
      <c r="H5642" s="69">
        <v>-0.35</v>
      </c>
    </row>
    <row r="5643" spans="6:8">
      <c r="F5643" s="68" t="s">
        <v>136</v>
      </c>
      <c r="G5643" s="67" t="s">
        <v>372</v>
      </c>
      <c r="H5643" s="69">
        <v>-0.7</v>
      </c>
    </row>
    <row r="5644" spans="6:8">
      <c r="F5644" s="68" t="s">
        <v>258</v>
      </c>
      <c r="G5644" s="67" t="s">
        <v>372</v>
      </c>
      <c r="H5644" s="69">
        <v>0.1</v>
      </c>
    </row>
    <row r="5645" spans="6:8">
      <c r="F5645" s="68" t="s">
        <v>257</v>
      </c>
      <c r="G5645" s="67" t="s">
        <v>372</v>
      </c>
      <c r="H5645" s="69">
        <v>0.9</v>
      </c>
    </row>
    <row r="5646" spans="6:8">
      <c r="F5646" s="68" t="s">
        <v>135</v>
      </c>
      <c r="G5646" s="67" t="s">
        <v>372</v>
      </c>
      <c r="H5646" s="69">
        <v>-0.25</v>
      </c>
    </row>
    <row r="5647" spans="6:8">
      <c r="F5647" s="68" t="s">
        <v>134</v>
      </c>
      <c r="G5647" s="67" t="s">
        <v>372</v>
      </c>
      <c r="H5647" s="69">
        <v>-0.6</v>
      </c>
    </row>
    <row r="5648" spans="6:8">
      <c r="F5648" s="68" t="s">
        <v>256</v>
      </c>
      <c r="G5648" s="67" t="s">
        <v>372</v>
      </c>
      <c r="H5648" s="69">
        <v>0.69</v>
      </c>
    </row>
    <row r="5649" spans="6:8">
      <c r="F5649" s="68" t="s">
        <v>133</v>
      </c>
      <c r="G5649" s="67" t="s">
        <v>372</v>
      </c>
      <c r="H5649" s="69">
        <v>-0.25</v>
      </c>
    </row>
    <row r="5650" spans="6:8">
      <c r="F5650" s="68" t="s">
        <v>132</v>
      </c>
      <c r="G5650" s="67" t="s">
        <v>372</v>
      </c>
      <c r="H5650" s="69">
        <v>-0.6</v>
      </c>
    </row>
    <row r="5651" spans="6:8">
      <c r="F5651" s="68" t="s">
        <v>303</v>
      </c>
      <c r="G5651" s="67" t="s">
        <v>372</v>
      </c>
      <c r="H5651" s="69">
        <v>16.5625</v>
      </c>
    </row>
    <row r="5652" spans="6:8">
      <c r="F5652" s="68" t="s">
        <v>255</v>
      </c>
      <c r="G5652" s="67" t="s">
        <v>372</v>
      </c>
      <c r="H5652" s="69">
        <v>0.49</v>
      </c>
    </row>
    <row r="5653" spans="6:8">
      <c r="F5653" s="68" t="s">
        <v>131</v>
      </c>
      <c r="G5653" s="67" t="s">
        <v>372</v>
      </c>
      <c r="H5653" s="69">
        <v>-0.25</v>
      </c>
    </row>
    <row r="5654" spans="6:8">
      <c r="F5654" s="68" t="s">
        <v>130</v>
      </c>
      <c r="G5654" s="67" t="s">
        <v>372</v>
      </c>
      <c r="H5654" s="69">
        <v>-0.6</v>
      </c>
    </row>
    <row r="5655" spans="6:8">
      <c r="F5655" s="68" t="s">
        <v>304</v>
      </c>
      <c r="G5655" s="67" t="s">
        <v>372</v>
      </c>
      <c r="H5655" s="69">
        <v>14.8125</v>
      </c>
    </row>
    <row r="5656" spans="6:8">
      <c r="F5656" s="68" t="s">
        <v>254</v>
      </c>
      <c r="G5656" s="67" t="s">
        <v>372</v>
      </c>
      <c r="H5656" s="69">
        <v>0.34</v>
      </c>
    </row>
    <row r="5657" spans="6:8">
      <c r="F5657" s="68" t="s">
        <v>129</v>
      </c>
      <c r="G5657" s="67" t="s">
        <v>372</v>
      </c>
      <c r="H5657" s="69">
        <v>-0.2</v>
      </c>
    </row>
    <row r="5658" spans="6:8">
      <c r="F5658" s="68" t="s">
        <v>128</v>
      </c>
      <c r="G5658" s="67" t="s">
        <v>372</v>
      </c>
      <c r="H5658" s="69">
        <v>-0.35</v>
      </c>
    </row>
    <row r="5659" spans="6:8">
      <c r="F5659" s="68" t="s">
        <v>315</v>
      </c>
      <c r="G5659" s="67" t="s">
        <v>372</v>
      </c>
      <c r="H5659" s="69">
        <v>-0.65</v>
      </c>
    </row>
    <row r="5660" spans="6:8">
      <c r="F5660" s="68" t="s">
        <v>253</v>
      </c>
      <c r="G5660" s="67" t="s">
        <v>372</v>
      </c>
      <c r="H5660" s="69">
        <v>0.24</v>
      </c>
    </row>
    <row r="5661" spans="6:8">
      <c r="F5661" s="68" t="s">
        <v>127</v>
      </c>
      <c r="G5661" s="67" t="s">
        <v>372</v>
      </c>
      <c r="H5661" s="69">
        <v>-0.1</v>
      </c>
    </row>
    <row r="5662" spans="6:8">
      <c r="F5662" s="68" t="s">
        <v>126</v>
      </c>
      <c r="G5662" s="67" t="s">
        <v>372</v>
      </c>
      <c r="H5662" s="69">
        <v>-0.4</v>
      </c>
    </row>
    <row r="5663" spans="6:8">
      <c r="F5663" s="68" t="s">
        <v>125</v>
      </c>
      <c r="G5663" s="67" t="s">
        <v>372</v>
      </c>
      <c r="H5663" s="69">
        <v>-0.8</v>
      </c>
    </row>
    <row r="5664" spans="6:8">
      <c r="F5664" s="68" t="s">
        <v>314</v>
      </c>
      <c r="G5664" s="67" t="s">
        <v>372</v>
      </c>
      <c r="H5664" s="69">
        <v>-0.7</v>
      </c>
    </row>
    <row r="5665" spans="6:8">
      <c r="F5665" s="68" t="s">
        <v>252</v>
      </c>
      <c r="G5665" s="67" t="s">
        <v>372</v>
      </c>
      <c r="H5665" s="69">
        <v>0.19</v>
      </c>
    </row>
    <row r="5666" spans="6:8">
      <c r="F5666" s="68" t="s">
        <v>124</v>
      </c>
      <c r="G5666" s="67" t="s">
        <v>372</v>
      </c>
      <c r="H5666" s="69">
        <v>-0.55000000000000004</v>
      </c>
    </row>
    <row r="5667" spans="6:8">
      <c r="F5667" s="68" t="s">
        <v>123</v>
      </c>
      <c r="G5667" s="67" t="s">
        <v>372</v>
      </c>
      <c r="H5667" s="69">
        <v>-0.4</v>
      </c>
    </row>
    <row r="5668" spans="6:8">
      <c r="F5668" s="68" t="s">
        <v>122</v>
      </c>
      <c r="G5668" s="67" t="s">
        <v>372</v>
      </c>
      <c r="H5668" s="69">
        <v>-0.7</v>
      </c>
    </row>
    <row r="5669" spans="6:8">
      <c r="F5669" s="68" t="s">
        <v>251</v>
      </c>
      <c r="G5669" s="67" t="s">
        <v>372</v>
      </c>
      <c r="H5669" s="69">
        <v>0.16</v>
      </c>
    </row>
    <row r="5670" spans="6:8">
      <c r="F5670" s="68" t="s">
        <v>121</v>
      </c>
      <c r="G5670" s="67" t="s">
        <v>372</v>
      </c>
      <c r="H5670" s="69">
        <v>-0.6</v>
      </c>
    </row>
    <row r="5671" spans="6:8">
      <c r="F5671" s="68" t="s">
        <v>120</v>
      </c>
      <c r="G5671" s="67" t="s">
        <v>372</v>
      </c>
      <c r="H5671" s="69">
        <v>-0.35</v>
      </c>
    </row>
    <row r="5672" spans="6:8">
      <c r="F5672" s="68" t="s">
        <v>119</v>
      </c>
      <c r="G5672" s="67" t="s">
        <v>372</v>
      </c>
      <c r="H5672" s="69">
        <v>-0.7</v>
      </c>
    </row>
    <row r="5673" spans="6:8">
      <c r="F5673" s="68" t="s">
        <v>119</v>
      </c>
      <c r="G5673" s="67" t="s">
        <v>373</v>
      </c>
      <c r="H5673" s="69">
        <v>-0.7</v>
      </c>
    </row>
    <row r="5674" spans="6:8">
      <c r="F5674" s="68" t="s">
        <v>120</v>
      </c>
      <c r="G5674" s="67" t="s">
        <v>373</v>
      </c>
      <c r="H5674" s="69">
        <v>-0.35</v>
      </c>
    </row>
    <row r="5675" spans="6:8">
      <c r="F5675" s="68" t="s">
        <v>121</v>
      </c>
      <c r="G5675" s="67" t="s">
        <v>373</v>
      </c>
      <c r="H5675" s="69">
        <v>-0.6</v>
      </c>
    </row>
    <row r="5676" spans="6:8">
      <c r="F5676" s="68" t="s">
        <v>251</v>
      </c>
      <c r="G5676" s="67" t="s">
        <v>373</v>
      </c>
      <c r="H5676" s="69">
        <v>0.16</v>
      </c>
    </row>
    <row r="5677" spans="6:8">
      <c r="F5677" s="68" t="s">
        <v>122</v>
      </c>
      <c r="G5677" s="67" t="s">
        <v>373</v>
      </c>
      <c r="H5677" s="69">
        <v>-0.7</v>
      </c>
    </row>
    <row r="5678" spans="6:8">
      <c r="F5678" s="68" t="s">
        <v>123</v>
      </c>
      <c r="G5678" s="67" t="s">
        <v>373</v>
      </c>
      <c r="H5678" s="69">
        <v>-0.4</v>
      </c>
    </row>
    <row r="5679" spans="6:8">
      <c r="F5679" s="68" t="s">
        <v>124</v>
      </c>
      <c r="G5679" s="67" t="s">
        <v>373</v>
      </c>
      <c r="H5679" s="69">
        <v>-0.55000000000000004</v>
      </c>
    </row>
    <row r="5680" spans="6:8">
      <c r="F5680" s="68" t="s">
        <v>252</v>
      </c>
      <c r="G5680" s="67" t="s">
        <v>373</v>
      </c>
      <c r="H5680" s="69">
        <v>0.19</v>
      </c>
    </row>
    <row r="5681" spans="6:8">
      <c r="F5681" s="68" t="s">
        <v>314</v>
      </c>
      <c r="G5681" s="67" t="s">
        <v>373</v>
      </c>
      <c r="H5681" s="69">
        <v>-0.7</v>
      </c>
    </row>
    <row r="5682" spans="6:8">
      <c r="F5682" s="68" t="s">
        <v>125</v>
      </c>
      <c r="G5682" s="67" t="s">
        <v>373</v>
      </c>
      <c r="H5682" s="69">
        <v>-0.8</v>
      </c>
    </row>
    <row r="5683" spans="6:8">
      <c r="F5683" s="68" t="s">
        <v>126</v>
      </c>
      <c r="G5683" s="67" t="s">
        <v>373</v>
      </c>
      <c r="H5683" s="69">
        <v>-0.4</v>
      </c>
    </row>
    <row r="5684" spans="6:8">
      <c r="F5684" s="68" t="s">
        <v>127</v>
      </c>
      <c r="G5684" s="67" t="s">
        <v>373</v>
      </c>
      <c r="H5684" s="69">
        <v>-0.1</v>
      </c>
    </row>
    <row r="5685" spans="6:8">
      <c r="F5685" s="68" t="s">
        <v>253</v>
      </c>
      <c r="G5685" s="67" t="s">
        <v>373</v>
      </c>
      <c r="H5685" s="69">
        <v>0.24</v>
      </c>
    </row>
    <row r="5686" spans="6:8">
      <c r="F5686" s="68" t="s">
        <v>315</v>
      </c>
      <c r="G5686" s="67" t="s">
        <v>373</v>
      </c>
      <c r="H5686" s="69">
        <v>-0.65</v>
      </c>
    </row>
    <row r="5687" spans="6:8">
      <c r="F5687" s="68" t="s">
        <v>128</v>
      </c>
      <c r="G5687" s="67" t="s">
        <v>373</v>
      </c>
      <c r="H5687" s="69">
        <v>-0.35</v>
      </c>
    </row>
    <row r="5688" spans="6:8">
      <c r="F5688" s="68" t="s">
        <v>129</v>
      </c>
      <c r="G5688" s="67" t="s">
        <v>373</v>
      </c>
      <c r="H5688" s="69">
        <v>-0.2</v>
      </c>
    </row>
    <row r="5689" spans="6:8">
      <c r="F5689" s="68" t="s">
        <v>254</v>
      </c>
      <c r="G5689" s="67" t="s">
        <v>373</v>
      </c>
      <c r="H5689" s="69">
        <v>0.34</v>
      </c>
    </row>
    <row r="5690" spans="6:8">
      <c r="F5690" s="68" t="s">
        <v>304</v>
      </c>
      <c r="G5690" s="67" t="s">
        <v>373</v>
      </c>
      <c r="H5690" s="69">
        <v>14.5625</v>
      </c>
    </row>
    <row r="5691" spans="6:8">
      <c r="F5691" s="68" t="s">
        <v>130</v>
      </c>
      <c r="G5691" s="67" t="s">
        <v>373</v>
      </c>
      <c r="H5691" s="69">
        <v>-0.6</v>
      </c>
    </row>
    <row r="5692" spans="6:8">
      <c r="F5692" s="68" t="s">
        <v>131</v>
      </c>
      <c r="G5692" s="67" t="s">
        <v>373</v>
      </c>
      <c r="H5692" s="69">
        <v>-0.25</v>
      </c>
    </row>
    <row r="5693" spans="6:8">
      <c r="F5693" s="68" t="s">
        <v>255</v>
      </c>
      <c r="G5693" s="67" t="s">
        <v>373</v>
      </c>
      <c r="H5693" s="69">
        <v>0.49</v>
      </c>
    </row>
    <row r="5694" spans="6:8">
      <c r="F5694" s="68" t="s">
        <v>303</v>
      </c>
      <c r="G5694" s="67" t="s">
        <v>373</v>
      </c>
      <c r="H5694" s="69">
        <v>16.3125</v>
      </c>
    </row>
    <row r="5695" spans="6:8">
      <c r="F5695" s="68" t="s">
        <v>132</v>
      </c>
      <c r="G5695" s="67" t="s">
        <v>373</v>
      </c>
      <c r="H5695" s="69">
        <v>-0.6</v>
      </c>
    </row>
    <row r="5696" spans="6:8">
      <c r="F5696" s="68" t="s">
        <v>133</v>
      </c>
      <c r="G5696" s="67" t="s">
        <v>373</v>
      </c>
      <c r="H5696" s="69">
        <v>-0.25</v>
      </c>
    </row>
    <row r="5697" spans="6:8">
      <c r="F5697" s="68" t="s">
        <v>256</v>
      </c>
      <c r="G5697" s="67" t="s">
        <v>373</v>
      </c>
      <c r="H5697" s="69">
        <v>0.69</v>
      </c>
    </row>
    <row r="5698" spans="6:8">
      <c r="F5698" s="68" t="s">
        <v>134</v>
      </c>
      <c r="G5698" s="67" t="s">
        <v>373</v>
      </c>
      <c r="H5698" s="69">
        <v>-0.6</v>
      </c>
    </row>
    <row r="5699" spans="6:8">
      <c r="F5699" s="68" t="s">
        <v>135</v>
      </c>
      <c r="G5699" s="67" t="s">
        <v>373</v>
      </c>
      <c r="H5699" s="69">
        <v>-0.25</v>
      </c>
    </row>
    <row r="5700" spans="6:8">
      <c r="F5700" s="68" t="s">
        <v>257</v>
      </c>
      <c r="G5700" s="67" t="s">
        <v>373</v>
      </c>
      <c r="H5700" s="69">
        <v>0.9</v>
      </c>
    </row>
    <row r="5701" spans="6:8">
      <c r="F5701" s="68" t="s">
        <v>258</v>
      </c>
      <c r="G5701" s="67" t="s">
        <v>373</v>
      </c>
      <c r="H5701" s="69">
        <v>0.1</v>
      </c>
    </row>
    <row r="5702" spans="6:8">
      <c r="F5702" s="68" t="s">
        <v>136</v>
      </c>
      <c r="G5702" s="67" t="s">
        <v>373</v>
      </c>
      <c r="H5702" s="69">
        <v>-0.7</v>
      </c>
    </row>
    <row r="5703" spans="6:8">
      <c r="F5703" s="68" t="s">
        <v>137</v>
      </c>
      <c r="G5703" s="67" t="s">
        <v>373</v>
      </c>
      <c r="H5703" s="69">
        <v>-0.35</v>
      </c>
    </row>
    <row r="5704" spans="6:8">
      <c r="F5704" s="68" t="s">
        <v>138</v>
      </c>
      <c r="G5704" s="67" t="s">
        <v>373</v>
      </c>
      <c r="H5704" s="69">
        <v>-0.5</v>
      </c>
    </row>
    <row r="5705" spans="6:8">
      <c r="F5705" s="68" t="s">
        <v>259</v>
      </c>
      <c r="G5705" s="67" t="s">
        <v>373</v>
      </c>
      <c r="H5705" s="69">
        <v>0.14000000000000001</v>
      </c>
    </row>
    <row r="5706" spans="6:8">
      <c r="F5706" s="68" t="s">
        <v>259</v>
      </c>
      <c r="G5706" s="67" t="s">
        <v>374</v>
      </c>
      <c r="H5706" s="69">
        <v>0.14000000000000001</v>
      </c>
    </row>
    <row r="5707" spans="6:8">
      <c r="F5707" s="68" t="s">
        <v>138</v>
      </c>
      <c r="G5707" s="67" t="s">
        <v>374</v>
      </c>
      <c r="H5707" s="69">
        <v>-0.5</v>
      </c>
    </row>
    <row r="5708" spans="6:8">
      <c r="F5708" s="68" t="s">
        <v>137</v>
      </c>
      <c r="G5708" s="67" t="s">
        <v>374</v>
      </c>
      <c r="H5708" s="69">
        <v>-0.35</v>
      </c>
    </row>
    <row r="5709" spans="6:8">
      <c r="F5709" s="68" t="s">
        <v>136</v>
      </c>
      <c r="G5709" s="67" t="s">
        <v>374</v>
      </c>
      <c r="H5709" s="69">
        <v>-0.75</v>
      </c>
    </row>
    <row r="5710" spans="6:8">
      <c r="F5710" s="68" t="s">
        <v>258</v>
      </c>
      <c r="G5710" s="67" t="s">
        <v>374</v>
      </c>
      <c r="H5710" s="69">
        <v>0.1</v>
      </c>
    </row>
    <row r="5711" spans="6:8">
      <c r="F5711" s="68" t="s">
        <v>257</v>
      </c>
      <c r="G5711" s="67" t="s">
        <v>374</v>
      </c>
      <c r="H5711" s="69">
        <v>0.89</v>
      </c>
    </row>
    <row r="5712" spans="6:8">
      <c r="F5712" s="68" t="s">
        <v>135</v>
      </c>
      <c r="G5712" s="67" t="s">
        <v>374</v>
      </c>
      <c r="H5712" s="69">
        <v>-0.25</v>
      </c>
    </row>
    <row r="5713" spans="6:8">
      <c r="F5713" s="68" t="s">
        <v>134</v>
      </c>
      <c r="G5713" s="67" t="s">
        <v>374</v>
      </c>
      <c r="H5713" s="69">
        <v>-0.65</v>
      </c>
    </row>
    <row r="5714" spans="6:8">
      <c r="F5714" s="68" t="s">
        <v>256</v>
      </c>
      <c r="G5714" s="67" t="s">
        <v>374</v>
      </c>
      <c r="H5714" s="69">
        <v>0.68</v>
      </c>
    </row>
    <row r="5715" spans="6:8">
      <c r="F5715" s="68" t="s">
        <v>133</v>
      </c>
      <c r="G5715" s="67" t="s">
        <v>374</v>
      </c>
      <c r="H5715" s="69">
        <v>-0.25</v>
      </c>
    </row>
    <row r="5716" spans="6:8">
      <c r="F5716" s="68" t="s">
        <v>132</v>
      </c>
      <c r="G5716" s="67" t="s">
        <v>374</v>
      </c>
      <c r="H5716" s="69">
        <v>-0.65</v>
      </c>
    </row>
    <row r="5717" spans="6:8">
      <c r="F5717" s="68" t="s">
        <v>303</v>
      </c>
      <c r="G5717" s="67" t="s">
        <v>374</v>
      </c>
      <c r="H5717" s="69">
        <v>16.0625</v>
      </c>
    </row>
    <row r="5718" spans="6:8">
      <c r="F5718" s="68" t="s">
        <v>255</v>
      </c>
      <c r="G5718" s="67" t="s">
        <v>374</v>
      </c>
      <c r="H5718" s="69">
        <v>0.48</v>
      </c>
    </row>
    <row r="5719" spans="6:8">
      <c r="F5719" s="68" t="s">
        <v>131</v>
      </c>
      <c r="G5719" s="67" t="s">
        <v>374</v>
      </c>
      <c r="H5719" s="69">
        <v>-0.25</v>
      </c>
    </row>
    <row r="5720" spans="6:8">
      <c r="F5720" s="68" t="s">
        <v>130</v>
      </c>
      <c r="G5720" s="67" t="s">
        <v>374</v>
      </c>
      <c r="H5720" s="69">
        <v>-0.65</v>
      </c>
    </row>
    <row r="5721" spans="6:8">
      <c r="F5721" s="68" t="s">
        <v>304</v>
      </c>
      <c r="G5721" s="67" t="s">
        <v>374</v>
      </c>
      <c r="H5721" s="69">
        <v>14.3125</v>
      </c>
    </row>
    <row r="5722" spans="6:8">
      <c r="F5722" s="68" t="s">
        <v>254</v>
      </c>
      <c r="G5722" s="67" t="s">
        <v>374</v>
      </c>
      <c r="H5722" s="69">
        <v>0.33</v>
      </c>
    </row>
    <row r="5723" spans="6:8">
      <c r="F5723" s="68" t="s">
        <v>129</v>
      </c>
      <c r="G5723" s="67" t="s">
        <v>374</v>
      </c>
      <c r="H5723" s="69">
        <v>-0.2</v>
      </c>
    </row>
    <row r="5724" spans="6:8">
      <c r="F5724" s="68" t="s">
        <v>128</v>
      </c>
      <c r="G5724" s="67" t="s">
        <v>374</v>
      </c>
      <c r="H5724" s="69">
        <v>-0.35</v>
      </c>
    </row>
    <row r="5725" spans="6:8">
      <c r="F5725" s="68" t="s">
        <v>315</v>
      </c>
      <c r="G5725" s="67" t="s">
        <v>374</v>
      </c>
      <c r="H5725" s="69">
        <v>-0.7</v>
      </c>
    </row>
    <row r="5726" spans="6:8">
      <c r="F5726" s="68" t="s">
        <v>253</v>
      </c>
      <c r="G5726" s="67" t="s">
        <v>374</v>
      </c>
      <c r="H5726" s="69">
        <v>0.23</v>
      </c>
    </row>
    <row r="5727" spans="6:8">
      <c r="F5727" s="68" t="s">
        <v>127</v>
      </c>
      <c r="G5727" s="67" t="s">
        <v>374</v>
      </c>
      <c r="H5727" s="69">
        <v>-0.1</v>
      </c>
    </row>
    <row r="5728" spans="6:8">
      <c r="F5728" s="68" t="s">
        <v>126</v>
      </c>
      <c r="G5728" s="67" t="s">
        <v>374</v>
      </c>
      <c r="H5728" s="69">
        <v>-0.4</v>
      </c>
    </row>
    <row r="5729" spans="6:8">
      <c r="F5729" s="68" t="s">
        <v>125</v>
      </c>
      <c r="G5729" s="67" t="s">
        <v>374</v>
      </c>
      <c r="H5729" s="69">
        <v>-0.85</v>
      </c>
    </row>
    <row r="5730" spans="6:8">
      <c r="F5730" s="68" t="s">
        <v>314</v>
      </c>
      <c r="G5730" s="67" t="s">
        <v>374</v>
      </c>
      <c r="H5730" s="69">
        <v>-0.75</v>
      </c>
    </row>
    <row r="5731" spans="6:8">
      <c r="F5731" s="68" t="s">
        <v>252</v>
      </c>
      <c r="G5731" s="67" t="s">
        <v>374</v>
      </c>
      <c r="H5731" s="69">
        <v>0.19</v>
      </c>
    </row>
    <row r="5732" spans="6:8">
      <c r="F5732" s="68" t="s">
        <v>124</v>
      </c>
      <c r="G5732" s="67" t="s">
        <v>374</v>
      </c>
      <c r="H5732" s="69">
        <v>-0.6</v>
      </c>
    </row>
    <row r="5733" spans="6:8">
      <c r="F5733" s="68" t="s">
        <v>123</v>
      </c>
      <c r="G5733" s="67" t="s">
        <v>374</v>
      </c>
      <c r="H5733" s="69">
        <v>-0.4</v>
      </c>
    </row>
    <row r="5734" spans="6:8">
      <c r="F5734" s="68" t="s">
        <v>122</v>
      </c>
      <c r="G5734" s="67" t="s">
        <v>374</v>
      </c>
      <c r="H5734" s="69">
        <v>-0.75</v>
      </c>
    </row>
    <row r="5735" spans="6:8">
      <c r="F5735" s="68" t="s">
        <v>251</v>
      </c>
      <c r="G5735" s="67" t="s">
        <v>374</v>
      </c>
      <c r="H5735" s="69">
        <v>0.16</v>
      </c>
    </row>
    <row r="5736" spans="6:8">
      <c r="F5736" s="68" t="s">
        <v>121</v>
      </c>
      <c r="G5736" s="67" t="s">
        <v>374</v>
      </c>
      <c r="H5736" s="69">
        <v>-0.6</v>
      </c>
    </row>
    <row r="5737" spans="6:8">
      <c r="F5737" s="68" t="s">
        <v>120</v>
      </c>
      <c r="G5737" s="67" t="s">
        <v>374</v>
      </c>
      <c r="H5737" s="69">
        <v>-0.35</v>
      </c>
    </row>
    <row r="5738" spans="6:8">
      <c r="F5738" s="68" t="s">
        <v>119</v>
      </c>
      <c r="G5738" s="67" t="s">
        <v>374</v>
      </c>
      <c r="H5738" s="69">
        <v>-0.75</v>
      </c>
    </row>
    <row r="5739" spans="6:8">
      <c r="F5739" s="68" t="s">
        <v>119</v>
      </c>
      <c r="G5739" s="67" t="s">
        <v>375</v>
      </c>
      <c r="H5739" s="69">
        <v>-0.75</v>
      </c>
    </row>
    <row r="5740" spans="6:8">
      <c r="F5740" s="68" t="s">
        <v>120</v>
      </c>
      <c r="G5740" s="67" t="s">
        <v>375</v>
      </c>
      <c r="H5740" s="69">
        <v>-0.35</v>
      </c>
    </row>
    <row r="5741" spans="6:8">
      <c r="F5741" s="68" t="s">
        <v>121</v>
      </c>
      <c r="G5741" s="67" t="s">
        <v>375</v>
      </c>
      <c r="H5741" s="69">
        <v>-0.6</v>
      </c>
    </row>
    <row r="5742" spans="6:8">
      <c r="F5742" s="68" t="s">
        <v>251</v>
      </c>
      <c r="G5742" s="67" t="s">
        <v>375</v>
      </c>
      <c r="H5742" s="69">
        <v>0.16</v>
      </c>
    </row>
    <row r="5743" spans="6:8">
      <c r="F5743" s="68" t="s">
        <v>122</v>
      </c>
      <c r="G5743" s="67" t="s">
        <v>375</v>
      </c>
      <c r="H5743" s="69">
        <v>-0.75</v>
      </c>
    </row>
    <row r="5744" spans="6:8">
      <c r="F5744" s="68" t="s">
        <v>123</v>
      </c>
      <c r="G5744" s="67" t="s">
        <v>375</v>
      </c>
      <c r="H5744" s="69">
        <v>-0.4</v>
      </c>
    </row>
    <row r="5745" spans="6:8">
      <c r="F5745" s="68" t="s">
        <v>124</v>
      </c>
      <c r="G5745" s="67" t="s">
        <v>375</v>
      </c>
      <c r="H5745" s="69">
        <v>-0.6</v>
      </c>
    </row>
    <row r="5746" spans="6:8">
      <c r="F5746" s="68" t="s">
        <v>252</v>
      </c>
      <c r="G5746" s="67" t="s">
        <v>375</v>
      </c>
      <c r="H5746" s="69">
        <v>0.19</v>
      </c>
    </row>
    <row r="5747" spans="6:8">
      <c r="F5747" s="68" t="s">
        <v>314</v>
      </c>
      <c r="G5747" s="67" t="s">
        <v>375</v>
      </c>
      <c r="H5747" s="69">
        <v>-0.75</v>
      </c>
    </row>
    <row r="5748" spans="6:8">
      <c r="F5748" s="68" t="s">
        <v>125</v>
      </c>
      <c r="G5748" s="67" t="s">
        <v>375</v>
      </c>
      <c r="H5748" s="69">
        <v>-0.85</v>
      </c>
    </row>
    <row r="5749" spans="6:8">
      <c r="F5749" s="68" t="s">
        <v>126</v>
      </c>
      <c r="G5749" s="67" t="s">
        <v>375</v>
      </c>
      <c r="H5749" s="69">
        <v>-0.4</v>
      </c>
    </row>
    <row r="5750" spans="6:8">
      <c r="F5750" s="68" t="s">
        <v>127</v>
      </c>
      <c r="G5750" s="67" t="s">
        <v>375</v>
      </c>
      <c r="H5750" s="69">
        <v>-0.1</v>
      </c>
    </row>
    <row r="5751" spans="6:8">
      <c r="F5751" s="68" t="s">
        <v>253</v>
      </c>
      <c r="G5751" s="67" t="s">
        <v>375</v>
      </c>
      <c r="H5751" s="69">
        <v>0.23</v>
      </c>
    </row>
    <row r="5752" spans="6:8">
      <c r="F5752" s="68" t="s">
        <v>315</v>
      </c>
      <c r="G5752" s="67" t="s">
        <v>375</v>
      </c>
      <c r="H5752" s="69">
        <v>-0.7</v>
      </c>
    </row>
    <row r="5753" spans="6:8">
      <c r="F5753" s="68" t="s">
        <v>128</v>
      </c>
      <c r="G5753" s="67" t="s">
        <v>375</v>
      </c>
      <c r="H5753" s="69">
        <v>-0.35</v>
      </c>
    </row>
    <row r="5754" spans="6:8">
      <c r="F5754" s="68" t="s">
        <v>129</v>
      </c>
      <c r="G5754" s="67" t="s">
        <v>375</v>
      </c>
      <c r="H5754" s="69">
        <v>-0.2</v>
      </c>
    </row>
    <row r="5755" spans="6:8">
      <c r="F5755" s="68" t="s">
        <v>254</v>
      </c>
      <c r="G5755" s="67" t="s">
        <v>375</v>
      </c>
      <c r="H5755" s="69">
        <v>0.33</v>
      </c>
    </row>
    <row r="5756" spans="6:8">
      <c r="F5756" s="68" t="s">
        <v>304</v>
      </c>
      <c r="G5756" s="67" t="s">
        <v>375</v>
      </c>
      <c r="H5756" s="69">
        <v>14.125</v>
      </c>
    </row>
    <row r="5757" spans="6:8">
      <c r="F5757" s="68" t="s">
        <v>130</v>
      </c>
      <c r="G5757" s="67" t="s">
        <v>375</v>
      </c>
      <c r="H5757" s="69">
        <v>-0.65</v>
      </c>
    </row>
    <row r="5758" spans="6:8">
      <c r="F5758" s="68" t="s">
        <v>131</v>
      </c>
      <c r="G5758" s="67" t="s">
        <v>375</v>
      </c>
      <c r="H5758" s="69">
        <v>-0.25</v>
      </c>
    </row>
    <row r="5759" spans="6:8">
      <c r="F5759" s="68" t="s">
        <v>255</v>
      </c>
      <c r="G5759" s="67" t="s">
        <v>375</v>
      </c>
      <c r="H5759" s="69">
        <v>0.48</v>
      </c>
    </row>
    <row r="5760" spans="6:8">
      <c r="F5760" s="68" t="s">
        <v>303</v>
      </c>
      <c r="G5760" s="67" t="s">
        <v>375</v>
      </c>
      <c r="H5760" s="69">
        <v>16</v>
      </c>
    </row>
    <row r="5761" spans="6:8">
      <c r="F5761" s="68" t="s">
        <v>132</v>
      </c>
      <c r="G5761" s="67" t="s">
        <v>375</v>
      </c>
      <c r="H5761" s="69">
        <v>-0.65</v>
      </c>
    </row>
    <row r="5762" spans="6:8">
      <c r="F5762" s="68" t="s">
        <v>133</v>
      </c>
      <c r="G5762" s="67" t="s">
        <v>375</v>
      </c>
      <c r="H5762" s="69">
        <v>-0.25</v>
      </c>
    </row>
    <row r="5763" spans="6:8">
      <c r="F5763" s="68" t="s">
        <v>256</v>
      </c>
      <c r="G5763" s="67" t="s">
        <v>375</v>
      </c>
      <c r="H5763" s="69">
        <v>0.68</v>
      </c>
    </row>
    <row r="5764" spans="6:8">
      <c r="F5764" s="68" t="s">
        <v>134</v>
      </c>
      <c r="G5764" s="67" t="s">
        <v>375</v>
      </c>
      <c r="H5764" s="69">
        <v>-0.65</v>
      </c>
    </row>
    <row r="5765" spans="6:8">
      <c r="F5765" s="68" t="s">
        <v>135</v>
      </c>
      <c r="G5765" s="67" t="s">
        <v>375</v>
      </c>
      <c r="H5765" s="69">
        <v>-0.25</v>
      </c>
    </row>
    <row r="5766" spans="6:8">
      <c r="F5766" s="68" t="s">
        <v>257</v>
      </c>
      <c r="G5766" s="67" t="s">
        <v>375</v>
      </c>
      <c r="H5766" s="69">
        <v>0.89</v>
      </c>
    </row>
    <row r="5767" spans="6:8">
      <c r="F5767" s="68" t="s">
        <v>258</v>
      </c>
      <c r="G5767" s="67" t="s">
        <v>375</v>
      </c>
      <c r="H5767" s="69">
        <v>0.1</v>
      </c>
    </row>
    <row r="5768" spans="6:8">
      <c r="F5768" s="68" t="s">
        <v>136</v>
      </c>
      <c r="G5768" s="67" t="s">
        <v>375</v>
      </c>
      <c r="H5768" s="69">
        <v>-0.75</v>
      </c>
    </row>
    <row r="5769" spans="6:8">
      <c r="F5769" s="68" t="s">
        <v>137</v>
      </c>
      <c r="G5769" s="67" t="s">
        <v>375</v>
      </c>
      <c r="H5769" s="69">
        <v>-0.35</v>
      </c>
    </row>
    <row r="5770" spans="6:8">
      <c r="F5770" s="68" t="s">
        <v>138</v>
      </c>
      <c r="G5770" s="67" t="s">
        <v>375</v>
      </c>
      <c r="H5770" s="69">
        <v>-0.5</v>
      </c>
    </row>
    <row r="5771" spans="6:8">
      <c r="F5771" s="68" t="s">
        <v>259</v>
      </c>
      <c r="G5771" s="67" t="s">
        <v>375</v>
      </c>
      <c r="H5771" s="69">
        <v>0.14000000000000001</v>
      </c>
    </row>
    <row r="5772" spans="6:8">
      <c r="F5772" s="68" t="s">
        <v>259</v>
      </c>
      <c r="G5772" s="67" t="s">
        <v>376</v>
      </c>
      <c r="H5772" s="69">
        <v>0.14000000000000001</v>
      </c>
    </row>
    <row r="5773" spans="6:8">
      <c r="F5773" s="68" t="s">
        <v>138</v>
      </c>
      <c r="G5773" s="67" t="s">
        <v>376</v>
      </c>
      <c r="H5773" s="69">
        <v>-0.5</v>
      </c>
    </row>
    <row r="5774" spans="6:8">
      <c r="F5774" s="68" t="s">
        <v>137</v>
      </c>
      <c r="G5774" s="67" t="s">
        <v>376</v>
      </c>
      <c r="H5774" s="69">
        <v>-0.35</v>
      </c>
    </row>
    <row r="5775" spans="6:8">
      <c r="F5775" s="68" t="s">
        <v>136</v>
      </c>
      <c r="G5775" s="67" t="s">
        <v>376</v>
      </c>
      <c r="H5775" s="69">
        <v>-0.75</v>
      </c>
    </row>
    <row r="5776" spans="6:8">
      <c r="F5776" s="68" t="s">
        <v>258</v>
      </c>
      <c r="G5776" s="67" t="s">
        <v>376</v>
      </c>
      <c r="H5776" s="69">
        <v>0.1</v>
      </c>
    </row>
    <row r="5777" spans="6:8">
      <c r="F5777" s="68" t="s">
        <v>257</v>
      </c>
      <c r="G5777" s="67" t="s">
        <v>376</v>
      </c>
      <c r="H5777" s="69">
        <v>0.89</v>
      </c>
    </row>
    <row r="5778" spans="6:8">
      <c r="F5778" s="68" t="s">
        <v>135</v>
      </c>
      <c r="G5778" s="67" t="s">
        <v>376</v>
      </c>
      <c r="H5778" s="69">
        <v>-0.25</v>
      </c>
    </row>
    <row r="5779" spans="6:8">
      <c r="F5779" s="68" t="s">
        <v>134</v>
      </c>
      <c r="G5779" s="67" t="s">
        <v>376</v>
      </c>
      <c r="H5779" s="69">
        <v>-0.65</v>
      </c>
    </row>
    <row r="5780" spans="6:8">
      <c r="F5780" s="68" t="s">
        <v>256</v>
      </c>
      <c r="G5780" s="67" t="s">
        <v>376</v>
      </c>
      <c r="H5780" s="69">
        <v>0.68</v>
      </c>
    </row>
    <row r="5781" spans="6:8">
      <c r="F5781" s="68" t="s">
        <v>133</v>
      </c>
      <c r="G5781" s="67" t="s">
        <v>376</v>
      </c>
      <c r="H5781" s="69">
        <v>-0.25</v>
      </c>
    </row>
    <row r="5782" spans="6:8">
      <c r="F5782" s="68" t="s">
        <v>132</v>
      </c>
      <c r="G5782" s="67" t="s">
        <v>376</v>
      </c>
      <c r="H5782" s="69">
        <v>-0.65</v>
      </c>
    </row>
    <row r="5783" spans="6:8">
      <c r="F5783" s="68" t="s">
        <v>303</v>
      </c>
      <c r="G5783" s="67" t="s">
        <v>376</v>
      </c>
      <c r="H5783" s="69">
        <v>16</v>
      </c>
    </row>
    <row r="5784" spans="6:8">
      <c r="F5784" s="68" t="s">
        <v>255</v>
      </c>
      <c r="G5784" s="67" t="s">
        <v>376</v>
      </c>
      <c r="H5784" s="69">
        <v>0.48</v>
      </c>
    </row>
    <row r="5785" spans="6:8">
      <c r="F5785" s="68" t="s">
        <v>131</v>
      </c>
      <c r="G5785" s="67" t="s">
        <v>376</v>
      </c>
      <c r="H5785" s="69">
        <v>-0.25</v>
      </c>
    </row>
    <row r="5786" spans="6:8">
      <c r="F5786" s="68" t="s">
        <v>130</v>
      </c>
      <c r="G5786" s="67" t="s">
        <v>376</v>
      </c>
      <c r="H5786" s="69">
        <v>-0.65</v>
      </c>
    </row>
    <row r="5787" spans="6:8">
      <c r="F5787" s="68" t="s">
        <v>304</v>
      </c>
      <c r="G5787" s="67" t="s">
        <v>376</v>
      </c>
      <c r="H5787" s="69">
        <v>14.125</v>
      </c>
    </row>
    <row r="5788" spans="6:8">
      <c r="F5788" s="68" t="s">
        <v>254</v>
      </c>
      <c r="G5788" s="67" t="s">
        <v>376</v>
      </c>
      <c r="H5788" s="69">
        <v>0.33</v>
      </c>
    </row>
    <row r="5789" spans="6:8">
      <c r="F5789" s="68" t="s">
        <v>129</v>
      </c>
      <c r="G5789" s="67" t="s">
        <v>376</v>
      </c>
      <c r="H5789" s="69">
        <v>-0.2</v>
      </c>
    </row>
    <row r="5790" spans="6:8">
      <c r="F5790" s="68" t="s">
        <v>128</v>
      </c>
      <c r="G5790" s="67" t="s">
        <v>376</v>
      </c>
      <c r="H5790" s="69">
        <v>-0.35</v>
      </c>
    </row>
    <row r="5791" spans="6:8">
      <c r="F5791" s="68" t="s">
        <v>315</v>
      </c>
      <c r="G5791" s="67" t="s">
        <v>376</v>
      </c>
      <c r="H5791" s="69">
        <v>-0.7</v>
      </c>
    </row>
    <row r="5792" spans="6:8">
      <c r="F5792" s="68" t="s">
        <v>253</v>
      </c>
      <c r="G5792" s="67" t="s">
        <v>376</v>
      </c>
      <c r="H5792" s="69">
        <v>0.23</v>
      </c>
    </row>
    <row r="5793" spans="6:8">
      <c r="F5793" s="68" t="s">
        <v>127</v>
      </c>
      <c r="G5793" s="67" t="s">
        <v>376</v>
      </c>
      <c r="H5793" s="69">
        <v>-0.1</v>
      </c>
    </row>
    <row r="5794" spans="6:8">
      <c r="F5794" s="68" t="s">
        <v>126</v>
      </c>
      <c r="G5794" s="67" t="s">
        <v>376</v>
      </c>
      <c r="H5794" s="69">
        <v>-0.4</v>
      </c>
    </row>
    <row r="5795" spans="6:8">
      <c r="F5795" s="68" t="s">
        <v>125</v>
      </c>
      <c r="G5795" s="67" t="s">
        <v>376</v>
      </c>
      <c r="H5795" s="69">
        <v>-0.85</v>
      </c>
    </row>
    <row r="5796" spans="6:8">
      <c r="F5796" s="68" t="s">
        <v>314</v>
      </c>
      <c r="G5796" s="67" t="s">
        <v>376</v>
      </c>
      <c r="H5796" s="69">
        <v>-0.75</v>
      </c>
    </row>
    <row r="5797" spans="6:8">
      <c r="F5797" s="68" t="s">
        <v>252</v>
      </c>
      <c r="G5797" s="67" t="s">
        <v>376</v>
      </c>
      <c r="H5797" s="69">
        <v>0.19</v>
      </c>
    </row>
    <row r="5798" spans="6:8">
      <c r="F5798" s="68" t="s">
        <v>124</v>
      </c>
      <c r="G5798" s="67" t="s">
        <v>376</v>
      </c>
      <c r="H5798" s="69">
        <v>-0.6</v>
      </c>
    </row>
    <row r="5799" spans="6:8">
      <c r="F5799" s="68" t="s">
        <v>123</v>
      </c>
      <c r="G5799" s="67" t="s">
        <v>376</v>
      </c>
      <c r="H5799" s="69">
        <v>-0.4</v>
      </c>
    </row>
    <row r="5800" spans="6:8">
      <c r="F5800" s="68" t="s">
        <v>122</v>
      </c>
      <c r="G5800" s="67" t="s">
        <v>376</v>
      </c>
      <c r="H5800" s="69">
        <v>-0.75</v>
      </c>
    </row>
    <row r="5801" spans="6:8">
      <c r="F5801" s="68" t="s">
        <v>251</v>
      </c>
      <c r="G5801" s="67" t="s">
        <v>376</v>
      </c>
      <c r="H5801" s="69">
        <v>0.16</v>
      </c>
    </row>
    <row r="5802" spans="6:8">
      <c r="F5802" s="68" t="s">
        <v>121</v>
      </c>
      <c r="G5802" s="67" t="s">
        <v>376</v>
      </c>
      <c r="H5802" s="69">
        <v>-0.6</v>
      </c>
    </row>
    <row r="5803" spans="6:8">
      <c r="F5803" s="68" t="s">
        <v>120</v>
      </c>
      <c r="G5803" s="67" t="s">
        <v>376</v>
      </c>
      <c r="H5803" s="69">
        <v>-0.35</v>
      </c>
    </row>
    <row r="5804" spans="6:8">
      <c r="F5804" s="68" t="s">
        <v>119</v>
      </c>
      <c r="G5804" s="67" t="s">
        <v>376</v>
      </c>
      <c r="H5804" s="69">
        <v>-0.75</v>
      </c>
    </row>
    <row r="5805" spans="6:8">
      <c r="F5805" s="68" t="s">
        <v>119</v>
      </c>
      <c r="G5805" s="67" t="s">
        <v>377</v>
      </c>
      <c r="H5805" s="69">
        <v>-0.8</v>
      </c>
    </row>
    <row r="5806" spans="6:8">
      <c r="F5806" s="68" t="s">
        <v>120</v>
      </c>
      <c r="G5806" s="67" t="s">
        <v>377</v>
      </c>
      <c r="H5806" s="69">
        <v>-0.35</v>
      </c>
    </row>
    <row r="5807" spans="6:8">
      <c r="F5807" s="68" t="s">
        <v>121</v>
      </c>
      <c r="G5807" s="67" t="s">
        <v>377</v>
      </c>
      <c r="H5807" s="69">
        <v>-0.6</v>
      </c>
    </row>
    <row r="5808" spans="6:8">
      <c r="F5808" s="68" t="s">
        <v>251</v>
      </c>
      <c r="G5808" s="67" t="s">
        <v>377</v>
      </c>
      <c r="H5808" s="69">
        <v>0.16</v>
      </c>
    </row>
    <row r="5809" spans="6:8">
      <c r="F5809" s="68" t="s">
        <v>122</v>
      </c>
      <c r="G5809" s="67" t="s">
        <v>377</v>
      </c>
      <c r="H5809" s="69">
        <v>-0.8</v>
      </c>
    </row>
    <row r="5810" spans="6:8">
      <c r="F5810" s="68" t="s">
        <v>123</v>
      </c>
      <c r="G5810" s="67" t="s">
        <v>377</v>
      </c>
      <c r="H5810" s="69">
        <v>-0.4</v>
      </c>
    </row>
    <row r="5811" spans="6:8">
      <c r="F5811" s="68" t="s">
        <v>124</v>
      </c>
      <c r="G5811" s="67" t="s">
        <v>377</v>
      </c>
      <c r="H5811" s="69">
        <v>-0.6</v>
      </c>
    </row>
    <row r="5812" spans="6:8">
      <c r="F5812" s="68" t="s">
        <v>252</v>
      </c>
      <c r="G5812" s="67" t="s">
        <v>377</v>
      </c>
      <c r="H5812" s="69">
        <v>0.19</v>
      </c>
    </row>
    <row r="5813" spans="6:8">
      <c r="F5813" s="68" t="s">
        <v>314</v>
      </c>
      <c r="G5813" s="67" t="s">
        <v>377</v>
      </c>
      <c r="H5813" s="69">
        <v>-0.8</v>
      </c>
    </row>
    <row r="5814" spans="6:8">
      <c r="F5814" s="68" t="s">
        <v>125</v>
      </c>
      <c r="G5814" s="67" t="s">
        <v>377</v>
      </c>
      <c r="H5814" s="69">
        <v>-0.9</v>
      </c>
    </row>
    <row r="5815" spans="6:8">
      <c r="F5815" s="68" t="s">
        <v>126</v>
      </c>
      <c r="G5815" s="67" t="s">
        <v>377</v>
      </c>
      <c r="H5815" s="69">
        <v>-0.4</v>
      </c>
    </row>
    <row r="5816" spans="6:8">
      <c r="F5816" s="68" t="s">
        <v>127</v>
      </c>
      <c r="G5816" s="67" t="s">
        <v>377</v>
      </c>
      <c r="H5816" s="69">
        <v>-0.1</v>
      </c>
    </row>
    <row r="5817" spans="6:8">
      <c r="F5817" s="68" t="s">
        <v>253</v>
      </c>
      <c r="G5817" s="67" t="s">
        <v>377</v>
      </c>
      <c r="H5817" s="69">
        <v>0.23</v>
      </c>
    </row>
    <row r="5818" spans="6:8">
      <c r="F5818" s="68" t="s">
        <v>315</v>
      </c>
      <c r="G5818" s="67" t="s">
        <v>377</v>
      </c>
      <c r="H5818" s="69">
        <v>-0.7</v>
      </c>
    </row>
    <row r="5819" spans="6:8">
      <c r="F5819" s="68" t="s">
        <v>128</v>
      </c>
      <c r="G5819" s="67" t="s">
        <v>377</v>
      </c>
      <c r="H5819" s="69">
        <v>-0.35</v>
      </c>
    </row>
    <row r="5820" spans="6:8">
      <c r="F5820" s="68" t="s">
        <v>129</v>
      </c>
      <c r="G5820" s="67" t="s">
        <v>377</v>
      </c>
      <c r="H5820" s="69">
        <v>-0.2</v>
      </c>
    </row>
    <row r="5821" spans="6:8">
      <c r="F5821" s="68" t="s">
        <v>254</v>
      </c>
      <c r="G5821" s="67" t="s">
        <v>377</v>
      </c>
      <c r="H5821" s="69">
        <v>0.32</v>
      </c>
    </row>
    <row r="5822" spans="6:8">
      <c r="F5822" s="68" t="s">
        <v>304</v>
      </c>
      <c r="G5822" s="67" t="s">
        <v>377</v>
      </c>
      <c r="H5822" s="69">
        <v>14.0625</v>
      </c>
    </row>
    <row r="5823" spans="6:8">
      <c r="F5823" s="68" t="s">
        <v>130</v>
      </c>
      <c r="G5823" s="67" t="s">
        <v>377</v>
      </c>
      <c r="H5823" s="69">
        <v>-0.65</v>
      </c>
    </row>
    <row r="5824" spans="6:8">
      <c r="F5824" s="68" t="s">
        <v>131</v>
      </c>
      <c r="G5824" s="67" t="s">
        <v>377</v>
      </c>
      <c r="H5824" s="69">
        <v>-0.25</v>
      </c>
    </row>
    <row r="5825" spans="6:8">
      <c r="F5825" s="68" t="s">
        <v>255</v>
      </c>
      <c r="G5825" s="67" t="s">
        <v>377</v>
      </c>
      <c r="H5825" s="69">
        <v>0.47</v>
      </c>
    </row>
    <row r="5826" spans="6:8">
      <c r="F5826" s="68" t="s">
        <v>303</v>
      </c>
      <c r="G5826" s="67" t="s">
        <v>377</v>
      </c>
      <c r="H5826" s="69">
        <v>15.9375</v>
      </c>
    </row>
    <row r="5827" spans="6:8">
      <c r="F5827" s="68" t="s">
        <v>132</v>
      </c>
      <c r="G5827" s="67" t="s">
        <v>377</v>
      </c>
      <c r="H5827" s="69">
        <v>-0.65</v>
      </c>
    </row>
    <row r="5828" spans="6:8">
      <c r="F5828" s="68" t="s">
        <v>133</v>
      </c>
      <c r="G5828" s="67" t="s">
        <v>377</v>
      </c>
      <c r="H5828" s="69">
        <v>-0.25</v>
      </c>
    </row>
    <row r="5829" spans="6:8">
      <c r="F5829" s="68" t="s">
        <v>256</v>
      </c>
      <c r="G5829" s="67" t="s">
        <v>377</v>
      </c>
      <c r="H5829" s="69">
        <v>0.67</v>
      </c>
    </row>
    <row r="5830" spans="6:8">
      <c r="F5830" s="68" t="s">
        <v>134</v>
      </c>
      <c r="G5830" s="67" t="s">
        <v>377</v>
      </c>
      <c r="H5830" s="69">
        <v>-0.65</v>
      </c>
    </row>
    <row r="5831" spans="6:8">
      <c r="F5831" s="68" t="s">
        <v>135</v>
      </c>
      <c r="G5831" s="67" t="s">
        <v>377</v>
      </c>
      <c r="H5831" s="69">
        <v>-0.25</v>
      </c>
    </row>
    <row r="5832" spans="6:8">
      <c r="F5832" s="68" t="s">
        <v>257</v>
      </c>
      <c r="G5832" s="67" t="s">
        <v>377</v>
      </c>
      <c r="H5832" s="69">
        <v>0.88</v>
      </c>
    </row>
    <row r="5833" spans="6:8">
      <c r="F5833" s="68" t="s">
        <v>258</v>
      </c>
      <c r="G5833" s="67" t="s">
        <v>377</v>
      </c>
      <c r="H5833" s="69">
        <v>0.1</v>
      </c>
    </row>
    <row r="5834" spans="6:8">
      <c r="F5834" s="68" t="s">
        <v>136</v>
      </c>
      <c r="G5834" s="67" t="s">
        <v>377</v>
      </c>
      <c r="H5834" s="69">
        <v>-0.8</v>
      </c>
    </row>
    <row r="5835" spans="6:8">
      <c r="F5835" s="68" t="s">
        <v>137</v>
      </c>
      <c r="G5835" s="67" t="s">
        <v>377</v>
      </c>
      <c r="H5835" s="69">
        <v>-0.35</v>
      </c>
    </row>
    <row r="5836" spans="6:8">
      <c r="F5836" s="68" t="s">
        <v>138</v>
      </c>
      <c r="G5836" s="67" t="s">
        <v>377</v>
      </c>
      <c r="H5836" s="69">
        <v>-0.5</v>
      </c>
    </row>
    <row r="5837" spans="6:8">
      <c r="F5837" s="68" t="s">
        <v>259</v>
      </c>
      <c r="G5837" s="67" t="s">
        <v>377</v>
      </c>
      <c r="H5837" s="69">
        <v>0.14000000000000001</v>
      </c>
    </row>
    <row r="5838" spans="6:8">
      <c r="F5838" s="68" t="s">
        <v>259</v>
      </c>
      <c r="G5838" s="67" t="s">
        <v>378</v>
      </c>
      <c r="H5838" s="69">
        <v>0.14000000000000001</v>
      </c>
    </row>
    <row r="5839" spans="6:8">
      <c r="F5839" s="68" t="s">
        <v>138</v>
      </c>
      <c r="G5839" s="67" t="s">
        <v>378</v>
      </c>
      <c r="H5839" s="69">
        <v>-0.45</v>
      </c>
    </row>
    <row r="5840" spans="6:8">
      <c r="F5840" s="68" t="s">
        <v>137</v>
      </c>
      <c r="G5840" s="67" t="s">
        <v>378</v>
      </c>
      <c r="H5840" s="69">
        <v>-0.3</v>
      </c>
    </row>
    <row r="5841" spans="6:8">
      <c r="F5841" s="68" t="s">
        <v>136</v>
      </c>
      <c r="G5841" s="67" t="s">
        <v>378</v>
      </c>
      <c r="H5841" s="69">
        <v>-0.75</v>
      </c>
    </row>
    <row r="5842" spans="6:8">
      <c r="F5842" s="68" t="s">
        <v>258</v>
      </c>
      <c r="G5842" s="67" t="s">
        <v>378</v>
      </c>
      <c r="H5842" s="69">
        <v>0.1</v>
      </c>
    </row>
    <row r="5843" spans="6:8">
      <c r="F5843" s="68" t="s">
        <v>257</v>
      </c>
      <c r="G5843" s="67" t="s">
        <v>378</v>
      </c>
      <c r="H5843" s="69">
        <v>0.89</v>
      </c>
    </row>
    <row r="5844" spans="6:8">
      <c r="F5844" s="68" t="s">
        <v>135</v>
      </c>
      <c r="G5844" s="67" t="s">
        <v>378</v>
      </c>
      <c r="H5844" s="69">
        <v>-0.25</v>
      </c>
    </row>
    <row r="5845" spans="6:8">
      <c r="F5845" s="68" t="s">
        <v>134</v>
      </c>
      <c r="G5845" s="67" t="s">
        <v>378</v>
      </c>
      <c r="H5845" s="69">
        <v>-0.6</v>
      </c>
    </row>
    <row r="5846" spans="6:8">
      <c r="F5846" s="68" t="s">
        <v>256</v>
      </c>
      <c r="G5846" s="67" t="s">
        <v>378</v>
      </c>
      <c r="H5846" s="69">
        <v>0.68</v>
      </c>
    </row>
    <row r="5847" spans="6:8">
      <c r="F5847" s="68" t="s">
        <v>133</v>
      </c>
      <c r="G5847" s="67" t="s">
        <v>378</v>
      </c>
      <c r="H5847" s="69">
        <v>-0.25</v>
      </c>
    </row>
    <row r="5848" spans="6:8">
      <c r="F5848" s="68" t="s">
        <v>132</v>
      </c>
      <c r="G5848" s="67" t="s">
        <v>378</v>
      </c>
      <c r="H5848" s="69">
        <v>-0.6</v>
      </c>
    </row>
    <row r="5849" spans="6:8">
      <c r="F5849" s="68" t="s">
        <v>303</v>
      </c>
      <c r="G5849" s="67" t="s">
        <v>378</v>
      </c>
      <c r="H5849" s="69">
        <v>15.9375</v>
      </c>
    </row>
    <row r="5850" spans="6:8">
      <c r="F5850" s="68" t="s">
        <v>255</v>
      </c>
      <c r="G5850" s="67" t="s">
        <v>378</v>
      </c>
      <c r="H5850" s="69">
        <v>0.48</v>
      </c>
    </row>
    <row r="5851" spans="6:8">
      <c r="F5851" s="68" t="s">
        <v>131</v>
      </c>
      <c r="G5851" s="67" t="s">
        <v>378</v>
      </c>
      <c r="H5851" s="69">
        <v>-0.25</v>
      </c>
    </row>
    <row r="5852" spans="6:8">
      <c r="F5852" s="68" t="s">
        <v>130</v>
      </c>
      <c r="G5852" s="67" t="s">
        <v>378</v>
      </c>
      <c r="H5852" s="69">
        <v>-0.6</v>
      </c>
    </row>
    <row r="5853" spans="6:8">
      <c r="F5853" s="68" t="s">
        <v>304</v>
      </c>
      <c r="G5853" s="67" t="s">
        <v>378</v>
      </c>
      <c r="H5853" s="69">
        <v>14.0625</v>
      </c>
    </row>
    <row r="5854" spans="6:8">
      <c r="F5854" s="68" t="s">
        <v>254</v>
      </c>
      <c r="G5854" s="67" t="s">
        <v>378</v>
      </c>
      <c r="H5854" s="69">
        <v>0.33</v>
      </c>
    </row>
    <row r="5855" spans="6:8">
      <c r="F5855" s="68" t="s">
        <v>129</v>
      </c>
      <c r="G5855" s="67" t="s">
        <v>378</v>
      </c>
      <c r="H5855" s="69">
        <v>-0.2</v>
      </c>
    </row>
    <row r="5856" spans="6:8">
      <c r="F5856" s="68" t="s">
        <v>128</v>
      </c>
      <c r="G5856" s="67" t="s">
        <v>378</v>
      </c>
      <c r="H5856" s="69">
        <v>-0.3</v>
      </c>
    </row>
    <row r="5857" spans="6:8">
      <c r="F5857" s="68" t="s">
        <v>315</v>
      </c>
      <c r="G5857" s="67" t="s">
        <v>378</v>
      </c>
      <c r="H5857" s="69">
        <v>-0.65</v>
      </c>
    </row>
    <row r="5858" spans="6:8">
      <c r="F5858" s="68" t="s">
        <v>253</v>
      </c>
      <c r="G5858" s="67" t="s">
        <v>378</v>
      </c>
      <c r="H5858" s="69">
        <v>0.24</v>
      </c>
    </row>
    <row r="5859" spans="6:8">
      <c r="F5859" s="68" t="s">
        <v>127</v>
      </c>
      <c r="G5859" s="67" t="s">
        <v>378</v>
      </c>
      <c r="H5859" s="69">
        <v>-0.1</v>
      </c>
    </row>
    <row r="5860" spans="6:8">
      <c r="F5860" s="68" t="s">
        <v>126</v>
      </c>
      <c r="G5860" s="67" t="s">
        <v>378</v>
      </c>
      <c r="H5860" s="69">
        <v>-0.35</v>
      </c>
    </row>
    <row r="5861" spans="6:8">
      <c r="F5861" s="68" t="s">
        <v>125</v>
      </c>
      <c r="G5861" s="67" t="s">
        <v>378</v>
      </c>
      <c r="H5861" s="69">
        <v>-0.85</v>
      </c>
    </row>
    <row r="5862" spans="6:8">
      <c r="F5862" s="68" t="s">
        <v>314</v>
      </c>
      <c r="G5862" s="67" t="s">
        <v>378</v>
      </c>
      <c r="H5862" s="69">
        <v>-0.75</v>
      </c>
    </row>
    <row r="5863" spans="6:8">
      <c r="F5863" s="68" t="s">
        <v>252</v>
      </c>
      <c r="G5863" s="67" t="s">
        <v>378</v>
      </c>
      <c r="H5863" s="69">
        <v>0.2</v>
      </c>
    </row>
    <row r="5864" spans="6:8">
      <c r="F5864" s="68" t="s">
        <v>124</v>
      </c>
      <c r="G5864" s="67" t="s">
        <v>378</v>
      </c>
      <c r="H5864" s="69">
        <v>-0.55000000000000004</v>
      </c>
    </row>
    <row r="5865" spans="6:8">
      <c r="F5865" s="68" t="s">
        <v>123</v>
      </c>
      <c r="G5865" s="67" t="s">
        <v>378</v>
      </c>
      <c r="H5865" s="69">
        <v>-0.35</v>
      </c>
    </row>
    <row r="5866" spans="6:8">
      <c r="F5866" s="68" t="s">
        <v>122</v>
      </c>
      <c r="G5866" s="67" t="s">
        <v>378</v>
      </c>
      <c r="H5866" s="69">
        <v>-0.75</v>
      </c>
    </row>
    <row r="5867" spans="6:8">
      <c r="F5867" s="68" t="s">
        <v>251</v>
      </c>
      <c r="G5867" s="67" t="s">
        <v>378</v>
      </c>
      <c r="H5867" s="69">
        <v>0.16</v>
      </c>
    </row>
    <row r="5868" spans="6:8">
      <c r="F5868" s="68" t="s">
        <v>121</v>
      </c>
      <c r="G5868" s="67" t="s">
        <v>378</v>
      </c>
      <c r="H5868" s="69">
        <v>-0.55000000000000004</v>
      </c>
    </row>
    <row r="5869" spans="6:8">
      <c r="F5869" s="68" t="s">
        <v>120</v>
      </c>
      <c r="G5869" s="67" t="s">
        <v>378</v>
      </c>
      <c r="H5869" s="69">
        <v>-0.3</v>
      </c>
    </row>
    <row r="5870" spans="6:8">
      <c r="F5870" s="68" t="s">
        <v>119</v>
      </c>
      <c r="G5870" s="67" t="s">
        <v>378</v>
      </c>
      <c r="H5870" s="69">
        <v>-0.75</v>
      </c>
    </row>
    <row r="5871" spans="6:8">
      <c r="F5871" s="68" t="s">
        <v>119</v>
      </c>
      <c r="G5871" s="67" t="s">
        <v>379</v>
      </c>
      <c r="H5871" s="69">
        <v>-0.75</v>
      </c>
    </row>
    <row r="5872" spans="6:8">
      <c r="F5872" s="68" t="s">
        <v>120</v>
      </c>
      <c r="G5872" s="67" t="s">
        <v>379</v>
      </c>
      <c r="H5872" s="69">
        <v>-0.3</v>
      </c>
    </row>
    <row r="5873" spans="6:8">
      <c r="F5873" s="68" t="s">
        <v>121</v>
      </c>
      <c r="G5873" s="67" t="s">
        <v>379</v>
      </c>
      <c r="H5873" s="69">
        <v>-0.55000000000000004</v>
      </c>
    </row>
    <row r="5874" spans="6:8">
      <c r="F5874" s="68" t="s">
        <v>251</v>
      </c>
      <c r="G5874" s="67" t="s">
        <v>379</v>
      </c>
      <c r="H5874" s="69">
        <v>0.16</v>
      </c>
    </row>
    <row r="5875" spans="6:8">
      <c r="F5875" s="68" t="s">
        <v>122</v>
      </c>
      <c r="G5875" s="67" t="s">
        <v>379</v>
      </c>
      <c r="H5875" s="69">
        <v>-0.75</v>
      </c>
    </row>
    <row r="5876" spans="6:8">
      <c r="F5876" s="68" t="s">
        <v>123</v>
      </c>
      <c r="G5876" s="67" t="s">
        <v>379</v>
      </c>
      <c r="H5876" s="69">
        <v>-0.35</v>
      </c>
    </row>
    <row r="5877" spans="6:8">
      <c r="F5877" s="68" t="s">
        <v>124</v>
      </c>
      <c r="G5877" s="67" t="s">
        <v>379</v>
      </c>
      <c r="H5877" s="69">
        <v>-0.55000000000000004</v>
      </c>
    </row>
    <row r="5878" spans="6:8">
      <c r="F5878" s="68" t="s">
        <v>252</v>
      </c>
      <c r="G5878" s="67" t="s">
        <v>379</v>
      </c>
      <c r="H5878" s="69">
        <v>0.18</v>
      </c>
    </row>
    <row r="5879" spans="6:8">
      <c r="F5879" s="68" t="s">
        <v>314</v>
      </c>
      <c r="G5879" s="67" t="s">
        <v>379</v>
      </c>
      <c r="H5879" s="69">
        <v>-0.75</v>
      </c>
    </row>
    <row r="5880" spans="6:8">
      <c r="F5880" s="68" t="s">
        <v>125</v>
      </c>
      <c r="G5880" s="67" t="s">
        <v>379</v>
      </c>
      <c r="H5880" s="69">
        <v>-0.85</v>
      </c>
    </row>
    <row r="5881" spans="6:8">
      <c r="F5881" s="68" t="s">
        <v>126</v>
      </c>
      <c r="G5881" s="67" t="s">
        <v>379</v>
      </c>
      <c r="H5881" s="69">
        <v>-0.35</v>
      </c>
    </row>
    <row r="5882" spans="6:8">
      <c r="F5882" s="68" t="s">
        <v>127</v>
      </c>
      <c r="G5882" s="67" t="s">
        <v>379</v>
      </c>
      <c r="H5882" s="69">
        <v>-0.1</v>
      </c>
    </row>
    <row r="5883" spans="6:8">
      <c r="F5883" s="68" t="s">
        <v>253</v>
      </c>
      <c r="G5883" s="67" t="s">
        <v>379</v>
      </c>
      <c r="H5883" s="69">
        <v>0.26</v>
      </c>
    </row>
    <row r="5884" spans="6:8">
      <c r="F5884" s="68" t="s">
        <v>315</v>
      </c>
      <c r="G5884" s="67" t="s">
        <v>379</v>
      </c>
      <c r="H5884" s="69">
        <v>-0.65</v>
      </c>
    </row>
    <row r="5885" spans="6:8">
      <c r="F5885" s="68" t="s">
        <v>128</v>
      </c>
      <c r="G5885" s="67" t="s">
        <v>379</v>
      </c>
      <c r="H5885" s="69">
        <v>-0.3</v>
      </c>
    </row>
    <row r="5886" spans="6:8">
      <c r="F5886" s="68" t="s">
        <v>129</v>
      </c>
      <c r="G5886" s="67" t="s">
        <v>379</v>
      </c>
      <c r="H5886" s="69">
        <v>-0.2</v>
      </c>
    </row>
    <row r="5887" spans="6:8">
      <c r="F5887" s="68" t="s">
        <v>254</v>
      </c>
      <c r="G5887" s="67" t="s">
        <v>379</v>
      </c>
      <c r="H5887" s="69">
        <v>0.36</v>
      </c>
    </row>
    <row r="5888" spans="6:8">
      <c r="F5888" s="68" t="s">
        <v>304</v>
      </c>
      <c r="G5888" s="67" t="s">
        <v>379</v>
      </c>
      <c r="H5888" s="69">
        <v>14.0625</v>
      </c>
    </row>
    <row r="5889" spans="6:8">
      <c r="F5889" s="68" t="s">
        <v>130</v>
      </c>
      <c r="G5889" s="67" t="s">
        <v>379</v>
      </c>
      <c r="H5889" s="69">
        <v>-0.6</v>
      </c>
    </row>
    <row r="5890" spans="6:8">
      <c r="F5890" s="68" t="s">
        <v>131</v>
      </c>
      <c r="G5890" s="67" t="s">
        <v>379</v>
      </c>
      <c r="H5890" s="69">
        <v>-0.25</v>
      </c>
    </row>
    <row r="5891" spans="6:8">
      <c r="F5891" s="68" t="s">
        <v>255</v>
      </c>
      <c r="G5891" s="67" t="s">
        <v>379</v>
      </c>
      <c r="H5891" s="69">
        <v>0.5</v>
      </c>
    </row>
    <row r="5892" spans="6:8">
      <c r="F5892" s="68" t="s">
        <v>303</v>
      </c>
      <c r="G5892" s="67" t="s">
        <v>379</v>
      </c>
      <c r="H5892" s="69">
        <v>16</v>
      </c>
    </row>
    <row r="5893" spans="6:8">
      <c r="F5893" s="68" t="s">
        <v>132</v>
      </c>
      <c r="G5893" s="67" t="s">
        <v>379</v>
      </c>
      <c r="H5893" s="69">
        <v>-0.6</v>
      </c>
    </row>
    <row r="5894" spans="6:8">
      <c r="F5894" s="68" t="s">
        <v>133</v>
      </c>
      <c r="G5894" s="67" t="s">
        <v>379</v>
      </c>
      <c r="H5894" s="69">
        <v>-0.25</v>
      </c>
    </row>
    <row r="5895" spans="6:8">
      <c r="F5895" s="68" t="s">
        <v>256</v>
      </c>
      <c r="G5895" s="67" t="s">
        <v>379</v>
      </c>
      <c r="H5895" s="69">
        <v>0.71</v>
      </c>
    </row>
    <row r="5896" spans="6:8">
      <c r="F5896" s="68" t="s">
        <v>134</v>
      </c>
      <c r="G5896" s="67" t="s">
        <v>379</v>
      </c>
      <c r="H5896" s="69">
        <v>-0.6</v>
      </c>
    </row>
    <row r="5897" spans="6:8">
      <c r="F5897" s="68" t="s">
        <v>135</v>
      </c>
      <c r="G5897" s="67" t="s">
        <v>379</v>
      </c>
      <c r="H5897" s="69">
        <v>-0.25</v>
      </c>
    </row>
    <row r="5898" spans="6:8">
      <c r="F5898" s="68" t="s">
        <v>257</v>
      </c>
      <c r="G5898" s="67" t="s">
        <v>379</v>
      </c>
      <c r="H5898" s="69">
        <v>0.9</v>
      </c>
    </row>
    <row r="5899" spans="6:8">
      <c r="F5899" s="68" t="s">
        <v>258</v>
      </c>
      <c r="G5899" s="67" t="s">
        <v>379</v>
      </c>
      <c r="H5899" s="69">
        <v>0.1</v>
      </c>
    </row>
    <row r="5900" spans="6:8">
      <c r="F5900" s="68" t="s">
        <v>136</v>
      </c>
      <c r="G5900" s="67" t="s">
        <v>379</v>
      </c>
      <c r="H5900" s="69">
        <v>-0.75</v>
      </c>
    </row>
    <row r="5901" spans="6:8">
      <c r="F5901" s="68" t="s">
        <v>137</v>
      </c>
      <c r="G5901" s="67" t="s">
        <v>379</v>
      </c>
      <c r="H5901" s="69">
        <v>-0.3</v>
      </c>
    </row>
    <row r="5902" spans="6:8">
      <c r="F5902" s="68" t="s">
        <v>138</v>
      </c>
      <c r="G5902" s="67" t="s">
        <v>379</v>
      </c>
      <c r="H5902" s="69">
        <v>-0.45</v>
      </c>
    </row>
    <row r="5903" spans="6:8">
      <c r="F5903" s="68" t="s">
        <v>259</v>
      </c>
      <c r="G5903" s="67" t="s">
        <v>379</v>
      </c>
      <c r="H5903" s="69">
        <v>0.14000000000000001</v>
      </c>
    </row>
    <row r="5904" spans="6:8">
      <c r="F5904" s="68" t="s">
        <v>259</v>
      </c>
      <c r="G5904" s="67" t="s">
        <v>380</v>
      </c>
      <c r="H5904" s="69">
        <v>0.14000000000000001</v>
      </c>
    </row>
    <row r="5905" spans="6:8">
      <c r="F5905" s="68" t="s">
        <v>138</v>
      </c>
      <c r="G5905" s="67" t="s">
        <v>380</v>
      </c>
      <c r="H5905" s="69">
        <v>-0.45</v>
      </c>
    </row>
    <row r="5906" spans="6:8">
      <c r="F5906" s="68" t="s">
        <v>137</v>
      </c>
      <c r="G5906" s="67" t="s">
        <v>380</v>
      </c>
      <c r="H5906" s="69">
        <v>-0.3</v>
      </c>
    </row>
    <row r="5907" spans="6:8">
      <c r="F5907" s="68" t="s">
        <v>136</v>
      </c>
      <c r="G5907" s="67" t="s">
        <v>380</v>
      </c>
      <c r="H5907" s="69">
        <v>-0.75</v>
      </c>
    </row>
    <row r="5908" spans="6:8">
      <c r="F5908" s="68" t="s">
        <v>258</v>
      </c>
      <c r="G5908" s="67" t="s">
        <v>380</v>
      </c>
      <c r="H5908" s="69">
        <v>0.1</v>
      </c>
    </row>
    <row r="5909" spans="6:8">
      <c r="F5909" s="68" t="s">
        <v>257</v>
      </c>
      <c r="G5909" s="67" t="s">
        <v>380</v>
      </c>
      <c r="H5909" s="69">
        <v>0.9</v>
      </c>
    </row>
    <row r="5910" spans="6:8">
      <c r="F5910" s="68" t="s">
        <v>135</v>
      </c>
      <c r="G5910" s="67" t="s">
        <v>380</v>
      </c>
      <c r="H5910" s="69">
        <v>-0.25</v>
      </c>
    </row>
    <row r="5911" spans="6:8">
      <c r="F5911" s="68" t="s">
        <v>134</v>
      </c>
      <c r="G5911" s="67" t="s">
        <v>380</v>
      </c>
      <c r="H5911" s="69">
        <v>-0.6</v>
      </c>
    </row>
    <row r="5912" spans="6:8">
      <c r="F5912" s="68" t="s">
        <v>256</v>
      </c>
      <c r="G5912" s="67" t="s">
        <v>380</v>
      </c>
      <c r="H5912" s="69">
        <v>0.71</v>
      </c>
    </row>
    <row r="5913" spans="6:8">
      <c r="F5913" s="68" t="s">
        <v>133</v>
      </c>
      <c r="G5913" s="67" t="s">
        <v>380</v>
      </c>
      <c r="H5913" s="69">
        <v>-0.25</v>
      </c>
    </row>
    <row r="5914" spans="6:8">
      <c r="F5914" s="68" t="s">
        <v>132</v>
      </c>
      <c r="G5914" s="67" t="s">
        <v>380</v>
      </c>
      <c r="H5914" s="69">
        <v>-0.6</v>
      </c>
    </row>
    <row r="5915" spans="6:8">
      <c r="F5915" s="68" t="s">
        <v>303</v>
      </c>
      <c r="G5915" s="67" t="s">
        <v>380</v>
      </c>
      <c r="H5915" s="69">
        <v>16</v>
      </c>
    </row>
    <row r="5916" spans="6:8">
      <c r="F5916" s="68" t="s">
        <v>255</v>
      </c>
      <c r="G5916" s="67" t="s">
        <v>380</v>
      </c>
      <c r="H5916" s="69">
        <v>0.5</v>
      </c>
    </row>
    <row r="5917" spans="6:8">
      <c r="F5917" s="68" t="s">
        <v>131</v>
      </c>
      <c r="G5917" s="67" t="s">
        <v>380</v>
      </c>
      <c r="H5917" s="69">
        <v>-0.25</v>
      </c>
    </row>
    <row r="5918" spans="6:8">
      <c r="F5918" s="68" t="s">
        <v>130</v>
      </c>
      <c r="G5918" s="67" t="s">
        <v>380</v>
      </c>
      <c r="H5918" s="69">
        <v>-0.6</v>
      </c>
    </row>
    <row r="5919" spans="6:8">
      <c r="F5919" s="68" t="s">
        <v>304</v>
      </c>
      <c r="G5919" s="67" t="s">
        <v>380</v>
      </c>
      <c r="H5919" s="69">
        <v>14.0625</v>
      </c>
    </row>
    <row r="5920" spans="6:8">
      <c r="F5920" s="68" t="s">
        <v>254</v>
      </c>
      <c r="G5920" s="67" t="s">
        <v>380</v>
      </c>
      <c r="H5920" s="69">
        <v>0.36</v>
      </c>
    </row>
    <row r="5921" spans="6:8">
      <c r="F5921" s="68" t="s">
        <v>129</v>
      </c>
      <c r="G5921" s="67" t="s">
        <v>380</v>
      </c>
      <c r="H5921" s="69">
        <v>-0.2</v>
      </c>
    </row>
    <row r="5922" spans="6:8">
      <c r="F5922" s="68" t="s">
        <v>128</v>
      </c>
      <c r="G5922" s="67" t="s">
        <v>380</v>
      </c>
      <c r="H5922" s="69">
        <v>-0.3</v>
      </c>
    </row>
    <row r="5923" spans="6:8">
      <c r="F5923" s="68" t="s">
        <v>315</v>
      </c>
      <c r="G5923" s="67" t="s">
        <v>380</v>
      </c>
      <c r="H5923" s="69">
        <v>-0.65</v>
      </c>
    </row>
    <row r="5924" spans="6:8">
      <c r="F5924" s="68" t="s">
        <v>253</v>
      </c>
      <c r="G5924" s="67" t="s">
        <v>380</v>
      </c>
      <c r="H5924" s="69">
        <v>0.26</v>
      </c>
    </row>
    <row r="5925" spans="6:8">
      <c r="F5925" s="68" t="s">
        <v>127</v>
      </c>
      <c r="G5925" s="67" t="s">
        <v>380</v>
      </c>
      <c r="H5925" s="69">
        <v>-0.1</v>
      </c>
    </row>
    <row r="5926" spans="6:8">
      <c r="F5926" s="68" t="s">
        <v>126</v>
      </c>
      <c r="G5926" s="67" t="s">
        <v>380</v>
      </c>
      <c r="H5926" s="69">
        <v>-0.35</v>
      </c>
    </row>
    <row r="5927" spans="6:8">
      <c r="F5927" s="68" t="s">
        <v>125</v>
      </c>
      <c r="G5927" s="67" t="s">
        <v>380</v>
      </c>
      <c r="H5927" s="69">
        <v>-0.85</v>
      </c>
    </row>
    <row r="5928" spans="6:8">
      <c r="F5928" s="68" t="s">
        <v>314</v>
      </c>
      <c r="G5928" s="67" t="s">
        <v>380</v>
      </c>
      <c r="H5928" s="69">
        <v>-0.75</v>
      </c>
    </row>
    <row r="5929" spans="6:8">
      <c r="F5929" s="68" t="s">
        <v>252</v>
      </c>
      <c r="G5929" s="67" t="s">
        <v>380</v>
      </c>
      <c r="H5929" s="69">
        <v>0.18</v>
      </c>
    </row>
    <row r="5930" spans="6:8">
      <c r="F5930" s="68" t="s">
        <v>124</v>
      </c>
      <c r="G5930" s="67" t="s">
        <v>380</v>
      </c>
      <c r="H5930" s="69">
        <v>-0.55000000000000004</v>
      </c>
    </row>
    <row r="5931" spans="6:8">
      <c r="F5931" s="68" t="s">
        <v>123</v>
      </c>
      <c r="G5931" s="67" t="s">
        <v>380</v>
      </c>
      <c r="H5931" s="69">
        <v>-0.35</v>
      </c>
    </row>
    <row r="5932" spans="6:8">
      <c r="F5932" s="68" t="s">
        <v>122</v>
      </c>
      <c r="G5932" s="67" t="s">
        <v>380</v>
      </c>
      <c r="H5932" s="69">
        <v>-0.75</v>
      </c>
    </row>
    <row r="5933" spans="6:8">
      <c r="F5933" s="68" t="s">
        <v>251</v>
      </c>
      <c r="G5933" s="67" t="s">
        <v>380</v>
      </c>
      <c r="H5933" s="69">
        <v>0.16</v>
      </c>
    </row>
    <row r="5934" spans="6:8">
      <c r="F5934" s="68" t="s">
        <v>121</v>
      </c>
      <c r="G5934" s="67" t="s">
        <v>380</v>
      </c>
      <c r="H5934" s="69">
        <v>-0.55000000000000004</v>
      </c>
    </row>
    <row r="5935" spans="6:8">
      <c r="F5935" s="68" t="s">
        <v>120</v>
      </c>
      <c r="G5935" s="67" t="s">
        <v>380</v>
      </c>
      <c r="H5935" s="69">
        <v>-0.3</v>
      </c>
    </row>
    <row r="5936" spans="6:8">
      <c r="F5936" s="68" t="s">
        <v>119</v>
      </c>
      <c r="G5936" s="67" t="s">
        <v>380</v>
      </c>
      <c r="H5936" s="69">
        <v>-0.75</v>
      </c>
    </row>
    <row r="5937" spans="6:8">
      <c r="F5937" s="68" t="s">
        <v>119</v>
      </c>
      <c r="G5937" s="67" t="s">
        <v>381</v>
      </c>
      <c r="H5937" s="69">
        <v>-0.75</v>
      </c>
    </row>
    <row r="5938" spans="6:8">
      <c r="F5938" s="68" t="s">
        <v>120</v>
      </c>
      <c r="G5938" s="67" t="s">
        <v>381</v>
      </c>
      <c r="H5938" s="69">
        <v>-0.3</v>
      </c>
    </row>
    <row r="5939" spans="6:8">
      <c r="F5939" s="68" t="s">
        <v>121</v>
      </c>
      <c r="G5939" s="67" t="s">
        <v>381</v>
      </c>
      <c r="H5939" s="69">
        <v>-0.55000000000000004</v>
      </c>
    </row>
    <row r="5940" spans="6:8">
      <c r="F5940" s="68" t="s">
        <v>251</v>
      </c>
      <c r="G5940" s="67" t="s">
        <v>381</v>
      </c>
      <c r="H5940" s="69">
        <v>0.16</v>
      </c>
    </row>
    <row r="5941" spans="6:8">
      <c r="F5941" s="68" t="s">
        <v>122</v>
      </c>
      <c r="G5941" s="67" t="s">
        <v>381</v>
      </c>
      <c r="H5941" s="69">
        <v>-0.75</v>
      </c>
    </row>
    <row r="5942" spans="6:8">
      <c r="F5942" s="68" t="s">
        <v>123</v>
      </c>
      <c r="G5942" s="67" t="s">
        <v>381</v>
      </c>
      <c r="H5942" s="69">
        <v>-0.35</v>
      </c>
    </row>
    <row r="5943" spans="6:8">
      <c r="F5943" s="68" t="s">
        <v>124</v>
      </c>
      <c r="G5943" s="67" t="s">
        <v>381</v>
      </c>
      <c r="H5943" s="69">
        <v>-0.55000000000000004</v>
      </c>
    </row>
    <row r="5944" spans="6:8">
      <c r="F5944" s="68" t="s">
        <v>252</v>
      </c>
      <c r="G5944" s="67" t="s">
        <v>381</v>
      </c>
      <c r="H5944" s="69">
        <v>0.18</v>
      </c>
    </row>
    <row r="5945" spans="6:8">
      <c r="F5945" s="68" t="s">
        <v>314</v>
      </c>
      <c r="G5945" s="67" t="s">
        <v>381</v>
      </c>
      <c r="H5945" s="69">
        <v>-0.75</v>
      </c>
    </row>
    <row r="5946" spans="6:8">
      <c r="F5946" s="68" t="s">
        <v>125</v>
      </c>
      <c r="G5946" s="67" t="s">
        <v>381</v>
      </c>
      <c r="H5946" s="69">
        <v>-0.85</v>
      </c>
    </row>
    <row r="5947" spans="6:8">
      <c r="F5947" s="68" t="s">
        <v>126</v>
      </c>
      <c r="G5947" s="67" t="s">
        <v>381</v>
      </c>
      <c r="H5947" s="69">
        <v>-0.35</v>
      </c>
    </row>
    <row r="5948" spans="6:8">
      <c r="F5948" s="68" t="s">
        <v>127</v>
      </c>
      <c r="G5948" s="67" t="s">
        <v>381</v>
      </c>
      <c r="H5948" s="69">
        <v>-0.1</v>
      </c>
    </row>
    <row r="5949" spans="6:8">
      <c r="F5949" s="68" t="s">
        <v>253</v>
      </c>
      <c r="G5949" s="67" t="s">
        <v>381</v>
      </c>
      <c r="H5949" s="69">
        <v>0.26</v>
      </c>
    </row>
    <row r="5950" spans="6:8">
      <c r="F5950" s="68" t="s">
        <v>315</v>
      </c>
      <c r="G5950" s="67" t="s">
        <v>381</v>
      </c>
      <c r="H5950" s="69">
        <v>-0.65</v>
      </c>
    </row>
    <row r="5951" spans="6:8">
      <c r="F5951" s="68" t="s">
        <v>128</v>
      </c>
      <c r="G5951" s="67" t="s">
        <v>381</v>
      </c>
      <c r="H5951" s="69">
        <v>-0.3</v>
      </c>
    </row>
    <row r="5952" spans="6:8">
      <c r="F5952" s="68" t="s">
        <v>129</v>
      </c>
      <c r="G5952" s="67" t="s">
        <v>381</v>
      </c>
      <c r="H5952" s="69">
        <v>-0.2</v>
      </c>
    </row>
    <row r="5953" spans="6:8">
      <c r="F5953" s="68" t="s">
        <v>254</v>
      </c>
      <c r="G5953" s="67" t="s">
        <v>381</v>
      </c>
      <c r="H5953" s="69">
        <v>0.36</v>
      </c>
    </row>
    <row r="5954" spans="6:8">
      <c r="F5954" s="68" t="s">
        <v>304</v>
      </c>
      <c r="G5954" s="67" t="s">
        <v>381</v>
      </c>
      <c r="H5954" s="69">
        <v>14.1875</v>
      </c>
    </row>
    <row r="5955" spans="6:8">
      <c r="F5955" s="68" t="s">
        <v>130</v>
      </c>
      <c r="G5955" s="67" t="s">
        <v>381</v>
      </c>
      <c r="H5955" s="69">
        <v>-0.6</v>
      </c>
    </row>
    <row r="5956" spans="6:8">
      <c r="F5956" s="68" t="s">
        <v>131</v>
      </c>
      <c r="G5956" s="67" t="s">
        <v>381</v>
      </c>
      <c r="H5956" s="69">
        <v>-0.25</v>
      </c>
    </row>
    <row r="5957" spans="6:8">
      <c r="F5957" s="68" t="s">
        <v>255</v>
      </c>
      <c r="G5957" s="67" t="s">
        <v>381</v>
      </c>
      <c r="H5957" s="69">
        <v>0.5</v>
      </c>
    </row>
    <row r="5958" spans="6:8">
      <c r="F5958" s="68" t="s">
        <v>303</v>
      </c>
      <c r="G5958" s="67" t="s">
        <v>381</v>
      </c>
      <c r="H5958" s="69">
        <v>16.125</v>
      </c>
    </row>
    <row r="5959" spans="6:8">
      <c r="F5959" s="68" t="s">
        <v>132</v>
      </c>
      <c r="G5959" s="67" t="s">
        <v>381</v>
      </c>
      <c r="H5959" s="69">
        <v>-0.6</v>
      </c>
    </row>
    <row r="5960" spans="6:8">
      <c r="F5960" s="68" t="s">
        <v>133</v>
      </c>
      <c r="G5960" s="67" t="s">
        <v>381</v>
      </c>
      <c r="H5960" s="69">
        <v>-0.25</v>
      </c>
    </row>
    <row r="5961" spans="6:8">
      <c r="F5961" s="68" t="s">
        <v>256</v>
      </c>
      <c r="G5961" s="67" t="s">
        <v>381</v>
      </c>
      <c r="H5961" s="69">
        <v>0.71</v>
      </c>
    </row>
    <row r="5962" spans="6:8">
      <c r="F5962" s="68" t="s">
        <v>134</v>
      </c>
      <c r="G5962" s="67" t="s">
        <v>381</v>
      </c>
      <c r="H5962" s="69">
        <v>-0.6</v>
      </c>
    </row>
    <row r="5963" spans="6:8">
      <c r="F5963" s="68" t="s">
        <v>135</v>
      </c>
      <c r="G5963" s="67" t="s">
        <v>381</v>
      </c>
      <c r="H5963" s="69">
        <v>-0.25</v>
      </c>
    </row>
    <row r="5964" spans="6:8">
      <c r="F5964" s="68" t="s">
        <v>257</v>
      </c>
      <c r="G5964" s="67" t="s">
        <v>381</v>
      </c>
      <c r="H5964" s="69">
        <v>0.9</v>
      </c>
    </row>
    <row r="5965" spans="6:8">
      <c r="F5965" s="68" t="s">
        <v>258</v>
      </c>
      <c r="G5965" s="67" t="s">
        <v>381</v>
      </c>
      <c r="H5965" s="69">
        <v>0.1</v>
      </c>
    </row>
    <row r="5966" spans="6:8">
      <c r="F5966" s="68" t="s">
        <v>136</v>
      </c>
      <c r="G5966" s="67" t="s">
        <v>381</v>
      </c>
      <c r="H5966" s="69">
        <v>-0.75</v>
      </c>
    </row>
    <row r="5967" spans="6:8">
      <c r="F5967" s="68" t="s">
        <v>137</v>
      </c>
      <c r="G5967" s="67" t="s">
        <v>381</v>
      </c>
      <c r="H5967" s="69">
        <v>-0.3</v>
      </c>
    </row>
    <row r="5968" spans="6:8">
      <c r="F5968" s="68" t="s">
        <v>138</v>
      </c>
      <c r="G5968" s="67" t="s">
        <v>381</v>
      </c>
      <c r="H5968" s="69">
        <v>-0.45</v>
      </c>
    </row>
    <row r="5969" spans="6:8">
      <c r="F5969" s="68" t="s">
        <v>259</v>
      </c>
      <c r="G5969" s="67" t="s">
        <v>381</v>
      </c>
      <c r="H5969" s="69">
        <v>0.14000000000000001</v>
      </c>
    </row>
    <row r="5970" spans="6:8">
      <c r="F5970" s="68" t="s">
        <v>259</v>
      </c>
      <c r="G5970" s="67" t="s">
        <v>382</v>
      </c>
      <c r="H5970" s="69">
        <v>0.14000000000000001</v>
      </c>
    </row>
    <row r="5971" spans="6:8">
      <c r="F5971" s="68" t="s">
        <v>138</v>
      </c>
      <c r="G5971" s="67" t="s">
        <v>382</v>
      </c>
      <c r="H5971" s="69">
        <v>-0.45</v>
      </c>
    </row>
    <row r="5972" spans="6:8">
      <c r="F5972" s="68" t="s">
        <v>137</v>
      </c>
      <c r="G5972" s="67" t="s">
        <v>382</v>
      </c>
      <c r="H5972" s="69">
        <v>-0.3</v>
      </c>
    </row>
    <row r="5973" spans="6:8">
      <c r="F5973" s="68" t="s">
        <v>136</v>
      </c>
      <c r="G5973" s="67" t="s">
        <v>382</v>
      </c>
      <c r="H5973" s="69">
        <v>-0.75</v>
      </c>
    </row>
    <row r="5974" spans="6:8">
      <c r="F5974" s="68" t="s">
        <v>258</v>
      </c>
      <c r="G5974" s="67" t="s">
        <v>382</v>
      </c>
      <c r="H5974" s="69">
        <v>0.1</v>
      </c>
    </row>
    <row r="5975" spans="6:8">
      <c r="F5975" s="68" t="s">
        <v>257</v>
      </c>
      <c r="G5975" s="67" t="s">
        <v>382</v>
      </c>
      <c r="H5975" s="69">
        <v>0.9</v>
      </c>
    </row>
    <row r="5976" spans="6:8">
      <c r="F5976" s="68" t="s">
        <v>135</v>
      </c>
      <c r="G5976" s="67" t="s">
        <v>382</v>
      </c>
      <c r="H5976" s="69">
        <v>-0.25</v>
      </c>
    </row>
    <row r="5977" spans="6:8">
      <c r="F5977" s="68" t="s">
        <v>134</v>
      </c>
      <c r="G5977" s="67" t="s">
        <v>382</v>
      </c>
      <c r="H5977" s="69">
        <v>-0.6</v>
      </c>
    </row>
    <row r="5978" spans="6:8">
      <c r="F5978" s="68" t="s">
        <v>256</v>
      </c>
      <c r="G5978" s="67" t="s">
        <v>382</v>
      </c>
      <c r="H5978" s="69">
        <v>0.71</v>
      </c>
    </row>
    <row r="5979" spans="6:8">
      <c r="F5979" s="68" t="s">
        <v>133</v>
      </c>
      <c r="G5979" s="67" t="s">
        <v>382</v>
      </c>
      <c r="H5979" s="69">
        <v>-0.25</v>
      </c>
    </row>
    <row r="5980" spans="6:8">
      <c r="F5980" s="68" t="s">
        <v>132</v>
      </c>
      <c r="G5980" s="67" t="s">
        <v>382</v>
      </c>
      <c r="H5980" s="69">
        <v>-0.6</v>
      </c>
    </row>
    <row r="5981" spans="6:8">
      <c r="F5981" s="68" t="s">
        <v>303</v>
      </c>
      <c r="G5981" s="67" t="s">
        <v>382</v>
      </c>
      <c r="H5981" s="69">
        <v>16.125</v>
      </c>
    </row>
    <row r="5982" spans="6:8">
      <c r="F5982" s="68" t="s">
        <v>255</v>
      </c>
      <c r="G5982" s="67" t="s">
        <v>382</v>
      </c>
      <c r="H5982" s="69">
        <v>0.5</v>
      </c>
    </row>
    <row r="5983" spans="6:8">
      <c r="F5983" s="68" t="s">
        <v>131</v>
      </c>
      <c r="G5983" s="67" t="s">
        <v>382</v>
      </c>
      <c r="H5983" s="69">
        <v>-0.25</v>
      </c>
    </row>
    <row r="5984" spans="6:8">
      <c r="F5984" s="68" t="s">
        <v>130</v>
      </c>
      <c r="G5984" s="67" t="s">
        <v>382</v>
      </c>
      <c r="H5984" s="69">
        <v>-0.6</v>
      </c>
    </row>
    <row r="5985" spans="6:8">
      <c r="F5985" s="68" t="s">
        <v>304</v>
      </c>
      <c r="G5985" s="67" t="s">
        <v>382</v>
      </c>
      <c r="H5985" s="69">
        <v>14.1875</v>
      </c>
    </row>
    <row r="5986" spans="6:8">
      <c r="F5986" s="68" t="s">
        <v>254</v>
      </c>
      <c r="G5986" s="67" t="s">
        <v>382</v>
      </c>
      <c r="H5986" s="69">
        <v>0.36</v>
      </c>
    </row>
    <row r="5987" spans="6:8">
      <c r="F5987" s="68" t="s">
        <v>129</v>
      </c>
      <c r="G5987" s="67" t="s">
        <v>382</v>
      </c>
      <c r="H5987" s="69">
        <v>-0.2</v>
      </c>
    </row>
    <row r="5988" spans="6:8">
      <c r="F5988" s="68" t="s">
        <v>128</v>
      </c>
      <c r="G5988" s="67" t="s">
        <v>382</v>
      </c>
      <c r="H5988" s="69">
        <v>-0.3</v>
      </c>
    </row>
    <row r="5989" spans="6:8">
      <c r="F5989" s="68" t="s">
        <v>315</v>
      </c>
      <c r="G5989" s="67" t="s">
        <v>382</v>
      </c>
      <c r="H5989" s="69">
        <v>-0.65</v>
      </c>
    </row>
    <row r="5990" spans="6:8">
      <c r="F5990" s="68" t="s">
        <v>253</v>
      </c>
      <c r="G5990" s="67" t="s">
        <v>382</v>
      </c>
      <c r="H5990" s="69">
        <v>0.26</v>
      </c>
    </row>
    <row r="5991" spans="6:8">
      <c r="F5991" s="68" t="s">
        <v>127</v>
      </c>
      <c r="G5991" s="67" t="s">
        <v>382</v>
      </c>
      <c r="H5991" s="69">
        <v>-0.1</v>
      </c>
    </row>
    <row r="5992" spans="6:8">
      <c r="F5992" s="68" t="s">
        <v>126</v>
      </c>
      <c r="G5992" s="67" t="s">
        <v>382</v>
      </c>
      <c r="H5992" s="69">
        <v>-0.35</v>
      </c>
    </row>
    <row r="5993" spans="6:8">
      <c r="F5993" s="68" t="s">
        <v>125</v>
      </c>
      <c r="G5993" s="67" t="s">
        <v>382</v>
      </c>
      <c r="H5993" s="69">
        <v>-0.85</v>
      </c>
    </row>
    <row r="5994" spans="6:8">
      <c r="F5994" s="68" t="s">
        <v>314</v>
      </c>
      <c r="G5994" s="67" t="s">
        <v>382</v>
      </c>
      <c r="H5994" s="69">
        <v>-0.75</v>
      </c>
    </row>
    <row r="5995" spans="6:8">
      <c r="F5995" s="68" t="s">
        <v>252</v>
      </c>
      <c r="G5995" s="67" t="s">
        <v>382</v>
      </c>
      <c r="H5995" s="69">
        <v>0.18</v>
      </c>
    </row>
    <row r="5996" spans="6:8">
      <c r="F5996" s="68" t="s">
        <v>124</v>
      </c>
      <c r="G5996" s="67" t="s">
        <v>382</v>
      </c>
      <c r="H5996" s="69">
        <v>-0.55000000000000004</v>
      </c>
    </row>
    <row r="5997" spans="6:8">
      <c r="F5997" s="68" t="s">
        <v>123</v>
      </c>
      <c r="G5997" s="67" t="s">
        <v>382</v>
      </c>
      <c r="H5997" s="69">
        <v>-0.35</v>
      </c>
    </row>
    <row r="5998" spans="6:8">
      <c r="F5998" s="68" t="s">
        <v>122</v>
      </c>
      <c r="G5998" s="67" t="s">
        <v>382</v>
      </c>
      <c r="H5998" s="69">
        <v>-0.75</v>
      </c>
    </row>
    <row r="5999" spans="6:8">
      <c r="F5999" s="68" t="s">
        <v>251</v>
      </c>
      <c r="G5999" s="67" t="s">
        <v>382</v>
      </c>
      <c r="H5999" s="69">
        <v>0.16</v>
      </c>
    </row>
    <row r="6000" spans="6:8">
      <c r="F6000" s="68" t="s">
        <v>121</v>
      </c>
      <c r="G6000" s="67" t="s">
        <v>382</v>
      </c>
      <c r="H6000" s="69">
        <v>-0.55000000000000004</v>
      </c>
    </row>
    <row r="6001" spans="6:8">
      <c r="F6001" s="68" t="s">
        <v>120</v>
      </c>
      <c r="G6001" s="67" t="s">
        <v>382</v>
      </c>
      <c r="H6001" s="69">
        <v>-0.3</v>
      </c>
    </row>
    <row r="6002" spans="6:8">
      <c r="F6002" s="68" t="s">
        <v>119</v>
      </c>
      <c r="G6002" s="67" t="s">
        <v>382</v>
      </c>
      <c r="H6002" s="69">
        <v>-0.75</v>
      </c>
    </row>
    <row r="6003" spans="6:8">
      <c r="F6003" s="68" t="s">
        <v>119</v>
      </c>
      <c r="G6003" s="67" t="s">
        <v>383</v>
      </c>
      <c r="H6003" s="69">
        <v>-0.75</v>
      </c>
    </row>
    <row r="6004" spans="6:8">
      <c r="F6004" s="68" t="s">
        <v>120</v>
      </c>
      <c r="G6004" s="67" t="s">
        <v>383</v>
      </c>
      <c r="H6004" s="69">
        <v>-0.4</v>
      </c>
    </row>
    <row r="6005" spans="6:8">
      <c r="F6005" s="68" t="s">
        <v>121</v>
      </c>
      <c r="G6005" s="67" t="s">
        <v>383</v>
      </c>
      <c r="H6005" s="69">
        <v>-0.6</v>
      </c>
    </row>
    <row r="6006" spans="6:8">
      <c r="F6006" s="68" t="s">
        <v>251</v>
      </c>
      <c r="G6006" s="67" t="s">
        <v>383</v>
      </c>
      <c r="H6006" s="69">
        <v>0.16</v>
      </c>
    </row>
    <row r="6007" spans="6:8">
      <c r="F6007" s="68" t="s">
        <v>122</v>
      </c>
      <c r="G6007" s="67" t="s">
        <v>383</v>
      </c>
      <c r="H6007" s="69">
        <v>-0.8</v>
      </c>
    </row>
    <row r="6008" spans="6:8">
      <c r="F6008" s="68" t="s">
        <v>123</v>
      </c>
      <c r="G6008" s="67" t="s">
        <v>383</v>
      </c>
      <c r="H6008" s="69">
        <v>-0.45</v>
      </c>
    </row>
    <row r="6009" spans="6:8">
      <c r="F6009" s="68" t="s">
        <v>124</v>
      </c>
      <c r="G6009" s="67" t="s">
        <v>383</v>
      </c>
      <c r="H6009" s="69">
        <v>-0.6</v>
      </c>
    </row>
    <row r="6010" spans="6:8">
      <c r="F6010" s="68" t="s">
        <v>252</v>
      </c>
      <c r="G6010" s="67" t="s">
        <v>383</v>
      </c>
      <c r="H6010" s="69">
        <v>0.2</v>
      </c>
    </row>
    <row r="6011" spans="6:8">
      <c r="F6011" s="68" t="s">
        <v>314</v>
      </c>
      <c r="G6011" s="67" t="s">
        <v>383</v>
      </c>
      <c r="H6011" s="69">
        <v>-0.8</v>
      </c>
    </row>
    <row r="6012" spans="6:8">
      <c r="F6012" s="68" t="s">
        <v>125</v>
      </c>
      <c r="G6012" s="67" t="s">
        <v>383</v>
      </c>
      <c r="H6012" s="69">
        <v>-0.85</v>
      </c>
    </row>
    <row r="6013" spans="6:8">
      <c r="F6013" s="68" t="s">
        <v>126</v>
      </c>
      <c r="G6013" s="67" t="s">
        <v>383</v>
      </c>
      <c r="H6013" s="69">
        <v>-0.4</v>
      </c>
    </row>
    <row r="6014" spans="6:8">
      <c r="F6014" s="68" t="s">
        <v>127</v>
      </c>
      <c r="G6014" s="67" t="s">
        <v>383</v>
      </c>
      <c r="H6014" s="69">
        <v>-0.15</v>
      </c>
    </row>
    <row r="6015" spans="6:8">
      <c r="F6015" s="68" t="s">
        <v>253</v>
      </c>
      <c r="G6015" s="67" t="s">
        <v>383</v>
      </c>
      <c r="H6015" s="69">
        <v>0.28999999999999998</v>
      </c>
    </row>
    <row r="6016" spans="6:8">
      <c r="F6016" s="68" t="s">
        <v>315</v>
      </c>
      <c r="G6016" s="67" t="s">
        <v>383</v>
      </c>
      <c r="H6016" s="69">
        <v>-0.5</v>
      </c>
    </row>
    <row r="6017" spans="6:8">
      <c r="F6017" s="68" t="s">
        <v>128</v>
      </c>
      <c r="G6017" s="67" t="s">
        <v>383</v>
      </c>
      <c r="H6017" s="69">
        <v>-0.4</v>
      </c>
    </row>
    <row r="6018" spans="6:8">
      <c r="F6018" s="68" t="s">
        <v>129</v>
      </c>
      <c r="G6018" s="67" t="s">
        <v>383</v>
      </c>
      <c r="H6018" s="69">
        <v>-0.25</v>
      </c>
    </row>
    <row r="6019" spans="6:8">
      <c r="F6019" s="68" t="s">
        <v>254</v>
      </c>
      <c r="G6019" s="67" t="s">
        <v>383</v>
      </c>
      <c r="H6019" s="69">
        <v>0.4</v>
      </c>
    </row>
    <row r="6020" spans="6:8">
      <c r="F6020" s="68" t="s">
        <v>304</v>
      </c>
      <c r="G6020" s="67" t="s">
        <v>383</v>
      </c>
      <c r="H6020" s="69">
        <v>14.25</v>
      </c>
    </row>
    <row r="6021" spans="6:8">
      <c r="F6021" s="68" t="s">
        <v>130</v>
      </c>
      <c r="G6021" s="67" t="s">
        <v>383</v>
      </c>
      <c r="H6021" s="69">
        <v>-0.6</v>
      </c>
    </row>
    <row r="6022" spans="6:8">
      <c r="F6022" s="68" t="s">
        <v>131</v>
      </c>
      <c r="G6022" s="67" t="s">
        <v>383</v>
      </c>
      <c r="H6022" s="69">
        <v>-0.3</v>
      </c>
    </row>
    <row r="6023" spans="6:8">
      <c r="F6023" s="68" t="s">
        <v>255</v>
      </c>
      <c r="G6023" s="67" t="s">
        <v>383</v>
      </c>
      <c r="H6023" s="69">
        <v>0.56999999999999995</v>
      </c>
    </row>
    <row r="6024" spans="6:8">
      <c r="F6024" s="68" t="s">
        <v>303</v>
      </c>
      <c r="G6024" s="67" t="s">
        <v>383</v>
      </c>
      <c r="H6024" s="69">
        <v>16.1875</v>
      </c>
    </row>
    <row r="6025" spans="6:8">
      <c r="F6025" s="68" t="s">
        <v>132</v>
      </c>
      <c r="G6025" s="67" t="s">
        <v>383</v>
      </c>
      <c r="H6025" s="69">
        <v>-0.6</v>
      </c>
    </row>
    <row r="6026" spans="6:8">
      <c r="F6026" s="68" t="s">
        <v>133</v>
      </c>
      <c r="G6026" s="67" t="s">
        <v>383</v>
      </c>
      <c r="H6026" s="69">
        <v>-0.3</v>
      </c>
    </row>
    <row r="6027" spans="6:8">
      <c r="F6027" s="68" t="s">
        <v>256</v>
      </c>
      <c r="G6027" s="67" t="s">
        <v>383</v>
      </c>
      <c r="H6027" s="69">
        <v>0.82</v>
      </c>
    </row>
    <row r="6028" spans="6:8">
      <c r="F6028" s="68" t="s">
        <v>134</v>
      </c>
      <c r="G6028" s="67" t="s">
        <v>383</v>
      </c>
      <c r="H6028" s="69">
        <v>-0.6</v>
      </c>
    </row>
    <row r="6029" spans="6:8">
      <c r="F6029" s="68" t="s">
        <v>135</v>
      </c>
      <c r="G6029" s="67" t="s">
        <v>383</v>
      </c>
      <c r="H6029" s="69">
        <v>-0.35</v>
      </c>
    </row>
    <row r="6030" spans="6:8">
      <c r="F6030" s="68" t="s">
        <v>257</v>
      </c>
      <c r="G6030" s="67" t="s">
        <v>383</v>
      </c>
      <c r="H6030" s="69">
        <v>0.92</v>
      </c>
    </row>
    <row r="6031" spans="6:8">
      <c r="F6031" s="68" t="s">
        <v>258</v>
      </c>
      <c r="G6031" s="67" t="s">
        <v>383</v>
      </c>
      <c r="H6031" s="69">
        <v>0.1</v>
      </c>
    </row>
    <row r="6032" spans="6:8">
      <c r="F6032" s="68" t="s">
        <v>136</v>
      </c>
      <c r="G6032" s="67" t="s">
        <v>383</v>
      </c>
      <c r="H6032" s="69">
        <v>-0.75</v>
      </c>
    </row>
    <row r="6033" spans="6:8">
      <c r="F6033" s="68" t="s">
        <v>137</v>
      </c>
      <c r="G6033" s="67" t="s">
        <v>383</v>
      </c>
      <c r="H6033" s="69">
        <v>-0.4</v>
      </c>
    </row>
    <row r="6034" spans="6:8">
      <c r="F6034" s="68" t="s">
        <v>138</v>
      </c>
      <c r="G6034" s="67" t="s">
        <v>383</v>
      </c>
      <c r="H6034" s="69">
        <v>-0.5</v>
      </c>
    </row>
    <row r="6035" spans="6:8">
      <c r="F6035" s="68" t="s">
        <v>259</v>
      </c>
      <c r="G6035" s="67" t="s">
        <v>383</v>
      </c>
      <c r="H6035" s="69">
        <v>0.14000000000000001</v>
      </c>
    </row>
    <row r="6036" spans="6:8">
      <c r="F6036" s="68" t="s">
        <v>259</v>
      </c>
      <c r="G6036" s="67" t="s">
        <v>384</v>
      </c>
      <c r="H6036" s="69">
        <v>0.14000000000000001</v>
      </c>
    </row>
    <row r="6037" spans="6:8">
      <c r="F6037" s="68" t="s">
        <v>138</v>
      </c>
      <c r="G6037" s="67" t="s">
        <v>384</v>
      </c>
      <c r="H6037" s="69">
        <v>-0.5</v>
      </c>
    </row>
    <row r="6038" spans="6:8">
      <c r="F6038" s="68" t="s">
        <v>137</v>
      </c>
      <c r="G6038" s="67" t="s">
        <v>384</v>
      </c>
      <c r="H6038" s="69">
        <v>-0.4</v>
      </c>
    </row>
    <row r="6039" spans="6:8">
      <c r="F6039" s="68" t="s">
        <v>136</v>
      </c>
      <c r="G6039" s="67" t="s">
        <v>384</v>
      </c>
      <c r="H6039" s="69">
        <v>-0.75</v>
      </c>
    </row>
    <row r="6040" spans="6:8">
      <c r="F6040" s="68" t="s">
        <v>258</v>
      </c>
      <c r="G6040" s="67" t="s">
        <v>384</v>
      </c>
      <c r="H6040" s="69">
        <v>0.1</v>
      </c>
    </row>
    <row r="6041" spans="6:8">
      <c r="F6041" s="68" t="s">
        <v>257</v>
      </c>
      <c r="G6041" s="67" t="s">
        <v>384</v>
      </c>
      <c r="H6041" s="69">
        <v>0.92</v>
      </c>
    </row>
    <row r="6042" spans="6:8">
      <c r="F6042" s="68" t="s">
        <v>135</v>
      </c>
      <c r="G6042" s="67" t="s">
        <v>384</v>
      </c>
      <c r="H6042" s="69">
        <v>-0.35</v>
      </c>
    </row>
    <row r="6043" spans="6:8">
      <c r="F6043" s="68" t="s">
        <v>134</v>
      </c>
      <c r="G6043" s="67" t="s">
        <v>384</v>
      </c>
      <c r="H6043" s="69">
        <v>-0.6</v>
      </c>
    </row>
    <row r="6044" spans="6:8">
      <c r="F6044" s="68" t="s">
        <v>256</v>
      </c>
      <c r="G6044" s="67" t="s">
        <v>384</v>
      </c>
      <c r="H6044" s="69">
        <v>0.82</v>
      </c>
    </row>
    <row r="6045" spans="6:8">
      <c r="F6045" s="68" t="s">
        <v>133</v>
      </c>
      <c r="G6045" s="67" t="s">
        <v>384</v>
      </c>
      <c r="H6045" s="69">
        <v>-0.3</v>
      </c>
    </row>
    <row r="6046" spans="6:8">
      <c r="F6046" s="68" t="s">
        <v>132</v>
      </c>
      <c r="G6046" s="67" t="s">
        <v>384</v>
      </c>
      <c r="H6046" s="69">
        <v>-0.6</v>
      </c>
    </row>
    <row r="6047" spans="6:8">
      <c r="F6047" s="68" t="s">
        <v>303</v>
      </c>
      <c r="G6047" s="67" t="s">
        <v>384</v>
      </c>
      <c r="H6047" s="69">
        <v>16.25</v>
      </c>
    </row>
    <row r="6048" spans="6:8">
      <c r="F6048" s="68" t="s">
        <v>255</v>
      </c>
      <c r="G6048" s="67" t="s">
        <v>384</v>
      </c>
      <c r="H6048" s="69">
        <v>0.56999999999999995</v>
      </c>
    </row>
    <row r="6049" spans="6:8">
      <c r="F6049" s="68" t="s">
        <v>131</v>
      </c>
      <c r="G6049" s="67" t="s">
        <v>384</v>
      </c>
      <c r="H6049" s="69">
        <v>-0.3</v>
      </c>
    </row>
    <row r="6050" spans="6:8">
      <c r="F6050" s="68" t="s">
        <v>130</v>
      </c>
      <c r="G6050" s="67" t="s">
        <v>384</v>
      </c>
      <c r="H6050" s="69">
        <v>-0.6</v>
      </c>
    </row>
    <row r="6051" spans="6:8">
      <c r="F6051" s="68" t="s">
        <v>304</v>
      </c>
      <c r="G6051" s="67" t="s">
        <v>384</v>
      </c>
      <c r="H6051" s="69">
        <v>14.375</v>
      </c>
    </row>
    <row r="6052" spans="6:8">
      <c r="F6052" s="68" t="s">
        <v>254</v>
      </c>
      <c r="G6052" s="67" t="s">
        <v>384</v>
      </c>
      <c r="H6052" s="69">
        <v>0.4</v>
      </c>
    </row>
    <row r="6053" spans="6:8">
      <c r="F6053" s="68" t="s">
        <v>129</v>
      </c>
      <c r="G6053" s="67" t="s">
        <v>384</v>
      </c>
      <c r="H6053" s="69">
        <v>-0.25</v>
      </c>
    </row>
    <row r="6054" spans="6:8">
      <c r="F6054" s="68" t="s">
        <v>128</v>
      </c>
      <c r="G6054" s="67" t="s">
        <v>384</v>
      </c>
      <c r="H6054" s="69">
        <v>-0.4</v>
      </c>
    </row>
    <row r="6055" spans="6:8">
      <c r="F6055" s="68" t="s">
        <v>315</v>
      </c>
      <c r="G6055" s="67" t="s">
        <v>384</v>
      </c>
      <c r="H6055" s="69">
        <v>-0.5</v>
      </c>
    </row>
    <row r="6056" spans="6:8">
      <c r="F6056" s="68" t="s">
        <v>253</v>
      </c>
      <c r="G6056" s="67" t="s">
        <v>384</v>
      </c>
      <c r="H6056" s="69">
        <v>0.28999999999999998</v>
      </c>
    </row>
    <row r="6057" spans="6:8">
      <c r="F6057" s="68" t="s">
        <v>127</v>
      </c>
      <c r="G6057" s="67" t="s">
        <v>384</v>
      </c>
      <c r="H6057" s="69">
        <v>-0.15</v>
      </c>
    </row>
    <row r="6058" spans="6:8">
      <c r="F6058" s="68" t="s">
        <v>126</v>
      </c>
      <c r="G6058" s="67" t="s">
        <v>384</v>
      </c>
      <c r="H6058" s="69">
        <v>-0.4</v>
      </c>
    </row>
    <row r="6059" spans="6:8">
      <c r="F6059" s="68" t="s">
        <v>125</v>
      </c>
      <c r="G6059" s="67" t="s">
        <v>384</v>
      </c>
      <c r="H6059" s="69">
        <v>-0.85</v>
      </c>
    </row>
    <row r="6060" spans="6:8">
      <c r="F6060" s="68" t="s">
        <v>314</v>
      </c>
      <c r="G6060" s="67" t="s">
        <v>384</v>
      </c>
      <c r="H6060" s="69">
        <v>-0.8</v>
      </c>
    </row>
    <row r="6061" spans="6:8">
      <c r="F6061" s="68" t="s">
        <v>252</v>
      </c>
      <c r="G6061" s="67" t="s">
        <v>384</v>
      </c>
      <c r="H6061" s="69">
        <v>0.2</v>
      </c>
    </row>
    <row r="6062" spans="6:8">
      <c r="F6062" s="68" t="s">
        <v>124</v>
      </c>
      <c r="G6062" s="67" t="s">
        <v>384</v>
      </c>
      <c r="H6062" s="69">
        <v>-0.6</v>
      </c>
    </row>
    <row r="6063" spans="6:8">
      <c r="F6063" s="68" t="s">
        <v>123</v>
      </c>
      <c r="G6063" s="67" t="s">
        <v>384</v>
      </c>
      <c r="H6063" s="69">
        <v>-0.45</v>
      </c>
    </row>
    <row r="6064" spans="6:8">
      <c r="F6064" s="68" t="s">
        <v>122</v>
      </c>
      <c r="G6064" s="67" t="s">
        <v>384</v>
      </c>
      <c r="H6064" s="69">
        <v>-0.8</v>
      </c>
    </row>
    <row r="6065" spans="6:8">
      <c r="F6065" s="68" t="s">
        <v>251</v>
      </c>
      <c r="G6065" s="67" t="s">
        <v>384</v>
      </c>
      <c r="H6065" s="69">
        <v>0.16</v>
      </c>
    </row>
    <row r="6066" spans="6:8">
      <c r="F6066" s="68" t="s">
        <v>121</v>
      </c>
      <c r="G6066" s="67" t="s">
        <v>384</v>
      </c>
      <c r="H6066" s="69">
        <v>-0.6</v>
      </c>
    </row>
    <row r="6067" spans="6:8">
      <c r="F6067" s="68" t="s">
        <v>120</v>
      </c>
      <c r="G6067" s="67" t="s">
        <v>384</v>
      </c>
      <c r="H6067" s="69">
        <v>-0.4</v>
      </c>
    </row>
    <row r="6068" spans="6:8">
      <c r="F6068" s="68" t="s">
        <v>119</v>
      </c>
      <c r="G6068" s="67" t="s">
        <v>384</v>
      </c>
      <c r="H6068" s="69">
        <v>-0.75</v>
      </c>
    </row>
    <row r="6069" spans="6:8">
      <c r="F6069" s="68" t="s">
        <v>119</v>
      </c>
      <c r="G6069" s="67" t="s">
        <v>385</v>
      </c>
      <c r="H6069" s="69">
        <v>-0.75</v>
      </c>
    </row>
    <row r="6070" spans="6:8">
      <c r="F6070" s="68" t="s">
        <v>120</v>
      </c>
      <c r="G6070" s="67" t="s">
        <v>385</v>
      </c>
      <c r="H6070" s="69">
        <v>-0.4</v>
      </c>
    </row>
    <row r="6071" spans="6:8">
      <c r="F6071" s="68" t="s">
        <v>121</v>
      </c>
      <c r="G6071" s="67" t="s">
        <v>385</v>
      </c>
      <c r="H6071" s="69">
        <v>-0.6</v>
      </c>
    </row>
    <row r="6072" spans="6:8">
      <c r="F6072" s="68" t="s">
        <v>251</v>
      </c>
      <c r="G6072" s="67" t="s">
        <v>385</v>
      </c>
      <c r="H6072" s="69">
        <v>0.16</v>
      </c>
    </row>
    <row r="6073" spans="6:8">
      <c r="F6073" s="68" t="s">
        <v>122</v>
      </c>
      <c r="G6073" s="67" t="s">
        <v>385</v>
      </c>
      <c r="H6073" s="69">
        <v>-0.8</v>
      </c>
    </row>
    <row r="6074" spans="6:8">
      <c r="F6074" s="68" t="s">
        <v>123</v>
      </c>
      <c r="G6074" s="67" t="s">
        <v>385</v>
      </c>
      <c r="H6074" s="69">
        <v>-0.45</v>
      </c>
    </row>
    <row r="6075" spans="6:8">
      <c r="F6075" s="68" t="s">
        <v>124</v>
      </c>
      <c r="G6075" s="67" t="s">
        <v>385</v>
      </c>
      <c r="H6075" s="69">
        <v>-0.6</v>
      </c>
    </row>
    <row r="6076" spans="6:8">
      <c r="F6076" s="68" t="s">
        <v>252</v>
      </c>
      <c r="G6076" s="67" t="s">
        <v>385</v>
      </c>
      <c r="H6076" s="69">
        <v>0.2</v>
      </c>
    </row>
    <row r="6077" spans="6:8">
      <c r="F6077" s="68" t="s">
        <v>314</v>
      </c>
      <c r="G6077" s="67" t="s">
        <v>385</v>
      </c>
      <c r="H6077" s="69">
        <v>-0.8</v>
      </c>
    </row>
    <row r="6078" spans="6:8">
      <c r="F6078" s="68" t="s">
        <v>125</v>
      </c>
      <c r="G6078" s="67" t="s">
        <v>385</v>
      </c>
      <c r="H6078" s="69">
        <v>-0.85</v>
      </c>
    </row>
    <row r="6079" spans="6:8">
      <c r="F6079" s="68" t="s">
        <v>126</v>
      </c>
      <c r="G6079" s="67" t="s">
        <v>385</v>
      </c>
      <c r="H6079" s="69">
        <v>-0.4</v>
      </c>
    </row>
    <row r="6080" spans="6:8">
      <c r="F6080" s="68" t="s">
        <v>127</v>
      </c>
      <c r="G6080" s="67" t="s">
        <v>385</v>
      </c>
      <c r="H6080" s="69">
        <v>-0.15</v>
      </c>
    </row>
    <row r="6081" spans="6:8">
      <c r="F6081" s="68" t="s">
        <v>253</v>
      </c>
      <c r="G6081" s="67" t="s">
        <v>385</v>
      </c>
      <c r="H6081" s="69">
        <v>0.28999999999999998</v>
      </c>
    </row>
    <row r="6082" spans="6:8">
      <c r="F6082" s="68" t="s">
        <v>315</v>
      </c>
      <c r="G6082" s="67" t="s">
        <v>385</v>
      </c>
      <c r="H6082" s="69">
        <v>-0.5</v>
      </c>
    </row>
    <row r="6083" spans="6:8">
      <c r="F6083" s="68" t="s">
        <v>128</v>
      </c>
      <c r="G6083" s="67" t="s">
        <v>385</v>
      </c>
      <c r="H6083" s="69">
        <v>-0.4</v>
      </c>
    </row>
    <row r="6084" spans="6:8">
      <c r="F6084" s="68" t="s">
        <v>129</v>
      </c>
      <c r="G6084" s="67" t="s">
        <v>385</v>
      </c>
      <c r="H6084" s="69">
        <v>-0.25</v>
      </c>
    </row>
    <row r="6085" spans="6:8">
      <c r="F6085" s="68" t="s">
        <v>254</v>
      </c>
      <c r="G6085" s="67" t="s">
        <v>385</v>
      </c>
      <c r="H6085" s="69">
        <v>0.4</v>
      </c>
    </row>
    <row r="6086" spans="6:8">
      <c r="F6086" s="68" t="s">
        <v>304</v>
      </c>
      <c r="G6086" s="67" t="s">
        <v>385</v>
      </c>
      <c r="H6086" s="69">
        <v>14.375</v>
      </c>
    </row>
    <row r="6087" spans="6:8">
      <c r="F6087" s="68" t="s">
        <v>130</v>
      </c>
      <c r="G6087" s="67" t="s">
        <v>385</v>
      </c>
      <c r="H6087" s="69">
        <v>-0.6</v>
      </c>
    </row>
    <row r="6088" spans="6:8">
      <c r="F6088" s="68" t="s">
        <v>131</v>
      </c>
      <c r="G6088" s="67" t="s">
        <v>385</v>
      </c>
      <c r="H6088" s="69">
        <v>-0.3</v>
      </c>
    </row>
    <row r="6089" spans="6:8">
      <c r="F6089" s="68" t="s">
        <v>255</v>
      </c>
      <c r="G6089" s="67" t="s">
        <v>385</v>
      </c>
      <c r="H6089" s="69">
        <v>0.56999999999999995</v>
      </c>
    </row>
    <row r="6090" spans="6:8">
      <c r="F6090" s="68" t="s">
        <v>303</v>
      </c>
      <c r="G6090" s="67" t="s">
        <v>385</v>
      </c>
      <c r="H6090" s="69">
        <v>16.25</v>
      </c>
    </row>
    <row r="6091" spans="6:8">
      <c r="F6091" s="68" t="s">
        <v>132</v>
      </c>
      <c r="G6091" s="67" t="s">
        <v>385</v>
      </c>
      <c r="H6091" s="69">
        <v>-0.6</v>
      </c>
    </row>
    <row r="6092" spans="6:8">
      <c r="F6092" s="68" t="s">
        <v>133</v>
      </c>
      <c r="G6092" s="67" t="s">
        <v>385</v>
      </c>
      <c r="H6092" s="69">
        <v>-0.3</v>
      </c>
    </row>
    <row r="6093" spans="6:8">
      <c r="F6093" s="68" t="s">
        <v>256</v>
      </c>
      <c r="G6093" s="67" t="s">
        <v>385</v>
      </c>
      <c r="H6093" s="69">
        <v>0.82</v>
      </c>
    </row>
    <row r="6094" spans="6:8">
      <c r="F6094" s="68" t="s">
        <v>134</v>
      </c>
      <c r="G6094" s="67" t="s">
        <v>385</v>
      </c>
      <c r="H6094" s="69">
        <v>-0.6</v>
      </c>
    </row>
    <row r="6095" spans="6:8">
      <c r="F6095" s="68" t="s">
        <v>135</v>
      </c>
      <c r="G6095" s="67" t="s">
        <v>385</v>
      </c>
      <c r="H6095" s="69">
        <v>-0.35</v>
      </c>
    </row>
    <row r="6096" spans="6:8">
      <c r="F6096" s="68" t="s">
        <v>257</v>
      </c>
      <c r="G6096" s="67" t="s">
        <v>385</v>
      </c>
      <c r="H6096" s="69">
        <v>0.92</v>
      </c>
    </row>
    <row r="6097" spans="6:8">
      <c r="F6097" s="68" t="s">
        <v>258</v>
      </c>
      <c r="G6097" s="67" t="s">
        <v>385</v>
      </c>
      <c r="H6097" s="69">
        <v>0.1</v>
      </c>
    </row>
    <row r="6098" spans="6:8">
      <c r="F6098" s="68" t="s">
        <v>136</v>
      </c>
      <c r="G6098" s="67" t="s">
        <v>385</v>
      </c>
      <c r="H6098" s="69">
        <v>-0.75</v>
      </c>
    </row>
    <row r="6099" spans="6:8">
      <c r="F6099" s="68" t="s">
        <v>137</v>
      </c>
      <c r="G6099" s="67" t="s">
        <v>385</v>
      </c>
      <c r="H6099" s="69">
        <v>-0.4</v>
      </c>
    </row>
    <row r="6100" spans="6:8">
      <c r="F6100" s="68" t="s">
        <v>138</v>
      </c>
      <c r="G6100" s="67" t="s">
        <v>385</v>
      </c>
      <c r="H6100" s="69">
        <v>-0.5</v>
      </c>
    </row>
    <row r="6101" spans="6:8">
      <c r="F6101" s="68" t="s">
        <v>259</v>
      </c>
      <c r="G6101" s="67" t="s">
        <v>385</v>
      </c>
      <c r="H6101" s="69">
        <v>0.14000000000000001</v>
      </c>
    </row>
    <row r="6102" spans="6:8">
      <c r="F6102" s="68" t="s">
        <v>259</v>
      </c>
      <c r="G6102" s="67" t="s">
        <v>386</v>
      </c>
      <c r="H6102" s="69">
        <v>0.14000000000000001</v>
      </c>
    </row>
    <row r="6103" spans="6:8">
      <c r="F6103" s="68" t="s">
        <v>138</v>
      </c>
      <c r="G6103" s="67" t="s">
        <v>386</v>
      </c>
      <c r="H6103" s="69">
        <v>-0.5</v>
      </c>
    </row>
    <row r="6104" spans="6:8">
      <c r="F6104" s="68" t="s">
        <v>137</v>
      </c>
      <c r="G6104" s="67" t="s">
        <v>386</v>
      </c>
      <c r="H6104" s="69">
        <v>-0.4</v>
      </c>
    </row>
    <row r="6105" spans="6:8">
      <c r="F6105" s="68" t="s">
        <v>136</v>
      </c>
      <c r="G6105" s="67" t="s">
        <v>386</v>
      </c>
      <c r="H6105" s="69">
        <v>-0.75</v>
      </c>
    </row>
    <row r="6106" spans="6:8">
      <c r="F6106" s="68" t="s">
        <v>258</v>
      </c>
      <c r="G6106" s="67" t="s">
        <v>386</v>
      </c>
      <c r="H6106" s="69">
        <v>0.1</v>
      </c>
    </row>
    <row r="6107" spans="6:8">
      <c r="F6107" s="68" t="s">
        <v>257</v>
      </c>
      <c r="G6107" s="67" t="s">
        <v>386</v>
      </c>
      <c r="H6107" s="69">
        <v>0.92</v>
      </c>
    </row>
    <row r="6108" spans="6:8">
      <c r="F6108" s="68" t="s">
        <v>135</v>
      </c>
      <c r="G6108" s="67" t="s">
        <v>386</v>
      </c>
      <c r="H6108" s="69">
        <v>-0.35</v>
      </c>
    </row>
    <row r="6109" spans="6:8">
      <c r="F6109" s="68" t="s">
        <v>134</v>
      </c>
      <c r="G6109" s="67" t="s">
        <v>386</v>
      </c>
      <c r="H6109" s="69">
        <v>-0.6</v>
      </c>
    </row>
    <row r="6110" spans="6:8">
      <c r="F6110" s="68" t="s">
        <v>256</v>
      </c>
      <c r="G6110" s="67" t="s">
        <v>386</v>
      </c>
      <c r="H6110" s="69">
        <v>0.82</v>
      </c>
    </row>
    <row r="6111" spans="6:8">
      <c r="F6111" s="68" t="s">
        <v>133</v>
      </c>
      <c r="G6111" s="67" t="s">
        <v>386</v>
      </c>
      <c r="H6111" s="69">
        <v>-0.3</v>
      </c>
    </row>
    <row r="6112" spans="6:8">
      <c r="F6112" s="68" t="s">
        <v>132</v>
      </c>
      <c r="G6112" s="67" t="s">
        <v>386</v>
      </c>
      <c r="H6112" s="69">
        <v>-0.6</v>
      </c>
    </row>
    <row r="6113" spans="6:8">
      <c r="F6113" s="68" t="s">
        <v>303</v>
      </c>
      <c r="G6113" s="67" t="s">
        <v>386</v>
      </c>
      <c r="H6113" s="69">
        <v>16.25</v>
      </c>
    </row>
    <row r="6114" spans="6:8">
      <c r="F6114" s="68" t="s">
        <v>255</v>
      </c>
      <c r="G6114" s="67" t="s">
        <v>386</v>
      </c>
      <c r="H6114" s="69">
        <v>0.56999999999999995</v>
      </c>
    </row>
    <row r="6115" spans="6:8">
      <c r="F6115" s="68" t="s">
        <v>131</v>
      </c>
      <c r="G6115" s="67" t="s">
        <v>386</v>
      </c>
      <c r="H6115" s="69">
        <v>-0.3</v>
      </c>
    </row>
    <row r="6116" spans="6:8">
      <c r="F6116" s="68" t="s">
        <v>130</v>
      </c>
      <c r="G6116" s="67" t="s">
        <v>386</v>
      </c>
      <c r="H6116" s="69">
        <v>-0.6</v>
      </c>
    </row>
    <row r="6117" spans="6:8">
      <c r="F6117" s="68" t="s">
        <v>304</v>
      </c>
      <c r="G6117" s="67" t="s">
        <v>386</v>
      </c>
      <c r="H6117" s="69">
        <v>14.375</v>
      </c>
    </row>
    <row r="6118" spans="6:8">
      <c r="F6118" s="68" t="s">
        <v>254</v>
      </c>
      <c r="G6118" s="67" t="s">
        <v>386</v>
      </c>
      <c r="H6118" s="69">
        <v>0.4</v>
      </c>
    </row>
    <row r="6119" spans="6:8">
      <c r="F6119" s="68" t="s">
        <v>129</v>
      </c>
      <c r="G6119" s="67" t="s">
        <v>386</v>
      </c>
      <c r="H6119" s="69">
        <v>-0.25</v>
      </c>
    </row>
    <row r="6120" spans="6:8">
      <c r="F6120" s="68" t="s">
        <v>128</v>
      </c>
      <c r="G6120" s="67" t="s">
        <v>386</v>
      </c>
      <c r="H6120" s="69">
        <v>-0.4</v>
      </c>
    </row>
    <row r="6121" spans="6:8">
      <c r="F6121" s="68" t="s">
        <v>315</v>
      </c>
      <c r="G6121" s="67" t="s">
        <v>386</v>
      </c>
      <c r="H6121" s="69">
        <v>-0.5</v>
      </c>
    </row>
    <row r="6122" spans="6:8">
      <c r="F6122" s="68" t="s">
        <v>253</v>
      </c>
      <c r="G6122" s="67" t="s">
        <v>386</v>
      </c>
      <c r="H6122" s="69">
        <v>0.28999999999999998</v>
      </c>
    </row>
    <row r="6123" spans="6:8">
      <c r="F6123" s="68" t="s">
        <v>127</v>
      </c>
      <c r="G6123" s="67" t="s">
        <v>386</v>
      </c>
      <c r="H6123" s="69">
        <v>-0.15</v>
      </c>
    </row>
    <row r="6124" spans="6:8">
      <c r="F6124" s="68" t="s">
        <v>126</v>
      </c>
      <c r="G6124" s="67" t="s">
        <v>386</v>
      </c>
      <c r="H6124" s="69">
        <v>-0.4</v>
      </c>
    </row>
    <row r="6125" spans="6:8">
      <c r="F6125" s="68" t="s">
        <v>125</v>
      </c>
      <c r="G6125" s="67" t="s">
        <v>386</v>
      </c>
      <c r="H6125" s="69">
        <v>-0.85</v>
      </c>
    </row>
    <row r="6126" spans="6:8">
      <c r="F6126" s="68" t="s">
        <v>314</v>
      </c>
      <c r="G6126" s="67" t="s">
        <v>386</v>
      </c>
      <c r="H6126" s="69">
        <v>-0.8</v>
      </c>
    </row>
    <row r="6127" spans="6:8">
      <c r="F6127" s="68" t="s">
        <v>252</v>
      </c>
      <c r="G6127" s="67" t="s">
        <v>386</v>
      </c>
      <c r="H6127" s="69">
        <v>0.2</v>
      </c>
    </row>
    <row r="6128" spans="6:8">
      <c r="F6128" s="68" t="s">
        <v>124</v>
      </c>
      <c r="G6128" s="67" t="s">
        <v>386</v>
      </c>
      <c r="H6128" s="69">
        <v>-0.6</v>
      </c>
    </row>
    <row r="6129" spans="6:8">
      <c r="F6129" s="68" t="s">
        <v>123</v>
      </c>
      <c r="G6129" s="67" t="s">
        <v>386</v>
      </c>
      <c r="H6129" s="69">
        <v>-0.45</v>
      </c>
    </row>
    <row r="6130" spans="6:8">
      <c r="F6130" s="68" t="s">
        <v>122</v>
      </c>
      <c r="G6130" s="67" t="s">
        <v>386</v>
      </c>
      <c r="H6130" s="69">
        <v>-0.8</v>
      </c>
    </row>
    <row r="6131" spans="6:8">
      <c r="F6131" s="68" t="s">
        <v>251</v>
      </c>
      <c r="G6131" s="67" t="s">
        <v>386</v>
      </c>
      <c r="H6131" s="69">
        <v>0.16</v>
      </c>
    </row>
    <row r="6132" spans="6:8">
      <c r="F6132" s="68" t="s">
        <v>121</v>
      </c>
      <c r="G6132" s="67" t="s">
        <v>386</v>
      </c>
      <c r="H6132" s="69">
        <v>-0.6</v>
      </c>
    </row>
    <row r="6133" spans="6:8">
      <c r="F6133" s="68" t="s">
        <v>120</v>
      </c>
      <c r="G6133" s="67" t="s">
        <v>386</v>
      </c>
      <c r="H6133" s="69">
        <v>-0.4</v>
      </c>
    </row>
    <row r="6134" spans="6:8">
      <c r="F6134" s="68" t="s">
        <v>119</v>
      </c>
      <c r="G6134" s="67" t="s">
        <v>386</v>
      </c>
      <c r="H6134" s="69">
        <v>-0.75</v>
      </c>
    </row>
    <row r="6135" spans="6:8">
      <c r="F6135" s="68" t="s">
        <v>119</v>
      </c>
      <c r="G6135" s="67" t="s">
        <v>387</v>
      </c>
      <c r="H6135" s="69">
        <v>-0.75</v>
      </c>
    </row>
    <row r="6136" spans="6:8">
      <c r="F6136" s="68" t="s">
        <v>120</v>
      </c>
      <c r="G6136" s="67" t="s">
        <v>387</v>
      </c>
      <c r="H6136" s="69">
        <v>-0.4</v>
      </c>
    </row>
    <row r="6137" spans="6:8">
      <c r="F6137" s="68" t="s">
        <v>121</v>
      </c>
      <c r="G6137" s="67" t="s">
        <v>387</v>
      </c>
      <c r="H6137" s="69">
        <v>-0.6</v>
      </c>
    </row>
    <row r="6138" spans="6:8">
      <c r="F6138" s="68" t="s">
        <v>251</v>
      </c>
      <c r="G6138" s="67" t="s">
        <v>387</v>
      </c>
      <c r="H6138" s="69">
        <v>0.16</v>
      </c>
    </row>
    <row r="6139" spans="6:8">
      <c r="F6139" s="68" t="s">
        <v>122</v>
      </c>
      <c r="G6139" s="67" t="s">
        <v>387</v>
      </c>
      <c r="H6139" s="69">
        <v>-0.8</v>
      </c>
    </row>
    <row r="6140" spans="6:8">
      <c r="F6140" s="68" t="s">
        <v>123</v>
      </c>
      <c r="G6140" s="67" t="s">
        <v>387</v>
      </c>
      <c r="H6140" s="69">
        <v>-0.45</v>
      </c>
    </row>
    <row r="6141" spans="6:8">
      <c r="F6141" s="68" t="s">
        <v>124</v>
      </c>
      <c r="G6141" s="67" t="s">
        <v>387</v>
      </c>
      <c r="H6141" s="69">
        <v>-0.6</v>
      </c>
    </row>
    <row r="6142" spans="6:8">
      <c r="F6142" s="68" t="s">
        <v>252</v>
      </c>
      <c r="G6142" s="67" t="s">
        <v>387</v>
      </c>
      <c r="H6142" s="69">
        <v>0.2</v>
      </c>
    </row>
    <row r="6143" spans="6:8">
      <c r="F6143" s="68" t="s">
        <v>314</v>
      </c>
      <c r="G6143" s="67" t="s">
        <v>387</v>
      </c>
      <c r="H6143" s="69">
        <v>-0.8</v>
      </c>
    </row>
    <row r="6144" spans="6:8">
      <c r="F6144" s="68" t="s">
        <v>125</v>
      </c>
      <c r="G6144" s="67" t="s">
        <v>387</v>
      </c>
      <c r="H6144" s="69">
        <v>-0.85</v>
      </c>
    </row>
    <row r="6145" spans="6:8">
      <c r="F6145" s="68" t="s">
        <v>126</v>
      </c>
      <c r="G6145" s="67" t="s">
        <v>387</v>
      </c>
      <c r="H6145" s="69">
        <v>-0.4</v>
      </c>
    </row>
    <row r="6146" spans="6:8">
      <c r="F6146" s="68" t="s">
        <v>127</v>
      </c>
      <c r="G6146" s="67" t="s">
        <v>387</v>
      </c>
      <c r="H6146" s="69">
        <v>-0.15</v>
      </c>
    </row>
    <row r="6147" spans="6:8">
      <c r="F6147" s="68" t="s">
        <v>253</v>
      </c>
      <c r="G6147" s="67" t="s">
        <v>387</v>
      </c>
      <c r="H6147" s="69">
        <v>0.28999999999999998</v>
      </c>
    </row>
    <row r="6148" spans="6:8">
      <c r="F6148" s="68" t="s">
        <v>315</v>
      </c>
      <c r="G6148" s="67" t="s">
        <v>387</v>
      </c>
      <c r="H6148" s="69">
        <v>-0.5</v>
      </c>
    </row>
    <row r="6149" spans="6:8">
      <c r="F6149" s="68" t="s">
        <v>128</v>
      </c>
      <c r="G6149" s="67" t="s">
        <v>387</v>
      </c>
      <c r="H6149" s="69">
        <v>-0.4</v>
      </c>
    </row>
    <row r="6150" spans="6:8">
      <c r="F6150" s="68" t="s">
        <v>129</v>
      </c>
      <c r="G6150" s="67" t="s">
        <v>387</v>
      </c>
      <c r="H6150" s="69">
        <v>-0.25</v>
      </c>
    </row>
    <row r="6151" spans="6:8">
      <c r="F6151" s="68" t="s">
        <v>254</v>
      </c>
      <c r="G6151" s="67" t="s">
        <v>387</v>
      </c>
      <c r="H6151" s="69">
        <v>0.4</v>
      </c>
    </row>
    <row r="6152" spans="6:8">
      <c r="F6152" s="68" t="s">
        <v>304</v>
      </c>
      <c r="G6152" s="67" t="s">
        <v>387</v>
      </c>
      <c r="H6152" s="69">
        <v>14.375</v>
      </c>
    </row>
    <row r="6153" spans="6:8">
      <c r="F6153" s="68" t="s">
        <v>130</v>
      </c>
      <c r="G6153" s="67" t="s">
        <v>387</v>
      </c>
      <c r="H6153" s="69">
        <v>-0.6</v>
      </c>
    </row>
    <row r="6154" spans="6:8">
      <c r="F6154" s="68" t="s">
        <v>131</v>
      </c>
      <c r="G6154" s="67" t="s">
        <v>387</v>
      </c>
      <c r="H6154" s="69">
        <v>-0.3</v>
      </c>
    </row>
    <row r="6155" spans="6:8">
      <c r="F6155" s="68" t="s">
        <v>255</v>
      </c>
      <c r="G6155" s="67" t="s">
        <v>387</v>
      </c>
      <c r="H6155" s="69">
        <v>0.56999999999999995</v>
      </c>
    </row>
    <row r="6156" spans="6:8">
      <c r="F6156" s="68" t="s">
        <v>303</v>
      </c>
      <c r="G6156" s="67" t="s">
        <v>387</v>
      </c>
      <c r="H6156" s="69">
        <v>16.25</v>
      </c>
    </row>
    <row r="6157" spans="6:8">
      <c r="F6157" s="68" t="s">
        <v>132</v>
      </c>
      <c r="G6157" s="67" t="s">
        <v>387</v>
      </c>
      <c r="H6157" s="69">
        <v>-0.6</v>
      </c>
    </row>
    <row r="6158" spans="6:8">
      <c r="F6158" s="68" t="s">
        <v>133</v>
      </c>
      <c r="G6158" s="67" t="s">
        <v>387</v>
      </c>
      <c r="H6158" s="69">
        <v>-0.3</v>
      </c>
    </row>
    <row r="6159" spans="6:8">
      <c r="F6159" s="68" t="s">
        <v>256</v>
      </c>
      <c r="G6159" s="67" t="s">
        <v>387</v>
      </c>
      <c r="H6159" s="69">
        <v>0.82</v>
      </c>
    </row>
    <row r="6160" spans="6:8">
      <c r="F6160" s="68" t="s">
        <v>134</v>
      </c>
      <c r="G6160" s="67" t="s">
        <v>387</v>
      </c>
      <c r="H6160" s="69">
        <v>-0.6</v>
      </c>
    </row>
    <row r="6161" spans="6:8">
      <c r="F6161" s="68" t="s">
        <v>135</v>
      </c>
      <c r="G6161" s="67" t="s">
        <v>387</v>
      </c>
      <c r="H6161" s="69">
        <v>-0.35</v>
      </c>
    </row>
    <row r="6162" spans="6:8">
      <c r="F6162" s="68" t="s">
        <v>257</v>
      </c>
      <c r="G6162" s="67" t="s">
        <v>387</v>
      </c>
      <c r="H6162" s="69">
        <v>0.92</v>
      </c>
    </row>
    <row r="6163" spans="6:8">
      <c r="F6163" s="68" t="s">
        <v>258</v>
      </c>
      <c r="G6163" s="67" t="s">
        <v>387</v>
      </c>
      <c r="H6163" s="69">
        <v>0.1</v>
      </c>
    </row>
    <row r="6164" spans="6:8">
      <c r="F6164" s="68" t="s">
        <v>136</v>
      </c>
      <c r="G6164" s="67" t="s">
        <v>387</v>
      </c>
      <c r="H6164" s="69">
        <v>-0.75</v>
      </c>
    </row>
    <row r="6165" spans="6:8">
      <c r="F6165" s="68" t="s">
        <v>137</v>
      </c>
      <c r="G6165" s="67" t="s">
        <v>387</v>
      </c>
      <c r="H6165" s="69">
        <v>-0.4</v>
      </c>
    </row>
    <row r="6166" spans="6:8">
      <c r="F6166" s="68" t="s">
        <v>138</v>
      </c>
      <c r="G6166" s="67" t="s">
        <v>387</v>
      </c>
      <c r="H6166" s="69">
        <v>-0.5</v>
      </c>
    </row>
    <row r="6167" spans="6:8">
      <c r="F6167" s="68" t="s">
        <v>259</v>
      </c>
      <c r="G6167" s="67" t="s">
        <v>387</v>
      </c>
      <c r="H6167" s="69">
        <v>0.14000000000000001</v>
      </c>
    </row>
    <row r="6168" spans="6:8">
      <c r="F6168" s="68" t="s">
        <v>259</v>
      </c>
      <c r="G6168" s="67" t="s">
        <v>388</v>
      </c>
      <c r="H6168" s="69">
        <v>0.14000000000000001</v>
      </c>
    </row>
    <row r="6169" spans="6:8">
      <c r="F6169" s="68" t="s">
        <v>138</v>
      </c>
      <c r="G6169" s="67" t="s">
        <v>388</v>
      </c>
      <c r="H6169" s="69">
        <v>-0.5</v>
      </c>
    </row>
    <row r="6170" spans="6:8">
      <c r="F6170" s="68" t="s">
        <v>137</v>
      </c>
      <c r="G6170" s="67" t="s">
        <v>388</v>
      </c>
      <c r="H6170" s="69">
        <v>-0.4</v>
      </c>
    </row>
    <row r="6171" spans="6:8">
      <c r="F6171" s="68" t="s">
        <v>136</v>
      </c>
      <c r="G6171" s="67" t="s">
        <v>388</v>
      </c>
      <c r="H6171" s="69">
        <v>-0.75</v>
      </c>
    </row>
    <row r="6172" spans="6:8">
      <c r="F6172" s="68" t="s">
        <v>258</v>
      </c>
      <c r="G6172" s="67" t="s">
        <v>388</v>
      </c>
      <c r="H6172" s="69">
        <v>0.1</v>
      </c>
    </row>
    <row r="6173" spans="6:8">
      <c r="F6173" s="68" t="s">
        <v>257</v>
      </c>
      <c r="G6173" s="67" t="s">
        <v>388</v>
      </c>
      <c r="H6173" s="69">
        <v>0.92</v>
      </c>
    </row>
    <row r="6174" spans="6:8">
      <c r="F6174" s="68" t="s">
        <v>135</v>
      </c>
      <c r="G6174" s="67" t="s">
        <v>388</v>
      </c>
      <c r="H6174" s="69">
        <v>-0.35</v>
      </c>
    </row>
    <row r="6175" spans="6:8">
      <c r="F6175" s="68" t="s">
        <v>134</v>
      </c>
      <c r="G6175" s="67" t="s">
        <v>388</v>
      </c>
      <c r="H6175" s="69">
        <v>-0.6</v>
      </c>
    </row>
    <row r="6176" spans="6:8">
      <c r="F6176" s="68" t="s">
        <v>256</v>
      </c>
      <c r="G6176" s="67" t="s">
        <v>388</v>
      </c>
      <c r="H6176" s="69">
        <v>0.82</v>
      </c>
    </row>
    <row r="6177" spans="6:8">
      <c r="F6177" s="68" t="s">
        <v>133</v>
      </c>
      <c r="G6177" s="67" t="s">
        <v>388</v>
      </c>
      <c r="H6177" s="69">
        <v>-0.3</v>
      </c>
    </row>
    <row r="6178" spans="6:8">
      <c r="F6178" s="68" t="s">
        <v>132</v>
      </c>
      <c r="G6178" s="67" t="s">
        <v>388</v>
      </c>
      <c r="H6178" s="69">
        <v>-0.6</v>
      </c>
    </row>
    <row r="6179" spans="6:8">
      <c r="F6179" s="68" t="s">
        <v>303</v>
      </c>
      <c r="G6179" s="67" t="s">
        <v>388</v>
      </c>
      <c r="H6179" s="69">
        <v>16.125</v>
      </c>
    </row>
    <row r="6180" spans="6:8">
      <c r="F6180" s="68" t="s">
        <v>255</v>
      </c>
      <c r="G6180" s="67" t="s">
        <v>388</v>
      </c>
      <c r="H6180" s="69">
        <v>0.56999999999999995</v>
      </c>
    </row>
    <row r="6181" spans="6:8">
      <c r="F6181" s="68" t="s">
        <v>131</v>
      </c>
      <c r="G6181" s="67" t="s">
        <v>388</v>
      </c>
      <c r="H6181" s="69">
        <v>-0.3</v>
      </c>
    </row>
    <row r="6182" spans="6:8">
      <c r="F6182" s="68" t="s">
        <v>130</v>
      </c>
      <c r="G6182" s="67" t="s">
        <v>388</v>
      </c>
      <c r="H6182" s="69">
        <v>-0.6</v>
      </c>
    </row>
    <row r="6183" spans="6:8">
      <c r="F6183" s="68" t="s">
        <v>304</v>
      </c>
      <c r="G6183" s="67" t="s">
        <v>388</v>
      </c>
      <c r="H6183" s="69">
        <v>14.25</v>
      </c>
    </row>
    <row r="6184" spans="6:8">
      <c r="F6184" s="68" t="s">
        <v>254</v>
      </c>
      <c r="G6184" s="67" t="s">
        <v>388</v>
      </c>
      <c r="H6184" s="69">
        <v>0.4</v>
      </c>
    </row>
    <row r="6185" spans="6:8">
      <c r="F6185" s="68" t="s">
        <v>129</v>
      </c>
      <c r="G6185" s="67" t="s">
        <v>388</v>
      </c>
      <c r="H6185" s="69">
        <v>-0.25</v>
      </c>
    </row>
    <row r="6186" spans="6:8">
      <c r="F6186" s="68" t="s">
        <v>128</v>
      </c>
      <c r="G6186" s="67" t="s">
        <v>388</v>
      </c>
      <c r="H6186" s="69">
        <v>-0.4</v>
      </c>
    </row>
    <row r="6187" spans="6:8">
      <c r="F6187" s="68" t="s">
        <v>315</v>
      </c>
      <c r="G6187" s="67" t="s">
        <v>388</v>
      </c>
      <c r="H6187" s="69">
        <v>-0.5</v>
      </c>
    </row>
    <row r="6188" spans="6:8">
      <c r="F6188" s="68" t="s">
        <v>253</v>
      </c>
      <c r="G6188" s="67" t="s">
        <v>388</v>
      </c>
      <c r="H6188" s="69">
        <v>0.28999999999999998</v>
      </c>
    </row>
    <row r="6189" spans="6:8">
      <c r="F6189" s="68" t="s">
        <v>127</v>
      </c>
      <c r="G6189" s="67" t="s">
        <v>388</v>
      </c>
      <c r="H6189" s="69">
        <v>-0.15</v>
      </c>
    </row>
    <row r="6190" spans="6:8">
      <c r="F6190" s="68" t="s">
        <v>126</v>
      </c>
      <c r="G6190" s="67" t="s">
        <v>388</v>
      </c>
      <c r="H6190" s="69">
        <v>-0.4</v>
      </c>
    </row>
    <row r="6191" spans="6:8">
      <c r="F6191" s="68" t="s">
        <v>125</v>
      </c>
      <c r="G6191" s="67" t="s">
        <v>388</v>
      </c>
      <c r="H6191" s="69">
        <v>-0.85</v>
      </c>
    </row>
    <row r="6192" spans="6:8">
      <c r="F6192" s="68" t="s">
        <v>314</v>
      </c>
      <c r="G6192" s="67" t="s">
        <v>388</v>
      </c>
      <c r="H6192" s="69">
        <v>-0.8</v>
      </c>
    </row>
    <row r="6193" spans="6:8">
      <c r="F6193" s="68" t="s">
        <v>252</v>
      </c>
      <c r="G6193" s="67" t="s">
        <v>388</v>
      </c>
      <c r="H6193" s="69">
        <v>0.2</v>
      </c>
    </row>
    <row r="6194" spans="6:8">
      <c r="F6194" s="68" t="s">
        <v>124</v>
      </c>
      <c r="G6194" s="67" t="s">
        <v>388</v>
      </c>
      <c r="H6194" s="69">
        <v>-0.6</v>
      </c>
    </row>
    <row r="6195" spans="6:8">
      <c r="F6195" s="68" t="s">
        <v>123</v>
      </c>
      <c r="G6195" s="67" t="s">
        <v>388</v>
      </c>
      <c r="H6195" s="69">
        <v>-0.45</v>
      </c>
    </row>
    <row r="6196" spans="6:8">
      <c r="F6196" s="68" t="s">
        <v>122</v>
      </c>
      <c r="G6196" s="67" t="s">
        <v>388</v>
      </c>
      <c r="H6196" s="69">
        <v>-0.8</v>
      </c>
    </row>
    <row r="6197" spans="6:8">
      <c r="F6197" s="68" t="s">
        <v>251</v>
      </c>
      <c r="G6197" s="67" t="s">
        <v>388</v>
      </c>
      <c r="H6197" s="69">
        <v>0.16</v>
      </c>
    </row>
    <row r="6198" spans="6:8">
      <c r="F6198" s="68" t="s">
        <v>121</v>
      </c>
      <c r="G6198" s="67" t="s">
        <v>388</v>
      </c>
      <c r="H6198" s="69">
        <v>-0.6</v>
      </c>
    </row>
    <row r="6199" spans="6:8">
      <c r="F6199" s="68" t="s">
        <v>120</v>
      </c>
      <c r="G6199" s="67" t="s">
        <v>388</v>
      </c>
      <c r="H6199" s="69">
        <v>-0.4</v>
      </c>
    </row>
    <row r="6200" spans="6:8">
      <c r="F6200" s="68" t="s">
        <v>119</v>
      </c>
      <c r="G6200" s="67" t="s">
        <v>388</v>
      </c>
      <c r="H6200" s="69">
        <v>-0.75</v>
      </c>
    </row>
    <row r="6201" spans="6:8">
      <c r="F6201" s="68" t="s">
        <v>119</v>
      </c>
      <c r="G6201" s="67" t="s">
        <v>389</v>
      </c>
      <c r="H6201" s="69">
        <v>-0.75</v>
      </c>
    </row>
    <row r="6202" spans="6:8">
      <c r="F6202" s="68" t="s">
        <v>120</v>
      </c>
      <c r="G6202" s="67" t="s">
        <v>389</v>
      </c>
      <c r="H6202" s="69">
        <v>-0.4</v>
      </c>
    </row>
    <row r="6203" spans="6:8">
      <c r="F6203" s="68" t="s">
        <v>121</v>
      </c>
      <c r="G6203" s="67" t="s">
        <v>389</v>
      </c>
      <c r="H6203" s="69">
        <v>-0.6</v>
      </c>
    </row>
    <row r="6204" spans="6:8">
      <c r="F6204" s="68" t="s">
        <v>251</v>
      </c>
      <c r="G6204" s="67" t="s">
        <v>389</v>
      </c>
      <c r="H6204" s="69">
        <v>0.16</v>
      </c>
    </row>
    <row r="6205" spans="6:8">
      <c r="F6205" s="68" t="s">
        <v>122</v>
      </c>
      <c r="G6205" s="67" t="s">
        <v>389</v>
      </c>
      <c r="H6205" s="69">
        <v>-0.8</v>
      </c>
    </row>
    <row r="6206" spans="6:8">
      <c r="F6206" s="68" t="s">
        <v>123</v>
      </c>
      <c r="G6206" s="67" t="s">
        <v>389</v>
      </c>
      <c r="H6206" s="69">
        <v>-0.45</v>
      </c>
    </row>
    <row r="6207" spans="6:8">
      <c r="F6207" s="68" t="s">
        <v>124</v>
      </c>
      <c r="G6207" s="67" t="s">
        <v>389</v>
      </c>
      <c r="H6207" s="69">
        <v>-0.6</v>
      </c>
    </row>
    <row r="6208" spans="6:8">
      <c r="F6208" s="68" t="s">
        <v>252</v>
      </c>
      <c r="G6208" s="67" t="s">
        <v>389</v>
      </c>
      <c r="H6208" s="69">
        <v>0.2</v>
      </c>
    </row>
    <row r="6209" spans="6:8">
      <c r="F6209" s="68" t="s">
        <v>314</v>
      </c>
      <c r="G6209" s="67" t="s">
        <v>389</v>
      </c>
      <c r="H6209" s="69">
        <v>-0.8</v>
      </c>
    </row>
    <row r="6210" spans="6:8">
      <c r="F6210" s="68" t="s">
        <v>125</v>
      </c>
      <c r="G6210" s="67" t="s">
        <v>389</v>
      </c>
      <c r="H6210" s="69">
        <v>-0.85</v>
      </c>
    </row>
    <row r="6211" spans="6:8">
      <c r="F6211" s="68" t="s">
        <v>126</v>
      </c>
      <c r="G6211" s="67" t="s">
        <v>389</v>
      </c>
      <c r="H6211" s="69">
        <v>-0.4</v>
      </c>
    </row>
    <row r="6212" spans="6:8">
      <c r="F6212" s="68" t="s">
        <v>127</v>
      </c>
      <c r="G6212" s="67" t="s">
        <v>389</v>
      </c>
      <c r="H6212" s="69">
        <v>-0.15</v>
      </c>
    </row>
    <row r="6213" spans="6:8">
      <c r="F6213" s="68" t="s">
        <v>253</v>
      </c>
      <c r="G6213" s="67" t="s">
        <v>389</v>
      </c>
      <c r="H6213" s="69">
        <v>0.28999999999999998</v>
      </c>
    </row>
    <row r="6214" spans="6:8">
      <c r="F6214" s="68" t="s">
        <v>315</v>
      </c>
      <c r="G6214" s="67" t="s">
        <v>389</v>
      </c>
      <c r="H6214" s="69">
        <v>-0.5</v>
      </c>
    </row>
    <row r="6215" spans="6:8">
      <c r="F6215" s="68" t="s">
        <v>128</v>
      </c>
      <c r="G6215" s="67" t="s">
        <v>389</v>
      </c>
      <c r="H6215" s="69">
        <v>-0.4</v>
      </c>
    </row>
    <row r="6216" spans="6:8">
      <c r="F6216" s="68" t="s">
        <v>129</v>
      </c>
      <c r="G6216" s="67" t="s">
        <v>389</v>
      </c>
      <c r="H6216" s="69">
        <v>-0.25</v>
      </c>
    </row>
    <row r="6217" spans="6:8">
      <c r="F6217" s="68" t="s">
        <v>254</v>
      </c>
      <c r="G6217" s="67" t="s">
        <v>389</v>
      </c>
      <c r="H6217" s="69">
        <v>0.4</v>
      </c>
    </row>
    <row r="6218" spans="6:8">
      <c r="F6218" s="68" t="s">
        <v>304</v>
      </c>
      <c r="G6218" s="67" t="s">
        <v>389</v>
      </c>
      <c r="H6218" s="69">
        <v>14.75</v>
      </c>
    </row>
    <row r="6219" spans="6:8">
      <c r="F6219" s="68" t="s">
        <v>130</v>
      </c>
      <c r="G6219" s="67" t="s">
        <v>389</v>
      </c>
      <c r="H6219" s="69">
        <v>-0.6</v>
      </c>
    </row>
    <row r="6220" spans="6:8">
      <c r="F6220" s="68" t="s">
        <v>131</v>
      </c>
      <c r="G6220" s="67" t="s">
        <v>389</v>
      </c>
      <c r="H6220" s="69">
        <v>-0.3</v>
      </c>
    </row>
    <row r="6221" spans="6:8">
      <c r="F6221" s="68" t="s">
        <v>255</v>
      </c>
      <c r="G6221" s="67" t="s">
        <v>389</v>
      </c>
      <c r="H6221" s="69">
        <v>0.56999999999999995</v>
      </c>
    </row>
    <row r="6222" spans="6:8">
      <c r="F6222" s="68" t="s">
        <v>303</v>
      </c>
      <c r="G6222" s="67" t="s">
        <v>389</v>
      </c>
      <c r="H6222" s="69">
        <v>16.25</v>
      </c>
    </row>
    <row r="6223" spans="6:8">
      <c r="F6223" s="68" t="s">
        <v>132</v>
      </c>
      <c r="G6223" s="67" t="s">
        <v>389</v>
      </c>
      <c r="H6223" s="69">
        <v>-0.6</v>
      </c>
    </row>
    <row r="6224" spans="6:8">
      <c r="F6224" s="68" t="s">
        <v>133</v>
      </c>
      <c r="G6224" s="67" t="s">
        <v>389</v>
      </c>
      <c r="H6224" s="69">
        <v>-0.3</v>
      </c>
    </row>
    <row r="6225" spans="6:8">
      <c r="F6225" s="68" t="s">
        <v>256</v>
      </c>
      <c r="G6225" s="67" t="s">
        <v>389</v>
      </c>
      <c r="H6225" s="69">
        <v>0.82</v>
      </c>
    </row>
    <row r="6226" spans="6:8">
      <c r="F6226" s="68" t="s">
        <v>134</v>
      </c>
      <c r="G6226" s="67" t="s">
        <v>389</v>
      </c>
      <c r="H6226" s="69">
        <v>-0.6</v>
      </c>
    </row>
    <row r="6227" spans="6:8">
      <c r="F6227" s="68" t="s">
        <v>135</v>
      </c>
      <c r="G6227" s="67" t="s">
        <v>389</v>
      </c>
      <c r="H6227" s="69">
        <v>-0.35</v>
      </c>
    </row>
    <row r="6228" spans="6:8">
      <c r="F6228" s="68" t="s">
        <v>257</v>
      </c>
      <c r="G6228" s="67" t="s">
        <v>389</v>
      </c>
      <c r="H6228" s="69">
        <v>0.92</v>
      </c>
    </row>
    <row r="6229" spans="6:8">
      <c r="F6229" s="68" t="s">
        <v>258</v>
      </c>
      <c r="G6229" s="67" t="s">
        <v>389</v>
      </c>
      <c r="H6229" s="69">
        <v>0.1</v>
      </c>
    </row>
    <row r="6230" spans="6:8">
      <c r="F6230" s="68" t="s">
        <v>136</v>
      </c>
      <c r="G6230" s="67" t="s">
        <v>389</v>
      </c>
      <c r="H6230" s="69">
        <v>-0.75</v>
      </c>
    </row>
    <row r="6231" spans="6:8">
      <c r="F6231" s="68" t="s">
        <v>137</v>
      </c>
      <c r="G6231" s="67" t="s">
        <v>389</v>
      </c>
      <c r="H6231" s="69">
        <v>-0.4</v>
      </c>
    </row>
    <row r="6232" spans="6:8">
      <c r="F6232" s="68" t="s">
        <v>138</v>
      </c>
      <c r="G6232" s="67" t="s">
        <v>389</v>
      </c>
      <c r="H6232" s="69">
        <v>-0.5</v>
      </c>
    </row>
    <row r="6233" spans="6:8">
      <c r="F6233" s="68" t="s">
        <v>259</v>
      </c>
      <c r="G6233" s="67" t="s">
        <v>389</v>
      </c>
      <c r="H6233" s="69">
        <v>0.14000000000000001</v>
      </c>
    </row>
    <row r="6234" spans="6:8">
      <c r="F6234" s="68" t="s">
        <v>259</v>
      </c>
      <c r="G6234" s="67" t="s">
        <v>390</v>
      </c>
      <c r="H6234" s="69">
        <v>0.14000000000000001</v>
      </c>
    </row>
    <row r="6235" spans="6:8">
      <c r="F6235" s="68" t="s">
        <v>138</v>
      </c>
      <c r="G6235" s="67" t="s">
        <v>390</v>
      </c>
      <c r="H6235" s="69">
        <v>-0.5</v>
      </c>
    </row>
    <row r="6236" spans="6:8">
      <c r="F6236" s="68" t="s">
        <v>137</v>
      </c>
      <c r="G6236" s="67" t="s">
        <v>390</v>
      </c>
      <c r="H6236" s="69">
        <v>-0.4</v>
      </c>
    </row>
    <row r="6237" spans="6:8">
      <c r="F6237" s="68" t="s">
        <v>136</v>
      </c>
      <c r="G6237" s="67" t="s">
        <v>390</v>
      </c>
      <c r="H6237" s="69">
        <v>-0.75</v>
      </c>
    </row>
    <row r="6238" spans="6:8">
      <c r="F6238" s="68" t="s">
        <v>258</v>
      </c>
      <c r="G6238" s="67" t="s">
        <v>390</v>
      </c>
      <c r="H6238" s="69">
        <v>0.1</v>
      </c>
    </row>
    <row r="6239" spans="6:8">
      <c r="F6239" s="68" t="s">
        <v>257</v>
      </c>
      <c r="G6239" s="67" t="s">
        <v>390</v>
      </c>
      <c r="H6239" s="69">
        <v>0.92</v>
      </c>
    </row>
    <row r="6240" spans="6:8">
      <c r="F6240" s="68" t="s">
        <v>135</v>
      </c>
      <c r="G6240" s="67" t="s">
        <v>390</v>
      </c>
      <c r="H6240" s="69">
        <v>-0.35</v>
      </c>
    </row>
    <row r="6241" spans="6:8">
      <c r="F6241" s="68" t="s">
        <v>134</v>
      </c>
      <c r="G6241" s="67" t="s">
        <v>390</v>
      </c>
      <c r="H6241" s="69">
        <v>-0.6</v>
      </c>
    </row>
    <row r="6242" spans="6:8">
      <c r="F6242" s="68" t="s">
        <v>256</v>
      </c>
      <c r="G6242" s="67" t="s">
        <v>390</v>
      </c>
      <c r="H6242" s="69">
        <v>0.82</v>
      </c>
    </row>
    <row r="6243" spans="6:8">
      <c r="F6243" s="68" t="s">
        <v>133</v>
      </c>
      <c r="G6243" s="67" t="s">
        <v>390</v>
      </c>
      <c r="H6243" s="69">
        <v>-0.3</v>
      </c>
    </row>
    <row r="6244" spans="6:8">
      <c r="F6244" s="68" t="s">
        <v>132</v>
      </c>
      <c r="G6244" s="67" t="s">
        <v>390</v>
      </c>
      <c r="H6244" s="69">
        <v>-0.6</v>
      </c>
    </row>
    <row r="6245" spans="6:8">
      <c r="F6245" s="68" t="s">
        <v>303</v>
      </c>
      <c r="G6245" s="67" t="s">
        <v>390</v>
      </c>
      <c r="H6245" s="69">
        <v>16.15625</v>
      </c>
    </row>
    <row r="6246" spans="6:8">
      <c r="F6246" s="68" t="s">
        <v>255</v>
      </c>
      <c r="G6246" s="67" t="s">
        <v>390</v>
      </c>
      <c r="H6246" s="69">
        <v>0.56999999999999995</v>
      </c>
    </row>
    <row r="6247" spans="6:8">
      <c r="F6247" s="68" t="s">
        <v>131</v>
      </c>
      <c r="G6247" s="67" t="s">
        <v>390</v>
      </c>
      <c r="H6247" s="69">
        <v>-0.3</v>
      </c>
    </row>
    <row r="6248" spans="6:8">
      <c r="F6248" s="68" t="s">
        <v>130</v>
      </c>
      <c r="G6248" s="67" t="s">
        <v>390</v>
      </c>
      <c r="H6248" s="69">
        <v>-0.6</v>
      </c>
    </row>
    <row r="6249" spans="6:8">
      <c r="F6249" s="68" t="s">
        <v>304</v>
      </c>
      <c r="G6249" s="67" t="s">
        <v>390</v>
      </c>
      <c r="H6249" s="69">
        <v>14.671875</v>
      </c>
    </row>
    <row r="6250" spans="6:8">
      <c r="F6250" s="68" t="s">
        <v>254</v>
      </c>
      <c r="G6250" s="67" t="s">
        <v>390</v>
      </c>
      <c r="H6250" s="69">
        <v>0.4</v>
      </c>
    </row>
    <row r="6251" spans="6:8">
      <c r="F6251" s="68" t="s">
        <v>129</v>
      </c>
      <c r="G6251" s="67" t="s">
        <v>390</v>
      </c>
      <c r="H6251" s="69">
        <v>-0.25</v>
      </c>
    </row>
    <row r="6252" spans="6:8">
      <c r="F6252" s="68" t="s">
        <v>128</v>
      </c>
      <c r="G6252" s="67" t="s">
        <v>390</v>
      </c>
      <c r="H6252" s="69">
        <v>-0.4</v>
      </c>
    </row>
    <row r="6253" spans="6:8">
      <c r="F6253" s="68" t="s">
        <v>315</v>
      </c>
      <c r="G6253" s="67" t="s">
        <v>390</v>
      </c>
      <c r="H6253" s="69">
        <v>-0.5</v>
      </c>
    </row>
    <row r="6254" spans="6:8">
      <c r="F6254" s="68" t="s">
        <v>253</v>
      </c>
      <c r="G6254" s="67" t="s">
        <v>390</v>
      </c>
      <c r="H6254" s="69">
        <v>0.28999999999999998</v>
      </c>
    </row>
    <row r="6255" spans="6:8">
      <c r="F6255" s="68" t="s">
        <v>127</v>
      </c>
      <c r="G6255" s="67" t="s">
        <v>390</v>
      </c>
      <c r="H6255" s="69">
        <v>-0.15</v>
      </c>
    </row>
    <row r="6256" spans="6:8">
      <c r="F6256" s="68" t="s">
        <v>126</v>
      </c>
      <c r="G6256" s="67" t="s">
        <v>390</v>
      </c>
      <c r="H6256" s="69">
        <v>-0.4</v>
      </c>
    </row>
    <row r="6257" spans="6:8">
      <c r="F6257" s="68" t="s">
        <v>125</v>
      </c>
      <c r="G6257" s="67" t="s">
        <v>390</v>
      </c>
      <c r="H6257" s="69">
        <v>-0.85</v>
      </c>
    </row>
    <row r="6258" spans="6:8">
      <c r="F6258" s="68" t="s">
        <v>314</v>
      </c>
      <c r="G6258" s="67" t="s">
        <v>390</v>
      </c>
      <c r="H6258" s="69">
        <v>-0.8</v>
      </c>
    </row>
    <row r="6259" spans="6:8">
      <c r="F6259" s="68" t="s">
        <v>252</v>
      </c>
      <c r="G6259" s="67" t="s">
        <v>390</v>
      </c>
      <c r="H6259" s="69">
        <v>0.2</v>
      </c>
    </row>
    <row r="6260" spans="6:8">
      <c r="F6260" s="68" t="s">
        <v>124</v>
      </c>
      <c r="G6260" s="67" t="s">
        <v>390</v>
      </c>
      <c r="H6260" s="69">
        <v>-0.6</v>
      </c>
    </row>
    <row r="6261" spans="6:8">
      <c r="F6261" s="68" t="s">
        <v>123</v>
      </c>
      <c r="G6261" s="67" t="s">
        <v>390</v>
      </c>
      <c r="H6261" s="69">
        <v>-0.45</v>
      </c>
    </row>
    <row r="6262" spans="6:8">
      <c r="F6262" s="68" t="s">
        <v>122</v>
      </c>
      <c r="G6262" s="67" t="s">
        <v>390</v>
      </c>
      <c r="H6262" s="69">
        <v>-0.8</v>
      </c>
    </row>
    <row r="6263" spans="6:8">
      <c r="F6263" s="68" t="s">
        <v>251</v>
      </c>
      <c r="G6263" s="67" t="s">
        <v>390</v>
      </c>
      <c r="H6263" s="69">
        <v>0.16</v>
      </c>
    </row>
    <row r="6264" spans="6:8">
      <c r="F6264" s="68" t="s">
        <v>121</v>
      </c>
      <c r="G6264" s="67" t="s">
        <v>390</v>
      </c>
      <c r="H6264" s="69">
        <v>-0.6</v>
      </c>
    </row>
    <row r="6265" spans="6:8">
      <c r="F6265" s="68" t="s">
        <v>120</v>
      </c>
      <c r="G6265" s="67" t="s">
        <v>390</v>
      </c>
      <c r="H6265" s="69">
        <v>-0.4</v>
      </c>
    </row>
    <row r="6266" spans="6:8">
      <c r="F6266" s="68" t="s">
        <v>119</v>
      </c>
      <c r="G6266" s="67" t="s">
        <v>390</v>
      </c>
      <c r="H6266" s="69">
        <v>-0.75</v>
      </c>
    </row>
    <row r="6267" spans="6:8">
      <c r="F6267" s="68" t="s">
        <v>119</v>
      </c>
      <c r="G6267" s="67" t="s">
        <v>391</v>
      </c>
      <c r="H6267" s="69">
        <v>-0.75</v>
      </c>
    </row>
    <row r="6268" spans="6:8">
      <c r="F6268" s="68" t="s">
        <v>120</v>
      </c>
      <c r="G6268" s="67" t="s">
        <v>391</v>
      </c>
      <c r="H6268" s="69">
        <v>-0.4</v>
      </c>
    </row>
    <row r="6269" spans="6:8">
      <c r="F6269" s="68" t="s">
        <v>121</v>
      </c>
      <c r="G6269" s="67" t="s">
        <v>391</v>
      </c>
      <c r="H6269" s="69">
        <v>-0.6</v>
      </c>
    </row>
    <row r="6270" spans="6:8">
      <c r="F6270" s="68" t="s">
        <v>251</v>
      </c>
      <c r="G6270" s="67" t="s">
        <v>391</v>
      </c>
      <c r="H6270" s="69">
        <v>0.16</v>
      </c>
    </row>
    <row r="6271" spans="6:8">
      <c r="F6271" s="68" t="s">
        <v>122</v>
      </c>
      <c r="G6271" s="67" t="s">
        <v>391</v>
      </c>
      <c r="H6271" s="69">
        <v>-0.8</v>
      </c>
    </row>
    <row r="6272" spans="6:8">
      <c r="F6272" s="68" t="s">
        <v>123</v>
      </c>
      <c r="G6272" s="67" t="s">
        <v>391</v>
      </c>
      <c r="H6272" s="69">
        <v>-0.45</v>
      </c>
    </row>
    <row r="6273" spans="6:8">
      <c r="F6273" s="68" t="s">
        <v>124</v>
      </c>
      <c r="G6273" s="67" t="s">
        <v>391</v>
      </c>
      <c r="H6273" s="69">
        <v>-0.6</v>
      </c>
    </row>
    <row r="6274" spans="6:8">
      <c r="F6274" s="68" t="s">
        <v>252</v>
      </c>
      <c r="G6274" s="67" t="s">
        <v>391</v>
      </c>
      <c r="H6274" s="69">
        <v>0.2</v>
      </c>
    </row>
    <row r="6275" spans="6:8">
      <c r="F6275" s="68" t="s">
        <v>314</v>
      </c>
      <c r="G6275" s="67" t="s">
        <v>391</v>
      </c>
      <c r="H6275" s="69">
        <v>-0.8</v>
      </c>
    </row>
    <row r="6276" spans="6:8">
      <c r="F6276" s="68" t="s">
        <v>125</v>
      </c>
      <c r="G6276" s="67" t="s">
        <v>391</v>
      </c>
      <c r="H6276" s="69">
        <v>-0.85</v>
      </c>
    </row>
    <row r="6277" spans="6:8">
      <c r="F6277" s="68" t="s">
        <v>126</v>
      </c>
      <c r="G6277" s="67" t="s">
        <v>391</v>
      </c>
      <c r="H6277" s="69">
        <v>-0.4</v>
      </c>
    </row>
    <row r="6278" spans="6:8">
      <c r="F6278" s="68" t="s">
        <v>127</v>
      </c>
      <c r="G6278" s="67" t="s">
        <v>391</v>
      </c>
      <c r="H6278" s="69">
        <v>-0.15</v>
      </c>
    </row>
    <row r="6279" spans="6:8">
      <c r="F6279" s="68" t="s">
        <v>253</v>
      </c>
      <c r="G6279" s="67" t="s">
        <v>391</v>
      </c>
      <c r="H6279" s="69">
        <v>0.28999999999999998</v>
      </c>
    </row>
    <row r="6280" spans="6:8">
      <c r="F6280" s="68" t="s">
        <v>315</v>
      </c>
      <c r="G6280" s="67" t="s">
        <v>391</v>
      </c>
      <c r="H6280" s="69">
        <v>-0.5</v>
      </c>
    </row>
    <row r="6281" spans="6:8">
      <c r="F6281" s="68" t="s">
        <v>128</v>
      </c>
      <c r="G6281" s="67" t="s">
        <v>391</v>
      </c>
      <c r="H6281" s="69">
        <v>-0.4</v>
      </c>
    </row>
    <row r="6282" spans="6:8">
      <c r="F6282" s="68" t="s">
        <v>129</v>
      </c>
      <c r="G6282" s="67" t="s">
        <v>391</v>
      </c>
      <c r="H6282" s="69">
        <v>-0.25</v>
      </c>
    </row>
    <row r="6283" spans="6:8">
      <c r="F6283" s="68" t="s">
        <v>254</v>
      </c>
      <c r="G6283" s="67" t="s">
        <v>391</v>
      </c>
      <c r="H6283" s="69">
        <v>0.4</v>
      </c>
    </row>
    <row r="6284" spans="6:8">
      <c r="F6284" s="68" t="s">
        <v>304</v>
      </c>
      <c r="G6284" s="67" t="s">
        <v>391</v>
      </c>
      <c r="H6284" s="69">
        <v>14.671875</v>
      </c>
    </row>
    <row r="6285" spans="6:8">
      <c r="F6285" s="68" t="s">
        <v>130</v>
      </c>
      <c r="G6285" s="67" t="s">
        <v>391</v>
      </c>
      <c r="H6285" s="69">
        <v>-0.6</v>
      </c>
    </row>
    <row r="6286" spans="6:8">
      <c r="F6286" s="68" t="s">
        <v>131</v>
      </c>
      <c r="G6286" s="67" t="s">
        <v>391</v>
      </c>
      <c r="H6286" s="69">
        <v>-0.3</v>
      </c>
    </row>
    <row r="6287" spans="6:8">
      <c r="F6287" s="68" t="s">
        <v>255</v>
      </c>
      <c r="G6287" s="67" t="s">
        <v>391</v>
      </c>
      <c r="H6287" s="69">
        <v>0.56999999999999995</v>
      </c>
    </row>
    <row r="6288" spans="6:8">
      <c r="F6288" s="68" t="s">
        <v>303</v>
      </c>
      <c r="G6288" s="67" t="s">
        <v>391</v>
      </c>
      <c r="H6288" s="69">
        <v>16.15625</v>
      </c>
    </row>
    <row r="6289" spans="6:8">
      <c r="F6289" s="68" t="s">
        <v>132</v>
      </c>
      <c r="G6289" s="67" t="s">
        <v>391</v>
      </c>
      <c r="H6289" s="69">
        <v>-0.6</v>
      </c>
    </row>
    <row r="6290" spans="6:8">
      <c r="F6290" s="68" t="s">
        <v>133</v>
      </c>
      <c r="G6290" s="67" t="s">
        <v>391</v>
      </c>
      <c r="H6290" s="69">
        <v>-0.3</v>
      </c>
    </row>
    <row r="6291" spans="6:8">
      <c r="F6291" s="68" t="s">
        <v>256</v>
      </c>
      <c r="G6291" s="67" t="s">
        <v>391</v>
      </c>
      <c r="H6291" s="69">
        <v>0.82</v>
      </c>
    </row>
    <row r="6292" spans="6:8">
      <c r="F6292" s="68" t="s">
        <v>134</v>
      </c>
      <c r="G6292" s="67" t="s">
        <v>391</v>
      </c>
      <c r="H6292" s="69">
        <v>-0.6</v>
      </c>
    </row>
    <row r="6293" spans="6:8">
      <c r="F6293" s="68" t="s">
        <v>135</v>
      </c>
      <c r="G6293" s="67" t="s">
        <v>391</v>
      </c>
      <c r="H6293" s="69">
        <v>-0.35</v>
      </c>
    </row>
    <row r="6294" spans="6:8">
      <c r="F6294" s="68" t="s">
        <v>257</v>
      </c>
      <c r="G6294" s="67" t="s">
        <v>391</v>
      </c>
      <c r="H6294" s="69">
        <v>0.92</v>
      </c>
    </row>
    <row r="6295" spans="6:8">
      <c r="F6295" s="68" t="s">
        <v>258</v>
      </c>
      <c r="G6295" s="67" t="s">
        <v>391</v>
      </c>
      <c r="H6295" s="69">
        <v>0.1</v>
      </c>
    </row>
    <row r="6296" spans="6:8">
      <c r="F6296" s="68" t="s">
        <v>136</v>
      </c>
      <c r="G6296" s="67" t="s">
        <v>391</v>
      </c>
      <c r="H6296" s="69">
        <v>-0.75</v>
      </c>
    </row>
    <row r="6297" spans="6:8">
      <c r="F6297" s="68" t="s">
        <v>137</v>
      </c>
      <c r="G6297" s="67" t="s">
        <v>391</v>
      </c>
      <c r="H6297" s="69">
        <v>-0.4</v>
      </c>
    </row>
    <row r="6298" spans="6:8">
      <c r="F6298" s="68" t="s">
        <v>138</v>
      </c>
      <c r="G6298" s="67" t="s">
        <v>391</v>
      </c>
      <c r="H6298" s="69">
        <v>-0.5</v>
      </c>
    </row>
    <row r="6299" spans="6:8">
      <c r="F6299" s="68" t="s">
        <v>259</v>
      </c>
      <c r="G6299" s="67" t="s">
        <v>391</v>
      </c>
      <c r="H6299" s="69">
        <v>0.14000000000000001</v>
      </c>
    </row>
    <row r="6300" spans="6:8">
      <c r="F6300" s="68" t="s">
        <v>259</v>
      </c>
      <c r="G6300" s="67" t="s">
        <v>392</v>
      </c>
      <c r="H6300" s="69">
        <v>0.08</v>
      </c>
    </row>
    <row r="6301" spans="6:8">
      <c r="F6301" s="68" t="s">
        <v>138</v>
      </c>
      <c r="G6301" s="67" t="s">
        <v>392</v>
      </c>
      <c r="H6301" s="69">
        <v>-0.5</v>
      </c>
    </row>
    <row r="6302" spans="6:8">
      <c r="F6302" s="68" t="s">
        <v>137</v>
      </c>
      <c r="G6302" s="67" t="s">
        <v>392</v>
      </c>
      <c r="H6302" s="69">
        <v>-0.4</v>
      </c>
    </row>
    <row r="6303" spans="6:8">
      <c r="F6303" s="68" t="s">
        <v>136</v>
      </c>
      <c r="G6303" s="67" t="s">
        <v>392</v>
      </c>
      <c r="H6303" s="69">
        <v>-0.75</v>
      </c>
    </row>
    <row r="6304" spans="6:8">
      <c r="F6304" s="68" t="s">
        <v>258</v>
      </c>
      <c r="G6304" s="67" t="s">
        <v>392</v>
      </c>
      <c r="H6304" s="69">
        <v>7.0000000000000007E-2</v>
      </c>
    </row>
    <row r="6305" spans="6:8">
      <c r="F6305" s="68" t="s">
        <v>257</v>
      </c>
      <c r="G6305" s="67" t="s">
        <v>392</v>
      </c>
      <c r="H6305" s="69">
        <v>1.01</v>
      </c>
    </row>
    <row r="6306" spans="6:8">
      <c r="F6306" s="68" t="s">
        <v>135</v>
      </c>
      <c r="G6306" s="67" t="s">
        <v>392</v>
      </c>
      <c r="H6306" s="69">
        <v>-0.35</v>
      </c>
    </row>
    <row r="6307" spans="6:8">
      <c r="F6307" s="68" t="s">
        <v>134</v>
      </c>
      <c r="G6307" s="67" t="s">
        <v>392</v>
      </c>
      <c r="H6307" s="69">
        <v>-0.6</v>
      </c>
    </row>
    <row r="6308" spans="6:8">
      <c r="F6308" s="68" t="s">
        <v>256</v>
      </c>
      <c r="G6308" s="67" t="s">
        <v>392</v>
      </c>
      <c r="H6308" s="69">
        <v>0.79</v>
      </c>
    </row>
    <row r="6309" spans="6:8">
      <c r="F6309" s="68" t="s">
        <v>133</v>
      </c>
      <c r="G6309" s="67" t="s">
        <v>392</v>
      </c>
      <c r="H6309" s="69">
        <v>-0.3</v>
      </c>
    </row>
    <row r="6310" spans="6:8">
      <c r="F6310" s="68" t="s">
        <v>132</v>
      </c>
      <c r="G6310" s="67" t="s">
        <v>392</v>
      </c>
      <c r="H6310" s="69">
        <v>-0.6</v>
      </c>
    </row>
    <row r="6311" spans="6:8">
      <c r="F6311" s="68" t="s">
        <v>303</v>
      </c>
      <c r="G6311" s="67" t="s">
        <v>392</v>
      </c>
      <c r="H6311" s="69">
        <v>16.1875</v>
      </c>
    </row>
    <row r="6312" spans="6:8">
      <c r="F6312" s="68" t="s">
        <v>255</v>
      </c>
      <c r="G6312" s="67" t="s">
        <v>392</v>
      </c>
      <c r="H6312" s="69">
        <v>0.57999999999999996</v>
      </c>
    </row>
    <row r="6313" spans="6:8">
      <c r="F6313" s="68" t="s">
        <v>131</v>
      </c>
      <c r="G6313" s="67" t="s">
        <v>392</v>
      </c>
      <c r="H6313" s="69">
        <v>-0.3</v>
      </c>
    </row>
    <row r="6314" spans="6:8">
      <c r="F6314" s="68" t="s">
        <v>130</v>
      </c>
      <c r="G6314" s="67" t="s">
        <v>392</v>
      </c>
      <c r="H6314" s="69">
        <v>-0.6</v>
      </c>
    </row>
    <row r="6315" spans="6:8">
      <c r="F6315" s="68" t="s">
        <v>304</v>
      </c>
      <c r="G6315" s="67" t="s">
        <v>392</v>
      </c>
      <c r="H6315" s="69">
        <v>14.671875</v>
      </c>
    </row>
    <row r="6316" spans="6:8">
      <c r="F6316" s="68" t="s">
        <v>254</v>
      </c>
      <c r="G6316" s="67" t="s">
        <v>392</v>
      </c>
      <c r="H6316" s="69">
        <v>0.38</v>
      </c>
    </row>
    <row r="6317" spans="6:8">
      <c r="F6317" s="68" t="s">
        <v>129</v>
      </c>
      <c r="G6317" s="67" t="s">
        <v>392</v>
      </c>
      <c r="H6317" s="69">
        <v>-0.25</v>
      </c>
    </row>
    <row r="6318" spans="6:8">
      <c r="F6318" s="68" t="s">
        <v>128</v>
      </c>
      <c r="G6318" s="67" t="s">
        <v>392</v>
      </c>
      <c r="H6318" s="69">
        <v>-0.4</v>
      </c>
    </row>
    <row r="6319" spans="6:8">
      <c r="F6319" s="68" t="s">
        <v>315</v>
      </c>
      <c r="G6319" s="67" t="s">
        <v>392</v>
      </c>
      <c r="H6319" s="69">
        <v>-0.5</v>
      </c>
    </row>
    <row r="6320" spans="6:8">
      <c r="F6320" s="68" t="s">
        <v>253</v>
      </c>
      <c r="G6320" s="67" t="s">
        <v>392</v>
      </c>
      <c r="H6320" s="69">
        <v>0.22</v>
      </c>
    </row>
    <row r="6321" spans="6:8">
      <c r="F6321" s="68" t="s">
        <v>127</v>
      </c>
      <c r="G6321" s="67" t="s">
        <v>392</v>
      </c>
      <c r="H6321" s="69">
        <v>-0.15</v>
      </c>
    </row>
    <row r="6322" spans="6:8">
      <c r="F6322" s="68" t="s">
        <v>126</v>
      </c>
      <c r="G6322" s="67" t="s">
        <v>392</v>
      </c>
      <c r="H6322" s="69">
        <v>-0.4</v>
      </c>
    </row>
    <row r="6323" spans="6:8">
      <c r="F6323" s="68" t="s">
        <v>125</v>
      </c>
      <c r="G6323" s="67" t="s">
        <v>392</v>
      </c>
      <c r="H6323" s="69">
        <v>-0.85</v>
      </c>
    </row>
    <row r="6324" spans="6:8">
      <c r="F6324" s="68" t="s">
        <v>314</v>
      </c>
      <c r="G6324" s="67" t="s">
        <v>392</v>
      </c>
      <c r="H6324" s="69">
        <v>-0.8</v>
      </c>
    </row>
    <row r="6325" spans="6:8">
      <c r="F6325" s="68" t="s">
        <v>252</v>
      </c>
      <c r="G6325" s="67" t="s">
        <v>392</v>
      </c>
      <c r="H6325" s="69">
        <v>0.12</v>
      </c>
    </row>
    <row r="6326" spans="6:8">
      <c r="F6326" s="68" t="s">
        <v>124</v>
      </c>
      <c r="G6326" s="67" t="s">
        <v>392</v>
      </c>
      <c r="H6326" s="69">
        <v>-0.6</v>
      </c>
    </row>
    <row r="6327" spans="6:8">
      <c r="F6327" s="68" t="s">
        <v>123</v>
      </c>
      <c r="G6327" s="67" t="s">
        <v>392</v>
      </c>
      <c r="H6327" s="69">
        <v>-0.45</v>
      </c>
    </row>
    <row r="6328" spans="6:8">
      <c r="F6328" s="68" t="s">
        <v>122</v>
      </c>
      <c r="G6328" s="67" t="s">
        <v>392</v>
      </c>
      <c r="H6328" s="69">
        <v>-0.8</v>
      </c>
    </row>
    <row r="6329" spans="6:8">
      <c r="F6329" s="68" t="s">
        <v>251</v>
      </c>
      <c r="G6329" s="67" t="s">
        <v>392</v>
      </c>
      <c r="H6329" s="69">
        <v>0.09</v>
      </c>
    </row>
    <row r="6330" spans="6:8">
      <c r="F6330" s="68" t="s">
        <v>121</v>
      </c>
      <c r="G6330" s="67" t="s">
        <v>392</v>
      </c>
      <c r="H6330" s="69">
        <v>-0.6</v>
      </c>
    </row>
    <row r="6331" spans="6:8">
      <c r="F6331" s="68" t="s">
        <v>120</v>
      </c>
      <c r="G6331" s="67" t="s">
        <v>392</v>
      </c>
      <c r="H6331" s="69">
        <v>-0.4</v>
      </c>
    </row>
    <row r="6332" spans="6:8">
      <c r="F6332" s="68" t="s">
        <v>119</v>
      </c>
      <c r="G6332" s="67" t="s">
        <v>392</v>
      </c>
      <c r="H6332" s="69">
        <v>-0.75</v>
      </c>
    </row>
    <row r="6333" spans="6:8">
      <c r="F6333" s="68" t="s">
        <v>119</v>
      </c>
      <c r="G6333" s="67" t="s">
        <v>393</v>
      </c>
      <c r="H6333" s="69">
        <v>-0.75</v>
      </c>
    </row>
    <row r="6334" spans="6:8">
      <c r="F6334" s="68" t="s">
        <v>120</v>
      </c>
      <c r="G6334" s="67" t="s">
        <v>393</v>
      </c>
      <c r="H6334" s="69">
        <v>-0.4</v>
      </c>
    </row>
    <row r="6335" spans="6:8">
      <c r="F6335" s="68" t="s">
        <v>121</v>
      </c>
      <c r="G6335" s="67" t="s">
        <v>393</v>
      </c>
      <c r="H6335" s="69">
        <v>-0.6</v>
      </c>
    </row>
    <row r="6336" spans="6:8">
      <c r="F6336" s="68" t="s">
        <v>251</v>
      </c>
      <c r="G6336" s="67" t="s">
        <v>393</v>
      </c>
      <c r="H6336" s="69">
        <v>0.09</v>
      </c>
    </row>
    <row r="6337" spans="6:8">
      <c r="F6337" s="68" t="s">
        <v>122</v>
      </c>
      <c r="G6337" s="67" t="s">
        <v>393</v>
      </c>
      <c r="H6337" s="69">
        <v>-0.8</v>
      </c>
    </row>
    <row r="6338" spans="6:8">
      <c r="F6338" s="68" t="s">
        <v>123</v>
      </c>
      <c r="G6338" s="67" t="s">
        <v>393</v>
      </c>
      <c r="H6338" s="69">
        <v>-0.45</v>
      </c>
    </row>
    <row r="6339" spans="6:8">
      <c r="F6339" s="68" t="s">
        <v>124</v>
      </c>
      <c r="G6339" s="67" t="s">
        <v>393</v>
      </c>
      <c r="H6339" s="69">
        <v>-0.6</v>
      </c>
    </row>
    <row r="6340" spans="6:8">
      <c r="F6340" s="68" t="s">
        <v>252</v>
      </c>
      <c r="G6340" s="67" t="s">
        <v>393</v>
      </c>
      <c r="H6340" s="69">
        <v>0.12</v>
      </c>
    </row>
    <row r="6341" spans="6:8">
      <c r="F6341" s="68" t="s">
        <v>314</v>
      </c>
      <c r="G6341" s="67" t="s">
        <v>393</v>
      </c>
      <c r="H6341" s="69">
        <v>-0.8</v>
      </c>
    </row>
    <row r="6342" spans="6:8">
      <c r="F6342" s="68" t="s">
        <v>125</v>
      </c>
      <c r="G6342" s="67" t="s">
        <v>393</v>
      </c>
      <c r="H6342" s="69">
        <v>-0.85</v>
      </c>
    </row>
    <row r="6343" spans="6:8">
      <c r="F6343" s="68" t="s">
        <v>126</v>
      </c>
      <c r="G6343" s="67" t="s">
        <v>393</v>
      </c>
      <c r="H6343" s="69">
        <v>-0.4</v>
      </c>
    </row>
    <row r="6344" spans="6:8">
      <c r="F6344" s="68" t="s">
        <v>127</v>
      </c>
      <c r="G6344" s="67" t="s">
        <v>393</v>
      </c>
      <c r="H6344" s="69">
        <v>-0.15</v>
      </c>
    </row>
    <row r="6345" spans="6:8">
      <c r="F6345" s="68" t="s">
        <v>253</v>
      </c>
      <c r="G6345" s="67" t="s">
        <v>393</v>
      </c>
      <c r="H6345" s="69">
        <v>0.22</v>
      </c>
    </row>
    <row r="6346" spans="6:8">
      <c r="F6346" s="68" t="s">
        <v>315</v>
      </c>
      <c r="G6346" s="67" t="s">
        <v>393</v>
      </c>
      <c r="H6346" s="69">
        <v>-0.5</v>
      </c>
    </row>
    <row r="6347" spans="6:8">
      <c r="F6347" s="68" t="s">
        <v>128</v>
      </c>
      <c r="G6347" s="67" t="s">
        <v>393</v>
      </c>
      <c r="H6347" s="69">
        <v>-0.4</v>
      </c>
    </row>
    <row r="6348" spans="6:8">
      <c r="F6348" s="68" t="s">
        <v>129</v>
      </c>
      <c r="G6348" s="67" t="s">
        <v>393</v>
      </c>
      <c r="H6348" s="69">
        <v>-0.25</v>
      </c>
    </row>
    <row r="6349" spans="6:8">
      <c r="F6349" s="68" t="s">
        <v>254</v>
      </c>
      <c r="G6349" s="67" t="s">
        <v>393</v>
      </c>
      <c r="H6349" s="69">
        <v>0.38</v>
      </c>
    </row>
    <row r="6350" spans="6:8">
      <c r="F6350" s="68" t="s">
        <v>304</v>
      </c>
      <c r="G6350" s="67" t="s">
        <v>393</v>
      </c>
      <c r="H6350" s="69">
        <v>14.6875</v>
      </c>
    </row>
    <row r="6351" spans="6:8">
      <c r="F6351" s="68" t="s">
        <v>130</v>
      </c>
      <c r="G6351" s="67" t="s">
        <v>393</v>
      </c>
      <c r="H6351" s="69">
        <v>-0.6</v>
      </c>
    </row>
    <row r="6352" spans="6:8">
      <c r="F6352" s="68" t="s">
        <v>131</v>
      </c>
      <c r="G6352" s="67" t="s">
        <v>393</v>
      </c>
      <c r="H6352" s="69">
        <v>-0.3</v>
      </c>
    </row>
    <row r="6353" spans="6:8">
      <c r="F6353" s="68" t="s">
        <v>255</v>
      </c>
      <c r="G6353" s="67" t="s">
        <v>393</v>
      </c>
      <c r="H6353" s="69">
        <v>0.57999999999999996</v>
      </c>
    </row>
    <row r="6354" spans="6:8">
      <c r="F6354" s="68" t="s">
        <v>303</v>
      </c>
      <c r="G6354" s="67" t="s">
        <v>393</v>
      </c>
      <c r="H6354" s="69">
        <v>16.1875</v>
      </c>
    </row>
    <row r="6355" spans="6:8">
      <c r="F6355" s="68" t="s">
        <v>132</v>
      </c>
      <c r="G6355" s="67" t="s">
        <v>393</v>
      </c>
      <c r="H6355" s="69">
        <v>-0.6</v>
      </c>
    </row>
    <row r="6356" spans="6:8">
      <c r="F6356" s="68" t="s">
        <v>133</v>
      </c>
      <c r="G6356" s="67" t="s">
        <v>393</v>
      </c>
      <c r="H6356" s="69">
        <v>-0.3</v>
      </c>
    </row>
    <row r="6357" spans="6:8">
      <c r="F6357" s="68" t="s">
        <v>256</v>
      </c>
      <c r="G6357" s="67" t="s">
        <v>393</v>
      </c>
      <c r="H6357" s="69">
        <v>0.79</v>
      </c>
    </row>
    <row r="6358" spans="6:8">
      <c r="F6358" s="68" t="s">
        <v>134</v>
      </c>
      <c r="G6358" s="67" t="s">
        <v>393</v>
      </c>
      <c r="H6358" s="69">
        <v>-0.6</v>
      </c>
    </row>
    <row r="6359" spans="6:8">
      <c r="F6359" s="68" t="s">
        <v>135</v>
      </c>
      <c r="G6359" s="67" t="s">
        <v>393</v>
      </c>
      <c r="H6359" s="69">
        <v>-0.35</v>
      </c>
    </row>
    <row r="6360" spans="6:8">
      <c r="F6360" s="68" t="s">
        <v>257</v>
      </c>
      <c r="G6360" s="67" t="s">
        <v>393</v>
      </c>
      <c r="H6360" s="69">
        <v>1.01</v>
      </c>
    </row>
    <row r="6361" spans="6:8">
      <c r="F6361" s="68" t="s">
        <v>258</v>
      </c>
      <c r="G6361" s="67" t="s">
        <v>393</v>
      </c>
      <c r="H6361" s="69">
        <v>7.0000000000000007E-2</v>
      </c>
    </row>
    <row r="6362" spans="6:8">
      <c r="F6362" s="68" t="s">
        <v>136</v>
      </c>
      <c r="G6362" s="67" t="s">
        <v>393</v>
      </c>
      <c r="H6362" s="69">
        <v>-0.75</v>
      </c>
    </row>
    <row r="6363" spans="6:8">
      <c r="F6363" s="68" t="s">
        <v>137</v>
      </c>
      <c r="G6363" s="67" t="s">
        <v>393</v>
      </c>
      <c r="H6363" s="69">
        <v>-0.4</v>
      </c>
    </row>
    <row r="6364" spans="6:8">
      <c r="F6364" s="68" t="s">
        <v>138</v>
      </c>
      <c r="G6364" s="67" t="s">
        <v>393</v>
      </c>
      <c r="H6364" s="69">
        <v>-0.5</v>
      </c>
    </row>
    <row r="6365" spans="6:8">
      <c r="F6365" s="68" t="s">
        <v>259</v>
      </c>
      <c r="G6365" s="67" t="s">
        <v>393</v>
      </c>
      <c r="H6365" s="69">
        <v>0.08</v>
      </c>
    </row>
    <row r="6366" spans="6:8">
      <c r="F6366" s="68" t="s">
        <v>259</v>
      </c>
      <c r="G6366" s="67" t="s">
        <v>394</v>
      </c>
      <c r="H6366" s="69">
        <v>0.08</v>
      </c>
    </row>
    <row r="6367" spans="6:8">
      <c r="F6367" s="68" t="s">
        <v>138</v>
      </c>
      <c r="G6367" s="67" t="s">
        <v>394</v>
      </c>
      <c r="H6367" s="69">
        <v>-0.5</v>
      </c>
    </row>
    <row r="6368" spans="6:8">
      <c r="F6368" s="68" t="s">
        <v>137</v>
      </c>
      <c r="G6368" s="67" t="s">
        <v>394</v>
      </c>
      <c r="H6368" s="69">
        <v>-0.4</v>
      </c>
    </row>
    <row r="6369" spans="6:8">
      <c r="F6369" s="68" t="s">
        <v>136</v>
      </c>
      <c r="G6369" s="67" t="s">
        <v>394</v>
      </c>
      <c r="H6369" s="69">
        <v>-0.75</v>
      </c>
    </row>
    <row r="6370" spans="6:8">
      <c r="F6370" s="68" t="s">
        <v>258</v>
      </c>
      <c r="G6370" s="67" t="s">
        <v>394</v>
      </c>
      <c r="H6370" s="69">
        <v>7.0000000000000007E-2</v>
      </c>
    </row>
    <row r="6371" spans="6:8">
      <c r="F6371" s="68" t="s">
        <v>257</v>
      </c>
      <c r="G6371" s="67" t="s">
        <v>394</v>
      </c>
      <c r="H6371" s="69">
        <v>1.01</v>
      </c>
    </row>
    <row r="6372" spans="6:8">
      <c r="F6372" s="68" t="s">
        <v>135</v>
      </c>
      <c r="G6372" s="67" t="s">
        <v>394</v>
      </c>
      <c r="H6372" s="69">
        <v>-0.35</v>
      </c>
    </row>
    <row r="6373" spans="6:8">
      <c r="F6373" s="68" t="s">
        <v>134</v>
      </c>
      <c r="G6373" s="67" t="s">
        <v>394</v>
      </c>
      <c r="H6373" s="69">
        <v>-0.6</v>
      </c>
    </row>
    <row r="6374" spans="6:8">
      <c r="F6374" s="68" t="s">
        <v>256</v>
      </c>
      <c r="G6374" s="67" t="s">
        <v>394</v>
      </c>
      <c r="H6374" s="69">
        <v>0.79</v>
      </c>
    </row>
    <row r="6375" spans="6:8">
      <c r="F6375" s="68" t="s">
        <v>133</v>
      </c>
      <c r="G6375" s="67" t="s">
        <v>394</v>
      </c>
      <c r="H6375" s="69">
        <v>-0.3</v>
      </c>
    </row>
    <row r="6376" spans="6:8">
      <c r="F6376" s="68" t="s">
        <v>132</v>
      </c>
      <c r="G6376" s="67" t="s">
        <v>394</v>
      </c>
      <c r="H6376" s="69">
        <v>-0.6</v>
      </c>
    </row>
    <row r="6377" spans="6:8">
      <c r="F6377" s="68" t="s">
        <v>303</v>
      </c>
      <c r="G6377" s="67" t="s">
        <v>394</v>
      </c>
      <c r="H6377" s="69">
        <v>16.703125</v>
      </c>
    </row>
    <row r="6378" spans="6:8">
      <c r="F6378" s="68" t="s">
        <v>255</v>
      </c>
      <c r="G6378" s="67" t="s">
        <v>394</v>
      </c>
      <c r="H6378" s="69">
        <v>0.57999999999999996</v>
      </c>
    </row>
    <row r="6379" spans="6:8">
      <c r="F6379" s="68" t="s">
        <v>131</v>
      </c>
      <c r="G6379" s="67" t="s">
        <v>394</v>
      </c>
      <c r="H6379" s="69">
        <v>-0.3</v>
      </c>
    </row>
    <row r="6380" spans="6:8">
      <c r="F6380" s="68" t="s">
        <v>130</v>
      </c>
      <c r="G6380" s="67" t="s">
        <v>394</v>
      </c>
      <c r="H6380" s="69">
        <v>-0.6</v>
      </c>
    </row>
    <row r="6381" spans="6:8">
      <c r="F6381" s="68" t="s">
        <v>304</v>
      </c>
      <c r="G6381" s="67" t="s">
        <v>394</v>
      </c>
      <c r="H6381" s="69">
        <v>15.140625</v>
      </c>
    </row>
    <row r="6382" spans="6:8">
      <c r="F6382" s="68" t="s">
        <v>254</v>
      </c>
      <c r="G6382" s="67" t="s">
        <v>394</v>
      </c>
      <c r="H6382" s="69">
        <v>0.38</v>
      </c>
    </row>
    <row r="6383" spans="6:8">
      <c r="F6383" s="68" t="s">
        <v>129</v>
      </c>
      <c r="G6383" s="67" t="s">
        <v>394</v>
      </c>
      <c r="H6383" s="69">
        <v>-0.25</v>
      </c>
    </row>
    <row r="6384" spans="6:8">
      <c r="F6384" s="68" t="s">
        <v>128</v>
      </c>
      <c r="G6384" s="67" t="s">
        <v>394</v>
      </c>
      <c r="H6384" s="69">
        <v>-0.4</v>
      </c>
    </row>
    <row r="6385" spans="6:8">
      <c r="F6385" s="68" t="s">
        <v>315</v>
      </c>
      <c r="G6385" s="67" t="s">
        <v>394</v>
      </c>
      <c r="H6385" s="69">
        <v>-0.5</v>
      </c>
    </row>
    <row r="6386" spans="6:8">
      <c r="F6386" s="68" t="s">
        <v>253</v>
      </c>
      <c r="G6386" s="67" t="s">
        <v>394</v>
      </c>
      <c r="H6386" s="69">
        <v>0.22</v>
      </c>
    </row>
    <row r="6387" spans="6:8">
      <c r="F6387" s="68" t="s">
        <v>127</v>
      </c>
      <c r="G6387" s="67" t="s">
        <v>394</v>
      </c>
      <c r="H6387" s="69">
        <v>-0.15</v>
      </c>
    </row>
    <row r="6388" spans="6:8">
      <c r="F6388" s="68" t="s">
        <v>126</v>
      </c>
      <c r="G6388" s="67" t="s">
        <v>394</v>
      </c>
      <c r="H6388" s="69">
        <v>-0.4</v>
      </c>
    </row>
    <row r="6389" spans="6:8">
      <c r="F6389" s="68" t="s">
        <v>125</v>
      </c>
      <c r="G6389" s="67" t="s">
        <v>394</v>
      </c>
      <c r="H6389" s="69">
        <v>-0.85</v>
      </c>
    </row>
    <row r="6390" spans="6:8">
      <c r="F6390" s="68" t="s">
        <v>314</v>
      </c>
      <c r="G6390" s="67" t="s">
        <v>394</v>
      </c>
      <c r="H6390" s="69">
        <v>-0.8</v>
      </c>
    </row>
    <row r="6391" spans="6:8">
      <c r="F6391" s="68" t="s">
        <v>252</v>
      </c>
      <c r="G6391" s="67" t="s">
        <v>394</v>
      </c>
      <c r="H6391" s="69">
        <v>0.12</v>
      </c>
    </row>
    <row r="6392" spans="6:8">
      <c r="F6392" s="68" t="s">
        <v>124</v>
      </c>
      <c r="G6392" s="67" t="s">
        <v>394</v>
      </c>
      <c r="H6392" s="69">
        <v>-0.6</v>
      </c>
    </row>
    <row r="6393" spans="6:8">
      <c r="F6393" s="68" t="s">
        <v>123</v>
      </c>
      <c r="G6393" s="67" t="s">
        <v>394</v>
      </c>
      <c r="H6393" s="69">
        <v>-0.45</v>
      </c>
    </row>
    <row r="6394" spans="6:8">
      <c r="F6394" s="68" t="s">
        <v>122</v>
      </c>
      <c r="G6394" s="67" t="s">
        <v>394</v>
      </c>
      <c r="H6394" s="69">
        <v>-0.8</v>
      </c>
    </row>
    <row r="6395" spans="6:8">
      <c r="F6395" s="68" t="s">
        <v>251</v>
      </c>
      <c r="G6395" s="67" t="s">
        <v>394</v>
      </c>
      <c r="H6395" s="69">
        <v>0.09</v>
      </c>
    </row>
    <row r="6396" spans="6:8">
      <c r="F6396" s="68" t="s">
        <v>121</v>
      </c>
      <c r="G6396" s="67" t="s">
        <v>394</v>
      </c>
      <c r="H6396" s="69">
        <v>-0.6</v>
      </c>
    </row>
    <row r="6397" spans="6:8">
      <c r="F6397" s="68" t="s">
        <v>120</v>
      </c>
      <c r="G6397" s="67" t="s">
        <v>394</v>
      </c>
      <c r="H6397" s="69">
        <v>-0.4</v>
      </c>
    </row>
    <row r="6398" spans="6:8">
      <c r="F6398" s="68" t="s">
        <v>119</v>
      </c>
      <c r="G6398" s="67" t="s">
        <v>394</v>
      </c>
      <c r="H6398" s="69">
        <v>-0.75</v>
      </c>
    </row>
    <row r="6399" spans="6:8">
      <c r="F6399" s="68" t="s">
        <v>119</v>
      </c>
      <c r="G6399" s="67" t="s">
        <v>395</v>
      </c>
      <c r="H6399" s="69">
        <v>-0.8</v>
      </c>
    </row>
    <row r="6400" spans="6:8">
      <c r="F6400" s="68" t="s">
        <v>120</v>
      </c>
      <c r="G6400" s="67" t="s">
        <v>395</v>
      </c>
      <c r="H6400" s="69">
        <v>-0.4</v>
      </c>
    </row>
    <row r="6401" spans="6:8">
      <c r="F6401" s="68" t="s">
        <v>121</v>
      </c>
      <c r="G6401" s="67" t="s">
        <v>395</v>
      </c>
      <c r="H6401" s="69">
        <v>-0.6</v>
      </c>
    </row>
    <row r="6402" spans="6:8">
      <c r="F6402" s="68" t="s">
        <v>251</v>
      </c>
      <c r="G6402" s="67" t="s">
        <v>395</v>
      </c>
      <c r="H6402" s="69">
        <v>0.1</v>
      </c>
    </row>
    <row r="6403" spans="6:8">
      <c r="F6403" s="68" t="s">
        <v>122</v>
      </c>
      <c r="G6403" s="67" t="s">
        <v>395</v>
      </c>
      <c r="H6403" s="69">
        <v>-0.75</v>
      </c>
    </row>
    <row r="6404" spans="6:8">
      <c r="F6404" s="68" t="s">
        <v>123</v>
      </c>
      <c r="G6404" s="67" t="s">
        <v>395</v>
      </c>
      <c r="H6404" s="69">
        <v>-0.45</v>
      </c>
    </row>
    <row r="6405" spans="6:8">
      <c r="F6405" s="68" t="s">
        <v>124</v>
      </c>
      <c r="G6405" s="67" t="s">
        <v>395</v>
      </c>
      <c r="H6405" s="69">
        <v>-0.6</v>
      </c>
    </row>
    <row r="6406" spans="6:8">
      <c r="F6406" s="68" t="s">
        <v>252</v>
      </c>
      <c r="G6406" s="67" t="s">
        <v>395</v>
      </c>
      <c r="H6406" s="69">
        <v>0.14000000000000001</v>
      </c>
    </row>
    <row r="6407" spans="6:8">
      <c r="F6407" s="68" t="s">
        <v>314</v>
      </c>
      <c r="G6407" s="67" t="s">
        <v>395</v>
      </c>
      <c r="H6407" s="69">
        <v>-0.75</v>
      </c>
    </row>
    <row r="6408" spans="6:8">
      <c r="F6408" s="68" t="s">
        <v>125</v>
      </c>
      <c r="G6408" s="67" t="s">
        <v>395</v>
      </c>
      <c r="H6408" s="69">
        <v>-0.75</v>
      </c>
    </row>
    <row r="6409" spans="6:8">
      <c r="F6409" s="68" t="s">
        <v>126</v>
      </c>
      <c r="G6409" s="67" t="s">
        <v>395</v>
      </c>
      <c r="H6409" s="69">
        <v>-0.4</v>
      </c>
    </row>
    <row r="6410" spans="6:8">
      <c r="F6410" s="68" t="s">
        <v>127</v>
      </c>
      <c r="G6410" s="67" t="s">
        <v>395</v>
      </c>
      <c r="H6410" s="69">
        <v>-0.15</v>
      </c>
    </row>
    <row r="6411" spans="6:8">
      <c r="F6411" s="68" t="s">
        <v>253</v>
      </c>
      <c r="G6411" s="67" t="s">
        <v>395</v>
      </c>
      <c r="H6411" s="69">
        <v>0.26</v>
      </c>
    </row>
    <row r="6412" spans="6:8">
      <c r="F6412" s="68" t="s">
        <v>315</v>
      </c>
      <c r="G6412" s="67" t="s">
        <v>395</v>
      </c>
      <c r="H6412" s="69">
        <v>-0.5</v>
      </c>
    </row>
    <row r="6413" spans="6:8">
      <c r="F6413" s="68" t="s">
        <v>128</v>
      </c>
      <c r="G6413" s="67" t="s">
        <v>395</v>
      </c>
      <c r="H6413" s="69">
        <v>-0.4</v>
      </c>
    </row>
    <row r="6414" spans="6:8">
      <c r="F6414" s="68" t="s">
        <v>129</v>
      </c>
      <c r="G6414" s="67" t="s">
        <v>395</v>
      </c>
      <c r="H6414" s="69">
        <v>-0.25</v>
      </c>
    </row>
    <row r="6415" spans="6:8">
      <c r="F6415" s="68" t="s">
        <v>254</v>
      </c>
      <c r="G6415" s="67" t="s">
        <v>395</v>
      </c>
      <c r="H6415" s="69">
        <v>0.4</v>
      </c>
    </row>
    <row r="6416" spans="6:8">
      <c r="F6416" s="68" t="s">
        <v>304</v>
      </c>
      <c r="G6416" s="67" t="s">
        <v>395</v>
      </c>
      <c r="H6416" s="69">
        <v>14.9375</v>
      </c>
    </row>
    <row r="6417" spans="6:8">
      <c r="F6417" s="68" t="s">
        <v>130</v>
      </c>
      <c r="G6417" s="67" t="s">
        <v>395</v>
      </c>
      <c r="H6417" s="69">
        <v>-0.65</v>
      </c>
    </row>
    <row r="6418" spans="6:8">
      <c r="F6418" s="68" t="s">
        <v>131</v>
      </c>
      <c r="G6418" s="67" t="s">
        <v>395</v>
      </c>
      <c r="H6418" s="69">
        <v>-0.3</v>
      </c>
    </row>
    <row r="6419" spans="6:8">
      <c r="F6419" s="68" t="s">
        <v>255</v>
      </c>
      <c r="G6419" s="67" t="s">
        <v>395</v>
      </c>
      <c r="H6419" s="69">
        <v>0.61</v>
      </c>
    </row>
    <row r="6420" spans="6:8">
      <c r="F6420" s="68" t="s">
        <v>303</v>
      </c>
      <c r="G6420" s="67" t="s">
        <v>395</v>
      </c>
      <c r="H6420" s="69">
        <v>16.8125</v>
      </c>
    </row>
    <row r="6421" spans="6:8">
      <c r="F6421" s="68" t="s">
        <v>132</v>
      </c>
      <c r="G6421" s="67" t="s">
        <v>395</v>
      </c>
      <c r="H6421" s="69">
        <v>-0.65</v>
      </c>
    </row>
    <row r="6422" spans="6:8">
      <c r="F6422" s="68" t="s">
        <v>133</v>
      </c>
      <c r="G6422" s="67" t="s">
        <v>395</v>
      </c>
      <c r="H6422" s="69">
        <v>-0.3</v>
      </c>
    </row>
    <row r="6423" spans="6:8">
      <c r="F6423" s="68" t="s">
        <v>256</v>
      </c>
      <c r="G6423" s="67" t="s">
        <v>395</v>
      </c>
      <c r="H6423" s="69">
        <v>0.83</v>
      </c>
    </row>
    <row r="6424" spans="6:8">
      <c r="F6424" s="68" t="s">
        <v>134</v>
      </c>
      <c r="G6424" s="67" t="s">
        <v>395</v>
      </c>
      <c r="H6424" s="69">
        <v>-0.6</v>
      </c>
    </row>
    <row r="6425" spans="6:8">
      <c r="F6425" s="68" t="s">
        <v>135</v>
      </c>
      <c r="G6425" s="67" t="s">
        <v>395</v>
      </c>
      <c r="H6425" s="69">
        <v>-0.35</v>
      </c>
    </row>
    <row r="6426" spans="6:8">
      <c r="F6426" s="68" t="s">
        <v>257</v>
      </c>
      <c r="G6426" s="67" t="s">
        <v>395</v>
      </c>
      <c r="H6426" s="69">
        <v>1</v>
      </c>
    </row>
    <row r="6427" spans="6:8">
      <c r="F6427" s="68" t="s">
        <v>258</v>
      </c>
      <c r="G6427" s="67" t="s">
        <v>395</v>
      </c>
      <c r="H6427" s="69">
        <v>0.08</v>
      </c>
    </row>
    <row r="6428" spans="6:8">
      <c r="F6428" s="68" t="s">
        <v>136</v>
      </c>
      <c r="G6428" s="67" t="s">
        <v>395</v>
      </c>
      <c r="H6428" s="69">
        <v>-0.8</v>
      </c>
    </row>
    <row r="6429" spans="6:8">
      <c r="F6429" s="68" t="s">
        <v>137</v>
      </c>
      <c r="G6429" s="67" t="s">
        <v>395</v>
      </c>
      <c r="H6429" s="69">
        <v>-0.4</v>
      </c>
    </row>
    <row r="6430" spans="6:8">
      <c r="F6430" s="68" t="s">
        <v>138</v>
      </c>
      <c r="G6430" s="67" t="s">
        <v>395</v>
      </c>
      <c r="H6430" s="69">
        <v>-0.5</v>
      </c>
    </row>
    <row r="6431" spans="6:8">
      <c r="F6431" s="68" t="s">
        <v>259</v>
      </c>
      <c r="G6431" s="67" t="s">
        <v>395</v>
      </c>
      <c r="H6431" s="69">
        <v>0.09</v>
      </c>
    </row>
    <row r="6432" spans="6:8">
      <c r="F6432" s="68" t="s">
        <v>259</v>
      </c>
      <c r="G6432" s="67" t="s">
        <v>396</v>
      </c>
      <c r="H6432" s="69">
        <v>0.09</v>
      </c>
    </row>
    <row r="6433" spans="6:8">
      <c r="F6433" s="68" t="s">
        <v>138</v>
      </c>
      <c r="G6433" s="67" t="s">
        <v>396</v>
      </c>
      <c r="H6433" s="69">
        <v>-0.5</v>
      </c>
    </row>
    <row r="6434" spans="6:8">
      <c r="F6434" s="68" t="s">
        <v>137</v>
      </c>
      <c r="G6434" s="67" t="s">
        <v>396</v>
      </c>
      <c r="H6434" s="69">
        <v>-0.4</v>
      </c>
    </row>
    <row r="6435" spans="6:8">
      <c r="F6435" s="68" t="s">
        <v>136</v>
      </c>
      <c r="G6435" s="67" t="s">
        <v>396</v>
      </c>
      <c r="H6435" s="69">
        <v>-0.8</v>
      </c>
    </row>
    <row r="6436" spans="6:8">
      <c r="F6436" s="68" t="s">
        <v>258</v>
      </c>
      <c r="G6436" s="67" t="s">
        <v>396</v>
      </c>
      <c r="H6436" s="69">
        <v>0.08</v>
      </c>
    </row>
    <row r="6437" spans="6:8">
      <c r="F6437" s="68" t="s">
        <v>257</v>
      </c>
      <c r="G6437" s="67" t="s">
        <v>396</v>
      </c>
      <c r="H6437" s="69">
        <v>1</v>
      </c>
    </row>
    <row r="6438" spans="6:8">
      <c r="F6438" s="68" t="s">
        <v>135</v>
      </c>
      <c r="G6438" s="67" t="s">
        <v>396</v>
      </c>
      <c r="H6438" s="69">
        <v>-0.35</v>
      </c>
    </row>
    <row r="6439" spans="6:8">
      <c r="F6439" s="68" t="s">
        <v>134</v>
      </c>
      <c r="G6439" s="67" t="s">
        <v>396</v>
      </c>
      <c r="H6439" s="69">
        <v>-0.6</v>
      </c>
    </row>
    <row r="6440" spans="6:8">
      <c r="F6440" s="68" t="s">
        <v>256</v>
      </c>
      <c r="G6440" s="67" t="s">
        <v>396</v>
      </c>
      <c r="H6440" s="69">
        <v>0.83</v>
      </c>
    </row>
    <row r="6441" spans="6:8">
      <c r="F6441" s="68" t="s">
        <v>133</v>
      </c>
      <c r="G6441" s="67" t="s">
        <v>396</v>
      </c>
      <c r="H6441" s="69">
        <v>-0.3</v>
      </c>
    </row>
    <row r="6442" spans="6:8">
      <c r="F6442" s="68" t="s">
        <v>132</v>
      </c>
      <c r="G6442" s="67" t="s">
        <v>396</v>
      </c>
      <c r="H6442" s="69">
        <v>-0.65</v>
      </c>
    </row>
    <row r="6443" spans="6:8">
      <c r="F6443" s="68" t="s">
        <v>303</v>
      </c>
      <c r="G6443" s="67" t="s">
        <v>396</v>
      </c>
      <c r="H6443" s="69">
        <v>16.8125</v>
      </c>
    </row>
    <row r="6444" spans="6:8">
      <c r="F6444" s="68" t="s">
        <v>255</v>
      </c>
      <c r="G6444" s="67" t="s">
        <v>396</v>
      </c>
      <c r="H6444" s="69">
        <v>0.61</v>
      </c>
    </row>
    <row r="6445" spans="6:8">
      <c r="F6445" s="68" t="s">
        <v>131</v>
      </c>
      <c r="G6445" s="67" t="s">
        <v>396</v>
      </c>
      <c r="H6445" s="69">
        <v>-0.3</v>
      </c>
    </row>
    <row r="6446" spans="6:8">
      <c r="F6446" s="68" t="s">
        <v>130</v>
      </c>
      <c r="G6446" s="67" t="s">
        <v>396</v>
      </c>
      <c r="H6446" s="69">
        <v>-0.65</v>
      </c>
    </row>
    <row r="6447" spans="6:8">
      <c r="F6447" s="68" t="s">
        <v>304</v>
      </c>
      <c r="G6447" s="67" t="s">
        <v>396</v>
      </c>
      <c r="H6447" s="69">
        <v>14.9375</v>
      </c>
    </row>
    <row r="6448" spans="6:8">
      <c r="F6448" s="68" t="s">
        <v>254</v>
      </c>
      <c r="G6448" s="67" t="s">
        <v>396</v>
      </c>
      <c r="H6448" s="69">
        <v>0.4</v>
      </c>
    </row>
    <row r="6449" spans="6:8">
      <c r="F6449" s="68" t="s">
        <v>129</v>
      </c>
      <c r="G6449" s="67" t="s">
        <v>396</v>
      </c>
      <c r="H6449" s="69">
        <v>-0.25</v>
      </c>
    </row>
    <row r="6450" spans="6:8">
      <c r="F6450" s="68" t="s">
        <v>128</v>
      </c>
      <c r="G6450" s="67" t="s">
        <v>396</v>
      </c>
      <c r="H6450" s="69">
        <v>-0.4</v>
      </c>
    </row>
    <row r="6451" spans="6:8">
      <c r="F6451" s="68" t="s">
        <v>315</v>
      </c>
      <c r="G6451" s="67" t="s">
        <v>396</v>
      </c>
      <c r="H6451" s="69">
        <v>-0.5</v>
      </c>
    </row>
    <row r="6452" spans="6:8">
      <c r="F6452" s="68" t="s">
        <v>253</v>
      </c>
      <c r="G6452" s="67" t="s">
        <v>396</v>
      </c>
      <c r="H6452" s="69">
        <v>0.26</v>
      </c>
    </row>
    <row r="6453" spans="6:8">
      <c r="F6453" s="68" t="s">
        <v>127</v>
      </c>
      <c r="G6453" s="67" t="s">
        <v>396</v>
      </c>
      <c r="H6453" s="69">
        <v>-0.15</v>
      </c>
    </row>
    <row r="6454" spans="6:8">
      <c r="F6454" s="68" t="s">
        <v>126</v>
      </c>
      <c r="G6454" s="67" t="s">
        <v>396</v>
      </c>
      <c r="H6454" s="69">
        <v>-0.4</v>
      </c>
    </row>
    <row r="6455" spans="6:8">
      <c r="F6455" s="68" t="s">
        <v>125</v>
      </c>
      <c r="G6455" s="67" t="s">
        <v>396</v>
      </c>
      <c r="H6455" s="69">
        <v>-0.75</v>
      </c>
    </row>
    <row r="6456" spans="6:8">
      <c r="F6456" s="68" t="s">
        <v>314</v>
      </c>
      <c r="G6456" s="67" t="s">
        <v>396</v>
      </c>
      <c r="H6456" s="69">
        <v>-0.75</v>
      </c>
    </row>
    <row r="6457" spans="6:8">
      <c r="F6457" s="68" t="s">
        <v>252</v>
      </c>
      <c r="G6457" s="67" t="s">
        <v>396</v>
      </c>
      <c r="H6457" s="69">
        <v>0.14000000000000001</v>
      </c>
    </row>
    <row r="6458" spans="6:8">
      <c r="F6458" s="68" t="s">
        <v>124</v>
      </c>
      <c r="G6458" s="67" t="s">
        <v>396</v>
      </c>
      <c r="H6458" s="69">
        <v>-0.6</v>
      </c>
    </row>
    <row r="6459" spans="6:8">
      <c r="F6459" s="68" t="s">
        <v>123</v>
      </c>
      <c r="G6459" s="67" t="s">
        <v>396</v>
      </c>
      <c r="H6459" s="69">
        <v>-0.45</v>
      </c>
    </row>
    <row r="6460" spans="6:8">
      <c r="F6460" s="68" t="s">
        <v>122</v>
      </c>
      <c r="G6460" s="67" t="s">
        <v>396</v>
      </c>
      <c r="H6460" s="69">
        <v>-0.75</v>
      </c>
    </row>
    <row r="6461" spans="6:8">
      <c r="F6461" s="68" t="s">
        <v>251</v>
      </c>
      <c r="G6461" s="67" t="s">
        <v>396</v>
      </c>
      <c r="H6461" s="69">
        <v>0.1</v>
      </c>
    </row>
    <row r="6462" spans="6:8">
      <c r="F6462" s="68" t="s">
        <v>121</v>
      </c>
      <c r="G6462" s="67" t="s">
        <v>396</v>
      </c>
      <c r="H6462" s="69">
        <v>-0.6</v>
      </c>
    </row>
    <row r="6463" spans="6:8">
      <c r="F6463" s="68" t="s">
        <v>120</v>
      </c>
      <c r="G6463" s="67" t="s">
        <v>396</v>
      </c>
      <c r="H6463" s="69">
        <v>-0.4</v>
      </c>
    </row>
    <row r="6464" spans="6:8">
      <c r="F6464" s="68" t="s">
        <v>119</v>
      </c>
      <c r="G6464" s="67" t="s">
        <v>396</v>
      </c>
      <c r="H6464" s="69">
        <v>-0.8</v>
      </c>
    </row>
    <row r="6465" spans="6:8">
      <c r="F6465" s="68" t="s">
        <v>119</v>
      </c>
      <c r="G6465" s="67" t="s">
        <v>397</v>
      </c>
      <c r="H6465" s="69">
        <v>-0.65</v>
      </c>
    </row>
    <row r="6466" spans="6:8">
      <c r="F6466" s="68" t="s">
        <v>120</v>
      </c>
      <c r="G6466" s="67" t="s">
        <v>397</v>
      </c>
      <c r="H6466" s="69">
        <v>-0.4</v>
      </c>
    </row>
    <row r="6467" spans="6:8">
      <c r="F6467" s="68" t="s">
        <v>121</v>
      </c>
      <c r="G6467" s="67" t="s">
        <v>397</v>
      </c>
      <c r="H6467" s="69">
        <v>-0.5</v>
      </c>
    </row>
    <row r="6468" spans="6:8">
      <c r="F6468" s="68" t="s">
        <v>251</v>
      </c>
      <c r="G6468" s="67" t="s">
        <v>397</v>
      </c>
      <c r="H6468" s="69">
        <v>0.1</v>
      </c>
    </row>
    <row r="6469" spans="6:8">
      <c r="F6469" s="68" t="s">
        <v>122</v>
      </c>
      <c r="G6469" s="67" t="s">
        <v>397</v>
      </c>
      <c r="H6469" s="69">
        <v>-0.6</v>
      </c>
    </row>
    <row r="6470" spans="6:8">
      <c r="F6470" s="68" t="s">
        <v>123</v>
      </c>
      <c r="G6470" s="67" t="s">
        <v>397</v>
      </c>
      <c r="H6470" s="69">
        <v>-0.45</v>
      </c>
    </row>
    <row r="6471" spans="6:8">
      <c r="F6471" s="68" t="s">
        <v>124</v>
      </c>
      <c r="G6471" s="67" t="s">
        <v>397</v>
      </c>
      <c r="H6471" s="69">
        <v>-0.5</v>
      </c>
    </row>
    <row r="6472" spans="6:8">
      <c r="F6472" s="68" t="s">
        <v>252</v>
      </c>
      <c r="G6472" s="67" t="s">
        <v>397</v>
      </c>
      <c r="H6472" s="69">
        <v>0.16</v>
      </c>
    </row>
    <row r="6473" spans="6:8">
      <c r="F6473" s="68" t="s">
        <v>314</v>
      </c>
      <c r="G6473" s="67" t="s">
        <v>397</v>
      </c>
      <c r="H6473" s="69">
        <v>-0.5</v>
      </c>
    </row>
    <row r="6474" spans="6:8">
      <c r="F6474" s="68" t="s">
        <v>125</v>
      </c>
      <c r="G6474" s="67" t="s">
        <v>397</v>
      </c>
      <c r="H6474" s="69">
        <v>-0.5</v>
      </c>
    </row>
    <row r="6475" spans="6:8">
      <c r="F6475" s="68" t="s">
        <v>126</v>
      </c>
      <c r="G6475" s="67" t="s">
        <v>397</v>
      </c>
      <c r="H6475" s="69">
        <v>-0.4</v>
      </c>
    </row>
    <row r="6476" spans="6:8">
      <c r="F6476" s="68" t="s">
        <v>127</v>
      </c>
      <c r="G6476" s="67" t="s">
        <v>397</v>
      </c>
      <c r="H6476" s="69">
        <v>-0.15</v>
      </c>
    </row>
    <row r="6477" spans="6:8">
      <c r="F6477" s="68" t="s">
        <v>253</v>
      </c>
      <c r="G6477" s="67" t="s">
        <v>397</v>
      </c>
      <c r="H6477" s="69">
        <v>0.28000000000000003</v>
      </c>
    </row>
    <row r="6478" spans="6:8">
      <c r="F6478" s="68" t="s">
        <v>315</v>
      </c>
      <c r="G6478" s="67" t="s">
        <v>397</v>
      </c>
      <c r="H6478" s="69">
        <v>-0.35</v>
      </c>
    </row>
    <row r="6479" spans="6:8">
      <c r="F6479" s="68" t="s">
        <v>128</v>
      </c>
      <c r="G6479" s="67" t="s">
        <v>397</v>
      </c>
      <c r="H6479" s="69">
        <v>-0.4</v>
      </c>
    </row>
    <row r="6480" spans="6:8">
      <c r="F6480" s="68" t="s">
        <v>129</v>
      </c>
      <c r="G6480" s="67" t="s">
        <v>397</v>
      </c>
      <c r="H6480" s="69">
        <v>-0.25</v>
      </c>
    </row>
    <row r="6481" spans="6:8">
      <c r="F6481" s="68" t="s">
        <v>254</v>
      </c>
      <c r="G6481" s="67" t="s">
        <v>397</v>
      </c>
      <c r="H6481" s="69">
        <v>0.42</v>
      </c>
    </row>
    <row r="6482" spans="6:8">
      <c r="F6482" s="68" t="s">
        <v>304</v>
      </c>
      <c r="G6482" s="67" t="s">
        <v>397</v>
      </c>
      <c r="H6482" s="69">
        <v>15.1875</v>
      </c>
    </row>
    <row r="6483" spans="6:8">
      <c r="F6483" s="68" t="s">
        <v>130</v>
      </c>
      <c r="G6483" s="67" t="s">
        <v>397</v>
      </c>
      <c r="H6483" s="69">
        <v>-0.55000000000000004</v>
      </c>
    </row>
    <row r="6484" spans="6:8">
      <c r="F6484" s="68" t="s">
        <v>131</v>
      </c>
      <c r="G6484" s="67" t="s">
        <v>397</v>
      </c>
      <c r="H6484" s="69">
        <v>-0.3</v>
      </c>
    </row>
    <row r="6485" spans="6:8">
      <c r="F6485" s="68" t="s">
        <v>255</v>
      </c>
      <c r="G6485" s="67" t="s">
        <v>397</v>
      </c>
      <c r="H6485" s="69">
        <v>0.63</v>
      </c>
    </row>
    <row r="6486" spans="6:8">
      <c r="F6486" s="68" t="s">
        <v>303</v>
      </c>
      <c r="G6486" s="67" t="s">
        <v>397</v>
      </c>
      <c r="H6486" s="69">
        <v>17</v>
      </c>
    </row>
    <row r="6487" spans="6:8">
      <c r="F6487" s="68" t="s">
        <v>132</v>
      </c>
      <c r="G6487" s="67" t="s">
        <v>397</v>
      </c>
      <c r="H6487" s="69">
        <v>-0.55000000000000004</v>
      </c>
    </row>
    <row r="6488" spans="6:8">
      <c r="F6488" s="68" t="s">
        <v>133</v>
      </c>
      <c r="G6488" s="67" t="s">
        <v>397</v>
      </c>
      <c r="H6488" s="69">
        <v>-0.3</v>
      </c>
    </row>
    <row r="6489" spans="6:8">
      <c r="F6489" s="68" t="s">
        <v>256</v>
      </c>
      <c r="G6489" s="67" t="s">
        <v>397</v>
      </c>
      <c r="H6489" s="69">
        <v>0.85</v>
      </c>
    </row>
    <row r="6490" spans="6:8">
      <c r="F6490" s="68" t="s">
        <v>134</v>
      </c>
      <c r="G6490" s="67" t="s">
        <v>397</v>
      </c>
      <c r="H6490" s="69">
        <v>-0.55000000000000004</v>
      </c>
    </row>
    <row r="6491" spans="6:8">
      <c r="F6491" s="68" t="s">
        <v>135</v>
      </c>
      <c r="G6491" s="67" t="s">
        <v>397</v>
      </c>
      <c r="H6491" s="69">
        <v>-0.35</v>
      </c>
    </row>
    <row r="6492" spans="6:8">
      <c r="F6492" s="68" t="s">
        <v>257</v>
      </c>
      <c r="G6492" s="67" t="s">
        <v>397</v>
      </c>
      <c r="H6492" s="69">
        <v>1.04</v>
      </c>
    </row>
    <row r="6493" spans="6:8">
      <c r="F6493" s="68" t="s">
        <v>258</v>
      </c>
      <c r="G6493" s="67" t="s">
        <v>397</v>
      </c>
      <c r="H6493" s="69">
        <v>0.08</v>
      </c>
    </row>
    <row r="6494" spans="6:8">
      <c r="F6494" s="68" t="s">
        <v>136</v>
      </c>
      <c r="G6494" s="67" t="s">
        <v>397</v>
      </c>
      <c r="H6494" s="69">
        <v>-0.65</v>
      </c>
    </row>
    <row r="6495" spans="6:8">
      <c r="F6495" s="68" t="s">
        <v>137</v>
      </c>
      <c r="G6495" s="67" t="s">
        <v>397</v>
      </c>
      <c r="H6495" s="69">
        <v>-0.4</v>
      </c>
    </row>
    <row r="6496" spans="6:8">
      <c r="F6496" s="68" t="s">
        <v>138</v>
      </c>
      <c r="G6496" s="67" t="s">
        <v>397</v>
      </c>
      <c r="H6496" s="69">
        <v>-0.4</v>
      </c>
    </row>
    <row r="6497" spans="6:8">
      <c r="F6497" s="68" t="s">
        <v>259</v>
      </c>
      <c r="G6497" s="67" t="s">
        <v>397</v>
      </c>
      <c r="H6497" s="69">
        <v>0.09</v>
      </c>
    </row>
    <row r="6498" spans="6:8">
      <c r="F6498" s="68" t="s">
        <v>259</v>
      </c>
      <c r="G6498" s="67" t="s">
        <v>398</v>
      </c>
      <c r="H6498" s="69">
        <v>0.09</v>
      </c>
    </row>
    <row r="6499" spans="6:8">
      <c r="F6499" s="68" t="s">
        <v>138</v>
      </c>
      <c r="G6499" s="67" t="s">
        <v>398</v>
      </c>
      <c r="H6499" s="69">
        <v>-0.4</v>
      </c>
    </row>
    <row r="6500" spans="6:8">
      <c r="F6500" s="68" t="s">
        <v>137</v>
      </c>
      <c r="G6500" s="67" t="s">
        <v>398</v>
      </c>
      <c r="H6500" s="69">
        <v>-0.4</v>
      </c>
    </row>
    <row r="6501" spans="6:8">
      <c r="F6501" s="68" t="s">
        <v>136</v>
      </c>
      <c r="G6501" s="67" t="s">
        <v>398</v>
      </c>
      <c r="H6501" s="69">
        <v>-0.65</v>
      </c>
    </row>
    <row r="6502" spans="6:8">
      <c r="F6502" s="68" t="s">
        <v>258</v>
      </c>
      <c r="G6502" s="67" t="s">
        <v>398</v>
      </c>
      <c r="H6502" s="69">
        <v>0.08</v>
      </c>
    </row>
    <row r="6503" spans="6:8">
      <c r="F6503" s="68" t="s">
        <v>257</v>
      </c>
      <c r="G6503" s="67" t="s">
        <v>398</v>
      </c>
      <c r="H6503" s="69">
        <v>1.04</v>
      </c>
    </row>
    <row r="6504" spans="6:8">
      <c r="F6504" s="68" t="s">
        <v>135</v>
      </c>
      <c r="G6504" s="67" t="s">
        <v>398</v>
      </c>
      <c r="H6504" s="69">
        <v>-0.35</v>
      </c>
    </row>
    <row r="6505" spans="6:8">
      <c r="F6505" s="68" t="s">
        <v>134</v>
      </c>
      <c r="G6505" s="67" t="s">
        <v>398</v>
      </c>
      <c r="H6505" s="69">
        <v>-0.55000000000000004</v>
      </c>
    </row>
    <row r="6506" spans="6:8">
      <c r="F6506" s="68" t="s">
        <v>256</v>
      </c>
      <c r="G6506" s="67" t="s">
        <v>398</v>
      </c>
      <c r="H6506" s="69">
        <v>0.85</v>
      </c>
    </row>
    <row r="6507" spans="6:8">
      <c r="F6507" s="68" t="s">
        <v>133</v>
      </c>
      <c r="G6507" s="67" t="s">
        <v>398</v>
      </c>
      <c r="H6507" s="69">
        <v>-0.3</v>
      </c>
    </row>
    <row r="6508" spans="6:8">
      <c r="F6508" s="68" t="s">
        <v>132</v>
      </c>
      <c r="G6508" s="67" t="s">
        <v>398</v>
      </c>
      <c r="H6508" s="69">
        <v>-0.55000000000000004</v>
      </c>
    </row>
    <row r="6509" spans="6:8">
      <c r="F6509" s="68" t="s">
        <v>303</v>
      </c>
      <c r="G6509" s="67" t="s">
        <v>398</v>
      </c>
      <c r="H6509" s="69">
        <v>17.375</v>
      </c>
    </row>
    <row r="6510" spans="6:8">
      <c r="F6510" s="68" t="s">
        <v>255</v>
      </c>
      <c r="G6510" s="67" t="s">
        <v>398</v>
      </c>
      <c r="H6510" s="69">
        <v>0.63</v>
      </c>
    </row>
    <row r="6511" spans="6:8">
      <c r="F6511" s="68" t="s">
        <v>131</v>
      </c>
      <c r="G6511" s="67" t="s">
        <v>398</v>
      </c>
      <c r="H6511" s="69">
        <v>-0.3</v>
      </c>
    </row>
    <row r="6512" spans="6:8">
      <c r="F6512" s="68" t="s">
        <v>130</v>
      </c>
      <c r="G6512" s="67" t="s">
        <v>398</v>
      </c>
      <c r="H6512" s="69">
        <v>-0.55000000000000004</v>
      </c>
    </row>
    <row r="6513" spans="6:8">
      <c r="F6513" s="68" t="s">
        <v>304</v>
      </c>
      <c r="G6513" s="67" t="s">
        <v>398</v>
      </c>
      <c r="H6513" s="69">
        <v>15.4375</v>
      </c>
    </row>
    <row r="6514" spans="6:8">
      <c r="F6514" s="68" t="s">
        <v>254</v>
      </c>
      <c r="G6514" s="67" t="s">
        <v>398</v>
      </c>
      <c r="H6514" s="69">
        <v>0.42</v>
      </c>
    </row>
    <row r="6515" spans="6:8">
      <c r="F6515" s="68" t="s">
        <v>129</v>
      </c>
      <c r="G6515" s="67" t="s">
        <v>398</v>
      </c>
      <c r="H6515" s="69">
        <v>-0.25</v>
      </c>
    </row>
    <row r="6516" spans="6:8">
      <c r="F6516" s="68" t="s">
        <v>128</v>
      </c>
      <c r="G6516" s="67" t="s">
        <v>398</v>
      </c>
      <c r="H6516" s="69">
        <v>-0.4</v>
      </c>
    </row>
    <row r="6517" spans="6:8">
      <c r="F6517" s="68" t="s">
        <v>315</v>
      </c>
      <c r="G6517" s="67" t="s">
        <v>398</v>
      </c>
      <c r="H6517" s="69">
        <v>-0.35</v>
      </c>
    </row>
    <row r="6518" spans="6:8">
      <c r="F6518" s="68" t="s">
        <v>253</v>
      </c>
      <c r="G6518" s="67" t="s">
        <v>398</v>
      </c>
      <c r="H6518" s="69">
        <v>0.28000000000000003</v>
      </c>
    </row>
    <row r="6519" spans="6:8">
      <c r="F6519" s="68" t="s">
        <v>127</v>
      </c>
      <c r="G6519" s="67" t="s">
        <v>398</v>
      </c>
      <c r="H6519" s="69">
        <v>-0.15</v>
      </c>
    </row>
    <row r="6520" spans="6:8">
      <c r="F6520" s="68" t="s">
        <v>126</v>
      </c>
      <c r="G6520" s="67" t="s">
        <v>398</v>
      </c>
      <c r="H6520" s="69">
        <v>-0.4</v>
      </c>
    </row>
    <row r="6521" spans="6:8">
      <c r="F6521" s="68" t="s">
        <v>125</v>
      </c>
      <c r="G6521" s="67" t="s">
        <v>398</v>
      </c>
      <c r="H6521" s="69">
        <v>-0.5</v>
      </c>
    </row>
    <row r="6522" spans="6:8">
      <c r="F6522" s="68" t="s">
        <v>314</v>
      </c>
      <c r="G6522" s="67" t="s">
        <v>398</v>
      </c>
      <c r="H6522" s="69">
        <v>-0.5</v>
      </c>
    </row>
    <row r="6523" spans="6:8">
      <c r="F6523" s="68" t="s">
        <v>252</v>
      </c>
      <c r="G6523" s="67" t="s">
        <v>398</v>
      </c>
      <c r="H6523" s="69">
        <v>0.16</v>
      </c>
    </row>
    <row r="6524" spans="6:8">
      <c r="F6524" s="68" t="s">
        <v>124</v>
      </c>
      <c r="G6524" s="67" t="s">
        <v>398</v>
      </c>
      <c r="H6524" s="69">
        <v>-0.5</v>
      </c>
    </row>
    <row r="6525" spans="6:8">
      <c r="F6525" s="68" t="s">
        <v>123</v>
      </c>
      <c r="G6525" s="67" t="s">
        <v>398</v>
      </c>
      <c r="H6525" s="69">
        <v>-0.45</v>
      </c>
    </row>
    <row r="6526" spans="6:8">
      <c r="F6526" s="68" t="s">
        <v>122</v>
      </c>
      <c r="G6526" s="67" t="s">
        <v>398</v>
      </c>
      <c r="H6526" s="69">
        <v>-0.6</v>
      </c>
    </row>
    <row r="6527" spans="6:8">
      <c r="F6527" s="68" t="s">
        <v>251</v>
      </c>
      <c r="G6527" s="67" t="s">
        <v>398</v>
      </c>
      <c r="H6527" s="69">
        <v>0.1</v>
      </c>
    </row>
    <row r="6528" spans="6:8">
      <c r="F6528" s="68" t="s">
        <v>121</v>
      </c>
      <c r="G6528" s="67" t="s">
        <v>398</v>
      </c>
      <c r="H6528" s="69">
        <v>-0.5</v>
      </c>
    </row>
    <row r="6529" spans="6:8">
      <c r="F6529" s="68" t="s">
        <v>120</v>
      </c>
      <c r="G6529" s="67" t="s">
        <v>398</v>
      </c>
      <c r="H6529" s="69">
        <v>-0.4</v>
      </c>
    </row>
    <row r="6530" spans="6:8">
      <c r="F6530" s="68" t="s">
        <v>119</v>
      </c>
      <c r="G6530" s="67" t="s">
        <v>398</v>
      </c>
      <c r="H6530" s="69">
        <v>-0.65</v>
      </c>
    </row>
    <row r="6531" spans="6:8">
      <c r="F6531" s="68" t="s">
        <v>119</v>
      </c>
      <c r="G6531" s="67" t="s">
        <v>399</v>
      </c>
      <c r="H6531" s="69">
        <v>-0.65</v>
      </c>
    </row>
    <row r="6532" spans="6:8">
      <c r="F6532" s="68" t="s">
        <v>120</v>
      </c>
      <c r="G6532" s="67" t="s">
        <v>399</v>
      </c>
      <c r="H6532" s="69">
        <v>-0.4</v>
      </c>
    </row>
    <row r="6533" spans="6:8">
      <c r="F6533" s="68" t="s">
        <v>121</v>
      </c>
      <c r="G6533" s="67" t="s">
        <v>399</v>
      </c>
      <c r="H6533" s="69">
        <v>-0.5</v>
      </c>
    </row>
    <row r="6534" spans="6:8">
      <c r="F6534" s="68" t="s">
        <v>251</v>
      </c>
      <c r="G6534" s="67" t="s">
        <v>399</v>
      </c>
      <c r="H6534" s="69">
        <v>0.1</v>
      </c>
    </row>
    <row r="6535" spans="6:8">
      <c r="F6535" s="68" t="s">
        <v>122</v>
      </c>
      <c r="G6535" s="67" t="s">
        <v>399</v>
      </c>
      <c r="H6535" s="69">
        <v>-0.6</v>
      </c>
    </row>
    <row r="6536" spans="6:8">
      <c r="F6536" s="68" t="s">
        <v>123</v>
      </c>
      <c r="G6536" s="67" t="s">
        <v>399</v>
      </c>
      <c r="H6536" s="69">
        <v>-0.45</v>
      </c>
    </row>
    <row r="6537" spans="6:8">
      <c r="F6537" s="68" t="s">
        <v>124</v>
      </c>
      <c r="G6537" s="67" t="s">
        <v>399</v>
      </c>
      <c r="H6537" s="69">
        <v>-0.5</v>
      </c>
    </row>
    <row r="6538" spans="6:8">
      <c r="F6538" s="68" t="s">
        <v>252</v>
      </c>
      <c r="G6538" s="67" t="s">
        <v>399</v>
      </c>
      <c r="H6538" s="69">
        <v>0.16</v>
      </c>
    </row>
    <row r="6539" spans="6:8">
      <c r="F6539" s="68" t="s">
        <v>314</v>
      </c>
      <c r="G6539" s="67" t="s">
        <v>399</v>
      </c>
      <c r="H6539" s="69">
        <v>-0.5</v>
      </c>
    </row>
    <row r="6540" spans="6:8">
      <c r="F6540" s="68" t="s">
        <v>125</v>
      </c>
      <c r="G6540" s="67" t="s">
        <v>399</v>
      </c>
      <c r="H6540" s="69">
        <v>-0.5</v>
      </c>
    </row>
    <row r="6541" spans="6:8">
      <c r="F6541" s="68" t="s">
        <v>126</v>
      </c>
      <c r="G6541" s="67" t="s">
        <v>399</v>
      </c>
      <c r="H6541" s="69">
        <v>-0.4</v>
      </c>
    </row>
    <row r="6542" spans="6:8">
      <c r="F6542" s="68" t="s">
        <v>127</v>
      </c>
      <c r="G6542" s="67" t="s">
        <v>399</v>
      </c>
      <c r="H6542" s="69">
        <v>-0.15</v>
      </c>
    </row>
    <row r="6543" spans="6:8">
      <c r="F6543" s="68" t="s">
        <v>253</v>
      </c>
      <c r="G6543" s="67" t="s">
        <v>399</v>
      </c>
      <c r="H6543" s="69">
        <v>0.28000000000000003</v>
      </c>
    </row>
    <row r="6544" spans="6:8">
      <c r="F6544" s="68" t="s">
        <v>315</v>
      </c>
      <c r="G6544" s="67" t="s">
        <v>399</v>
      </c>
      <c r="H6544" s="69">
        <v>-0.35</v>
      </c>
    </row>
    <row r="6545" spans="6:8">
      <c r="F6545" s="68" t="s">
        <v>128</v>
      </c>
      <c r="G6545" s="67" t="s">
        <v>399</v>
      </c>
      <c r="H6545" s="69">
        <v>-0.4</v>
      </c>
    </row>
    <row r="6546" spans="6:8">
      <c r="F6546" s="68" t="s">
        <v>129</v>
      </c>
      <c r="G6546" s="67" t="s">
        <v>399</v>
      </c>
      <c r="H6546" s="69">
        <v>-0.25</v>
      </c>
    </row>
    <row r="6547" spans="6:8">
      <c r="F6547" s="68" t="s">
        <v>254</v>
      </c>
      <c r="G6547" s="67" t="s">
        <v>399</v>
      </c>
      <c r="H6547" s="69">
        <v>0.42</v>
      </c>
    </row>
    <row r="6548" spans="6:8">
      <c r="F6548" s="68" t="s">
        <v>304</v>
      </c>
      <c r="G6548" s="67" t="s">
        <v>399</v>
      </c>
      <c r="H6548" s="69">
        <v>15.75</v>
      </c>
    </row>
    <row r="6549" spans="6:8">
      <c r="F6549" s="68" t="s">
        <v>130</v>
      </c>
      <c r="G6549" s="67" t="s">
        <v>399</v>
      </c>
      <c r="H6549" s="69">
        <v>-0.55000000000000004</v>
      </c>
    </row>
    <row r="6550" spans="6:8">
      <c r="F6550" s="68" t="s">
        <v>131</v>
      </c>
      <c r="G6550" s="67" t="s">
        <v>399</v>
      </c>
      <c r="H6550" s="69">
        <v>-0.3</v>
      </c>
    </row>
    <row r="6551" spans="6:8">
      <c r="F6551" s="68" t="s">
        <v>255</v>
      </c>
      <c r="G6551" s="67" t="s">
        <v>399</v>
      </c>
      <c r="H6551" s="69">
        <v>0.63</v>
      </c>
    </row>
    <row r="6552" spans="6:8">
      <c r="F6552" s="68" t="s">
        <v>303</v>
      </c>
      <c r="G6552" s="67" t="s">
        <v>399</v>
      </c>
      <c r="H6552" s="69">
        <v>17.6875</v>
      </c>
    </row>
    <row r="6553" spans="6:8">
      <c r="F6553" s="68" t="s">
        <v>132</v>
      </c>
      <c r="G6553" s="67" t="s">
        <v>399</v>
      </c>
      <c r="H6553" s="69">
        <v>-0.55000000000000004</v>
      </c>
    </row>
    <row r="6554" spans="6:8">
      <c r="F6554" s="68" t="s">
        <v>133</v>
      </c>
      <c r="G6554" s="67" t="s">
        <v>399</v>
      </c>
      <c r="H6554" s="69">
        <v>-0.3</v>
      </c>
    </row>
    <row r="6555" spans="6:8">
      <c r="F6555" s="68" t="s">
        <v>256</v>
      </c>
      <c r="G6555" s="67" t="s">
        <v>399</v>
      </c>
      <c r="H6555" s="69">
        <v>0.85</v>
      </c>
    </row>
    <row r="6556" spans="6:8">
      <c r="F6556" s="68" t="s">
        <v>134</v>
      </c>
      <c r="G6556" s="67" t="s">
        <v>399</v>
      </c>
      <c r="H6556" s="69">
        <v>-0.55000000000000004</v>
      </c>
    </row>
    <row r="6557" spans="6:8">
      <c r="F6557" s="68" t="s">
        <v>135</v>
      </c>
      <c r="G6557" s="67" t="s">
        <v>399</v>
      </c>
      <c r="H6557" s="69">
        <v>-0.35</v>
      </c>
    </row>
    <row r="6558" spans="6:8">
      <c r="F6558" s="68" t="s">
        <v>257</v>
      </c>
      <c r="G6558" s="67" t="s">
        <v>399</v>
      </c>
      <c r="H6558" s="69">
        <v>1.04</v>
      </c>
    </row>
    <row r="6559" spans="6:8">
      <c r="F6559" s="68" t="s">
        <v>258</v>
      </c>
      <c r="G6559" s="67" t="s">
        <v>399</v>
      </c>
      <c r="H6559" s="69">
        <v>0.08</v>
      </c>
    </row>
    <row r="6560" spans="6:8">
      <c r="F6560" s="68" t="s">
        <v>136</v>
      </c>
      <c r="G6560" s="67" t="s">
        <v>399</v>
      </c>
      <c r="H6560" s="69">
        <v>-0.65</v>
      </c>
    </row>
    <row r="6561" spans="6:8">
      <c r="F6561" s="68" t="s">
        <v>137</v>
      </c>
      <c r="G6561" s="67" t="s">
        <v>399</v>
      </c>
      <c r="H6561" s="69">
        <v>-0.4</v>
      </c>
    </row>
    <row r="6562" spans="6:8">
      <c r="F6562" s="68" t="s">
        <v>138</v>
      </c>
      <c r="G6562" s="67" t="s">
        <v>399</v>
      </c>
      <c r="H6562" s="69">
        <v>-0.4</v>
      </c>
    </row>
    <row r="6563" spans="6:8">
      <c r="F6563" s="68" t="s">
        <v>259</v>
      </c>
      <c r="G6563" s="67" t="s">
        <v>399</v>
      </c>
      <c r="H6563" s="69">
        <v>0.09</v>
      </c>
    </row>
    <row r="6564" spans="6:8">
      <c r="F6564" s="68" t="s">
        <v>259</v>
      </c>
      <c r="G6564" s="67" t="s">
        <v>400</v>
      </c>
      <c r="H6564" s="69">
        <v>0.15</v>
      </c>
    </row>
    <row r="6565" spans="6:8">
      <c r="F6565" s="68" t="s">
        <v>138</v>
      </c>
      <c r="G6565" s="67" t="s">
        <v>400</v>
      </c>
      <c r="H6565" s="69">
        <v>-0.45</v>
      </c>
    </row>
    <row r="6566" spans="6:8">
      <c r="F6566" s="68" t="s">
        <v>137</v>
      </c>
      <c r="G6566" s="67" t="s">
        <v>400</v>
      </c>
      <c r="H6566" s="69">
        <v>-0.4</v>
      </c>
    </row>
    <row r="6567" spans="6:8">
      <c r="F6567" s="68" t="s">
        <v>136</v>
      </c>
      <c r="G6567" s="67" t="s">
        <v>400</v>
      </c>
      <c r="H6567" s="69">
        <v>-0.6</v>
      </c>
    </row>
    <row r="6568" spans="6:8">
      <c r="F6568" s="68" t="s">
        <v>258</v>
      </c>
      <c r="G6568" s="67" t="s">
        <v>400</v>
      </c>
      <c r="H6568" s="69">
        <v>0.1</v>
      </c>
    </row>
    <row r="6569" spans="6:8">
      <c r="F6569" s="68" t="s">
        <v>257</v>
      </c>
      <c r="G6569" s="67" t="s">
        <v>400</v>
      </c>
      <c r="H6569" s="69">
        <v>1.07</v>
      </c>
    </row>
    <row r="6570" spans="6:8">
      <c r="F6570" s="68" t="s">
        <v>135</v>
      </c>
      <c r="G6570" s="67" t="s">
        <v>400</v>
      </c>
      <c r="H6570" s="69">
        <v>-0.35</v>
      </c>
    </row>
    <row r="6571" spans="6:8">
      <c r="F6571" s="68" t="s">
        <v>134</v>
      </c>
      <c r="G6571" s="67" t="s">
        <v>400</v>
      </c>
      <c r="H6571" s="69">
        <v>-0.55000000000000004</v>
      </c>
    </row>
    <row r="6572" spans="6:8">
      <c r="F6572" s="68" t="s">
        <v>256</v>
      </c>
      <c r="G6572" s="67" t="s">
        <v>400</v>
      </c>
      <c r="H6572" s="69">
        <v>0.93</v>
      </c>
    </row>
    <row r="6573" spans="6:8">
      <c r="F6573" s="68" t="s">
        <v>133</v>
      </c>
      <c r="G6573" s="67" t="s">
        <v>400</v>
      </c>
      <c r="H6573" s="69">
        <v>-0.3</v>
      </c>
    </row>
    <row r="6574" spans="6:8">
      <c r="F6574" s="68" t="s">
        <v>132</v>
      </c>
      <c r="G6574" s="67" t="s">
        <v>400</v>
      </c>
      <c r="H6574" s="69">
        <v>-0.55000000000000004</v>
      </c>
    </row>
    <row r="6575" spans="6:8">
      <c r="F6575" s="68" t="s">
        <v>303</v>
      </c>
      <c r="G6575" s="67" t="s">
        <v>400</v>
      </c>
      <c r="H6575" s="69">
        <v>17.765625</v>
      </c>
    </row>
    <row r="6576" spans="6:8">
      <c r="F6576" s="68" t="s">
        <v>255</v>
      </c>
      <c r="G6576" s="67" t="s">
        <v>400</v>
      </c>
      <c r="H6576" s="69">
        <v>0.75</v>
      </c>
    </row>
    <row r="6577" spans="6:8">
      <c r="F6577" s="68" t="s">
        <v>131</v>
      </c>
      <c r="G6577" s="67" t="s">
        <v>400</v>
      </c>
      <c r="H6577" s="69">
        <v>-0.3</v>
      </c>
    </row>
    <row r="6578" spans="6:8">
      <c r="F6578" s="68" t="s">
        <v>130</v>
      </c>
      <c r="G6578" s="67" t="s">
        <v>400</v>
      </c>
      <c r="H6578" s="69">
        <v>-0.55000000000000004</v>
      </c>
    </row>
    <row r="6579" spans="6:8">
      <c r="F6579" s="68" t="s">
        <v>304</v>
      </c>
      <c r="G6579" s="67" t="s">
        <v>400</v>
      </c>
      <c r="H6579" s="69">
        <v>15.828125</v>
      </c>
    </row>
    <row r="6580" spans="6:8">
      <c r="F6580" s="68" t="s">
        <v>254</v>
      </c>
      <c r="G6580" s="67" t="s">
        <v>400</v>
      </c>
      <c r="H6580" s="69">
        <v>0.55000000000000004</v>
      </c>
    </row>
    <row r="6581" spans="6:8">
      <c r="F6581" s="68" t="s">
        <v>129</v>
      </c>
      <c r="G6581" s="67" t="s">
        <v>400</v>
      </c>
      <c r="H6581" s="69">
        <v>-0.25</v>
      </c>
    </row>
    <row r="6582" spans="6:8">
      <c r="F6582" s="68" t="s">
        <v>128</v>
      </c>
      <c r="G6582" s="67" t="s">
        <v>400</v>
      </c>
      <c r="H6582" s="69">
        <v>-0.4</v>
      </c>
    </row>
    <row r="6583" spans="6:8">
      <c r="F6583" s="68" t="s">
        <v>315</v>
      </c>
      <c r="G6583" s="67" t="s">
        <v>400</v>
      </c>
      <c r="H6583" s="69">
        <v>-0.25</v>
      </c>
    </row>
    <row r="6584" spans="6:8">
      <c r="F6584" s="68" t="s">
        <v>253</v>
      </c>
      <c r="G6584" s="67" t="s">
        <v>400</v>
      </c>
      <c r="H6584" s="69">
        <v>0.38</v>
      </c>
    </row>
    <row r="6585" spans="6:8">
      <c r="F6585" s="68" t="s">
        <v>127</v>
      </c>
      <c r="G6585" s="67" t="s">
        <v>400</v>
      </c>
      <c r="H6585" s="69">
        <v>-0.15</v>
      </c>
    </row>
    <row r="6586" spans="6:8">
      <c r="F6586" s="68" t="s">
        <v>126</v>
      </c>
      <c r="G6586" s="67" t="s">
        <v>400</v>
      </c>
      <c r="H6586" s="69">
        <v>-0.4</v>
      </c>
    </row>
    <row r="6587" spans="6:8">
      <c r="F6587" s="68" t="s">
        <v>125</v>
      </c>
      <c r="G6587" s="67" t="s">
        <v>400</v>
      </c>
      <c r="H6587" s="69">
        <v>-0.4</v>
      </c>
    </row>
    <row r="6588" spans="6:8">
      <c r="F6588" s="68" t="s">
        <v>314</v>
      </c>
      <c r="G6588" s="67" t="s">
        <v>400</v>
      </c>
      <c r="H6588" s="69">
        <v>-0.35</v>
      </c>
    </row>
    <row r="6589" spans="6:8">
      <c r="F6589" s="68" t="s">
        <v>252</v>
      </c>
      <c r="G6589" s="67" t="s">
        <v>400</v>
      </c>
      <c r="H6589" s="69">
        <v>0.26</v>
      </c>
    </row>
    <row r="6590" spans="6:8">
      <c r="F6590" s="68" t="s">
        <v>124</v>
      </c>
      <c r="G6590" s="67" t="s">
        <v>400</v>
      </c>
      <c r="H6590" s="69">
        <v>-0.35</v>
      </c>
    </row>
    <row r="6591" spans="6:8">
      <c r="F6591" s="68" t="s">
        <v>123</v>
      </c>
      <c r="G6591" s="67" t="s">
        <v>400</v>
      </c>
      <c r="H6591" s="69">
        <v>-0.45</v>
      </c>
    </row>
    <row r="6592" spans="6:8">
      <c r="F6592" s="68" t="s">
        <v>122</v>
      </c>
      <c r="G6592" s="67" t="s">
        <v>400</v>
      </c>
      <c r="H6592" s="69">
        <v>-0.55000000000000004</v>
      </c>
    </row>
    <row r="6593" spans="6:8">
      <c r="F6593" s="68" t="s">
        <v>251</v>
      </c>
      <c r="G6593" s="67" t="s">
        <v>400</v>
      </c>
      <c r="H6593" s="69">
        <v>0.2</v>
      </c>
    </row>
    <row r="6594" spans="6:8">
      <c r="F6594" s="68" t="s">
        <v>121</v>
      </c>
      <c r="G6594" s="67" t="s">
        <v>400</v>
      </c>
      <c r="H6594" s="69">
        <v>-0.5</v>
      </c>
    </row>
    <row r="6595" spans="6:8">
      <c r="F6595" s="68" t="s">
        <v>120</v>
      </c>
      <c r="G6595" s="67" t="s">
        <v>400</v>
      </c>
      <c r="H6595" s="69">
        <v>-0.4</v>
      </c>
    </row>
    <row r="6596" spans="6:8">
      <c r="F6596" s="68" t="s">
        <v>119</v>
      </c>
      <c r="G6596" s="67" t="s">
        <v>400</v>
      </c>
      <c r="H6596" s="69">
        <v>-0.6</v>
      </c>
    </row>
    <row r="6597" spans="6:8">
      <c r="F6597" s="68" t="s">
        <v>119</v>
      </c>
      <c r="G6597" s="67" t="s">
        <v>401</v>
      </c>
      <c r="H6597" s="69">
        <v>-0.65</v>
      </c>
    </row>
    <row r="6598" spans="6:8">
      <c r="F6598" s="68" t="s">
        <v>120</v>
      </c>
      <c r="G6598" s="67" t="s">
        <v>401</v>
      </c>
      <c r="H6598" s="69">
        <v>-0.45</v>
      </c>
    </row>
    <row r="6599" spans="6:8">
      <c r="F6599" s="68" t="s">
        <v>121</v>
      </c>
      <c r="G6599" s="67" t="s">
        <v>401</v>
      </c>
      <c r="H6599" s="69">
        <v>-0.55000000000000004</v>
      </c>
    </row>
    <row r="6600" spans="6:8">
      <c r="F6600" s="68" t="s">
        <v>251</v>
      </c>
      <c r="G6600" s="67" t="s">
        <v>401</v>
      </c>
      <c r="H6600" s="69">
        <v>0.2</v>
      </c>
    </row>
    <row r="6601" spans="6:8">
      <c r="F6601" s="68" t="s">
        <v>122</v>
      </c>
      <c r="G6601" s="67" t="s">
        <v>401</v>
      </c>
      <c r="H6601" s="69">
        <v>-0.6</v>
      </c>
    </row>
    <row r="6602" spans="6:8">
      <c r="F6602" s="68" t="s">
        <v>123</v>
      </c>
      <c r="G6602" s="67" t="s">
        <v>401</v>
      </c>
      <c r="H6602" s="69">
        <v>-0.5</v>
      </c>
    </row>
    <row r="6603" spans="6:8">
      <c r="F6603" s="68" t="s">
        <v>124</v>
      </c>
      <c r="G6603" s="67" t="s">
        <v>401</v>
      </c>
      <c r="H6603" s="69">
        <v>-0.4</v>
      </c>
    </row>
    <row r="6604" spans="6:8">
      <c r="F6604" s="68" t="s">
        <v>252</v>
      </c>
      <c r="G6604" s="67" t="s">
        <v>401</v>
      </c>
      <c r="H6604" s="69">
        <v>0.26</v>
      </c>
    </row>
    <row r="6605" spans="6:8">
      <c r="F6605" s="68" t="s">
        <v>314</v>
      </c>
      <c r="G6605" s="67" t="s">
        <v>401</v>
      </c>
      <c r="H6605" s="69">
        <v>-0.4</v>
      </c>
    </row>
    <row r="6606" spans="6:8">
      <c r="F6606" s="68" t="s">
        <v>125</v>
      </c>
      <c r="G6606" s="67" t="s">
        <v>401</v>
      </c>
      <c r="H6606" s="69">
        <v>-0.45</v>
      </c>
    </row>
    <row r="6607" spans="6:8">
      <c r="F6607" s="68" t="s">
        <v>126</v>
      </c>
      <c r="G6607" s="67" t="s">
        <v>401</v>
      </c>
      <c r="H6607" s="69">
        <v>-0.45</v>
      </c>
    </row>
    <row r="6608" spans="6:8">
      <c r="F6608" s="68" t="s">
        <v>127</v>
      </c>
      <c r="G6608" s="67" t="s">
        <v>401</v>
      </c>
      <c r="H6608" s="69">
        <v>-0.15</v>
      </c>
    </row>
    <row r="6609" spans="6:8">
      <c r="F6609" s="68" t="s">
        <v>253</v>
      </c>
      <c r="G6609" s="67" t="s">
        <v>401</v>
      </c>
      <c r="H6609" s="69">
        <v>0.38</v>
      </c>
    </row>
    <row r="6610" spans="6:8">
      <c r="F6610" s="68" t="s">
        <v>315</v>
      </c>
      <c r="G6610" s="67" t="s">
        <v>401</v>
      </c>
      <c r="H6610" s="69">
        <v>-0.3</v>
      </c>
    </row>
    <row r="6611" spans="6:8">
      <c r="F6611" s="68" t="s">
        <v>128</v>
      </c>
      <c r="G6611" s="67" t="s">
        <v>401</v>
      </c>
      <c r="H6611" s="69">
        <v>-0.45</v>
      </c>
    </row>
    <row r="6612" spans="6:8">
      <c r="F6612" s="68" t="s">
        <v>129</v>
      </c>
      <c r="G6612" s="67" t="s">
        <v>401</v>
      </c>
      <c r="H6612" s="69">
        <v>-0.25</v>
      </c>
    </row>
    <row r="6613" spans="6:8">
      <c r="F6613" s="68" t="s">
        <v>254</v>
      </c>
      <c r="G6613" s="67" t="s">
        <v>401</v>
      </c>
      <c r="H6613" s="69">
        <v>0.55000000000000004</v>
      </c>
    </row>
    <row r="6614" spans="6:8">
      <c r="F6614" s="68" t="s">
        <v>304</v>
      </c>
      <c r="G6614" s="67" t="s">
        <v>401</v>
      </c>
      <c r="H6614" s="69">
        <v>15.84375</v>
      </c>
    </row>
    <row r="6615" spans="6:8">
      <c r="F6615" s="68" t="s">
        <v>130</v>
      </c>
      <c r="G6615" s="67" t="s">
        <v>401</v>
      </c>
      <c r="H6615" s="69">
        <v>-0.6</v>
      </c>
    </row>
    <row r="6616" spans="6:8">
      <c r="F6616" s="68" t="s">
        <v>131</v>
      </c>
      <c r="G6616" s="67" t="s">
        <v>401</v>
      </c>
      <c r="H6616" s="69">
        <v>-0.3</v>
      </c>
    </row>
    <row r="6617" spans="6:8">
      <c r="F6617" s="68" t="s">
        <v>255</v>
      </c>
      <c r="G6617" s="67" t="s">
        <v>401</v>
      </c>
      <c r="H6617" s="69">
        <v>0.75</v>
      </c>
    </row>
    <row r="6618" spans="6:8">
      <c r="F6618" s="68" t="s">
        <v>303</v>
      </c>
      <c r="G6618" s="67" t="s">
        <v>401</v>
      </c>
      <c r="H6618" s="69">
        <v>17.78125</v>
      </c>
    </row>
    <row r="6619" spans="6:8">
      <c r="F6619" s="68" t="s">
        <v>132</v>
      </c>
      <c r="G6619" s="67" t="s">
        <v>401</v>
      </c>
      <c r="H6619" s="69">
        <v>-0.6</v>
      </c>
    </row>
    <row r="6620" spans="6:8">
      <c r="F6620" s="68" t="s">
        <v>133</v>
      </c>
      <c r="G6620" s="67" t="s">
        <v>401</v>
      </c>
      <c r="H6620" s="69">
        <v>-0.3</v>
      </c>
    </row>
    <row r="6621" spans="6:8">
      <c r="F6621" s="68" t="s">
        <v>256</v>
      </c>
      <c r="G6621" s="67" t="s">
        <v>401</v>
      </c>
      <c r="H6621" s="69">
        <v>0.93</v>
      </c>
    </row>
    <row r="6622" spans="6:8">
      <c r="F6622" s="68" t="s">
        <v>134</v>
      </c>
      <c r="G6622" s="67" t="s">
        <v>401</v>
      </c>
      <c r="H6622" s="69">
        <v>-0.6</v>
      </c>
    </row>
    <row r="6623" spans="6:8">
      <c r="F6623" s="68" t="s">
        <v>135</v>
      </c>
      <c r="G6623" s="67" t="s">
        <v>401</v>
      </c>
      <c r="H6623" s="69">
        <v>-0.35</v>
      </c>
    </row>
    <row r="6624" spans="6:8">
      <c r="F6624" s="68" t="s">
        <v>257</v>
      </c>
      <c r="G6624" s="67" t="s">
        <v>401</v>
      </c>
      <c r="H6624" s="69">
        <v>1.07</v>
      </c>
    </row>
    <row r="6625" spans="6:8">
      <c r="F6625" s="68" t="s">
        <v>258</v>
      </c>
      <c r="G6625" s="67" t="s">
        <v>401</v>
      </c>
      <c r="H6625" s="69">
        <v>0.1</v>
      </c>
    </row>
    <row r="6626" spans="6:8">
      <c r="F6626" s="68" t="s">
        <v>136</v>
      </c>
      <c r="G6626" s="67" t="s">
        <v>401</v>
      </c>
      <c r="H6626" s="69">
        <v>-0.65</v>
      </c>
    </row>
    <row r="6627" spans="6:8">
      <c r="F6627" s="68" t="s">
        <v>137</v>
      </c>
      <c r="G6627" s="67" t="s">
        <v>401</v>
      </c>
      <c r="H6627" s="69">
        <v>-0.45</v>
      </c>
    </row>
    <row r="6628" spans="6:8">
      <c r="F6628" s="68" t="s">
        <v>138</v>
      </c>
      <c r="G6628" s="67" t="s">
        <v>401</v>
      </c>
      <c r="H6628" s="69">
        <v>-0.5</v>
      </c>
    </row>
    <row r="6629" spans="6:8">
      <c r="F6629" s="68" t="s">
        <v>259</v>
      </c>
      <c r="G6629" s="67" t="s">
        <v>401</v>
      </c>
      <c r="H6629" s="69">
        <v>0.15</v>
      </c>
    </row>
    <row r="6630" spans="6:8">
      <c r="F6630" s="68" t="s">
        <v>259</v>
      </c>
      <c r="G6630" s="67" t="s">
        <v>402</v>
      </c>
      <c r="H6630" s="69">
        <v>0.15</v>
      </c>
    </row>
    <row r="6631" spans="6:8">
      <c r="F6631" s="68" t="s">
        <v>138</v>
      </c>
      <c r="G6631" s="67" t="s">
        <v>402</v>
      </c>
      <c r="H6631" s="69">
        <v>-0.55000000000000004</v>
      </c>
    </row>
    <row r="6632" spans="6:8">
      <c r="F6632" s="68" t="s">
        <v>137</v>
      </c>
      <c r="G6632" s="67" t="s">
        <v>402</v>
      </c>
      <c r="H6632" s="69">
        <v>-0.45</v>
      </c>
    </row>
    <row r="6633" spans="6:8">
      <c r="F6633" s="68" t="s">
        <v>136</v>
      </c>
      <c r="G6633" s="67" t="s">
        <v>402</v>
      </c>
      <c r="H6633" s="69">
        <v>-0.65</v>
      </c>
    </row>
    <row r="6634" spans="6:8">
      <c r="F6634" s="68" t="s">
        <v>258</v>
      </c>
      <c r="G6634" s="67" t="s">
        <v>402</v>
      </c>
      <c r="H6634" s="69">
        <v>0.1</v>
      </c>
    </row>
    <row r="6635" spans="6:8">
      <c r="F6635" s="68" t="s">
        <v>257</v>
      </c>
      <c r="G6635" s="67" t="s">
        <v>402</v>
      </c>
      <c r="H6635" s="69">
        <v>1.06</v>
      </c>
    </row>
    <row r="6636" spans="6:8">
      <c r="F6636" s="68" t="s">
        <v>135</v>
      </c>
      <c r="G6636" s="67" t="s">
        <v>402</v>
      </c>
      <c r="H6636" s="69">
        <v>-0.35</v>
      </c>
    </row>
    <row r="6637" spans="6:8">
      <c r="F6637" s="68" t="s">
        <v>134</v>
      </c>
      <c r="G6637" s="67" t="s">
        <v>402</v>
      </c>
      <c r="H6637" s="69">
        <v>-0.6</v>
      </c>
    </row>
    <row r="6638" spans="6:8">
      <c r="F6638" s="68" t="s">
        <v>256</v>
      </c>
      <c r="G6638" s="67" t="s">
        <v>402</v>
      </c>
      <c r="H6638" s="69">
        <v>0.91</v>
      </c>
    </row>
    <row r="6639" spans="6:8">
      <c r="F6639" s="68" t="s">
        <v>133</v>
      </c>
      <c r="G6639" s="67" t="s">
        <v>402</v>
      </c>
      <c r="H6639" s="69">
        <v>-0.3</v>
      </c>
    </row>
    <row r="6640" spans="6:8">
      <c r="F6640" s="68" t="s">
        <v>132</v>
      </c>
      <c r="G6640" s="67" t="s">
        <v>402</v>
      </c>
      <c r="H6640" s="69">
        <v>-0.6</v>
      </c>
    </row>
    <row r="6641" spans="6:8">
      <c r="F6641" s="68" t="s">
        <v>303</v>
      </c>
      <c r="G6641" s="67" t="s">
        <v>402</v>
      </c>
      <c r="H6641" s="69">
        <v>17.65625</v>
      </c>
    </row>
    <row r="6642" spans="6:8">
      <c r="F6642" s="68" t="s">
        <v>255</v>
      </c>
      <c r="G6642" s="67" t="s">
        <v>402</v>
      </c>
      <c r="H6642" s="69">
        <v>0.74</v>
      </c>
    </row>
    <row r="6643" spans="6:8">
      <c r="F6643" s="68" t="s">
        <v>131</v>
      </c>
      <c r="G6643" s="67" t="s">
        <v>402</v>
      </c>
      <c r="H6643" s="69">
        <v>-0.3</v>
      </c>
    </row>
    <row r="6644" spans="6:8">
      <c r="F6644" s="68" t="s">
        <v>130</v>
      </c>
      <c r="G6644" s="67" t="s">
        <v>402</v>
      </c>
      <c r="H6644" s="69">
        <v>-0.6</v>
      </c>
    </row>
    <row r="6645" spans="6:8">
      <c r="F6645" s="68" t="s">
        <v>304</v>
      </c>
      <c r="G6645" s="67" t="s">
        <v>402</v>
      </c>
      <c r="H6645" s="69">
        <v>15.71875</v>
      </c>
    </row>
    <row r="6646" spans="6:8">
      <c r="F6646" s="68" t="s">
        <v>254</v>
      </c>
      <c r="G6646" s="67" t="s">
        <v>402</v>
      </c>
      <c r="H6646" s="69">
        <v>0.54</v>
      </c>
    </row>
    <row r="6647" spans="6:8">
      <c r="F6647" s="68" t="s">
        <v>129</v>
      </c>
      <c r="G6647" s="67" t="s">
        <v>402</v>
      </c>
      <c r="H6647" s="69">
        <v>-0.25</v>
      </c>
    </row>
    <row r="6648" spans="6:8">
      <c r="F6648" s="68" t="s">
        <v>128</v>
      </c>
      <c r="G6648" s="67" t="s">
        <v>402</v>
      </c>
      <c r="H6648" s="69">
        <v>-0.45</v>
      </c>
    </row>
    <row r="6649" spans="6:8">
      <c r="F6649" s="68" t="s">
        <v>315</v>
      </c>
      <c r="G6649" s="67" t="s">
        <v>402</v>
      </c>
      <c r="H6649" s="69">
        <v>-0.3</v>
      </c>
    </row>
    <row r="6650" spans="6:8">
      <c r="F6650" s="68" t="s">
        <v>253</v>
      </c>
      <c r="G6650" s="67" t="s">
        <v>402</v>
      </c>
      <c r="H6650" s="69">
        <v>0.37</v>
      </c>
    </row>
    <row r="6651" spans="6:8">
      <c r="F6651" s="68" t="s">
        <v>127</v>
      </c>
      <c r="G6651" s="67" t="s">
        <v>402</v>
      </c>
      <c r="H6651" s="69">
        <v>-0.15</v>
      </c>
    </row>
    <row r="6652" spans="6:8">
      <c r="F6652" s="68" t="s">
        <v>126</v>
      </c>
      <c r="G6652" s="67" t="s">
        <v>402</v>
      </c>
      <c r="H6652" s="69">
        <v>-0.45</v>
      </c>
    </row>
    <row r="6653" spans="6:8">
      <c r="F6653" s="68" t="s">
        <v>125</v>
      </c>
      <c r="G6653" s="67" t="s">
        <v>402</v>
      </c>
      <c r="H6653" s="69">
        <v>-0.5</v>
      </c>
    </row>
    <row r="6654" spans="6:8">
      <c r="F6654" s="68" t="s">
        <v>314</v>
      </c>
      <c r="G6654" s="67" t="s">
        <v>402</v>
      </c>
      <c r="H6654" s="69">
        <v>-0.45</v>
      </c>
    </row>
    <row r="6655" spans="6:8">
      <c r="F6655" s="68" t="s">
        <v>252</v>
      </c>
      <c r="G6655" s="67" t="s">
        <v>402</v>
      </c>
      <c r="H6655" s="69">
        <v>0.26</v>
      </c>
    </row>
    <row r="6656" spans="6:8">
      <c r="F6656" s="68" t="s">
        <v>124</v>
      </c>
      <c r="G6656" s="67" t="s">
        <v>402</v>
      </c>
      <c r="H6656" s="69">
        <v>-0.4</v>
      </c>
    </row>
    <row r="6657" spans="6:8">
      <c r="F6657" s="68" t="s">
        <v>123</v>
      </c>
      <c r="G6657" s="67" t="s">
        <v>402</v>
      </c>
      <c r="H6657" s="69">
        <v>-0.5</v>
      </c>
    </row>
    <row r="6658" spans="6:8">
      <c r="F6658" s="68" t="s">
        <v>122</v>
      </c>
      <c r="G6658" s="67" t="s">
        <v>402</v>
      </c>
      <c r="H6658" s="69">
        <v>-0.6</v>
      </c>
    </row>
    <row r="6659" spans="6:8">
      <c r="F6659" s="68" t="s">
        <v>251</v>
      </c>
      <c r="G6659" s="67" t="s">
        <v>402</v>
      </c>
      <c r="H6659" s="69">
        <v>0.2</v>
      </c>
    </row>
    <row r="6660" spans="6:8">
      <c r="F6660" s="68" t="s">
        <v>121</v>
      </c>
      <c r="G6660" s="67" t="s">
        <v>402</v>
      </c>
      <c r="H6660" s="69">
        <v>-0.55000000000000004</v>
      </c>
    </row>
    <row r="6661" spans="6:8">
      <c r="F6661" s="68" t="s">
        <v>120</v>
      </c>
      <c r="G6661" s="67" t="s">
        <v>402</v>
      </c>
      <c r="H6661" s="69">
        <v>-0.45</v>
      </c>
    </row>
    <row r="6662" spans="6:8">
      <c r="F6662" s="68" t="s">
        <v>119</v>
      </c>
      <c r="G6662" s="67" t="s">
        <v>402</v>
      </c>
      <c r="H6662" s="69">
        <v>-0.65</v>
      </c>
    </row>
    <row r="6663" spans="6:8">
      <c r="F6663" s="68" t="s">
        <v>119</v>
      </c>
      <c r="G6663" s="67" t="s">
        <v>403</v>
      </c>
      <c r="H6663" s="69">
        <v>-0.7</v>
      </c>
    </row>
    <row r="6664" spans="6:8">
      <c r="F6664" s="68" t="s">
        <v>120</v>
      </c>
      <c r="G6664" s="67" t="s">
        <v>403</v>
      </c>
      <c r="H6664" s="69">
        <v>-0.45</v>
      </c>
    </row>
    <row r="6665" spans="6:8">
      <c r="F6665" s="68" t="s">
        <v>121</v>
      </c>
      <c r="G6665" s="67" t="s">
        <v>403</v>
      </c>
      <c r="H6665" s="69">
        <v>-0.6</v>
      </c>
    </row>
    <row r="6666" spans="6:8">
      <c r="F6666" s="68" t="s">
        <v>251</v>
      </c>
      <c r="G6666" s="67" t="s">
        <v>403</v>
      </c>
      <c r="H6666" s="69">
        <v>0.2</v>
      </c>
    </row>
    <row r="6667" spans="6:8">
      <c r="F6667" s="68" t="s">
        <v>122</v>
      </c>
      <c r="G6667" s="67" t="s">
        <v>403</v>
      </c>
      <c r="H6667" s="69">
        <v>-0.65</v>
      </c>
    </row>
    <row r="6668" spans="6:8">
      <c r="F6668" s="68" t="s">
        <v>123</v>
      </c>
      <c r="G6668" s="67" t="s">
        <v>403</v>
      </c>
      <c r="H6668" s="69">
        <v>-0.5</v>
      </c>
    </row>
    <row r="6669" spans="6:8">
      <c r="F6669" s="68" t="s">
        <v>124</v>
      </c>
      <c r="G6669" s="67" t="s">
        <v>403</v>
      </c>
      <c r="H6669" s="69">
        <v>-0.45</v>
      </c>
    </row>
    <row r="6670" spans="6:8">
      <c r="F6670" s="68" t="s">
        <v>252</v>
      </c>
      <c r="G6670" s="67" t="s">
        <v>403</v>
      </c>
      <c r="H6670" s="69">
        <v>0.25</v>
      </c>
    </row>
    <row r="6671" spans="6:8">
      <c r="F6671" s="68" t="s">
        <v>314</v>
      </c>
      <c r="G6671" s="67" t="s">
        <v>403</v>
      </c>
      <c r="H6671" s="69">
        <v>-0.5</v>
      </c>
    </row>
    <row r="6672" spans="6:8">
      <c r="F6672" s="68" t="s">
        <v>125</v>
      </c>
      <c r="G6672" s="67" t="s">
        <v>403</v>
      </c>
      <c r="H6672" s="69">
        <v>-0.55000000000000004</v>
      </c>
    </row>
    <row r="6673" spans="6:8">
      <c r="F6673" s="68" t="s">
        <v>126</v>
      </c>
      <c r="G6673" s="67" t="s">
        <v>403</v>
      </c>
      <c r="H6673" s="69">
        <v>-0.45</v>
      </c>
    </row>
    <row r="6674" spans="6:8">
      <c r="F6674" s="68" t="s">
        <v>127</v>
      </c>
      <c r="G6674" s="67" t="s">
        <v>403</v>
      </c>
      <c r="H6674" s="69">
        <v>-0.15</v>
      </c>
    </row>
    <row r="6675" spans="6:8">
      <c r="F6675" s="68" t="s">
        <v>253</v>
      </c>
      <c r="G6675" s="67" t="s">
        <v>403</v>
      </c>
      <c r="H6675" s="69">
        <v>0.36</v>
      </c>
    </row>
    <row r="6676" spans="6:8">
      <c r="F6676" s="68" t="s">
        <v>315</v>
      </c>
      <c r="G6676" s="67" t="s">
        <v>403</v>
      </c>
      <c r="H6676" s="69">
        <v>-0.35</v>
      </c>
    </row>
    <row r="6677" spans="6:8">
      <c r="F6677" s="68" t="s">
        <v>128</v>
      </c>
      <c r="G6677" s="67" t="s">
        <v>403</v>
      </c>
      <c r="H6677" s="69">
        <v>-0.45</v>
      </c>
    </row>
    <row r="6678" spans="6:8">
      <c r="F6678" s="68" t="s">
        <v>129</v>
      </c>
      <c r="G6678" s="67" t="s">
        <v>403</v>
      </c>
      <c r="H6678" s="69">
        <v>-0.25</v>
      </c>
    </row>
    <row r="6679" spans="6:8">
      <c r="F6679" s="68" t="s">
        <v>254</v>
      </c>
      <c r="G6679" s="67" t="s">
        <v>403</v>
      </c>
      <c r="H6679" s="69">
        <v>0.53</v>
      </c>
    </row>
    <row r="6680" spans="6:8">
      <c r="F6680" s="68" t="s">
        <v>304</v>
      </c>
      <c r="G6680" s="67" t="s">
        <v>403</v>
      </c>
      <c r="H6680" s="69">
        <v>15.59375</v>
      </c>
    </row>
    <row r="6681" spans="6:8">
      <c r="F6681" s="68" t="s">
        <v>130</v>
      </c>
      <c r="G6681" s="67" t="s">
        <v>403</v>
      </c>
      <c r="H6681" s="69">
        <v>-0.65</v>
      </c>
    </row>
    <row r="6682" spans="6:8">
      <c r="F6682" s="68" t="s">
        <v>131</v>
      </c>
      <c r="G6682" s="67" t="s">
        <v>403</v>
      </c>
      <c r="H6682" s="69">
        <v>-0.3</v>
      </c>
    </row>
    <row r="6683" spans="6:8">
      <c r="F6683" s="68" t="s">
        <v>255</v>
      </c>
      <c r="G6683" s="67" t="s">
        <v>403</v>
      </c>
      <c r="H6683" s="69">
        <v>0.73</v>
      </c>
    </row>
    <row r="6684" spans="6:8">
      <c r="F6684" s="68" t="s">
        <v>303</v>
      </c>
      <c r="G6684" s="67" t="s">
        <v>403</v>
      </c>
      <c r="H6684" s="69">
        <v>17.53125</v>
      </c>
    </row>
    <row r="6685" spans="6:8">
      <c r="F6685" s="68" t="s">
        <v>132</v>
      </c>
      <c r="G6685" s="67" t="s">
        <v>403</v>
      </c>
      <c r="H6685" s="69">
        <v>-0.65</v>
      </c>
    </row>
    <row r="6686" spans="6:8">
      <c r="F6686" s="68" t="s">
        <v>133</v>
      </c>
      <c r="G6686" s="67" t="s">
        <v>403</v>
      </c>
      <c r="H6686" s="69">
        <v>-0.3</v>
      </c>
    </row>
    <row r="6687" spans="6:8">
      <c r="F6687" s="68" t="s">
        <v>256</v>
      </c>
      <c r="G6687" s="67" t="s">
        <v>403</v>
      </c>
      <c r="H6687" s="69">
        <v>0.9</v>
      </c>
    </row>
    <row r="6688" spans="6:8">
      <c r="F6688" s="68" t="s">
        <v>134</v>
      </c>
      <c r="G6688" s="67" t="s">
        <v>403</v>
      </c>
      <c r="H6688" s="69">
        <v>-0.65</v>
      </c>
    </row>
    <row r="6689" spans="6:8">
      <c r="F6689" s="68" t="s">
        <v>135</v>
      </c>
      <c r="G6689" s="67" t="s">
        <v>403</v>
      </c>
      <c r="H6689" s="69">
        <v>-0.35</v>
      </c>
    </row>
    <row r="6690" spans="6:8">
      <c r="F6690" s="68" t="s">
        <v>257</v>
      </c>
      <c r="G6690" s="67" t="s">
        <v>403</v>
      </c>
      <c r="H6690" s="69">
        <v>1.05</v>
      </c>
    </row>
    <row r="6691" spans="6:8">
      <c r="F6691" s="68" t="s">
        <v>258</v>
      </c>
      <c r="G6691" s="67" t="s">
        <v>403</v>
      </c>
      <c r="H6691" s="69">
        <v>0.1</v>
      </c>
    </row>
    <row r="6692" spans="6:8">
      <c r="F6692" s="68" t="s">
        <v>136</v>
      </c>
      <c r="G6692" s="67" t="s">
        <v>403</v>
      </c>
      <c r="H6692" s="69">
        <v>-0.7</v>
      </c>
    </row>
    <row r="6693" spans="6:8">
      <c r="F6693" s="68" t="s">
        <v>137</v>
      </c>
      <c r="G6693" s="67" t="s">
        <v>403</v>
      </c>
      <c r="H6693" s="69">
        <v>-0.45</v>
      </c>
    </row>
    <row r="6694" spans="6:8">
      <c r="F6694" s="68" t="s">
        <v>138</v>
      </c>
      <c r="G6694" s="67" t="s">
        <v>403</v>
      </c>
      <c r="H6694" s="69">
        <v>-0.6</v>
      </c>
    </row>
    <row r="6695" spans="6:8">
      <c r="F6695" s="68" t="s">
        <v>259</v>
      </c>
      <c r="G6695" s="67" t="s">
        <v>403</v>
      </c>
      <c r="H6695" s="69">
        <v>0.15</v>
      </c>
    </row>
    <row r="6696" spans="6:8">
      <c r="F6696" s="68" t="s">
        <v>259</v>
      </c>
      <c r="G6696" s="67" t="s">
        <v>404</v>
      </c>
      <c r="H6696" s="69">
        <v>0.15</v>
      </c>
    </row>
    <row r="6697" spans="6:8">
      <c r="F6697" s="68" t="s">
        <v>138</v>
      </c>
      <c r="G6697" s="67" t="s">
        <v>404</v>
      </c>
      <c r="H6697" s="69">
        <v>-0.6</v>
      </c>
    </row>
    <row r="6698" spans="6:8">
      <c r="F6698" s="68" t="s">
        <v>137</v>
      </c>
      <c r="G6698" s="67" t="s">
        <v>404</v>
      </c>
      <c r="H6698" s="69">
        <v>-0.45</v>
      </c>
    </row>
    <row r="6699" spans="6:8">
      <c r="F6699" s="68" t="s">
        <v>136</v>
      </c>
      <c r="G6699" s="67" t="s">
        <v>404</v>
      </c>
      <c r="H6699" s="69">
        <v>-0.7</v>
      </c>
    </row>
    <row r="6700" spans="6:8">
      <c r="F6700" s="68" t="s">
        <v>258</v>
      </c>
      <c r="G6700" s="67" t="s">
        <v>404</v>
      </c>
      <c r="H6700" s="69">
        <v>0.1</v>
      </c>
    </row>
    <row r="6701" spans="6:8">
      <c r="F6701" s="68" t="s">
        <v>257</v>
      </c>
      <c r="G6701" s="67" t="s">
        <v>404</v>
      </c>
      <c r="H6701" s="69">
        <v>1.05</v>
      </c>
    </row>
    <row r="6702" spans="6:8">
      <c r="F6702" s="68" t="s">
        <v>135</v>
      </c>
      <c r="G6702" s="67" t="s">
        <v>404</v>
      </c>
      <c r="H6702" s="69">
        <v>-0.35</v>
      </c>
    </row>
    <row r="6703" spans="6:8">
      <c r="F6703" s="68" t="s">
        <v>134</v>
      </c>
      <c r="G6703" s="67" t="s">
        <v>404</v>
      </c>
      <c r="H6703" s="69">
        <v>-0.65</v>
      </c>
    </row>
    <row r="6704" spans="6:8">
      <c r="F6704" s="68" t="s">
        <v>256</v>
      </c>
      <c r="G6704" s="67" t="s">
        <v>404</v>
      </c>
      <c r="H6704" s="69">
        <v>0.9</v>
      </c>
    </row>
    <row r="6705" spans="6:8">
      <c r="F6705" s="68" t="s">
        <v>133</v>
      </c>
      <c r="G6705" s="67" t="s">
        <v>404</v>
      </c>
      <c r="H6705" s="69">
        <v>-0.3</v>
      </c>
    </row>
    <row r="6706" spans="6:8">
      <c r="F6706" s="68" t="s">
        <v>132</v>
      </c>
      <c r="G6706" s="67" t="s">
        <v>404</v>
      </c>
      <c r="H6706" s="69">
        <v>-0.65</v>
      </c>
    </row>
    <row r="6707" spans="6:8">
      <c r="F6707" s="68" t="s">
        <v>303</v>
      </c>
      <c r="G6707" s="67" t="s">
        <v>404</v>
      </c>
      <c r="H6707" s="69">
        <v>17.5625</v>
      </c>
    </row>
    <row r="6708" spans="6:8">
      <c r="F6708" s="68" t="s">
        <v>255</v>
      </c>
      <c r="G6708" s="67" t="s">
        <v>404</v>
      </c>
      <c r="H6708" s="69">
        <v>0.73</v>
      </c>
    </row>
    <row r="6709" spans="6:8">
      <c r="F6709" s="68" t="s">
        <v>131</v>
      </c>
      <c r="G6709" s="67" t="s">
        <v>404</v>
      </c>
      <c r="H6709" s="69">
        <v>-0.3</v>
      </c>
    </row>
    <row r="6710" spans="6:8">
      <c r="F6710" s="68" t="s">
        <v>130</v>
      </c>
      <c r="G6710" s="67" t="s">
        <v>404</v>
      </c>
      <c r="H6710" s="69">
        <v>-0.65</v>
      </c>
    </row>
    <row r="6711" spans="6:8">
      <c r="F6711" s="68" t="s">
        <v>304</v>
      </c>
      <c r="G6711" s="67" t="s">
        <v>404</v>
      </c>
      <c r="H6711" s="69">
        <v>15.625</v>
      </c>
    </row>
    <row r="6712" spans="6:8">
      <c r="F6712" s="68" t="s">
        <v>254</v>
      </c>
      <c r="G6712" s="67" t="s">
        <v>404</v>
      </c>
      <c r="H6712" s="69">
        <v>0.53</v>
      </c>
    </row>
    <row r="6713" spans="6:8">
      <c r="F6713" s="68" t="s">
        <v>129</v>
      </c>
      <c r="G6713" s="67" t="s">
        <v>404</v>
      </c>
      <c r="H6713" s="69">
        <v>-0.25</v>
      </c>
    </row>
    <row r="6714" spans="6:8">
      <c r="F6714" s="68" t="s">
        <v>128</v>
      </c>
      <c r="G6714" s="67" t="s">
        <v>404</v>
      </c>
      <c r="H6714" s="69">
        <v>-0.45</v>
      </c>
    </row>
    <row r="6715" spans="6:8">
      <c r="F6715" s="68" t="s">
        <v>315</v>
      </c>
      <c r="G6715" s="67" t="s">
        <v>404</v>
      </c>
      <c r="H6715" s="69">
        <v>-0.35</v>
      </c>
    </row>
    <row r="6716" spans="6:8">
      <c r="F6716" s="68" t="s">
        <v>253</v>
      </c>
      <c r="G6716" s="67" t="s">
        <v>404</v>
      </c>
      <c r="H6716" s="69">
        <v>0.36</v>
      </c>
    </row>
    <row r="6717" spans="6:8">
      <c r="F6717" s="68" t="s">
        <v>127</v>
      </c>
      <c r="G6717" s="67" t="s">
        <v>404</v>
      </c>
      <c r="H6717" s="69">
        <v>-0.15</v>
      </c>
    </row>
    <row r="6718" spans="6:8">
      <c r="F6718" s="68" t="s">
        <v>126</v>
      </c>
      <c r="G6718" s="67" t="s">
        <v>404</v>
      </c>
      <c r="H6718" s="69">
        <v>-0.45</v>
      </c>
    </row>
    <row r="6719" spans="6:8">
      <c r="F6719" s="68" t="s">
        <v>125</v>
      </c>
      <c r="G6719" s="67" t="s">
        <v>404</v>
      </c>
      <c r="H6719" s="69">
        <v>-0.55000000000000004</v>
      </c>
    </row>
    <row r="6720" spans="6:8">
      <c r="F6720" s="68" t="s">
        <v>314</v>
      </c>
      <c r="G6720" s="67" t="s">
        <v>404</v>
      </c>
      <c r="H6720" s="69">
        <v>-0.5</v>
      </c>
    </row>
    <row r="6721" spans="6:8">
      <c r="F6721" s="68" t="s">
        <v>252</v>
      </c>
      <c r="G6721" s="67" t="s">
        <v>404</v>
      </c>
      <c r="H6721" s="69">
        <v>0.25</v>
      </c>
    </row>
    <row r="6722" spans="6:8">
      <c r="F6722" s="68" t="s">
        <v>124</v>
      </c>
      <c r="G6722" s="67" t="s">
        <v>404</v>
      </c>
      <c r="H6722" s="69">
        <v>-0.45</v>
      </c>
    </row>
    <row r="6723" spans="6:8">
      <c r="F6723" s="68" t="s">
        <v>123</v>
      </c>
      <c r="G6723" s="67" t="s">
        <v>404</v>
      </c>
      <c r="H6723" s="69">
        <v>-0.5</v>
      </c>
    </row>
    <row r="6724" spans="6:8">
      <c r="F6724" s="68" t="s">
        <v>122</v>
      </c>
      <c r="G6724" s="67" t="s">
        <v>404</v>
      </c>
      <c r="H6724" s="69">
        <v>-0.65</v>
      </c>
    </row>
    <row r="6725" spans="6:8">
      <c r="F6725" s="68" t="s">
        <v>251</v>
      </c>
      <c r="G6725" s="67" t="s">
        <v>404</v>
      </c>
      <c r="H6725" s="69">
        <v>0.2</v>
      </c>
    </row>
    <row r="6726" spans="6:8">
      <c r="F6726" s="68" t="s">
        <v>121</v>
      </c>
      <c r="G6726" s="67" t="s">
        <v>404</v>
      </c>
      <c r="H6726" s="69">
        <v>-0.6</v>
      </c>
    </row>
    <row r="6727" spans="6:8">
      <c r="F6727" s="68" t="s">
        <v>120</v>
      </c>
      <c r="G6727" s="67" t="s">
        <v>404</v>
      </c>
      <c r="H6727" s="69">
        <v>-0.45</v>
      </c>
    </row>
    <row r="6728" spans="6:8">
      <c r="F6728" s="68" t="s">
        <v>119</v>
      </c>
      <c r="G6728" s="67" t="s">
        <v>404</v>
      </c>
      <c r="H6728" s="69">
        <v>-0.7</v>
      </c>
    </row>
    <row r="6729" spans="6:8">
      <c r="F6729" s="68" t="s">
        <v>119</v>
      </c>
      <c r="G6729" s="67" t="s">
        <v>405</v>
      </c>
      <c r="H6729" s="69">
        <v>-0.7</v>
      </c>
    </row>
    <row r="6730" spans="6:8">
      <c r="F6730" s="68" t="s">
        <v>120</v>
      </c>
      <c r="G6730" s="67" t="s">
        <v>405</v>
      </c>
      <c r="H6730" s="69">
        <v>-0.45</v>
      </c>
    </row>
    <row r="6731" spans="6:8">
      <c r="F6731" s="68" t="s">
        <v>121</v>
      </c>
      <c r="G6731" s="67" t="s">
        <v>405</v>
      </c>
      <c r="H6731" s="69">
        <v>-0.6</v>
      </c>
    </row>
    <row r="6732" spans="6:8">
      <c r="F6732" s="68" t="s">
        <v>251</v>
      </c>
      <c r="G6732" s="67" t="s">
        <v>405</v>
      </c>
      <c r="H6732" s="69">
        <v>0.2</v>
      </c>
    </row>
    <row r="6733" spans="6:8">
      <c r="F6733" s="68" t="s">
        <v>122</v>
      </c>
      <c r="G6733" s="67" t="s">
        <v>405</v>
      </c>
      <c r="H6733" s="69">
        <v>-0.65</v>
      </c>
    </row>
    <row r="6734" spans="6:8">
      <c r="F6734" s="68" t="s">
        <v>123</v>
      </c>
      <c r="G6734" s="67" t="s">
        <v>405</v>
      </c>
      <c r="H6734" s="69">
        <v>-0.5</v>
      </c>
    </row>
    <row r="6735" spans="6:8">
      <c r="F6735" s="68" t="s">
        <v>124</v>
      </c>
      <c r="G6735" s="67" t="s">
        <v>405</v>
      </c>
      <c r="H6735" s="69">
        <v>-0.45</v>
      </c>
    </row>
    <row r="6736" spans="6:8">
      <c r="F6736" s="68" t="s">
        <v>252</v>
      </c>
      <c r="G6736" s="67" t="s">
        <v>405</v>
      </c>
      <c r="H6736" s="69">
        <v>0.25</v>
      </c>
    </row>
    <row r="6737" spans="6:8">
      <c r="F6737" s="68" t="s">
        <v>314</v>
      </c>
      <c r="G6737" s="67" t="s">
        <v>405</v>
      </c>
      <c r="H6737" s="69">
        <v>-0.5</v>
      </c>
    </row>
    <row r="6738" spans="6:8">
      <c r="F6738" s="68" t="s">
        <v>125</v>
      </c>
      <c r="G6738" s="67" t="s">
        <v>405</v>
      </c>
      <c r="H6738" s="69">
        <v>-0.55000000000000004</v>
      </c>
    </row>
    <row r="6739" spans="6:8">
      <c r="F6739" s="68" t="s">
        <v>126</v>
      </c>
      <c r="G6739" s="67" t="s">
        <v>405</v>
      </c>
      <c r="H6739" s="69">
        <v>-0.45</v>
      </c>
    </row>
    <row r="6740" spans="6:8">
      <c r="F6740" s="68" t="s">
        <v>127</v>
      </c>
      <c r="G6740" s="67" t="s">
        <v>405</v>
      </c>
      <c r="H6740" s="69">
        <v>-0.15</v>
      </c>
    </row>
    <row r="6741" spans="6:8">
      <c r="F6741" s="68" t="s">
        <v>253</v>
      </c>
      <c r="G6741" s="67" t="s">
        <v>405</v>
      </c>
      <c r="H6741" s="69">
        <v>0.36</v>
      </c>
    </row>
    <row r="6742" spans="6:8">
      <c r="F6742" s="68" t="s">
        <v>315</v>
      </c>
      <c r="G6742" s="67" t="s">
        <v>405</v>
      </c>
      <c r="H6742" s="69">
        <v>-0.35</v>
      </c>
    </row>
    <row r="6743" spans="6:8">
      <c r="F6743" s="68" t="s">
        <v>128</v>
      </c>
      <c r="G6743" s="67" t="s">
        <v>405</v>
      </c>
      <c r="H6743" s="69">
        <v>-0.45</v>
      </c>
    </row>
    <row r="6744" spans="6:8">
      <c r="F6744" s="68" t="s">
        <v>129</v>
      </c>
      <c r="G6744" s="67" t="s">
        <v>405</v>
      </c>
      <c r="H6744" s="69">
        <v>-0.25</v>
      </c>
    </row>
    <row r="6745" spans="6:8">
      <c r="F6745" s="68" t="s">
        <v>254</v>
      </c>
      <c r="G6745" s="67" t="s">
        <v>405</v>
      </c>
      <c r="H6745" s="69">
        <v>0.53</v>
      </c>
    </row>
    <row r="6746" spans="6:8">
      <c r="F6746" s="68" t="s">
        <v>304</v>
      </c>
      <c r="G6746" s="67" t="s">
        <v>405</v>
      </c>
      <c r="H6746" s="69">
        <v>15.625</v>
      </c>
    </row>
    <row r="6747" spans="6:8">
      <c r="F6747" s="68" t="s">
        <v>130</v>
      </c>
      <c r="G6747" s="67" t="s">
        <v>405</v>
      </c>
      <c r="H6747" s="69">
        <v>-0.65</v>
      </c>
    </row>
    <row r="6748" spans="6:8">
      <c r="F6748" s="68" t="s">
        <v>131</v>
      </c>
      <c r="G6748" s="67" t="s">
        <v>405</v>
      </c>
      <c r="H6748" s="69">
        <v>-0.3</v>
      </c>
    </row>
    <row r="6749" spans="6:8">
      <c r="F6749" s="68" t="s">
        <v>255</v>
      </c>
      <c r="G6749" s="67" t="s">
        <v>405</v>
      </c>
      <c r="H6749" s="69">
        <v>0.73</v>
      </c>
    </row>
    <row r="6750" spans="6:8">
      <c r="F6750" s="68" t="s">
        <v>303</v>
      </c>
      <c r="G6750" s="67" t="s">
        <v>405</v>
      </c>
      <c r="H6750" s="69">
        <v>17.5625</v>
      </c>
    </row>
    <row r="6751" spans="6:8">
      <c r="F6751" s="68" t="s">
        <v>132</v>
      </c>
      <c r="G6751" s="67" t="s">
        <v>405</v>
      </c>
      <c r="H6751" s="69">
        <v>-0.65</v>
      </c>
    </row>
    <row r="6752" spans="6:8">
      <c r="F6752" s="68" t="s">
        <v>133</v>
      </c>
      <c r="G6752" s="67" t="s">
        <v>405</v>
      </c>
      <c r="H6752" s="69">
        <v>-0.3</v>
      </c>
    </row>
    <row r="6753" spans="6:8">
      <c r="F6753" s="68" t="s">
        <v>256</v>
      </c>
      <c r="G6753" s="67" t="s">
        <v>405</v>
      </c>
      <c r="H6753" s="69">
        <v>0.9</v>
      </c>
    </row>
    <row r="6754" spans="6:8">
      <c r="F6754" s="68" t="s">
        <v>134</v>
      </c>
      <c r="G6754" s="67" t="s">
        <v>405</v>
      </c>
      <c r="H6754" s="69">
        <v>-0.65</v>
      </c>
    </row>
    <row r="6755" spans="6:8">
      <c r="F6755" s="68" t="s">
        <v>135</v>
      </c>
      <c r="G6755" s="67" t="s">
        <v>405</v>
      </c>
      <c r="H6755" s="69">
        <v>-0.35</v>
      </c>
    </row>
    <row r="6756" spans="6:8">
      <c r="F6756" s="68" t="s">
        <v>257</v>
      </c>
      <c r="G6756" s="67" t="s">
        <v>405</v>
      </c>
      <c r="H6756" s="69">
        <v>1.05</v>
      </c>
    </row>
    <row r="6757" spans="6:8">
      <c r="F6757" s="68" t="s">
        <v>258</v>
      </c>
      <c r="G6757" s="67" t="s">
        <v>405</v>
      </c>
      <c r="H6757" s="69">
        <v>0.1</v>
      </c>
    </row>
    <row r="6758" spans="6:8">
      <c r="F6758" s="68" t="s">
        <v>136</v>
      </c>
      <c r="G6758" s="67" t="s">
        <v>405</v>
      </c>
      <c r="H6758" s="69">
        <v>-0.7</v>
      </c>
    </row>
    <row r="6759" spans="6:8">
      <c r="F6759" s="68" t="s">
        <v>137</v>
      </c>
      <c r="G6759" s="67" t="s">
        <v>405</v>
      </c>
      <c r="H6759" s="69">
        <v>-0.45</v>
      </c>
    </row>
    <row r="6760" spans="6:8">
      <c r="F6760" s="68" t="s">
        <v>138</v>
      </c>
      <c r="G6760" s="67" t="s">
        <v>405</v>
      </c>
      <c r="H6760" s="69">
        <v>-0.6</v>
      </c>
    </row>
    <row r="6761" spans="6:8">
      <c r="F6761" s="68" t="s">
        <v>259</v>
      </c>
      <c r="G6761" s="67" t="s">
        <v>405</v>
      </c>
      <c r="H6761" s="69">
        <v>0.15</v>
      </c>
    </row>
    <row r="6762" spans="6:8">
      <c r="F6762" s="68" t="s">
        <v>259</v>
      </c>
      <c r="G6762" s="67" t="s">
        <v>406</v>
      </c>
      <c r="H6762" s="69">
        <v>0.15</v>
      </c>
    </row>
    <row r="6763" spans="6:8">
      <c r="F6763" s="68" t="s">
        <v>138</v>
      </c>
      <c r="G6763" s="67" t="s">
        <v>406</v>
      </c>
      <c r="H6763" s="69">
        <v>-0.5</v>
      </c>
    </row>
    <row r="6764" spans="6:8">
      <c r="F6764" s="68" t="s">
        <v>137</v>
      </c>
      <c r="G6764" s="67" t="s">
        <v>406</v>
      </c>
      <c r="H6764" s="69">
        <v>-0.5</v>
      </c>
    </row>
    <row r="6765" spans="6:8">
      <c r="F6765" s="68" t="s">
        <v>136</v>
      </c>
      <c r="G6765" s="67" t="s">
        <v>406</v>
      </c>
      <c r="H6765" s="69">
        <v>-0.7</v>
      </c>
    </row>
    <row r="6766" spans="6:8">
      <c r="F6766" s="68" t="s">
        <v>258</v>
      </c>
      <c r="G6766" s="67" t="s">
        <v>406</v>
      </c>
      <c r="H6766" s="69">
        <v>0.1</v>
      </c>
    </row>
    <row r="6767" spans="6:8">
      <c r="F6767" s="68" t="s">
        <v>257</v>
      </c>
      <c r="G6767" s="67" t="s">
        <v>406</v>
      </c>
      <c r="H6767" s="69">
        <v>1.06</v>
      </c>
    </row>
    <row r="6768" spans="6:8">
      <c r="F6768" s="68" t="s">
        <v>135</v>
      </c>
      <c r="G6768" s="67" t="s">
        <v>406</v>
      </c>
      <c r="H6768" s="69">
        <v>-0.35</v>
      </c>
    </row>
    <row r="6769" spans="6:8">
      <c r="F6769" s="68" t="s">
        <v>134</v>
      </c>
      <c r="G6769" s="67" t="s">
        <v>406</v>
      </c>
      <c r="H6769" s="69">
        <v>-0.6</v>
      </c>
    </row>
    <row r="6770" spans="6:8">
      <c r="F6770" s="68" t="s">
        <v>256</v>
      </c>
      <c r="G6770" s="67" t="s">
        <v>406</v>
      </c>
      <c r="H6770" s="69">
        <v>0.93</v>
      </c>
    </row>
    <row r="6771" spans="6:8">
      <c r="F6771" s="68" t="s">
        <v>133</v>
      </c>
      <c r="G6771" s="67" t="s">
        <v>406</v>
      </c>
      <c r="H6771" s="69">
        <v>-0.35</v>
      </c>
    </row>
    <row r="6772" spans="6:8">
      <c r="F6772" s="68" t="s">
        <v>132</v>
      </c>
      <c r="G6772" s="67" t="s">
        <v>406</v>
      </c>
      <c r="H6772" s="69">
        <v>-0.6</v>
      </c>
    </row>
    <row r="6773" spans="6:8">
      <c r="F6773" s="68" t="s">
        <v>303</v>
      </c>
      <c r="G6773" s="67" t="s">
        <v>406</v>
      </c>
      <c r="H6773" s="69">
        <v>17.5</v>
      </c>
    </row>
    <row r="6774" spans="6:8">
      <c r="F6774" s="68" t="s">
        <v>255</v>
      </c>
      <c r="G6774" s="67" t="s">
        <v>406</v>
      </c>
      <c r="H6774" s="69">
        <v>0.76</v>
      </c>
    </row>
    <row r="6775" spans="6:8">
      <c r="F6775" s="68" t="s">
        <v>131</v>
      </c>
      <c r="G6775" s="67" t="s">
        <v>406</v>
      </c>
      <c r="H6775" s="69">
        <v>-0.3</v>
      </c>
    </row>
    <row r="6776" spans="6:8">
      <c r="F6776" s="68" t="s">
        <v>130</v>
      </c>
      <c r="G6776" s="67" t="s">
        <v>406</v>
      </c>
      <c r="H6776" s="69">
        <v>-0.65</v>
      </c>
    </row>
    <row r="6777" spans="6:8">
      <c r="F6777" s="68" t="s">
        <v>304</v>
      </c>
      <c r="G6777" s="67" t="s">
        <v>406</v>
      </c>
      <c r="H6777" s="69">
        <v>15.6875</v>
      </c>
    </row>
    <row r="6778" spans="6:8">
      <c r="F6778" s="68" t="s">
        <v>254</v>
      </c>
      <c r="G6778" s="67" t="s">
        <v>406</v>
      </c>
      <c r="H6778" s="69">
        <v>0.57999999999999996</v>
      </c>
    </row>
    <row r="6779" spans="6:8">
      <c r="F6779" s="68" t="s">
        <v>129</v>
      </c>
      <c r="G6779" s="67" t="s">
        <v>406</v>
      </c>
      <c r="H6779" s="69">
        <v>-0.25</v>
      </c>
    </row>
    <row r="6780" spans="6:8">
      <c r="F6780" s="68" t="s">
        <v>128</v>
      </c>
      <c r="G6780" s="67" t="s">
        <v>406</v>
      </c>
      <c r="H6780" s="69">
        <v>-0.45</v>
      </c>
    </row>
    <row r="6781" spans="6:8">
      <c r="F6781" s="68" t="s">
        <v>315</v>
      </c>
      <c r="G6781" s="67" t="s">
        <v>406</v>
      </c>
      <c r="H6781" s="69">
        <v>-0.25</v>
      </c>
    </row>
    <row r="6782" spans="6:8">
      <c r="F6782" s="68" t="s">
        <v>253</v>
      </c>
      <c r="G6782" s="67" t="s">
        <v>406</v>
      </c>
      <c r="H6782" s="69">
        <v>0.4</v>
      </c>
    </row>
    <row r="6783" spans="6:8">
      <c r="F6783" s="68" t="s">
        <v>127</v>
      </c>
      <c r="G6783" s="67" t="s">
        <v>406</v>
      </c>
      <c r="H6783" s="69">
        <v>-0.15</v>
      </c>
    </row>
    <row r="6784" spans="6:8">
      <c r="F6784" s="68" t="s">
        <v>126</v>
      </c>
      <c r="G6784" s="67" t="s">
        <v>406</v>
      </c>
      <c r="H6784" s="69">
        <v>-0.5</v>
      </c>
    </row>
    <row r="6785" spans="6:8">
      <c r="F6785" s="68" t="s">
        <v>125</v>
      </c>
      <c r="G6785" s="67" t="s">
        <v>406</v>
      </c>
      <c r="H6785" s="69">
        <v>-0.5</v>
      </c>
    </row>
    <row r="6786" spans="6:8">
      <c r="F6786" s="68" t="s">
        <v>314</v>
      </c>
      <c r="G6786" s="67" t="s">
        <v>406</v>
      </c>
      <c r="H6786" s="69">
        <v>-0.4</v>
      </c>
    </row>
    <row r="6787" spans="6:8">
      <c r="F6787" s="68" t="s">
        <v>252</v>
      </c>
      <c r="G6787" s="67" t="s">
        <v>406</v>
      </c>
      <c r="H6787" s="69">
        <v>0.28000000000000003</v>
      </c>
    </row>
    <row r="6788" spans="6:8">
      <c r="F6788" s="68" t="s">
        <v>124</v>
      </c>
      <c r="G6788" s="67" t="s">
        <v>406</v>
      </c>
      <c r="H6788" s="69">
        <v>-0.45</v>
      </c>
    </row>
    <row r="6789" spans="6:8">
      <c r="F6789" s="68" t="s">
        <v>123</v>
      </c>
      <c r="G6789" s="67" t="s">
        <v>406</v>
      </c>
      <c r="H6789" s="69">
        <v>-0.6</v>
      </c>
    </row>
    <row r="6790" spans="6:8">
      <c r="F6790" s="68" t="s">
        <v>122</v>
      </c>
      <c r="G6790" s="67" t="s">
        <v>406</v>
      </c>
      <c r="H6790" s="69">
        <v>-0.65</v>
      </c>
    </row>
    <row r="6791" spans="6:8">
      <c r="F6791" s="68" t="s">
        <v>251</v>
      </c>
      <c r="G6791" s="67" t="s">
        <v>406</v>
      </c>
      <c r="H6791" s="69">
        <v>0.21</v>
      </c>
    </row>
    <row r="6792" spans="6:8">
      <c r="F6792" s="68" t="s">
        <v>121</v>
      </c>
      <c r="G6792" s="67" t="s">
        <v>406</v>
      </c>
      <c r="H6792" s="69">
        <v>-0.55000000000000004</v>
      </c>
    </row>
    <row r="6793" spans="6:8">
      <c r="F6793" s="68" t="s">
        <v>120</v>
      </c>
      <c r="G6793" s="67" t="s">
        <v>406</v>
      </c>
      <c r="H6793" s="69">
        <v>-0.45</v>
      </c>
    </row>
    <row r="6794" spans="6:8">
      <c r="F6794" s="68" t="s">
        <v>119</v>
      </c>
      <c r="G6794" s="67" t="s">
        <v>406</v>
      </c>
      <c r="H6794" s="69">
        <v>-0.65</v>
      </c>
    </row>
    <row r="6795" spans="6:8">
      <c r="F6795" s="68" t="s">
        <v>119</v>
      </c>
      <c r="G6795" s="67" t="s">
        <v>407</v>
      </c>
      <c r="H6795" s="69">
        <v>-0.65</v>
      </c>
    </row>
    <row r="6796" spans="6:8">
      <c r="F6796" s="68" t="s">
        <v>120</v>
      </c>
      <c r="G6796" s="67" t="s">
        <v>407</v>
      </c>
      <c r="H6796" s="69">
        <v>-0.45</v>
      </c>
    </row>
    <row r="6797" spans="6:8">
      <c r="F6797" s="68" t="s">
        <v>121</v>
      </c>
      <c r="G6797" s="67" t="s">
        <v>407</v>
      </c>
      <c r="H6797" s="69">
        <v>-0.55000000000000004</v>
      </c>
    </row>
    <row r="6798" spans="6:8">
      <c r="F6798" s="68" t="s">
        <v>251</v>
      </c>
      <c r="G6798" s="67" t="s">
        <v>407</v>
      </c>
      <c r="H6798" s="69">
        <v>0.21</v>
      </c>
    </row>
    <row r="6799" spans="6:8">
      <c r="F6799" s="68" t="s">
        <v>122</v>
      </c>
      <c r="G6799" s="67" t="s">
        <v>407</v>
      </c>
      <c r="H6799" s="69">
        <v>-0.65</v>
      </c>
    </row>
    <row r="6800" spans="6:8">
      <c r="F6800" s="68" t="s">
        <v>123</v>
      </c>
      <c r="G6800" s="67" t="s">
        <v>407</v>
      </c>
      <c r="H6800" s="69">
        <v>-0.6</v>
      </c>
    </row>
    <row r="6801" spans="6:8">
      <c r="F6801" s="68" t="s">
        <v>124</v>
      </c>
      <c r="G6801" s="67" t="s">
        <v>407</v>
      </c>
      <c r="H6801" s="69">
        <v>-0.45</v>
      </c>
    </row>
    <row r="6802" spans="6:8">
      <c r="F6802" s="68" t="s">
        <v>252</v>
      </c>
      <c r="G6802" s="67" t="s">
        <v>407</v>
      </c>
      <c r="H6802" s="69">
        <v>0.28000000000000003</v>
      </c>
    </row>
    <row r="6803" spans="6:8">
      <c r="F6803" s="68" t="s">
        <v>314</v>
      </c>
      <c r="G6803" s="67" t="s">
        <v>407</v>
      </c>
      <c r="H6803" s="69">
        <v>-0.4</v>
      </c>
    </row>
    <row r="6804" spans="6:8">
      <c r="F6804" s="68" t="s">
        <v>125</v>
      </c>
      <c r="G6804" s="67" t="s">
        <v>407</v>
      </c>
      <c r="H6804" s="69">
        <v>-0.5</v>
      </c>
    </row>
    <row r="6805" spans="6:8">
      <c r="F6805" s="68" t="s">
        <v>126</v>
      </c>
      <c r="G6805" s="67" t="s">
        <v>407</v>
      </c>
      <c r="H6805" s="69">
        <v>-0.5</v>
      </c>
    </row>
    <row r="6806" spans="6:8">
      <c r="F6806" s="68" t="s">
        <v>127</v>
      </c>
      <c r="G6806" s="67" t="s">
        <v>407</v>
      </c>
      <c r="H6806" s="69">
        <v>-0.15</v>
      </c>
    </row>
    <row r="6807" spans="6:8">
      <c r="F6807" s="68" t="s">
        <v>253</v>
      </c>
      <c r="G6807" s="67" t="s">
        <v>407</v>
      </c>
      <c r="H6807" s="69">
        <v>0.4</v>
      </c>
    </row>
    <row r="6808" spans="6:8">
      <c r="F6808" s="68" t="s">
        <v>315</v>
      </c>
      <c r="G6808" s="67" t="s">
        <v>407</v>
      </c>
      <c r="H6808" s="69">
        <v>-0.25</v>
      </c>
    </row>
    <row r="6809" spans="6:8">
      <c r="F6809" s="68" t="s">
        <v>128</v>
      </c>
      <c r="G6809" s="67" t="s">
        <v>407</v>
      </c>
      <c r="H6809" s="69">
        <v>-0.45</v>
      </c>
    </row>
    <row r="6810" spans="6:8">
      <c r="F6810" s="68" t="s">
        <v>129</v>
      </c>
      <c r="G6810" s="67" t="s">
        <v>407</v>
      </c>
      <c r="H6810" s="69">
        <v>-0.25</v>
      </c>
    </row>
    <row r="6811" spans="6:8">
      <c r="F6811" s="68" t="s">
        <v>254</v>
      </c>
      <c r="G6811" s="67" t="s">
        <v>407</v>
      </c>
      <c r="H6811" s="69">
        <v>0.57999999999999996</v>
      </c>
    </row>
    <row r="6812" spans="6:8">
      <c r="F6812" s="68" t="s">
        <v>304</v>
      </c>
      <c r="G6812" s="67" t="s">
        <v>407</v>
      </c>
      <c r="H6812" s="69">
        <v>15.75</v>
      </c>
    </row>
    <row r="6813" spans="6:8">
      <c r="F6813" s="68" t="s">
        <v>130</v>
      </c>
      <c r="G6813" s="67" t="s">
        <v>407</v>
      </c>
      <c r="H6813" s="69">
        <v>-0.65</v>
      </c>
    </row>
    <row r="6814" spans="6:8">
      <c r="F6814" s="68" t="s">
        <v>131</v>
      </c>
      <c r="G6814" s="67" t="s">
        <v>407</v>
      </c>
      <c r="H6814" s="69">
        <v>-0.3</v>
      </c>
    </row>
    <row r="6815" spans="6:8">
      <c r="F6815" s="68" t="s">
        <v>255</v>
      </c>
      <c r="G6815" s="67" t="s">
        <v>407</v>
      </c>
      <c r="H6815" s="69">
        <v>0.76</v>
      </c>
    </row>
    <row r="6816" spans="6:8">
      <c r="F6816" s="68" t="s">
        <v>303</v>
      </c>
      <c r="G6816" s="67" t="s">
        <v>407</v>
      </c>
      <c r="H6816" s="69">
        <v>17.625</v>
      </c>
    </row>
    <row r="6817" spans="6:8">
      <c r="F6817" s="68" t="s">
        <v>132</v>
      </c>
      <c r="G6817" s="67" t="s">
        <v>407</v>
      </c>
      <c r="H6817" s="69">
        <v>-0.6</v>
      </c>
    </row>
    <row r="6818" spans="6:8">
      <c r="F6818" s="68" t="s">
        <v>133</v>
      </c>
      <c r="G6818" s="67" t="s">
        <v>407</v>
      </c>
      <c r="H6818" s="69">
        <v>-0.35</v>
      </c>
    </row>
    <row r="6819" spans="6:8">
      <c r="F6819" s="68" t="s">
        <v>256</v>
      </c>
      <c r="G6819" s="67" t="s">
        <v>407</v>
      </c>
      <c r="H6819" s="69">
        <v>0.93</v>
      </c>
    </row>
    <row r="6820" spans="6:8">
      <c r="F6820" s="68" t="s">
        <v>134</v>
      </c>
      <c r="G6820" s="67" t="s">
        <v>407</v>
      </c>
      <c r="H6820" s="69">
        <v>-0.6</v>
      </c>
    </row>
    <row r="6821" spans="6:8">
      <c r="F6821" s="68" t="s">
        <v>135</v>
      </c>
      <c r="G6821" s="67" t="s">
        <v>407</v>
      </c>
      <c r="H6821" s="69">
        <v>-0.35</v>
      </c>
    </row>
    <row r="6822" spans="6:8">
      <c r="F6822" s="68" t="s">
        <v>257</v>
      </c>
      <c r="G6822" s="67" t="s">
        <v>407</v>
      </c>
      <c r="H6822" s="69">
        <v>1.06</v>
      </c>
    </row>
    <row r="6823" spans="6:8">
      <c r="F6823" s="68" t="s">
        <v>258</v>
      </c>
      <c r="G6823" s="67" t="s">
        <v>407</v>
      </c>
      <c r="H6823" s="69">
        <v>0.1</v>
      </c>
    </row>
    <row r="6824" spans="6:8">
      <c r="F6824" s="68" t="s">
        <v>136</v>
      </c>
      <c r="G6824" s="67" t="s">
        <v>407</v>
      </c>
      <c r="H6824" s="69">
        <v>-0.7</v>
      </c>
    </row>
    <row r="6825" spans="6:8">
      <c r="F6825" s="68" t="s">
        <v>137</v>
      </c>
      <c r="G6825" s="67" t="s">
        <v>407</v>
      </c>
      <c r="H6825" s="69">
        <v>-0.5</v>
      </c>
    </row>
    <row r="6826" spans="6:8">
      <c r="F6826" s="68" t="s">
        <v>138</v>
      </c>
      <c r="G6826" s="67" t="s">
        <v>407</v>
      </c>
      <c r="H6826" s="69">
        <v>-0.5</v>
      </c>
    </row>
    <row r="6827" spans="6:8">
      <c r="F6827" s="68" t="s">
        <v>259</v>
      </c>
      <c r="G6827" s="67" t="s">
        <v>407</v>
      </c>
      <c r="H6827" s="69">
        <v>0.15</v>
      </c>
    </row>
    <row r="6828" spans="6:8">
      <c r="F6828" s="68" t="s">
        <v>259</v>
      </c>
      <c r="G6828" s="67" t="s">
        <v>408</v>
      </c>
      <c r="H6828" s="69">
        <v>0.18</v>
      </c>
    </row>
    <row r="6829" spans="6:8">
      <c r="F6829" s="68" t="s">
        <v>138</v>
      </c>
      <c r="G6829" s="67" t="s">
        <v>408</v>
      </c>
      <c r="H6829" s="69">
        <v>-0.5</v>
      </c>
    </row>
    <row r="6830" spans="6:8">
      <c r="F6830" s="68" t="s">
        <v>137</v>
      </c>
      <c r="G6830" s="67" t="s">
        <v>408</v>
      </c>
      <c r="H6830" s="69">
        <v>-0.5</v>
      </c>
    </row>
    <row r="6831" spans="6:8">
      <c r="F6831" s="68" t="s">
        <v>136</v>
      </c>
      <c r="G6831" s="67" t="s">
        <v>408</v>
      </c>
      <c r="H6831" s="69">
        <v>-0.55000000000000004</v>
      </c>
    </row>
    <row r="6832" spans="6:8">
      <c r="F6832" s="68" t="s">
        <v>258</v>
      </c>
      <c r="G6832" s="67" t="s">
        <v>408</v>
      </c>
      <c r="H6832" s="69">
        <v>0.13</v>
      </c>
    </row>
    <row r="6833" spans="6:8">
      <c r="F6833" s="68" t="s">
        <v>257</v>
      </c>
      <c r="G6833" s="67" t="s">
        <v>408</v>
      </c>
      <c r="H6833" s="69">
        <v>1.1000000000000001</v>
      </c>
    </row>
    <row r="6834" spans="6:8">
      <c r="F6834" s="68" t="s">
        <v>135</v>
      </c>
      <c r="G6834" s="67" t="s">
        <v>408</v>
      </c>
      <c r="H6834" s="69">
        <v>-0.35</v>
      </c>
    </row>
    <row r="6835" spans="6:8">
      <c r="F6835" s="68" t="s">
        <v>134</v>
      </c>
      <c r="G6835" s="67" t="s">
        <v>408</v>
      </c>
      <c r="H6835" s="69">
        <v>-0.45</v>
      </c>
    </row>
    <row r="6836" spans="6:8">
      <c r="F6836" s="68" t="s">
        <v>256</v>
      </c>
      <c r="G6836" s="67" t="s">
        <v>408</v>
      </c>
      <c r="H6836" s="69">
        <v>1</v>
      </c>
    </row>
    <row r="6837" spans="6:8">
      <c r="F6837" s="68" t="s">
        <v>133</v>
      </c>
      <c r="G6837" s="67" t="s">
        <v>408</v>
      </c>
      <c r="H6837" s="69">
        <v>-0.35</v>
      </c>
    </row>
    <row r="6838" spans="6:8">
      <c r="F6838" s="68" t="s">
        <v>132</v>
      </c>
      <c r="G6838" s="67" t="s">
        <v>408</v>
      </c>
      <c r="H6838" s="69">
        <v>-0.45</v>
      </c>
    </row>
    <row r="6839" spans="6:8">
      <c r="F6839" s="68" t="s">
        <v>303</v>
      </c>
      <c r="G6839" s="67" t="s">
        <v>408</v>
      </c>
      <c r="H6839" s="69">
        <v>17.8125</v>
      </c>
    </row>
    <row r="6840" spans="6:8">
      <c r="F6840" s="68" t="s">
        <v>255</v>
      </c>
      <c r="G6840" s="67" t="s">
        <v>408</v>
      </c>
      <c r="H6840" s="69">
        <v>0.86</v>
      </c>
    </row>
    <row r="6841" spans="6:8">
      <c r="F6841" s="68" t="s">
        <v>131</v>
      </c>
      <c r="G6841" s="67" t="s">
        <v>408</v>
      </c>
      <c r="H6841" s="69">
        <v>-0.3</v>
      </c>
    </row>
    <row r="6842" spans="6:8">
      <c r="F6842" s="68" t="s">
        <v>130</v>
      </c>
      <c r="G6842" s="67" t="s">
        <v>408</v>
      </c>
      <c r="H6842" s="69">
        <v>-0.5</v>
      </c>
    </row>
    <row r="6843" spans="6:8">
      <c r="F6843" s="68" t="s">
        <v>304</v>
      </c>
      <c r="G6843" s="67" t="s">
        <v>408</v>
      </c>
      <c r="H6843" s="69">
        <v>16.0625</v>
      </c>
    </row>
    <row r="6844" spans="6:8">
      <c r="F6844" s="68" t="s">
        <v>254</v>
      </c>
      <c r="G6844" s="67" t="s">
        <v>408</v>
      </c>
      <c r="H6844" s="69">
        <v>0.68</v>
      </c>
    </row>
    <row r="6845" spans="6:8">
      <c r="F6845" s="68" t="s">
        <v>129</v>
      </c>
      <c r="G6845" s="67" t="s">
        <v>408</v>
      </c>
      <c r="H6845" s="69">
        <v>-0.25</v>
      </c>
    </row>
    <row r="6846" spans="6:8">
      <c r="F6846" s="68" t="s">
        <v>128</v>
      </c>
      <c r="G6846" s="67" t="s">
        <v>408</v>
      </c>
      <c r="H6846" s="69">
        <v>-0.45</v>
      </c>
    </row>
    <row r="6847" spans="6:8">
      <c r="F6847" s="68" t="s">
        <v>315</v>
      </c>
      <c r="G6847" s="67" t="s">
        <v>408</v>
      </c>
      <c r="H6847" s="69">
        <v>-0.1</v>
      </c>
    </row>
    <row r="6848" spans="6:8">
      <c r="F6848" s="68" t="s">
        <v>253</v>
      </c>
      <c r="G6848" s="67" t="s">
        <v>408</v>
      </c>
      <c r="H6848" s="69">
        <v>0.5</v>
      </c>
    </row>
    <row r="6849" spans="6:8">
      <c r="F6849" s="68" t="s">
        <v>127</v>
      </c>
      <c r="G6849" s="67" t="s">
        <v>408</v>
      </c>
      <c r="H6849" s="69">
        <v>-0.15</v>
      </c>
    </row>
    <row r="6850" spans="6:8">
      <c r="F6850" s="68" t="s">
        <v>126</v>
      </c>
      <c r="G6850" s="67" t="s">
        <v>408</v>
      </c>
      <c r="H6850" s="69">
        <v>-0.5</v>
      </c>
    </row>
    <row r="6851" spans="6:8">
      <c r="F6851" s="68" t="s">
        <v>125</v>
      </c>
      <c r="G6851" s="67" t="s">
        <v>408</v>
      </c>
      <c r="H6851" s="69">
        <v>-0.35</v>
      </c>
    </row>
    <row r="6852" spans="6:8">
      <c r="F6852" s="68" t="s">
        <v>314</v>
      </c>
      <c r="G6852" s="67" t="s">
        <v>408</v>
      </c>
      <c r="H6852" s="69">
        <v>-0.25</v>
      </c>
    </row>
    <row r="6853" spans="6:8">
      <c r="F6853" s="68" t="s">
        <v>252</v>
      </c>
      <c r="G6853" s="67" t="s">
        <v>408</v>
      </c>
      <c r="H6853" s="69">
        <v>0.38</v>
      </c>
    </row>
    <row r="6854" spans="6:8">
      <c r="F6854" s="68" t="s">
        <v>124</v>
      </c>
      <c r="G6854" s="67" t="s">
        <v>408</v>
      </c>
      <c r="H6854" s="69">
        <v>-0.3</v>
      </c>
    </row>
    <row r="6855" spans="6:8">
      <c r="F6855" s="68" t="s">
        <v>123</v>
      </c>
      <c r="G6855" s="67" t="s">
        <v>408</v>
      </c>
      <c r="H6855" s="69">
        <v>-0.6</v>
      </c>
    </row>
    <row r="6856" spans="6:8">
      <c r="F6856" s="68" t="s">
        <v>122</v>
      </c>
      <c r="G6856" s="67" t="s">
        <v>408</v>
      </c>
      <c r="H6856" s="69">
        <v>-0.5</v>
      </c>
    </row>
    <row r="6857" spans="6:8">
      <c r="F6857" s="68" t="s">
        <v>251</v>
      </c>
      <c r="G6857" s="67" t="s">
        <v>408</v>
      </c>
      <c r="H6857" s="69">
        <v>0.28000000000000003</v>
      </c>
    </row>
    <row r="6858" spans="6:8">
      <c r="F6858" s="68" t="s">
        <v>121</v>
      </c>
      <c r="G6858" s="67" t="s">
        <v>408</v>
      </c>
      <c r="H6858" s="69">
        <v>-0.4</v>
      </c>
    </row>
    <row r="6859" spans="6:8">
      <c r="F6859" s="68" t="s">
        <v>120</v>
      </c>
      <c r="G6859" s="67" t="s">
        <v>408</v>
      </c>
      <c r="H6859" s="69">
        <v>-0.45</v>
      </c>
    </row>
    <row r="6860" spans="6:8">
      <c r="F6860" s="68" t="s">
        <v>119</v>
      </c>
      <c r="G6860" s="67" t="s">
        <v>408</v>
      </c>
      <c r="H6860" s="69">
        <v>-0.5</v>
      </c>
    </row>
    <row r="6861" spans="6:8">
      <c r="F6861" s="68" t="s">
        <v>119</v>
      </c>
      <c r="G6861" s="67" t="s">
        <v>409</v>
      </c>
      <c r="H6861" s="69">
        <v>-0.55000000000000004</v>
      </c>
    </row>
    <row r="6862" spans="6:8">
      <c r="F6862" s="68" t="s">
        <v>120</v>
      </c>
      <c r="G6862" s="67" t="s">
        <v>409</v>
      </c>
      <c r="H6862" s="69">
        <v>-0.45</v>
      </c>
    </row>
    <row r="6863" spans="6:8">
      <c r="F6863" s="68" t="s">
        <v>121</v>
      </c>
      <c r="G6863" s="67" t="s">
        <v>409</v>
      </c>
      <c r="H6863" s="69">
        <v>-0.45</v>
      </c>
    </row>
    <row r="6864" spans="6:8">
      <c r="F6864" s="68" t="s">
        <v>251</v>
      </c>
      <c r="G6864" s="67" t="s">
        <v>409</v>
      </c>
      <c r="H6864" s="69">
        <v>0.27</v>
      </c>
    </row>
    <row r="6865" spans="6:8">
      <c r="F6865" s="68" t="s">
        <v>122</v>
      </c>
      <c r="G6865" s="67" t="s">
        <v>409</v>
      </c>
      <c r="H6865" s="69">
        <v>-0.55000000000000004</v>
      </c>
    </row>
    <row r="6866" spans="6:8">
      <c r="F6866" s="68" t="s">
        <v>123</v>
      </c>
      <c r="G6866" s="67" t="s">
        <v>409</v>
      </c>
      <c r="H6866" s="69">
        <v>-0.6</v>
      </c>
    </row>
    <row r="6867" spans="6:8">
      <c r="F6867" s="68" t="s">
        <v>124</v>
      </c>
      <c r="G6867" s="67" t="s">
        <v>409</v>
      </c>
      <c r="H6867" s="69">
        <v>-0.35</v>
      </c>
    </row>
    <row r="6868" spans="6:8">
      <c r="F6868" s="68" t="s">
        <v>252</v>
      </c>
      <c r="G6868" s="67" t="s">
        <v>409</v>
      </c>
      <c r="H6868" s="69">
        <v>0.37</v>
      </c>
    </row>
    <row r="6869" spans="6:8">
      <c r="F6869" s="68" t="s">
        <v>314</v>
      </c>
      <c r="G6869" s="67" t="s">
        <v>409</v>
      </c>
      <c r="H6869" s="69">
        <v>-0.3</v>
      </c>
    </row>
    <row r="6870" spans="6:8">
      <c r="F6870" s="68" t="s">
        <v>125</v>
      </c>
      <c r="G6870" s="67" t="s">
        <v>409</v>
      </c>
      <c r="H6870" s="69">
        <v>-0.4</v>
      </c>
    </row>
    <row r="6871" spans="6:8">
      <c r="F6871" s="68" t="s">
        <v>126</v>
      </c>
      <c r="G6871" s="67" t="s">
        <v>409</v>
      </c>
      <c r="H6871" s="69">
        <v>-0.55000000000000004</v>
      </c>
    </row>
    <row r="6872" spans="6:8">
      <c r="F6872" s="68" t="s">
        <v>127</v>
      </c>
      <c r="G6872" s="67" t="s">
        <v>409</v>
      </c>
      <c r="H6872" s="69">
        <v>-0.15</v>
      </c>
    </row>
    <row r="6873" spans="6:8">
      <c r="F6873" s="68" t="s">
        <v>253</v>
      </c>
      <c r="G6873" s="67" t="s">
        <v>409</v>
      </c>
      <c r="H6873" s="69">
        <v>0.49</v>
      </c>
    </row>
    <row r="6874" spans="6:8">
      <c r="F6874" s="68" t="s">
        <v>315</v>
      </c>
      <c r="G6874" s="67" t="s">
        <v>409</v>
      </c>
      <c r="H6874" s="69">
        <v>-0.15</v>
      </c>
    </row>
    <row r="6875" spans="6:8">
      <c r="F6875" s="68" t="s">
        <v>128</v>
      </c>
      <c r="G6875" s="67" t="s">
        <v>409</v>
      </c>
      <c r="H6875" s="69">
        <v>-0.5</v>
      </c>
    </row>
    <row r="6876" spans="6:8">
      <c r="F6876" s="68" t="s">
        <v>129</v>
      </c>
      <c r="G6876" s="67" t="s">
        <v>409</v>
      </c>
      <c r="H6876" s="69">
        <v>-0.25</v>
      </c>
    </row>
    <row r="6877" spans="6:8">
      <c r="F6877" s="68" t="s">
        <v>254</v>
      </c>
      <c r="G6877" s="67" t="s">
        <v>409</v>
      </c>
      <c r="H6877" s="69">
        <v>0.66</v>
      </c>
    </row>
    <row r="6878" spans="6:8">
      <c r="F6878" s="68" t="s">
        <v>304</v>
      </c>
      <c r="G6878" s="67" t="s">
        <v>409</v>
      </c>
      <c r="H6878" s="69">
        <v>16.0625</v>
      </c>
    </row>
    <row r="6879" spans="6:8">
      <c r="F6879" s="68" t="s">
        <v>130</v>
      </c>
      <c r="G6879" s="67" t="s">
        <v>409</v>
      </c>
      <c r="H6879" s="69">
        <v>-0.55000000000000004</v>
      </c>
    </row>
    <row r="6880" spans="6:8">
      <c r="F6880" s="68" t="s">
        <v>131</v>
      </c>
      <c r="G6880" s="67" t="s">
        <v>409</v>
      </c>
      <c r="H6880" s="69">
        <v>-0.3</v>
      </c>
    </row>
    <row r="6881" spans="6:8">
      <c r="F6881" s="68" t="s">
        <v>255</v>
      </c>
      <c r="G6881" s="67" t="s">
        <v>409</v>
      </c>
      <c r="H6881" s="69">
        <v>0.84</v>
      </c>
    </row>
    <row r="6882" spans="6:8">
      <c r="F6882" s="68" t="s">
        <v>303</v>
      </c>
      <c r="G6882" s="67" t="s">
        <v>409</v>
      </c>
      <c r="H6882" s="69">
        <v>17.8125</v>
      </c>
    </row>
    <row r="6883" spans="6:8">
      <c r="F6883" s="68" t="s">
        <v>132</v>
      </c>
      <c r="G6883" s="67" t="s">
        <v>409</v>
      </c>
      <c r="H6883" s="69">
        <v>-0.5</v>
      </c>
    </row>
    <row r="6884" spans="6:8">
      <c r="F6884" s="68" t="s">
        <v>133</v>
      </c>
      <c r="G6884" s="67" t="s">
        <v>409</v>
      </c>
      <c r="H6884" s="69">
        <v>-0.35</v>
      </c>
    </row>
    <row r="6885" spans="6:8">
      <c r="F6885" s="68" t="s">
        <v>256</v>
      </c>
      <c r="G6885" s="67" t="s">
        <v>409</v>
      </c>
      <c r="H6885" s="69">
        <v>0.98</v>
      </c>
    </row>
    <row r="6886" spans="6:8">
      <c r="F6886" s="68" t="s">
        <v>134</v>
      </c>
      <c r="G6886" s="67" t="s">
        <v>409</v>
      </c>
      <c r="H6886" s="69">
        <v>-0.5</v>
      </c>
    </row>
    <row r="6887" spans="6:8">
      <c r="F6887" s="68" t="s">
        <v>135</v>
      </c>
      <c r="G6887" s="67" t="s">
        <v>409</v>
      </c>
      <c r="H6887" s="69">
        <v>-0.35</v>
      </c>
    </row>
    <row r="6888" spans="6:8">
      <c r="F6888" s="68" t="s">
        <v>257</v>
      </c>
      <c r="G6888" s="67" t="s">
        <v>409</v>
      </c>
      <c r="H6888" s="69">
        <v>1.08</v>
      </c>
    </row>
    <row r="6889" spans="6:8">
      <c r="F6889" s="68" t="s">
        <v>258</v>
      </c>
      <c r="G6889" s="67" t="s">
        <v>409</v>
      </c>
      <c r="H6889" s="69">
        <v>0.13</v>
      </c>
    </row>
    <row r="6890" spans="6:8">
      <c r="F6890" s="68" t="s">
        <v>136</v>
      </c>
      <c r="G6890" s="67" t="s">
        <v>409</v>
      </c>
      <c r="H6890" s="69">
        <v>-0.6</v>
      </c>
    </row>
    <row r="6891" spans="6:8">
      <c r="F6891" s="68" t="s">
        <v>137</v>
      </c>
      <c r="G6891" s="67" t="s">
        <v>409</v>
      </c>
      <c r="H6891" s="69">
        <v>-0.5</v>
      </c>
    </row>
    <row r="6892" spans="6:8">
      <c r="F6892" s="68" t="s">
        <v>138</v>
      </c>
      <c r="G6892" s="67" t="s">
        <v>409</v>
      </c>
      <c r="H6892" s="69">
        <v>-0.5</v>
      </c>
    </row>
    <row r="6893" spans="6:8">
      <c r="F6893" s="68" t="s">
        <v>259</v>
      </c>
      <c r="G6893" s="67" t="s">
        <v>409</v>
      </c>
      <c r="H6893" s="69">
        <v>0.18</v>
      </c>
    </row>
    <row r="6894" spans="6:8">
      <c r="F6894" s="68" t="s">
        <v>259</v>
      </c>
      <c r="G6894" s="67" t="s">
        <v>410</v>
      </c>
      <c r="H6894" s="69">
        <v>0.18</v>
      </c>
    </row>
    <row r="6895" spans="6:8">
      <c r="F6895" s="68" t="s">
        <v>138</v>
      </c>
      <c r="G6895" s="67" t="s">
        <v>410</v>
      </c>
      <c r="H6895" s="69">
        <v>-0.5</v>
      </c>
    </row>
    <row r="6896" spans="6:8">
      <c r="F6896" s="68" t="s">
        <v>137</v>
      </c>
      <c r="G6896" s="67" t="s">
        <v>410</v>
      </c>
      <c r="H6896" s="69">
        <v>-0.5</v>
      </c>
    </row>
    <row r="6897" spans="6:8">
      <c r="F6897" s="68" t="s">
        <v>136</v>
      </c>
      <c r="G6897" s="67" t="s">
        <v>410</v>
      </c>
      <c r="H6897" s="69">
        <v>-0.6</v>
      </c>
    </row>
    <row r="6898" spans="6:8">
      <c r="F6898" s="68" t="s">
        <v>258</v>
      </c>
      <c r="G6898" s="67" t="s">
        <v>410</v>
      </c>
      <c r="H6898" s="69">
        <v>0.13</v>
      </c>
    </row>
    <row r="6899" spans="6:8">
      <c r="F6899" s="68" t="s">
        <v>257</v>
      </c>
      <c r="G6899" s="67" t="s">
        <v>410</v>
      </c>
      <c r="H6899" s="69">
        <v>1.06</v>
      </c>
    </row>
    <row r="6900" spans="6:8">
      <c r="F6900" s="68" t="s">
        <v>135</v>
      </c>
      <c r="G6900" s="67" t="s">
        <v>410</v>
      </c>
      <c r="H6900" s="69">
        <v>-0.35</v>
      </c>
    </row>
    <row r="6901" spans="6:8">
      <c r="F6901" s="68" t="s">
        <v>134</v>
      </c>
      <c r="G6901" s="67" t="s">
        <v>410</v>
      </c>
      <c r="H6901" s="69">
        <v>-0.5</v>
      </c>
    </row>
    <row r="6902" spans="6:8">
      <c r="F6902" s="68" t="s">
        <v>256</v>
      </c>
      <c r="G6902" s="67" t="s">
        <v>410</v>
      </c>
      <c r="H6902" s="69">
        <v>0.96</v>
      </c>
    </row>
    <row r="6903" spans="6:8">
      <c r="F6903" s="68" t="s">
        <v>133</v>
      </c>
      <c r="G6903" s="67" t="s">
        <v>410</v>
      </c>
      <c r="H6903" s="69">
        <v>-0.35</v>
      </c>
    </row>
    <row r="6904" spans="6:8">
      <c r="F6904" s="68" t="s">
        <v>132</v>
      </c>
      <c r="G6904" s="67" t="s">
        <v>410</v>
      </c>
      <c r="H6904" s="69">
        <v>-0.5</v>
      </c>
    </row>
    <row r="6905" spans="6:8">
      <c r="F6905" s="68" t="s">
        <v>303</v>
      </c>
      <c r="G6905" s="67" t="s">
        <v>410</v>
      </c>
      <c r="H6905" s="69">
        <v>17.9375</v>
      </c>
    </row>
    <row r="6906" spans="6:8">
      <c r="F6906" s="68" t="s">
        <v>255</v>
      </c>
      <c r="G6906" s="67" t="s">
        <v>410</v>
      </c>
      <c r="H6906" s="69">
        <v>0.86</v>
      </c>
    </row>
    <row r="6907" spans="6:8">
      <c r="F6907" s="68" t="s">
        <v>131</v>
      </c>
      <c r="G6907" s="67" t="s">
        <v>410</v>
      </c>
      <c r="H6907" s="69">
        <v>-0.3</v>
      </c>
    </row>
    <row r="6908" spans="6:8">
      <c r="F6908" s="68" t="s">
        <v>130</v>
      </c>
      <c r="G6908" s="67" t="s">
        <v>410</v>
      </c>
      <c r="H6908" s="69">
        <v>-0.55000000000000004</v>
      </c>
    </row>
    <row r="6909" spans="6:8">
      <c r="F6909" s="68" t="s">
        <v>304</v>
      </c>
      <c r="G6909" s="67" t="s">
        <v>410</v>
      </c>
      <c r="H6909" s="69">
        <v>16.0625</v>
      </c>
    </row>
    <row r="6910" spans="6:8">
      <c r="F6910" s="68" t="s">
        <v>254</v>
      </c>
      <c r="G6910" s="67" t="s">
        <v>410</v>
      </c>
      <c r="H6910" s="69">
        <v>0.7</v>
      </c>
    </row>
    <row r="6911" spans="6:8">
      <c r="F6911" s="68" t="s">
        <v>129</v>
      </c>
      <c r="G6911" s="67" t="s">
        <v>410</v>
      </c>
      <c r="H6911" s="69">
        <v>-0.25</v>
      </c>
    </row>
    <row r="6912" spans="6:8">
      <c r="F6912" s="68" t="s">
        <v>128</v>
      </c>
      <c r="G6912" s="67" t="s">
        <v>410</v>
      </c>
      <c r="H6912" s="69">
        <v>-0.5</v>
      </c>
    </row>
    <row r="6913" spans="6:8">
      <c r="F6913" s="68" t="s">
        <v>315</v>
      </c>
      <c r="G6913" s="67" t="s">
        <v>410</v>
      </c>
      <c r="H6913" s="69">
        <v>-0.15</v>
      </c>
    </row>
    <row r="6914" spans="6:8">
      <c r="F6914" s="68" t="s">
        <v>253</v>
      </c>
      <c r="G6914" s="67" t="s">
        <v>410</v>
      </c>
      <c r="H6914" s="69">
        <v>0.49</v>
      </c>
    </row>
    <row r="6915" spans="6:8">
      <c r="F6915" s="68" t="s">
        <v>127</v>
      </c>
      <c r="G6915" s="67" t="s">
        <v>410</v>
      </c>
      <c r="H6915" s="69">
        <v>-0.15</v>
      </c>
    </row>
    <row r="6916" spans="6:8">
      <c r="F6916" s="68" t="s">
        <v>126</v>
      </c>
      <c r="G6916" s="67" t="s">
        <v>410</v>
      </c>
      <c r="H6916" s="69">
        <v>-0.55000000000000004</v>
      </c>
    </row>
    <row r="6917" spans="6:8">
      <c r="F6917" s="68" t="s">
        <v>125</v>
      </c>
      <c r="G6917" s="67" t="s">
        <v>410</v>
      </c>
      <c r="H6917" s="69">
        <v>-0.4</v>
      </c>
    </row>
    <row r="6918" spans="6:8">
      <c r="F6918" s="68" t="s">
        <v>314</v>
      </c>
      <c r="G6918" s="67" t="s">
        <v>410</v>
      </c>
      <c r="H6918" s="69">
        <v>-0.3</v>
      </c>
    </row>
    <row r="6919" spans="6:8">
      <c r="F6919" s="68" t="s">
        <v>252</v>
      </c>
      <c r="G6919" s="67" t="s">
        <v>410</v>
      </c>
      <c r="H6919" s="69">
        <v>0.38</v>
      </c>
    </row>
    <row r="6920" spans="6:8">
      <c r="F6920" s="68" t="s">
        <v>124</v>
      </c>
      <c r="G6920" s="67" t="s">
        <v>410</v>
      </c>
      <c r="H6920" s="69">
        <v>-0.35</v>
      </c>
    </row>
    <row r="6921" spans="6:8">
      <c r="F6921" s="68" t="s">
        <v>123</v>
      </c>
      <c r="G6921" s="67" t="s">
        <v>410</v>
      </c>
      <c r="H6921" s="69">
        <v>-0.6</v>
      </c>
    </row>
    <row r="6922" spans="6:8">
      <c r="F6922" s="68" t="s">
        <v>122</v>
      </c>
      <c r="G6922" s="67" t="s">
        <v>410</v>
      </c>
      <c r="H6922" s="69">
        <v>-0.55000000000000004</v>
      </c>
    </row>
    <row r="6923" spans="6:8">
      <c r="F6923" s="68" t="s">
        <v>251</v>
      </c>
      <c r="G6923" s="67" t="s">
        <v>410</v>
      </c>
      <c r="H6923" s="69">
        <v>0.25</v>
      </c>
    </row>
    <row r="6924" spans="6:8">
      <c r="F6924" s="68" t="s">
        <v>121</v>
      </c>
      <c r="G6924" s="67" t="s">
        <v>410</v>
      </c>
      <c r="H6924" s="69">
        <v>-0.45</v>
      </c>
    </row>
    <row r="6925" spans="6:8">
      <c r="F6925" s="68" t="s">
        <v>120</v>
      </c>
      <c r="G6925" s="67" t="s">
        <v>410</v>
      </c>
      <c r="H6925" s="69">
        <v>-0.45</v>
      </c>
    </row>
    <row r="6926" spans="6:8">
      <c r="F6926" s="68" t="s">
        <v>119</v>
      </c>
      <c r="G6926" s="67" t="s">
        <v>410</v>
      </c>
      <c r="H6926" s="69">
        <v>-0.55000000000000004</v>
      </c>
    </row>
    <row r="6927" spans="6:8">
      <c r="F6927" s="68" t="s">
        <v>119</v>
      </c>
      <c r="G6927" s="67" t="s">
        <v>411</v>
      </c>
      <c r="H6927" s="69">
        <v>-0.55000000000000004</v>
      </c>
    </row>
    <row r="6928" spans="6:8">
      <c r="F6928" s="68" t="s">
        <v>120</v>
      </c>
      <c r="G6928" s="67" t="s">
        <v>411</v>
      </c>
      <c r="H6928" s="69">
        <v>-0.45</v>
      </c>
    </row>
    <row r="6929" spans="6:8">
      <c r="F6929" s="68" t="s">
        <v>121</v>
      </c>
      <c r="G6929" s="67" t="s">
        <v>411</v>
      </c>
      <c r="H6929" s="69">
        <v>-0.45</v>
      </c>
    </row>
    <row r="6930" spans="6:8">
      <c r="F6930" s="68" t="s">
        <v>251</v>
      </c>
      <c r="G6930" s="67" t="s">
        <v>411</v>
      </c>
      <c r="H6930" s="69">
        <v>0.25</v>
      </c>
    </row>
    <row r="6931" spans="6:8">
      <c r="F6931" s="68" t="s">
        <v>122</v>
      </c>
      <c r="G6931" s="67" t="s">
        <v>411</v>
      </c>
      <c r="H6931" s="69">
        <v>-0.55000000000000004</v>
      </c>
    </row>
    <row r="6932" spans="6:8">
      <c r="F6932" s="68" t="s">
        <v>123</v>
      </c>
      <c r="G6932" s="67" t="s">
        <v>411</v>
      </c>
      <c r="H6932" s="69">
        <v>-0.6</v>
      </c>
    </row>
    <row r="6933" spans="6:8">
      <c r="F6933" s="68" t="s">
        <v>124</v>
      </c>
      <c r="G6933" s="67" t="s">
        <v>411</v>
      </c>
      <c r="H6933" s="69">
        <v>-0.35</v>
      </c>
    </row>
    <row r="6934" spans="6:8">
      <c r="F6934" s="68" t="s">
        <v>252</v>
      </c>
      <c r="G6934" s="67" t="s">
        <v>411</v>
      </c>
      <c r="H6934" s="69">
        <v>0.38</v>
      </c>
    </row>
    <row r="6935" spans="6:8">
      <c r="F6935" s="68" t="s">
        <v>314</v>
      </c>
      <c r="G6935" s="67" t="s">
        <v>411</v>
      </c>
      <c r="H6935" s="69">
        <v>-0.3</v>
      </c>
    </row>
    <row r="6936" spans="6:8">
      <c r="F6936" s="68" t="s">
        <v>125</v>
      </c>
      <c r="G6936" s="67" t="s">
        <v>411</v>
      </c>
      <c r="H6936" s="69">
        <v>-0.4</v>
      </c>
    </row>
    <row r="6937" spans="6:8">
      <c r="F6937" s="68" t="s">
        <v>126</v>
      </c>
      <c r="G6937" s="67" t="s">
        <v>411</v>
      </c>
      <c r="H6937" s="69">
        <v>-0.55000000000000004</v>
      </c>
    </row>
    <row r="6938" spans="6:8">
      <c r="F6938" s="68" t="s">
        <v>127</v>
      </c>
      <c r="G6938" s="67" t="s">
        <v>411</v>
      </c>
      <c r="H6938" s="69">
        <v>-0.15</v>
      </c>
    </row>
    <row r="6939" spans="6:8">
      <c r="F6939" s="68" t="s">
        <v>253</v>
      </c>
      <c r="G6939" s="67" t="s">
        <v>411</v>
      </c>
      <c r="H6939" s="69">
        <v>0.49</v>
      </c>
    </row>
    <row r="6940" spans="6:8">
      <c r="F6940" s="68" t="s">
        <v>315</v>
      </c>
      <c r="G6940" s="67" t="s">
        <v>411</v>
      </c>
      <c r="H6940" s="69">
        <v>-0.15</v>
      </c>
    </row>
    <row r="6941" spans="6:8">
      <c r="F6941" s="68" t="s">
        <v>128</v>
      </c>
      <c r="G6941" s="67" t="s">
        <v>411</v>
      </c>
      <c r="H6941" s="69">
        <v>-0.5</v>
      </c>
    </row>
    <row r="6942" spans="6:8">
      <c r="F6942" s="68" t="s">
        <v>129</v>
      </c>
      <c r="G6942" s="67" t="s">
        <v>411</v>
      </c>
      <c r="H6942" s="69">
        <v>-0.25</v>
      </c>
    </row>
    <row r="6943" spans="6:8">
      <c r="F6943" s="68" t="s">
        <v>254</v>
      </c>
      <c r="G6943" s="67" t="s">
        <v>411</v>
      </c>
      <c r="H6943" s="69">
        <v>0.7</v>
      </c>
    </row>
    <row r="6944" spans="6:8">
      <c r="F6944" s="68" t="s">
        <v>304</v>
      </c>
      <c r="G6944" s="67" t="s">
        <v>411</v>
      </c>
      <c r="H6944" s="69">
        <v>16.375</v>
      </c>
    </row>
    <row r="6945" spans="6:8">
      <c r="F6945" s="68" t="s">
        <v>130</v>
      </c>
      <c r="G6945" s="67" t="s">
        <v>411</v>
      </c>
      <c r="H6945" s="69">
        <v>-0.55000000000000004</v>
      </c>
    </row>
    <row r="6946" spans="6:8">
      <c r="F6946" s="68" t="s">
        <v>131</v>
      </c>
      <c r="G6946" s="67" t="s">
        <v>411</v>
      </c>
      <c r="H6946" s="69">
        <v>-0.3</v>
      </c>
    </row>
    <row r="6947" spans="6:8">
      <c r="F6947" s="68" t="s">
        <v>255</v>
      </c>
      <c r="G6947" s="67" t="s">
        <v>411</v>
      </c>
      <c r="H6947" s="69">
        <v>0.86</v>
      </c>
    </row>
    <row r="6948" spans="6:8">
      <c r="F6948" s="68" t="s">
        <v>303</v>
      </c>
      <c r="G6948" s="67" t="s">
        <v>411</v>
      </c>
      <c r="H6948" s="69">
        <v>18.0625</v>
      </c>
    </row>
    <row r="6949" spans="6:8">
      <c r="F6949" s="68" t="s">
        <v>132</v>
      </c>
      <c r="G6949" s="67" t="s">
        <v>411</v>
      </c>
      <c r="H6949" s="69">
        <v>-0.5</v>
      </c>
    </row>
    <row r="6950" spans="6:8">
      <c r="F6950" s="68" t="s">
        <v>133</v>
      </c>
      <c r="G6950" s="67" t="s">
        <v>411</v>
      </c>
      <c r="H6950" s="69">
        <v>-0.35</v>
      </c>
    </row>
    <row r="6951" spans="6:8">
      <c r="F6951" s="68" t="s">
        <v>256</v>
      </c>
      <c r="G6951" s="67" t="s">
        <v>411</v>
      </c>
      <c r="H6951" s="69">
        <v>0.96</v>
      </c>
    </row>
    <row r="6952" spans="6:8">
      <c r="F6952" s="68" t="s">
        <v>134</v>
      </c>
      <c r="G6952" s="67" t="s">
        <v>411</v>
      </c>
      <c r="H6952" s="69">
        <v>-0.5</v>
      </c>
    </row>
    <row r="6953" spans="6:8">
      <c r="F6953" s="68" t="s">
        <v>135</v>
      </c>
      <c r="G6953" s="67" t="s">
        <v>411</v>
      </c>
      <c r="H6953" s="69">
        <v>-0.35</v>
      </c>
    </row>
    <row r="6954" spans="6:8">
      <c r="F6954" s="68" t="s">
        <v>257</v>
      </c>
      <c r="G6954" s="67" t="s">
        <v>411</v>
      </c>
      <c r="H6954" s="69">
        <v>1.06</v>
      </c>
    </row>
    <row r="6955" spans="6:8">
      <c r="F6955" s="68" t="s">
        <v>258</v>
      </c>
      <c r="G6955" s="67" t="s">
        <v>411</v>
      </c>
      <c r="H6955" s="69">
        <v>0.13</v>
      </c>
    </row>
    <row r="6956" spans="6:8">
      <c r="F6956" s="68" t="s">
        <v>136</v>
      </c>
      <c r="G6956" s="67" t="s">
        <v>411</v>
      </c>
      <c r="H6956" s="69">
        <v>-0.6</v>
      </c>
    </row>
    <row r="6957" spans="6:8">
      <c r="F6957" s="68" t="s">
        <v>137</v>
      </c>
      <c r="G6957" s="67" t="s">
        <v>411</v>
      </c>
      <c r="H6957" s="69">
        <v>-0.5</v>
      </c>
    </row>
    <row r="6958" spans="6:8">
      <c r="F6958" s="68" t="s">
        <v>138</v>
      </c>
      <c r="G6958" s="67" t="s">
        <v>411</v>
      </c>
      <c r="H6958" s="69">
        <v>-0.5</v>
      </c>
    </row>
    <row r="6959" spans="6:8">
      <c r="F6959" s="68" t="s">
        <v>259</v>
      </c>
      <c r="G6959" s="67" t="s">
        <v>411</v>
      </c>
      <c r="H6959" s="69">
        <v>0.18</v>
      </c>
    </row>
    <row r="6960" spans="6:8">
      <c r="F6960" s="68" t="s">
        <v>259</v>
      </c>
      <c r="G6960" s="67" t="s">
        <v>412</v>
      </c>
      <c r="H6960" s="69">
        <v>0.18</v>
      </c>
    </row>
    <row r="6961" spans="6:8">
      <c r="F6961" s="68" t="s">
        <v>138</v>
      </c>
      <c r="G6961" s="67" t="s">
        <v>412</v>
      </c>
      <c r="H6961" s="69">
        <v>-0.55000000000000004</v>
      </c>
    </row>
    <row r="6962" spans="6:8">
      <c r="F6962" s="68" t="s">
        <v>137</v>
      </c>
      <c r="G6962" s="67" t="s">
        <v>412</v>
      </c>
      <c r="H6962" s="69">
        <v>-0.5</v>
      </c>
    </row>
    <row r="6963" spans="6:8">
      <c r="F6963" s="68" t="s">
        <v>136</v>
      </c>
      <c r="G6963" s="67" t="s">
        <v>412</v>
      </c>
      <c r="H6963" s="69">
        <v>-0.6</v>
      </c>
    </row>
    <row r="6964" spans="6:8">
      <c r="F6964" s="68" t="s">
        <v>258</v>
      </c>
      <c r="G6964" s="67" t="s">
        <v>412</v>
      </c>
      <c r="H6964" s="69">
        <v>0.13</v>
      </c>
    </row>
    <row r="6965" spans="6:8">
      <c r="F6965" s="68" t="s">
        <v>257</v>
      </c>
      <c r="G6965" s="67" t="s">
        <v>412</v>
      </c>
      <c r="H6965" s="69">
        <v>1.05</v>
      </c>
    </row>
    <row r="6966" spans="6:8">
      <c r="F6966" s="68" t="s">
        <v>135</v>
      </c>
      <c r="G6966" s="67" t="s">
        <v>412</v>
      </c>
      <c r="H6966" s="69">
        <v>-0.35</v>
      </c>
    </row>
    <row r="6967" spans="6:8">
      <c r="F6967" s="68" t="s">
        <v>134</v>
      </c>
      <c r="G6967" s="67" t="s">
        <v>412</v>
      </c>
      <c r="H6967" s="69">
        <v>-0.55000000000000004</v>
      </c>
    </row>
    <row r="6968" spans="6:8">
      <c r="F6968" s="68" t="s">
        <v>256</v>
      </c>
      <c r="G6968" s="67" t="s">
        <v>412</v>
      </c>
      <c r="H6968" s="69">
        <v>0.95</v>
      </c>
    </row>
    <row r="6969" spans="6:8">
      <c r="F6969" s="68" t="s">
        <v>133</v>
      </c>
      <c r="G6969" s="67" t="s">
        <v>412</v>
      </c>
      <c r="H6969" s="69">
        <v>-0.35</v>
      </c>
    </row>
    <row r="6970" spans="6:8">
      <c r="F6970" s="68" t="s">
        <v>132</v>
      </c>
      <c r="G6970" s="67" t="s">
        <v>412</v>
      </c>
      <c r="H6970" s="69">
        <v>-0.55000000000000004</v>
      </c>
    </row>
    <row r="6971" spans="6:8">
      <c r="F6971" s="68" t="s">
        <v>303</v>
      </c>
      <c r="G6971" s="67" t="s">
        <v>412</v>
      </c>
      <c r="H6971" s="69">
        <v>18.25</v>
      </c>
    </row>
    <row r="6972" spans="6:8">
      <c r="F6972" s="68" t="s">
        <v>255</v>
      </c>
      <c r="G6972" s="67" t="s">
        <v>412</v>
      </c>
      <c r="H6972" s="69">
        <v>0.85</v>
      </c>
    </row>
    <row r="6973" spans="6:8">
      <c r="F6973" s="68" t="s">
        <v>131</v>
      </c>
      <c r="G6973" s="67" t="s">
        <v>412</v>
      </c>
      <c r="H6973" s="69">
        <v>-0.3</v>
      </c>
    </row>
    <row r="6974" spans="6:8">
      <c r="F6974" s="68" t="s">
        <v>130</v>
      </c>
      <c r="G6974" s="67" t="s">
        <v>412</v>
      </c>
      <c r="H6974" s="69">
        <v>-0.6</v>
      </c>
    </row>
    <row r="6975" spans="6:8">
      <c r="F6975" s="68" t="s">
        <v>304</v>
      </c>
      <c r="G6975" s="67" t="s">
        <v>412</v>
      </c>
      <c r="H6975" s="69">
        <v>16.75</v>
      </c>
    </row>
    <row r="6976" spans="6:8">
      <c r="F6976" s="68" t="s">
        <v>254</v>
      </c>
      <c r="G6976" s="67" t="s">
        <v>412</v>
      </c>
      <c r="H6976" s="69">
        <v>0.69</v>
      </c>
    </row>
    <row r="6977" spans="6:8">
      <c r="F6977" s="68" t="s">
        <v>129</v>
      </c>
      <c r="G6977" s="67" t="s">
        <v>412</v>
      </c>
      <c r="H6977" s="69">
        <v>-0.25</v>
      </c>
    </row>
    <row r="6978" spans="6:8">
      <c r="F6978" s="68" t="s">
        <v>128</v>
      </c>
      <c r="G6978" s="67" t="s">
        <v>412</v>
      </c>
      <c r="H6978" s="69">
        <v>-0.5</v>
      </c>
    </row>
    <row r="6979" spans="6:8">
      <c r="F6979" s="68" t="s">
        <v>315</v>
      </c>
      <c r="G6979" s="67" t="s">
        <v>412</v>
      </c>
      <c r="H6979" s="69">
        <v>-0.15</v>
      </c>
    </row>
    <row r="6980" spans="6:8">
      <c r="F6980" s="68" t="s">
        <v>253</v>
      </c>
      <c r="G6980" s="67" t="s">
        <v>412</v>
      </c>
      <c r="H6980" s="69">
        <v>0.48</v>
      </c>
    </row>
    <row r="6981" spans="6:8">
      <c r="F6981" s="68" t="s">
        <v>127</v>
      </c>
      <c r="G6981" s="67" t="s">
        <v>412</v>
      </c>
      <c r="H6981" s="69">
        <v>-0.15</v>
      </c>
    </row>
    <row r="6982" spans="6:8">
      <c r="F6982" s="68" t="s">
        <v>126</v>
      </c>
      <c r="G6982" s="67" t="s">
        <v>412</v>
      </c>
      <c r="H6982" s="69">
        <v>-0.55000000000000004</v>
      </c>
    </row>
    <row r="6983" spans="6:8">
      <c r="F6983" s="68" t="s">
        <v>125</v>
      </c>
      <c r="G6983" s="67" t="s">
        <v>412</v>
      </c>
      <c r="H6983" s="69">
        <v>-0.4</v>
      </c>
    </row>
    <row r="6984" spans="6:8">
      <c r="F6984" s="68" t="s">
        <v>314</v>
      </c>
      <c r="G6984" s="67" t="s">
        <v>412</v>
      </c>
      <c r="H6984" s="69">
        <v>-0.3</v>
      </c>
    </row>
    <row r="6985" spans="6:8">
      <c r="F6985" s="68" t="s">
        <v>252</v>
      </c>
      <c r="G6985" s="67" t="s">
        <v>412</v>
      </c>
      <c r="H6985" s="69">
        <v>0.37</v>
      </c>
    </row>
    <row r="6986" spans="6:8">
      <c r="F6986" s="68" t="s">
        <v>124</v>
      </c>
      <c r="G6986" s="67" t="s">
        <v>412</v>
      </c>
      <c r="H6986" s="69">
        <v>-0.4</v>
      </c>
    </row>
    <row r="6987" spans="6:8">
      <c r="F6987" s="68" t="s">
        <v>123</v>
      </c>
      <c r="G6987" s="67" t="s">
        <v>412</v>
      </c>
      <c r="H6987" s="69">
        <v>-0.6</v>
      </c>
    </row>
    <row r="6988" spans="6:8">
      <c r="F6988" s="68" t="s">
        <v>122</v>
      </c>
      <c r="G6988" s="67" t="s">
        <v>412</v>
      </c>
      <c r="H6988" s="69">
        <v>-0.55000000000000004</v>
      </c>
    </row>
    <row r="6989" spans="6:8">
      <c r="F6989" s="68" t="s">
        <v>251</v>
      </c>
      <c r="G6989" s="67" t="s">
        <v>412</v>
      </c>
      <c r="H6989" s="69">
        <v>0.25</v>
      </c>
    </row>
    <row r="6990" spans="6:8">
      <c r="F6990" s="68" t="s">
        <v>121</v>
      </c>
      <c r="G6990" s="67" t="s">
        <v>412</v>
      </c>
      <c r="H6990" s="69">
        <v>-0.5</v>
      </c>
    </row>
    <row r="6991" spans="6:8">
      <c r="F6991" s="68" t="s">
        <v>120</v>
      </c>
      <c r="G6991" s="67" t="s">
        <v>412</v>
      </c>
      <c r="H6991" s="69">
        <v>-0.45</v>
      </c>
    </row>
    <row r="6992" spans="6:8">
      <c r="F6992" s="68" t="s">
        <v>119</v>
      </c>
      <c r="G6992" s="67" t="s">
        <v>412</v>
      </c>
      <c r="H6992" s="69">
        <v>-0.55000000000000004</v>
      </c>
    </row>
    <row r="6993" spans="6:8">
      <c r="F6993" s="68" t="s">
        <v>119</v>
      </c>
      <c r="G6993" s="67" t="s">
        <v>413</v>
      </c>
      <c r="H6993" s="69">
        <v>-0.55000000000000004</v>
      </c>
    </row>
    <row r="6994" spans="6:8">
      <c r="F6994" s="68" t="s">
        <v>120</v>
      </c>
      <c r="G6994" s="67" t="s">
        <v>413</v>
      </c>
      <c r="H6994" s="69">
        <v>-0.45</v>
      </c>
    </row>
    <row r="6995" spans="6:8">
      <c r="F6995" s="68" t="s">
        <v>121</v>
      </c>
      <c r="G6995" s="67" t="s">
        <v>413</v>
      </c>
      <c r="H6995" s="69">
        <v>-0.5</v>
      </c>
    </row>
    <row r="6996" spans="6:8">
      <c r="F6996" s="68" t="s">
        <v>251</v>
      </c>
      <c r="G6996" s="67" t="s">
        <v>413</v>
      </c>
      <c r="H6996" s="69">
        <v>0.25</v>
      </c>
    </row>
    <row r="6997" spans="6:8">
      <c r="F6997" s="68" t="s">
        <v>122</v>
      </c>
      <c r="G6997" s="67" t="s">
        <v>413</v>
      </c>
      <c r="H6997" s="69">
        <v>-0.55000000000000004</v>
      </c>
    </row>
    <row r="6998" spans="6:8">
      <c r="F6998" s="68" t="s">
        <v>123</v>
      </c>
      <c r="G6998" s="67" t="s">
        <v>413</v>
      </c>
      <c r="H6998" s="69">
        <v>-0.6</v>
      </c>
    </row>
    <row r="6999" spans="6:8">
      <c r="F6999" s="68" t="s">
        <v>124</v>
      </c>
      <c r="G6999" s="67" t="s">
        <v>413</v>
      </c>
      <c r="H6999" s="69">
        <v>-0.4</v>
      </c>
    </row>
    <row r="7000" spans="6:8">
      <c r="F7000" s="68" t="s">
        <v>252</v>
      </c>
      <c r="G7000" s="67" t="s">
        <v>413</v>
      </c>
      <c r="H7000" s="69">
        <v>0.37</v>
      </c>
    </row>
    <row r="7001" spans="6:8">
      <c r="F7001" s="68" t="s">
        <v>314</v>
      </c>
      <c r="G7001" s="67" t="s">
        <v>413</v>
      </c>
      <c r="H7001" s="69">
        <v>-0.3</v>
      </c>
    </row>
    <row r="7002" spans="6:8">
      <c r="F7002" s="68" t="s">
        <v>125</v>
      </c>
      <c r="G7002" s="67" t="s">
        <v>413</v>
      </c>
      <c r="H7002" s="69">
        <v>-0.4</v>
      </c>
    </row>
    <row r="7003" spans="6:8">
      <c r="F7003" s="68" t="s">
        <v>126</v>
      </c>
      <c r="G7003" s="67" t="s">
        <v>413</v>
      </c>
      <c r="H7003" s="69">
        <v>-0.55000000000000004</v>
      </c>
    </row>
    <row r="7004" spans="6:8">
      <c r="F7004" s="68" t="s">
        <v>127</v>
      </c>
      <c r="G7004" s="67" t="s">
        <v>413</v>
      </c>
      <c r="H7004" s="69">
        <v>-0.15</v>
      </c>
    </row>
    <row r="7005" spans="6:8">
      <c r="F7005" s="68" t="s">
        <v>253</v>
      </c>
      <c r="G7005" s="67" t="s">
        <v>413</v>
      </c>
      <c r="H7005" s="69">
        <v>0.48</v>
      </c>
    </row>
    <row r="7006" spans="6:8">
      <c r="F7006" s="68" t="s">
        <v>315</v>
      </c>
      <c r="G7006" s="67" t="s">
        <v>413</v>
      </c>
      <c r="H7006" s="69">
        <v>-0.15</v>
      </c>
    </row>
    <row r="7007" spans="6:8">
      <c r="F7007" s="68" t="s">
        <v>128</v>
      </c>
      <c r="G7007" s="67" t="s">
        <v>413</v>
      </c>
      <c r="H7007" s="69">
        <v>-0.5</v>
      </c>
    </row>
    <row r="7008" spans="6:8">
      <c r="F7008" s="68" t="s">
        <v>129</v>
      </c>
      <c r="G7008" s="67" t="s">
        <v>413</v>
      </c>
      <c r="H7008" s="69">
        <v>-0.25</v>
      </c>
    </row>
    <row r="7009" spans="6:8">
      <c r="F7009" s="68" t="s">
        <v>254</v>
      </c>
      <c r="G7009" s="67" t="s">
        <v>413</v>
      </c>
      <c r="H7009" s="69">
        <v>0.69</v>
      </c>
    </row>
    <row r="7010" spans="6:8">
      <c r="F7010" s="68" t="s">
        <v>304</v>
      </c>
      <c r="G7010" s="67" t="s">
        <v>413</v>
      </c>
      <c r="H7010" s="69">
        <v>16.875</v>
      </c>
    </row>
    <row r="7011" spans="6:8">
      <c r="F7011" s="68" t="s">
        <v>130</v>
      </c>
      <c r="G7011" s="67" t="s">
        <v>413</v>
      </c>
      <c r="H7011" s="69">
        <v>-0.6</v>
      </c>
    </row>
    <row r="7012" spans="6:8">
      <c r="F7012" s="68" t="s">
        <v>131</v>
      </c>
      <c r="G7012" s="67" t="s">
        <v>413</v>
      </c>
      <c r="H7012" s="69">
        <v>-0.3</v>
      </c>
    </row>
    <row r="7013" spans="6:8">
      <c r="F7013" s="68" t="s">
        <v>255</v>
      </c>
      <c r="G7013" s="67" t="s">
        <v>413</v>
      </c>
      <c r="H7013" s="69">
        <v>0.85</v>
      </c>
    </row>
    <row r="7014" spans="6:8">
      <c r="F7014" s="68" t="s">
        <v>303</v>
      </c>
      <c r="G7014" s="67" t="s">
        <v>413</v>
      </c>
      <c r="H7014" s="69">
        <v>18.25</v>
      </c>
    </row>
    <row r="7015" spans="6:8">
      <c r="F7015" s="68" t="s">
        <v>132</v>
      </c>
      <c r="G7015" s="67" t="s">
        <v>413</v>
      </c>
      <c r="H7015" s="69">
        <v>-0.55000000000000004</v>
      </c>
    </row>
    <row r="7016" spans="6:8">
      <c r="F7016" s="68" t="s">
        <v>133</v>
      </c>
      <c r="G7016" s="67" t="s">
        <v>413</v>
      </c>
      <c r="H7016" s="69">
        <v>-0.35</v>
      </c>
    </row>
    <row r="7017" spans="6:8">
      <c r="F7017" s="68" t="s">
        <v>256</v>
      </c>
      <c r="G7017" s="67" t="s">
        <v>413</v>
      </c>
      <c r="H7017" s="69">
        <v>0.95</v>
      </c>
    </row>
    <row r="7018" spans="6:8">
      <c r="F7018" s="68" t="s">
        <v>134</v>
      </c>
      <c r="G7018" s="67" t="s">
        <v>413</v>
      </c>
      <c r="H7018" s="69">
        <v>-0.55000000000000004</v>
      </c>
    </row>
    <row r="7019" spans="6:8">
      <c r="F7019" s="68" t="s">
        <v>135</v>
      </c>
      <c r="G7019" s="67" t="s">
        <v>413</v>
      </c>
      <c r="H7019" s="69">
        <v>-0.35</v>
      </c>
    </row>
    <row r="7020" spans="6:8">
      <c r="F7020" s="68" t="s">
        <v>257</v>
      </c>
      <c r="G7020" s="67" t="s">
        <v>413</v>
      </c>
      <c r="H7020" s="69">
        <v>1.05</v>
      </c>
    </row>
    <row r="7021" spans="6:8">
      <c r="F7021" s="68" t="s">
        <v>258</v>
      </c>
      <c r="G7021" s="67" t="s">
        <v>413</v>
      </c>
      <c r="H7021" s="69">
        <v>0.13</v>
      </c>
    </row>
    <row r="7022" spans="6:8">
      <c r="F7022" s="68" t="s">
        <v>136</v>
      </c>
      <c r="G7022" s="67" t="s">
        <v>413</v>
      </c>
      <c r="H7022" s="69">
        <v>-0.6</v>
      </c>
    </row>
    <row r="7023" spans="6:8">
      <c r="F7023" s="68" t="s">
        <v>137</v>
      </c>
      <c r="G7023" s="67" t="s">
        <v>413</v>
      </c>
      <c r="H7023" s="69">
        <v>-0.5</v>
      </c>
    </row>
    <row r="7024" spans="6:8">
      <c r="F7024" s="68" t="s">
        <v>138</v>
      </c>
      <c r="G7024" s="67" t="s">
        <v>413</v>
      </c>
      <c r="H7024" s="69">
        <v>-0.55000000000000004</v>
      </c>
    </row>
    <row r="7025" spans="6:8">
      <c r="F7025" s="68" t="s">
        <v>259</v>
      </c>
      <c r="G7025" s="67" t="s">
        <v>413</v>
      </c>
      <c r="H7025" s="69">
        <v>0.18</v>
      </c>
    </row>
    <row r="7026" spans="6:8">
      <c r="F7026" s="68" t="s">
        <v>259</v>
      </c>
      <c r="G7026" s="67" t="s">
        <v>414</v>
      </c>
      <c r="H7026" s="69">
        <v>0.18</v>
      </c>
    </row>
    <row r="7027" spans="6:8">
      <c r="F7027" s="68" t="s">
        <v>138</v>
      </c>
      <c r="G7027" s="67" t="s">
        <v>414</v>
      </c>
      <c r="H7027" s="69">
        <v>-0.55000000000000004</v>
      </c>
    </row>
    <row r="7028" spans="6:8">
      <c r="F7028" s="68" t="s">
        <v>137</v>
      </c>
      <c r="G7028" s="67" t="s">
        <v>414</v>
      </c>
      <c r="H7028" s="69">
        <v>-0.5</v>
      </c>
    </row>
    <row r="7029" spans="6:8">
      <c r="F7029" s="68" t="s">
        <v>136</v>
      </c>
      <c r="G7029" s="67" t="s">
        <v>414</v>
      </c>
      <c r="H7029" s="69">
        <v>-0.65</v>
      </c>
    </row>
    <row r="7030" spans="6:8">
      <c r="F7030" s="68" t="s">
        <v>258</v>
      </c>
      <c r="G7030" s="67" t="s">
        <v>414</v>
      </c>
      <c r="H7030" s="69">
        <v>0.14000000000000001</v>
      </c>
    </row>
    <row r="7031" spans="6:8">
      <c r="F7031" s="68" t="s">
        <v>257</v>
      </c>
      <c r="G7031" s="67" t="s">
        <v>414</v>
      </c>
      <c r="H7031" s="69">
        <v>1.06</v>
      </c>
    </row>
    <row r="7032" spans="6:8">
      <c r="F7032" s="68" t="s">
        <v>135</v>
      </c>
      <c r="G7032" s="67" t="s">
        <v>414</v>
      </c>
      <c r="H7032" s="69">
        <v>-0.35</v>
      </c>
    </row>
    <row r="7033" spans="6:8">
      <c r="F7033" s="68" t="s">
        <v>134</v>
      </c>
      <c r="G7033" s="67" t="s">
        <v>414</v>
      </c>
      <c r="H7033" s="69">
        <v>-0.6</v>
      </c>
    </row>
    <row r="7034" spans="6:8">
      <c r="F7034" s="68" t="s">
        <v>256</v>
      </c>
      <c r="G7034" s="67" t="s">
        <v>414</v>
      </c>
      <c r="H7034" s="69">
        <v>1.01</v>
      </c>
    </row>
    <row r="7035" spans="6:8">
      <c r="F7035" s="68" t="s">
        <v>133</v>
      </c>
      <c r="G7035" s="67" t="s">
        <v>414</v>
      </c>
      <c r="H7035" s="69">
        <v>-0.35</v>
      </c>
    </row>
    <row r="7036" spans="6:8">
      <c r="F7036" s="68" t="s">
        <v>132</v>
      </c>
      <c r="G7036" s="67" t="s">
        <v>414</v>
      </c>
      <c r="H7036" s="69">
        <v>-0.6</v>
      </c>
    </row>
    <row r="7037" spans="6:8">
      <c r="F7037" s="68" t="s">
        <v>303</v>
      </c>
      <c r="G7037" s="67" t="s">
        <v>414</v>
      </c>
      <c r="H7037" s="69">
        <v>18.0625</v>
      </c>
    </row>
    <row r="7038" spans="6:8">
      <c r="F7038" s="68" t="s">
        <v>255</v>
      </c>
      <c r="G7038" s="67" t="s">
        <v>414</v>
      </c>
      <c r="H7038" s="69">
        <v>0.85</v>
      </c>
    </row>
    <row r="7039" spans="6:8">
      <c r="F7039" s="68" t="s">
        <v>131</v>
      </c>
      <c r="G7039" s="67" t="s">
        <v>414</v>
      </c>
      <c r="H7039" s="69">
        <v>-0.3</v>
      </c>
    </row>
    <row r="7040" spans="6:8">
      <c r="F7040" s="68" t="s">
        <v>130</v>
      </c>
      <c r="G7040" s="67" t="s">
        <v>414</v>
      </c>
      <c r="H7040" s="69">
        <v>-0.65</v>
      </c>
    </row>
    <row r="7041" spans="6:8">
      <c r="F7041" s="68" t="s">
        <v>304</v>
      </c>
      <c r="G7041" s="67" t="s">
        <v>414</v>
      </c>
      <c r="H7041" s="69">
        <v>16.8125</v>
      </c>
    </row>
    <row r="7042" spans="6:8">
      <c r="F7042" s="68" t="s">
        <v>254</v>
      </c>
      <c r="G7042" s="67" t="s">
        <v>414</v>
      </c>
      <c r="H7042" s="69">
        <v>0.64</v>
      </c>
    </row>
    <row r="7043" spans="6:8">
      <c r="F7043" s="68" t="s">
        <v>129</v>
      </c>
      <c r="G7043" s="67" t="s">
        <v>414</v>
      </c>
      <c r="H7043" s="69">
        <v>-0.25</v>
      </c>
    </row>
    <row r="7044" spans="6:8">
      <c r="F7044" s="68" t="s">
        <v>128</v>
      </c>
      <c r="G7044" s="67" t="s">
        <v>414</v>
      </c>
      <c r="H7044" s="69">
        <v>-0.5</v>
      </c>
    </row>
    <row r="7045" spans="6:8">
      <c r="F7045" s="68" t="s">
        <v>315</v>
      </c>
      <c r="G7045" s="67" t="s">
        <v>414</v>
      </c>
      <c r="H7045" s="69">
        <v>-0.2</v>
      </c>
    </row>
    <row r="7046" spans="6:8">
      <c r="F7046" s="68" t="s">
        <v>253</v>
      </c>
      <c r="G7046" s="67" t="s">
        <v>414</v>
      </c>
      <c r="H7046" s="69">
        <v>0.46</v>
      </c>
    </row>
    <row r="7047" spans="6:8">
      <c r="F7047" s="68" t="s">
        <v>127</v>
      </c>
      <c r="G7047" s="67" t="s">
        <v>414</v>
      </c>
      <c r="H7047" s="69">
        <v>-0.15</v>
      </c>
    </row>
    <row r="7048" spans="6:8">
      <c r="F7048" s="68" t="s">
        <v>126</v>
      </c>
      <c r="G7048" s="67" t="s">
        <v>414</v>
      </c>
      <c r="H7048" s="69">
        <v>-0.55000000000000004</v>
      </c>
    </row>
    <row r="7049" spans="6:8">
      <c r="F7049" s="68" t="s">
        <v>125</v>
      </c>
      <c r="G7049" s="67" t="s">
        <v>414</v>
      </c>
      <c r="H7049" s="69">
        <v>-0.45</v>
      </c>
    </row>
    <row r="7050" spans="6:8">
      <c r="F7050" s="68" t="s">
        <v>314</v>
      </c>
      <c r="G7050" s="67" t="s">
        <v>414</v>
      </c>
      <c r="H7050" s="69">
        <v>-0.35</v>
      </c>
    </row>
    <row r="7051" spans="6:8">
      <c r="F7051" s="68" t="s">
        <v>252</v>
      </c>
      <c r="G7051" s="67" t="s">
        <v>414</v>
      </c>
      <c r="H7051" s="69">
        <v>0.36</v>
      </c>
    </row>
    <row r="7052" spans="6:8">
      <c r="F7052" s="68" t="s">
        <v>124</v>
      </c>
      <c r="G7052" s="67" t="s">
        <v>414</v>
      </c>
      <c r="H7052" s="69">
        <v>-0.4</v>
      </c>
    </row>
    <row r="7053" spans="6:8">
      <c r="F7053" s="68" t="s">
        <v>123</v>
      </c>
      <c r="G7053" s="67" t="s">
        <v>414</v>
      </c>
      <c r="H7053" s="69">
        <v>-0.6</v>
      </c>
    </row>
    <row r="7054" spans="6:8">
      <c r="F7054" s="68" t="s">
        <v>122</v>
      </c>
      <c r="G7054" s="67" t="s">
        <v>414</v>
      </c>
      <c r="H7054" s="69">
        <v>-0.6</v>
      </c>
    </row>
    <row r="7055" spans="6:8">
      <c r="F7055" s="68" t="s">
        <v>251</v>
      </c>
      <c r="G7055" s="67" t="s">
        <v>414</v>
      </c>
      <c r="H7055" s="69">
        <v>0.27</v>
      </c>
    </row>
    <row r="7056" spans="6:8">
      <c r="F7056" s="68" t="s">
        <v>121</v>
      </c>
      <c r="G7056" s="67" t="s">
        <v>414</v>
      </c>
      <c r="H7056" s="69">
        <v>-0.5</v>
      </c>
    </row>
    <row r="7057" spans="6:8">
      <c r="F7057" s="68" t="s">
        <v>120</v>
      </c>
      <c r="G7057" s="67" t="s">
        <v>414</v>
      </c>
      <c r="H7057" s="69">
        <v>-0.45</v>
      </c>
    </row>
    <row r="7058" spans="6:8">
      <c r="F7058" s="68" t="s">
        <v>119</v>
      </c>
      <c r="G7058" s="67" t="s">
        <v>414</v>
      </c>
      <c r="H7058" s="69">
        <v>-0.6</v>
      </c>
    </row>
    <row r="7059" spans="6:8">
      <c r="F7059" s="68" t="s">
        <v>119</v>
      </c>
      <c r="G7059" s="67" t="s">
        <v>415</v>
      </c>
      <c r="H7059" s="69">
        <v>-0.6</v>
      </c>
    </row>
    <row r="7060" spans="6:8">
      <c r="F7060" s="68" t="s">
        <v>120</v>
      </c>
      <c r="G7060" s="67" t="s">
        <v>415</v>
      </c>
      <c r="H7060" s="69">
        <v>-0.45</v>
      </c>
    </row>
    <row r="7061" spans="6:8">
      <c r="F7061" s="68" t="s">
        <v>121</v>
      </c>
      <c r="G7061" s="67" t="s">
        <v>415</v>
      </c>
      <c r="H7061" s="69">
        <v>-0.5</v>
      </c>
    </row>
    <row r="7062" spans="6:8">
      <c r="F7062" s="68" t="s">
        <v>251</v>
      </c>
      <c r="G7062" s="67" t="s">
        <v>415</v>
      </c>
      <c r="H7062" s="69">
        <v>0.27</v>
      </c>
    </row>
    <row r="7063" spans="6:8">
      <c r="F7063" s="68" t="s">
        <v>122</v>
      </c>
      <c r="G7063" s="67" t="s">
        <v>415</v>
      </c>
      <c r="H7063" s="69">
        <v>-0.6</v>
      </c>
    </row>
    <row r="7064" spans="6:8">
      <c r="F7064" s="68" t="s">
        <v>123</v>
      </c>
      <c r="G7064" s="67" t="s">
        <v>415</v>
      </c>
      <c r="H7064" s="69">
        <v>-0.6</v>
      </c>
    </row>
    <row r="7065" spans="6:8">
      <c r="F7065" s="68" t="s">
        <v>124</v>
      </c>
      <c r="G7065" s="67" t="s">
        <v>415</v>
      </c>
      <c r="H7065" s="69">
        <v>-0.4</v>
      </c>
    </row>
    <row r="7066" spans="6:8">
      <c r="F7066" s="68" t="s">
        <v>252</v>
      </c>
      <c r="G7066" s="67" t="s">
        <v>415</v>
      </c>
      <c r="H7066" s="69">
        <v>0.36</v>
      </c>
    </row>
    <row r="7067" spans="6:8">
      <c r="F7067" s="68" t="s">
        <v>314</v>
      </c>
      <c r="G7067" s="67" t="s">
        <v>415</v>
      </c>
      <c r="H7067" s="69">
        <v>-0.35</v>
      </c>
    </row>
    <row r="7068" spans="6:8">
      <c r="F7068" s="68" t="s">
        <v>125</v>
      </c>
      <c r="G7068" s="67" t="s">
        <v>415</v>
      </c>
      <c r="H7068" s="69">
        <v>-0.45</v>
      </c>
    </row>
    <row r="7069" spans="6:8">
      <c r="F7069" s="68" t="s">
        <v>126</v>
      </c>
      <c r="G7069" s="67" t="s">
        <v>415</v>
      </c>
      <c r="H7069" s="69">
        <v>-0.55000000000000004</v>
      </c>
    </row>
    <row r="7070" spans="6:8">
      <c r="F7070" s="68" t="s">
        <v>127</v>
      </c>
      <c r="G7070" s="67" t="s">
        <v>415</v>
      </c>
      <c r="H7070" s="69">
        <v>-0.15</v>
      </c>
    </row>
    <row r="7071" spans="6:8">
      <c r="F7071" s="68" t="s">
        <v>253</v>
      </c>
      <c r="G7071" s="67" t="s">
        <v>415</v>
      </c>
      <c r="H7071" s="69">
        <v>0.46</v>
      </c>
    </row>
    <row r="7072" spans="6:8">
      <c r="F7072" s="68" t="s">
        <v>315</v>
      </c>
      <c r="G7072" s="67" t="s">
        <v>415</v>
      </c>
      <c r="H7072" s="69">
        <v>-0.2</v>
      </c>
    </row>
    <row r="7073" spans="6:8">
      <c r="F7073" s="68" t="s">
        <v>128</v>
      </c>
      <c r="G7073" s="67" t="s">
        <v>415</v>
      </c>
      <c r="H7073" s="69">
        <v>-0.5</v>
      </c>
    </row>
    <row r="7074" spans="6:8">
      <c r="F7074" s="68" t="s">
        <v>129</v>
      </c>
      <c r="G7074" s="67" t="s">
        <v>415</v>
      </c>
      <c r="H7074" s="69">
        <v>-0.25</v>
      </c>
    </row>
    <row r="7075" spans="6:8">
      <c r="F7075" s="68" t="s">
        <v>254</v>
      </c>
      <c r="G7075" s="67" t="s">
        <v>415</v>
      </c>
      <c r="H7075" s="69">
        <v>0.64</v>
      </c>
    </row>
    <row r="7076" spans="6:8">
      <c r="F7076" s="68" t="s">
        <v>304</v>
      </c>
      <c r="G7076" s="67" t="s">
        <v>415</v>
      </c>
      <c r="H7076" s="69">
        <v>16.90625</v>
      </c>
    </row>
    <row r="7077" spans="6:8">
      <c r="F7077" s="68" t="s">
        <v>130</v>
      </c>
      <c r="G7077" s="67" t="s">
        <v>415</v>
      </c>
      <c r="H7077" s="69">
        <v>-0.65</v>
      </c>
    </row>
    <row r="7078" spans="6:8">
      <c r="F7078" s="68" t="s">
        <v>131</v>
      </c>
      <c r="G7078" s="67" t="s">
        <v>415</v>
      </c>
      <c r="H7078" s="69">
        <v>-0.3</v>
      </c>
    </row>
    <row r="7079" spans="6:8">
      <c r="F7079" s="68" t="s">
        <v>255</v>
      </c>
      <c r="G7079" s="67" t="s">
        <v>415</v>
      </c>
      <c r="H7079" s="69">
        <v>0.85</v>
      </c>
    </row>
    <row r="7080" spans="6:8">
      <c r="F7080" s="68" t="s">
        <v>303</v>
      </c>
      <c r="G7080" s="67" t="s">
        <v>415</v>
      </c>
      <c r="H7080" s="69">
        <v>18.4375</v>
      </c>
    </row>
    <row r="7081" spans="6:8">
      <c r="F7081" s="68" t="s">
        <v>132</v>
      </c>
      <c r="G7081" s="67" t="s">
        <v>415</v>
      </c>
      <c r="H7081" s="69">
        <v>-0.6</v>
      </c>
    </row>
    <row r="7082" spans="6:8">
      <c r="F7082" s="68" t="s">
        <v>133</v>
      </c>
      <c r="G7082" s="67" t="s">
        <v>415</v>
      </c>
      <c r="H7082" s="69">
        <v>-0.35</v>
      </c>
    </row>
    <row r="7083" spans="6:8">
      <c r="F7083" s="68" t="s">
        <v>256</v>
      </c>
      <c r="G7083" s="67" t="s">
        <v>415</v>
      </c>
      <c r="H7083" s="69">
        <v>1.01</v>
      </c>
    </row>
    <row r="7084" spans="6:8">
      <c r="F7084" s="68" t="s">
        <v>134</v>
      </c>
      <c r="G7084" s="67" t="s">
        <v>415</v>
      </c>
      <c r="H7084" s="69">
        <v>-0.6</v>
      </c>
    </row>
    <row r="7085" spans="6:8">
      <c r="F7085" s="68" t="s">
        <v>135</v>
      </c>
      <c r="G7085" s="67" t="s">
        <v>415</v>
      </c>
      <c r="H7085" s="69">
        <v>-0.35</v>
      </c>
    </row>
    <row r="7086" spans="6:8">
      <c r="F7086" s="68" t="s">
        <v>257</v>
      </c>
      <c r="G7086" s="67" t="s">
        <v>415</v>
      </c>
      <c r="H7086" s="69">
        <v>1.06</v>
      </c>
    </row>
    <row r="7087" spans="6:8">
      <c r="F7087" s="68" t="s">
        <v>258</v>
      </c>
      <c r="G7087" s="67" t="s">
        <v>415</v>
      </c>
      <c r="H7087" s="69">
        <v>0.14000000000000001</v>
      </c>
    </row>
    <row r="7088" spans="6:8">
      <c r="F7088" s="68" t="s">
        <v>136</v>
      </c>
      <c r="G7088" s="67" t="s">
        <v>415</v>
      </c>
      <c r="H7088" s="69">
        <v>-0.65</v>
      </c>
    </row>
    <row r="7089" spans="6:8">
      <c r="F7089" s="68" t="s">
        <v>137</v>
      </c>
      <c r="G7089" s="67" t="s">
        <v>415</v>
      </c>
      <c r="H7089" s="69">
        <v>-0.5</v>
      </c>
    </row>
    <row r="7090" spans="6:8">
      <c r="F7090" s="68" t="s">
        <v>138</v>
      </c>
      <c r="G7090" s="67" t="s">
        <v>415</v>
      </c>
      <c r="H7090" s="69">
        <v>-0.55000000000000004</v>
      </c>
    </row>
    <row r="7091" spans="6:8">
      <c r="F7091" s="68" t="s">
        <v>259</v>
      </c>
      <c r="G7091" s="67" t="s">
        <v>415</v>
      </c>
      <c r="H7091" s="69">
        <v>0.18</v>
      </c>
    </row>
    <row r="7092" spans="6:8">
      <c r="F7092" s="68" t="s">
        <v>259</v>
      </c>
      <c r="G7092" s="67" t="s">
        <v>416</v>
      </c>
      <c r="H7092" s="69">
        <v>0.17</v>
      </c>
    </row>
    <row r="7093" spans="6:8">
      <c r="F7093" s="68" t="s">
        <v>138</v>
      </c>
      <c r="G7093" s="67" t="s">
        <v>416</v>
      </c>
      <c r="H7093" s="69">
        <v>-0.55000000000000004</v>
      </c>
    </row>
    <row r="7094" spans="6:8">
      <c r="F7094" s="68" t="s">
        <v>137</v>
      </c>
      <c r="G7094" s="67" t="s">
        <v>416</v>
      </c>
      <c r="H7094" s="69">
        <v>-0.5</v>
      </c>
    </row>
    <row r="7095" spans="6:8">
      <c r="F7095" s="68" t="s">
        <v>136</v>
      </c>
      <c r="G7095" s="67" t="s">
        <v>416</v>
      </c>
      <c r="H7095" s="69">
        <v>-0.65</v>
      </c>
    </row>
    <row r="7096" spans="6:8">
      <c r="F7096" s="68" t="s">
        <v>258</v>
      </c>
      <c r="G7096" s="67" t="s">
        <v>416</v>
      </c>
      <c r="H7096" s="69">
        <v>0.14000000000000001</v>
      </c>
    </row>
    <row r="7097" spans="6:8">
      <c r="F7097" s="68" t="s">
        <v>257</v>
      </c>
      <c r="G7097" s="67" t="s">
        <v>416</v>
      </c>
      <c r="H7097" s="69">
        <v>1.05</v>
      </c>
    </row>
    <row r="7098" spans="6:8">
      <c r="F7098" s="68" t="s">
        <v>135</v>
      </c>
      <c r="G7098" s="67" t="s">
        <v>416</v>
      </c>
      <c r="H7098" s="69">
        <v>-0.35</v>
      </c>
    </row>
    <row r="7099" spans="6:8">
      <c r="F7099" s="68" t="s">
        <v>134</v>
      </c>
      <c r="G7099" s="67" t="s">
        <v>416</v>
      </c>
      <c r="H7099" s="69">
        <v>-0.65</v>
      </c>
    </row>
    <row r="7100" spans="6:8">
      <c r="F7100" s="68" t="s">
        <v>256</v>
      </c>
      <c r="G7100" s="67" t="s">
        <v>416</v>
      </c>
      <c r="H7100" s="69">
        <v>1</v>
      </c>
    </row>
    <row r="7101" spans="6:8">
      <c r="F7101" s="68" t="s">
        <v>133</v>
      </c>
      <c r="G7101" s="67" t="s">
        <v>416</v>
      </c>
      <c r="H7101" s="69">
        <v>-0.35</v>
      </c>
    </row>
    <row r="7102" spans="6:8">
      <c r="F7102" s="68" t="s">
        <v>132</v>
      </c>
      <c r="G7102" s="67" t="s">
        <v>416</v>
      </c>
      <c r="H7102" s="69">
        <v>-0.65</v>
      </c>
    </row>
    <row r="7103" spans="6:8">
      <c r="F7103" s="68" t="s">
        <v>303</v>
      </c>
      <c r="G7103" s="67" t="s">
        <v>416</v>
      </c>
      <c r="H7103" s="69">
        <v>18.0625</v>
      </c>
    </row>
    <row r="7104" spans="6:8">
      <c r="F7104" s="68" t="s">
        <v>255</v>
      </c>
      <c r="G7104" s="67" t="s">
        <v>416</v>
      </c>
      <c r="H7104" s="69">
        <v>0.84</v>
      </c>
    </row>
    <row r="7105" spans="6:8">
      <c r="F7105" s="68" t="s">
        <v>131</v>
      </c>
      <c r="G7105" s="67" t="s">
        <v>416</v>
      </c>
      <c r="H7105" s="69">
        <v>-0.3</v>
      </c>
    </row>
    <row r="7106" spans="6:8">
      <c r="F7106" s="68" t="s">
        <v>130</v>
      </c>
      <c r="G7106" s="67" t="s">
        <v>416</v>
      </c>
      <c r="H7106" s="69">
        <v>-0.7</v>
      </c>
    </row>
    <row r="7107" spans="6:8">
      <c r="F7107" s="68" t="s">
        <v>304</v>
      </c>
      <c r="G7107" s="67" t="s">
        <v>416</v>
      </c>
      <c r="H7107" s="69">
        <v>16.625</v>
      </c>
    </row>
    <row r="7108" spans="6:8">
      <c r="F7108" s="68" t="s">
        <v>254</v>
      </c>
      <c r="G7108" s="67" t="s">
        <v>416</v>
      </c>
      <c r="H7108" s="69">
        <v>0.63</v>
      </c>
    </row>
    <row r="7109" spans="6:8">
      <c r="F7109" s="68" t="s">
        <v>129</v>
      </c>
      <c r="G7109" s="67" t="s">
        <v>416</v>
      </c>
      <c r="H7109" s="69">
        <v>-0.25</v>
      </c>
    </row>
    <row r="7110" spans="6:8">
      <c r="F7110" s="68" t="s">
        <v>128</v>
      </c>
      <c r="G7110" s="67" t="s">
        <v>416</v>
      </c>
      <c r="H7110" s="69">
        <v>-0.5</v>
      </c>
    </row>
    <row r="7111" spans="6:8">
      <c r="F7111" s="68" t="s">
        <v>315</v>
      </c>
      <c r="G7111" s="67" t="s">
        <v>416</v>
      </c>
      <c r="H7111" s="69">
        <v>-0.2</v>
      </c>
    </row>
    <row r="7112" spans="6:8">
      <c r="F7112" s="68" t="s">
        <v>253</v>
      </c>
      <c r="G7112" s="67" t="s">
        <v>416</v>
      </c>
      <c r="H7112" s="69">
        <v>0.45</v>
      </c>
    </row>
    <row r="7113" spans="6:8">
      <c r="F7113" s="68" t="s">
        <v>127</v>
      </c>
      <c r="G7113" s="67" t="s">
        <v>416</v>
      </c>
      <c r="H7113" s="69">
        <v>-0.15</v>
      </c>
    </row>
    <row r="7114" spans="6:8">
      <c r="F7114" s="68" t="s">
        <v>126</v>
      </c>
      <c r="G7114" s="67" t="s">
        <v>416</v>
      </c>
      <c r="H7114" s="69">
        <v>-0.55000000000000004</v>
      </c>
    </row>
    <row r="7115" spans="6:8">
      <c r="F7115" s="68" t="s">
        <v>125</v>
      </c>
      <c r="G7115" s="67" t="s">
        <v>416</v>
      </c>
      <c r="H7115" s="69">
        <v>-0.45</v>
      </c>
    </row>
    <row r="7116" spans="6:8">
      <c r="F7116" s="68" t="s">
        <v>314</v>
      </c>
      <c r="G7116" s="67" t="s">
        <v>416</v>
      </c>
      <c r="H7116" s="69">
        <v>-0.35</v>
      </c>
    </row>
    <row r="7117" spans="6:8">
      <c r="F7117" s="68" t="s">
        <v>252</v>
      </c>
      <c r="G7117" s="67" t="s">
        <v>416</v>
      </c>
      <c r="H7117" s="69">
        <v>0.35</v>
      </c>
    </row>
    <row r="7118" spans="6:8">
      <c r="F7118" s="68" t="s">
        <v>124</v>
      </c>
      <c r="G7118" s="67" t="s">
        <v>416</v>
      </c>
      <c r="H7118" s="69">
        <v>-0.4</v>
      </c>
    </row>
    <row r="7119" spans="6:8">
      <c r="F7119" s="68" t="s">
        <v>123</v>
      </c>
      <c r="G7119" s="67" t="s">
        <v>416</v>
      </c>
      <c r="H7119" s="69">
        <v>-0.6</v>
      </c>
    </row>
    <row r="7120" spans="6:8">
      <c r="F7120" s="68" t="s">
        <v>122</v>
      </c>
      <c r="G7120" s="67" t="s">
        <v>416</v>
      </c>
      <c r="H7120" s="69">
        <v>-0.6</v>
      </c>
    </row>
    <row r="7121" spans="6:8">
      <c r="F7121" s="68" t="s">
        <v>251</v>
      </c>
      <c r="G7121" s="67" t="s">
        <v>416</v>
      </c>
      <c r="H7121" s="69">
        <v>0.26</v>
      </c>
    </row>
    <row r="7122" spans="6:8">
      <c r="F7122" s="68" t="s">
        <v>121</v>
      </c>
      <c r="G7122" s="67" t="s">
        <v>416</v>
      </c>
      <c r="H7122" s="69">
        <v>-0.55000000000000004</v>
      </c>
    </row>
    <row r="7123" spans="6:8">
      <c r="F7123" s="68" t="s">
        <v>120</v>
      </c>
      <c r="G7123" s="67" t="s">
        <v>416</v>
      </c>
      <c r="H7123" s="69">
        <v>-0.45</v>
      </c>
    </row>
    <row r="7124" spans="6:8">
      <c r="F7124" s="68" t="s">
        <v>119</v>
      </c>
      <c r="G7124" s="67" t="s">
        <v>416</v>
      </c>
      <c r="H7124" s="69">
        <v>-0.6</v>
      </c>
    </row>
    <row r="7125" spans="6:8">
      <c r="F7125" s="68" t="s">
        <v>119</v>
      </c>
      <c r="G7125" s="67" t="s">
        <v>417</v>
      </c>
      <c r="H7125" s="69">
        <v>-0.6</v>
      </c>
    </row>
    <row r="7126" spans="6:8">
      <c r="F7126" s="68" t="s">
        <v>120</v>
      </c>
      <c r="G7126" s="67" t="s">
        <v>417</v>
      </c>
      <c r="H7126" s="69">
        <v>-0.45</v>
      </c>
    </row>
    <row r="7127" spans="6:8">
      <c r="F7127" s="68" t="s">
        <v>121</v>
      </c>
      <c r="G7127" s="67" t="s">
        <v>417</v>
      </c>
      <c r="H7127" s="69">
        <v>-0.55000000000000004</v>
      </c>
    </row>
    <row r="7128" spans="6:8">
      <c r="F7128" s="68" t="s">
        <v>251</v>
      </c>
      <c r="G7128" s="67" t="s">
        <v>417</v>
      </c>
      <c r="H7128" s="69">
        <v>0.26</v>
      </c>
    </row>
    <row r="7129" spans="6:8">
      <c r="F7129" s="68" t="s">
        <v>122</v>
      </c>
      <c r="G7129" s="67" t="s">
        <v>417</v>
      </c>
      <c r="H7129" s="69">
        <v>-0.6</v>
      </c>
    </row>
    <row r="7130" spans="6:8">
      <c r="F7130" s="68" t="s">
        <v>123</v>
      </c>
      <c r="G7130" s="67" t="s">
        <v>417</v>
      </c>
      <c r="H7130" s="69">
        <v>-0.6</v>
      </c>
    </row>
    <row r="7131" spans="6:8">
      <c r="F7131" s="68" t="s">
        <v>124</v>
      </c>
      <c r="G7131" s="67" t="s">
        <v>417</v>
      </c>
      <c r="H7131" s="69">
        <v>-0.4</v>
      </c>
    </row>
    <row r="7132" spans="6:8">
      <c r="F7132" s="68" t="s">
        <v>252</v>
      </c>
      <c r="G7132" s="67" t="s">
        <v>417</v>
      </c>
      <c r="H7132" s="69">
        <v>0.35</v>
      </c>
    </row>
    <row r="7133" spans="6:8">
      <c r="F7133" s="68" t="s">
        <v>314</v>
      </c>
      <c r="G7133" s="67" t="s">
        <v>417</v>
      </c>
      <c r="H7133" s="69">
        <v>-0.35</v>
      </c>
    </row>
    <row r="7134" spans="6:8">
      <c r="F7134" s="68" t="s">
        <v>125</v>
      </c>
      <c r="G7134" s="67" t="s">
        <v>417</v>
      </c>
      <c r="H7134" s="69">
        <v>-0.45</v>
      </c>
    </row>
    <row r="7135" spans="6:8">
      <c r="F7135" s="68" t="s">
        <v>126</v>
      </c>
      <c r="G7135" s="67" t="s">
        <v>417</v>
      </c>
      <c r="H7135" s="69">
        <v>-0.55000000000000004</v>
      </c>
    </row>
    <row r="7136" spans="6:8">
      <c r="F7136" s="68" t="s">
        <v>127</v>
      </c>
      <c r="G7136" s="67" t="s">
        <v>417</v>
      </c>
      <c r="H7136" s="69">
        <v>-0.15</v>
      </c>
    </row>
    <row r="7137" spans="6:8">
      <c r="F7137" s="68" t="s">
        <v>253</v>
      </c>
      <c r="G7137" s="67" t="s">
        <v>417</v>
      </c>
      <c r="H7137" s="69">
        <v>0.45</v>
      </c>
    </row>
    <row r="7138" spans="6:8">
      <c r="F7138" s="68" t="s">
        <v>315</v>
      </c>
      <c r="G7138" s="67" t="s">
        <v>417</v>
      </c>
      <c r="H7138" s="69">
        <v>-0.2</v>
      </c>
    </row>
    <row r="7139" spans="6:8">
      <c r="F7139" s="68" t="s">
        <v>128</v>
      </c>
      <c r="G7139" s="67" t="s">
        <v>417</v>
      </c>
      <c r="H7139" s="69">
        <v>-0.5</v>
      </c>
    </row>
    <row r="7140" spans="6:8">
      <c r="F7140" s="68" t="s">
        <v>129</v>
      </c>
      <c r="G7140" s="67" t="s">
        <v>417</v>
      </c>
      <c r="H7140" s="69">
        <v>-0.25</v>
      </c>
    </row>
    <row r="7141" spans="6:8">
      <c r="F7141" s="68" t="s">
        <v>254</v>
      </c>
      <c r="G7141" s="67" t="s">
        <v>417</v>
      </c>
      <c r="H7141" s="69">
        <v>0.63</v>
      </c>
    </row>
    <row r="7142" spans="6:8">
      <c r="F7142" s="68" t="s">
        <v>304</v>
      </c>
      <c r="G7142" s="67" t="s">
        <v>417</v>
      </c>
      <c r="H7142" s="69">
        <v>16.375</v>
      </c>
    </row>
    <row r="7143" spans="6:8">
      <c r="F7143" s="68" t="s">
        <v>130</v>
      </c>
      <c r="G7143" s="67" t="s">
        <v>417</v>
      </c>
      <c r="H7143" s="69">
        <v>-0.7</v>
      </c>
    </row>
    <row r="7144" spans="6:8">
      <c r="F7144" s="68" t="s">
        <v>131</v>
      </c>
      <c r="G7144" s="67" t="s">
        <v>417</v>
      </c>
      <c r="H7144" s="69">
        <v>-0.3</v>
      </c>
    </row>
    <row r="7145" spans="6:8">
      <c r="F7145" s="68" t="s">
        <v>255</v>
      </c>
      <c r="G7145" s="67" t="s">
        <v>417</v>
      </c>
      <c r="H7145" s="69">
        <v>0.84</v>
      </c>
    </row>
    <row r="7146" spans="6:8">
      <c r="F7146" s="68" t="s">
        <v>303</v>
      </c>
      <c r="G7146" s="67" t="s">
        <v>417</v>
      </c>
      <c r="H7146" s="69">
        <v>17.75</v>
      </c>
    </row>
    <row r="7147" spans="6:8">
      <c r="F7147" s="68" t="s">
        <v>132</v>
      </c>
      <c r="G7147" s="67" t="s">
        <v>417</v>
      </c>
      <c r="H7147" s="69">
        <v>-0.65</v>
      </c>
    </row>
    <row r="7148" spans="6:8">
      <c r="F7148" s="68" t="s">
        <v>133</v>
      </c>
      <c r="G7148" s="67" t="s">
        <v>417</v>
      </c>
      <c r="H7148" s="69">
        <v>-0.35</v>
      </c>
    </row>
    <row r="7149" spans="6:8">
      <c r="F7149" s="68" t="s">
        <v>256</v>
      </c>
      <c r="G7149" s="67" t="s">
        <v>417</v>
      </c>
      <c r="H7149" s="69">
        <v>1</v>
      </c>
    </row>
    <row r="7150" spans="6:8">
      <c r="F7150" s="68" t="s">
        <v>134</v>
      </c>
      <c r="G7150" s="67" t="s">
        <v>417</v>
      </c>
      <c r="H7150" s="69">
        <v>-0.65</v>
      </c>
    </row>
    <row r="7151" spans="6:8">
      <c r="F7151" s="68" t="s">
        <v>135</v>
      </c>
      <c r="G7151" s="67" t="s">
        <v>417</v>
      </c>
      <c r="H7151" s="69">
        <v>-0.35</v>
      </c>
    </row>
    <row r="7152" spans="6:8">
      <c r="F7152" s="68" t="s">
        <v>257</v>
      </c>
      <c r="G7152" s="67" t="s">
        <v>417</v>
      </c>
      <c r="H7152" s="69">
        <v>1.05</v>
      </c>
    </row>
    <row r="7153" spans="6:8">
      <c r="F7153" s="68" t="s">
        <v>258</v>
      </c>
      <c r="G7153" s="67" t="s">
        <v>417</v>
      </c>
      <c r="H7153" s="69">
        <v>0.14000000000000001</v>
      </c>
    </row>
    <row r="7154" spans="6:8">
      <c r="F7154" s="68" t="s">
        <v>136</v>
      </c>
      <c r="G7154" s="67" t="s">
        <v>417</v>
      </c>
      <c r="H7154" s="69">
        <v>-0.65</v>
      </c>
    </row>
    <row r="7155" spans="6:8">
      <c r="F7155" s="68" t="s">
        <v>137</v>
      </c>
      <c r="G7155" s="67" t="s">
        <v>417</v>
      </c>
      <c r="H7155" s="69">
        <v>-0.5</v>
      </c>
    </row>
    <row r="7156" spans="6:8">
      <c r="F7156" s="68" t="s">
        <v>138</v>
      </c>
      <c r="G7156" s="67" t="s">
        <v>417</v>
      </c>
      <c r="H7156" s="69">
        <v>-0.55000000000000004</v>
      </c>
    </row>
    <row r="7157" spans="6:8">
      <c r="F7157" s="68" t="s">
        <v>259</v>
      </c>
      <c r="G7157" s="67" t="s">
        <v>417</v>
      </c>
      <c r="H7157" s="69">
        <v>0.17</v>
      </c>
    </row>
    <row r="7158" spans="6:8">
      <c r="F7158" s="68" t="s">
        <v>259</v>
      </c>
      <c r="G7158" s="67" t="s">
        <v>418</v>
      </c>
      <c r="H7158" s="69">
        <v>0.17</v>
      </c>
    </row>
    <row r="7159" spans="6:8">
      <c r="F7159" s="68" t="s">
        <v>138</v>
      </c>
      <c r="G7159" s="67" t="s">
        <v>418</v>
      </c>
      <c r="H7159" s="69">
        <v>-0.55000000000000004</v>
      </c>
    </row>
    <row r="7160" spans="6:8">
      <c r="F7160" s="68" t="s">
        <v>137</v>
      </c>
      <c r="G7160" s="67" t="s">
        <v>418</v>
      </c>
      <c r="H7160" s="69">
        <v>-0.5</v>
      </c>
    </row>
    <row r="7161" spans="6:8">
      <c r="F7161" s="68" t="s">
        <v>136</v>
      </c>
      <c r="G7161" s="67" t="s">
        <v>418</v>
      </c>
      <c r="H7161" s="69">
        <v>-0.65</v>
      </c>
    </row>
    <row r="7162" spans="6:8">
      <c r="F7162" s="68" t="s">
        <v>258</v>
      </c>
      <c r="G7162" s="67" t="s">
        <v>418</v>
      </c>
      <c r="H7162" s="69">
        <v>0.14000000000000001</v>
      </c>
    </row>
    <row r="7163" spans="6:8">
      <c r="F7163" s="68" t="s">
        <v>257</v>
      </c>
      <c r="G7163" s="67" t="s">
        <v>418</v>
      </c>
      <c r="H7163" s="69">
        <v>1.04</v>
      </c>
    </row>
    <row r="7164" spans="6:8">
      <c r="F7164" s="68" t="s">
        <v>135</v>
      </c>
      <c r="G7164" s="67" t="s">
        <v>418</v>
      </c>
      <c r="H7164" s="69">
        <v>-0.35</v>
      </c>
    </row>
    <row r="7165" spans="6:8">
      <c r="F7165" s="68" t="s">
        <v>134</v>
      </c>
      <c r="G7165" s="67" t="s">
        <v>418</v>
      </c>
      <c r="H7165" s="69">
        <v>-0.65</v>
      </c>
    </row>
    <row r="7166" spans="6:8">
      <c r="F7166" s="68" t="s">
        <v>256</v>
      </c>
      <c r="G7166" s="67" t="s">
        <v>418</v>
      </c>
      <c r="H7166" s="69">
        <v>0.99</v>
      </c>
    </row>
    <row r="7167" spans="6:8">
      <c r="F7167" s="68" t="s">
        <v>133</v>
      </c>
      <c r="G7167" s="67" t="s">
        <v>418</v>
      </c>
      <c r="H7167" s="69">
        <v>-0.35</v>
      </c>
    </row>
    <row r="7168" spans="6:8">
      <c r="F7168" s="68" t="s">
        <v>132</v>
      </c>
      <c r="G7168" s="67" t="s">
        <v>418</v>
      </c>
      <c r="H7168" s="69">
        <v>-0.65</v>
      </c>
    </row>
    <row r="7169" spans="6:8">
      <c r="F7169" s="68" t="s">
        <v>303</v>
      </c>
      <c r="G7169" s="67" t="s">
        <v>418</v>
      </c>
      <c r="H7169" s="69">
        <v>17.5625</v>
      </c>
    </row>
    <row r="7170" spans="6:8">
      <c r="F7170" s="68" t="s">
        <v>255</v>
      </c>
      <c r="G7170" s="67" t="s">
        <v>418</v>
      </c>
      <c r="H7170" s="69">
        <v>0.83</v>
      </c>
    </row>
    <row r="7171" spans="6:8">
      <c r="F7171" s="68" t="s">
        <v>131</v>
      </c>
      <c r="G7171" s="67" t="s">
        <v>418</v>
      </c>
      <c r="H7171" s="69">
        <v>-0.3</v>
      </c>
    </row>
    <row r="7172" spans="6:8">
      <c r="F7172" s="68" t="s">
        <v>130</v>
      </c>
      <c r="G7172" s="67" t="s">
        <v>418</v>
      </c>
      <c r="H7172" s="69">
        <v>-0.7</v>
      </c>
    </row>
    <row r="7173" spans="6:8">
      <c r="F7173" s="68" t="s">
        <v>304</v>
      </c>
      <c r="G7173" s="67" t="s">
        <v>418</v>
      </c>
      <c r="H7173" s="69">
        <v>16.1875</v>
      </c>
    </row>
    <row r="7174" spans="6:8">
      <c r="F7174" s="68" t="s">
        <v>254</v>
      </c>
      <c r="G7174" s="67" t="s">
        <v>418</v>
      </c>
      <c r="H7174" s="69">
        <v>0.62</v>
      </c>
    </row>
    <row r="7175" spans="6:8">
      <c r="F7175" s="68" t="s">
        <v>129</v>
      </c>
      <c r="G7175" s="67" t="s">
        <v>418</v>
      </c>
      <c r="H7175" s="69">
        <v>-0.25</v>
      </c>
    </row>
    <row r="7176" spans="6:8">
      <c r="F7176" s="68" t="s">
        <v>128</v>
      </c>
      <c r="G7176" s="67" t="s">
        <v>418</v>
      </c>
      <c r="H7176" s="69">
        <v>-0.5</v>
      </c>
    </row>
    <row r="7177" spans="6:8">
      <c r="F7177" s="68" t="s">
        <v>315</v>
      </c>
      <c r="G7177" s="67" t="s">
        <v>418</v>
      </c>
      <c r="H7177" s="69">
        <v>-0.2</v>
      </c>
    </row>
    <row r="7178" spans="6:8">
      <c r="F7178" s="68" t="s">
        <v>253</v>
      </c>
      <c r="G7178" s="67" t="s">
        <v>418</v>
      </c>
      <c r="H7178" s="69">
        <v>0.45</v>
      </c>
    </row>
    <row r="7179" spans="6:8">
      <c r="F7179" s="68" t="s">
        <v>127</v>
      </c>
      <c r="G7179" s="67" t="s">
        <v>418</v>
      </c>
      <c r="H7179" s="69">
        <v>-0.15</v>
      </c>
    </row>
    <row r="7180" spans="6:8">
      <c r="F7180" s="68" t="s">
        <v>126</v>
      </c>
      <c r="G7180" s="67" t="s">
        <v>418</v>
      </c>
      <c r="H7180" s="69">
        <v>-0.55000000000000004</v>
      </c>
    </row>
    <row r="7181" spans="6:8">
      <c r="F7181" s="68" t="s">
        <v>125</v>
      </c>
      <c r="G7181" s="67" t="s">
        <v>418</v>
      </c>
      <c r="H7181" s="69">
        <v>-0.45</v>
      </c>
    </row>
    <row r="7182" spans="6:8">
      <c r="F7182" s="68" t="s">
        <v>314</v>
      </c>
      <c r="G7182" s="67" t="s">
        <v>418</v>
      </c>
      <c r="H7182" s="69">
        <v>-0.35</v>
      </c>
    </row>
    <row r="7183" spans="6:8">
      <c r="F7183" s="68" t="s">
        <v>252</v>
      </c>
      <c r="G7183" s="67" t="s">
        <v>418</v>
      </c>
      <c r="H7183" s="69">
        <v>0.35</v>
      </c>
    </row>
    <row r="7184" spans="6:8">
      <c r="F7184" s="68" t="s">
        <v>124</v>
      </c>
      <c r="G7184" s="67" t="s">
        <v>418</v>
      </c>
      <c r="H7184" s="69">
        <v>-0.4</v>
      </c>
    </row>
    <row r="7185" spans="6:8">
      <c r="F7185" s="68" t="s">
        <v>123</v>
      </c>
      <c r="G7185" s="67" t="s">
        <v>418</v>
      </c>
      <c r="H7185" s="69">
        <v>-0.6</v>
      </c>
    </row>
    <row r="7186" spans="6:8">
      <c r="F7186" s="68" t="s">
        <v>122</v>
      </c>
      <c r="G7186" s="67" t="s">
        <v>418</v>
      </c>
      <c r="H7186" s="69">
        <v>-0.6</v>
      </c>
    </row>
    <row r="7187" spans="6:8">
      <c r="F7187" s="68" t="s">
        <v>251</v>
      </c>
      <c r="G7187" s="67" t="s">
        <v>418</v>
      </c>
      <c r="H7187" s="69">
        <v>0.26</v>
      </c>
    </row>
    <row r="7188" spans="6:8">
      <c r="F7188" s="68" t="s">
        <v>121</v>
      </c>
      <c r="G7188" s="67" t="s">
        <v>418</v>
      </c>
      <c r="H7188" s="69">
        <v>-0.55000000000000004</v>
      </c>
    </row>
    <row r="7189" spans="6:8">
      <c r="F7189" s="68" t="s">
        <v>120</v>
      </c>
      <c r="G7189" s="67" t="s">
        <v>418</v>
      </c>
      <c r="H7189" s="69">
        <v>-0.45</v>
      </c>
    </row>
    <row r="7190" spans="6:8">
      <c r="F7190" s="68" t="s">
        <v>119</v>
      </c>
      <c r="G7190" s="67" t="s">
        <v>418</v>
      </c>
      <c r="H7190" s="69">
        <v>-0.6</v>
      </c>
    </row>
    <row r="7191" spans="6:8">
      <c r="F7191" s="68" t="s">
        <v>119</v>
      </c>
      <c r="G7191" s="67" t="s">
        <v>419</v>
      </c>
      <c r="H7191" s="69">
        <v>-0.6</v>
      </c>
    </row>
    <row r="7192" spans="6:8">
      <c r="F7192" s="68" t="s">
        <v>120</v>
      </c>
      <c r="G7192" s="67" t="s">
        <v>419</v>
      </c>
      <c r="H7192" s="69">
        <v>-0.45</v>
      </c>
    </row>
    <row r="7193" spans="6:8">
      <c r="F7193" s="68" t="s">
        <v>121</v>
      </c>
      <c r="G7193" s="67" t="s">
        <v>419</v>
      </c>
      <c r="H7193" s="69">
        <v>-0.55000000000000004</v>
      </c>
    </row>
    <row r="7194" spans="6:8">
      <c r="F7194" s="68" t="s">
        <v>251</v>
      </c>
      <c r="G7194" s="67" t="s">
        <v>419</v>
      </c>
      <c r="H7194" s="69">
        <v>0.26</v>
      </c>
    </row>
    <row r="7195" spans="6:8">
      <c r="F7195" s="68" t="s">
        <v>420</v>
      </c>
      <c r="G7195" s="67" t="s">
        <v>419</v>
      </c>
      <c r="H7195" s="69">
        <v>3.3220828709767058</v>
      </c>
    </row>
    <row r="7196" spans="6:8">
      <c r="F7196" s="68" t="s">
        <v>122</v>
      </c>
      <c r="G7196" s="67" t="s">
        <v>419</v>
      </c>
      <c r="H7196" s="69">
        <v>-0.6</v>
      </c>
    </row>
    <row r="7197" spans="6:8">
      <c r="F7197" s="68" t="s">
        <v>123</v>
      </c>
      <c r="G7197" s="67" t="s">
        <v>419</v>
      </c>
      <c r="H7197" s="69">
        <v>-0.6</v>
      </c>
    </row>
    <row r="7198" spans="6:8">
      <c r="F7198" s="68" t="s">
        <v>124</v>
      </c>
      <c r="G7198" s="67" t="s">
        <v>419</v>
      </c>
      <c r="H7198" s="69">
        <v>-0.4</v>
      </c>
    </row>
    <row r="7199" spans="6:8">
      <c r="F7199" s="68" t="s">
        <v>252</v>
      </c>
      <c r="G7199" s="67" t="s">
        <v>419</v>
      </c>
      <c r="H7199" s="69">
        <v>0.35</v>
      </c>
    </row>
    <row r="7200" spans="6:8">
      <c r="F7200" s="68" t="s">
        <v>314</v>
      </c>
      <c r="G7200" s="67" t="s">
        <v>419</v>
      </c>
      <c r="H7200" s="69">
        <v>-0.35</v>
      </c>
    </row>
    <row r="7201" spans="6:8">
      <c r="F7201" s="68" t="s">
        <v>125</v>
      </c>
      <c r="G7201" s="67" t="s">
        <v>419</v>
      </c>
      <c r="H7201" s="69">
        <v>-0.45</v>
      </c>
    </row>
    <row r="7202" spans="6:8">
      <c r="F7202" s="68" t="s">
        <v>126</v>
      </c>
      <c r="G7202" s="67" t="s">
        <v>419</v>
      </c>
      <c r="H7202" s="69">
        <v>-0.55000000000000004</v>
      </c>
    </row>
    <row r="7203" spans="6:8">
      <c r="F7203" s="68" t="s">
        <v>127</v>
      </c>
      <c r="G7203" s="67" t="s">
        <v>419</v>
      </c>
      <c r="H7203" s="69">
        <v>-0.15</v>
      </c>
    </row>
    <row r="7204" spans="6:8">
      <c r="F7204" s="68" t="s">
        <v>253</v>
      </c>
      <c r="G7204" s="67" t="s">
        <v>419</v>
      </c>
      <c r="H7204" s="69">
        <v>0.45</v>
      </c>
    </row>
    <row r="7205" spans="6:8">
      <c r="F7205" s="68" t="s">
        <v>315</v>
      </c>
      <c r="G7205" s="67" t="s">
        <v>419</v>
      </c>
      <c r="H7205" s="69">
        <v>-0.2</v>
      </c>
    </row>
    <row r="7206" spans="6:8">
      <c r="F7206" s="68" t="s">
        <v>128</v>
      </c>
      <c r="G7206" s="67" t="s">
        <v>419</v>
      </c>
      <c r="H7206" s="69">
        <v>-0.5</v>
      </c>
    </row>
    <row r="7207" spans="6:8">
      <c r="F7207" s="68" t="s">
        <v>129</v>
      </c>
      <c r="G7207" s="67" t="s">
        <v>419</v>
      </c>
      <c r="H7207" s="69">
        <v>-0.25</v>
      </c>
    </row>
    <row r="7208" spans="6:8">
      <c r="F7208" s="68" t="s">
        <v>254</v>
      </c>
      <c r="G7208" s="67" t="s">
        <v>419</v>
      </c>
      <c r="H7208" s="69">
        <v>0.62</v>
      </c>
    </row>
    <row r="7209" spans="6:8">
      <c r="F7209" s="68" t="s">
        <v>304</v>
      </c>
      <c r="G7209" s="67" t="s">
        <v>419</v>
      </c>
      <c r="H7209" s="69">
        <v>16.25</v>
      </c>
    </row>
    <row r="7210" spans="6:8">
      <c r="F7210" s="68" t="s">
        <v>421</v>
      </c>
      <c r="G7210" s="67" t="s">
        <v>419</v>
      </c>
      <c r="H7210" s="69">
        <v>2.438600359676979</v>
      </c>
    </row>
    <row r="7211" spans="6:8">
      <c r="F7211" s="68" t="s">
        <v>130</v>
      </c>
      <c r="G7211" s="67" t="s">
        <v>419</v>
      </c>
      <c r="H7211" s="69">
        <v>-0.7</v>
      </c>
    </row>
    <row r="7212" spans="6:8">
      <c r="F7212" s="68" t="s">
        <v>131</v>
      </c>
      <c r="G7212" s="67" t="s">
        <v>419</v>
      </c>
      <c r="H7212" s="69">
        <v>-0.3</v>
      </c>
    </row>
    <row r="7213" spans="6:8">
      <c r="F7213" s="68" t="s">
        <v>255</v>
      </c>
      <c r="G7213" s="67" t="s">
        <v>419</v>
      </c>
      <c r="H7213" s="69">
        <v>0.83</v>
      </c>
    </row>
    <row r="7214" spans="6:8">
      <c r="F7214" s="68" t="s">
        <v>303</v>
      </c>
      <c r="G7214" s="67" t="s">
        <v>419</v>
      </c>
      <c r="H7214" s="69">
        <v>17.5625</v>
      </c>
    </row>
    <row r="7215" spans="6:8">
      <c r="F7215" s="68" t="s">
        <v>422</v>
      </c>
      <c r="G7215" s="67" t="s">
        <v>419</v>
      </c>
      <c r="H7215" s="69">
        <v>2.443270623903615</v>
      </c>
    </row>
    <row r="7216" spans="6:8">
      <c r="F7216" s="68" t="s">
        <v>132</v>
      </c>
      <c r="G7216" s="67" t="s">
        <v>419</v>
      </c>
      <c r="H7216" s="69">
        <v>-0.65</v>
      </c>
    </row>
    <row r="7217" spans="6:8">
      <c r="F7217" s="68" t="s">
        <v>133</v>
      </c>
      <c r="G7217" s="67" t="s">
        <v>419</v>
      </c>
      <c r="H7217" s="69">
        <v>-0.35</v>
      </c>
    </row>
    <row r="7218" spans="6:8">
      <c r="F7218" s="68" t="s">
        <v>256</v>
      </c>
      <c r="G7218" s="67" t="s">
        <v>419</v>
      </c>
      <c r="H7218" s="69">
        <v>0.99</v>
      </c>
    </row>
    <row r="7219" spans="6:8">
      <c r="F7219" s="68" t="s">
        <v>423</v>
      </c>
      <c r="G7219" s="67" t="s">
        <v>419</v>
      </c>
      <c r="H7219" s="69">
        <v>2.4932359309627561</v>
      </c>
    </row>
    <row r="7220" spans="6:8">
      <c r="F7220" s="68" t="s">
        <v>134</v>
      </c>
      <c r="G7220" s="67" t="s">
        <v>419</v>
      </c>
      <c r="H7220" s="69">
        <v>-0.65</v>
      </c>
    </row>
    <row r="7221" spans="6:8">
      <c r="F7221" s="68" t="s">
        <v>135</v>
      </c>
      <c r="G7221" s="67" t="s">
        <v>419</v>
      </c>
      <c r="H7221" s="69">
        <v>-0.35</v>
      </c>
    </row>
    <row r="7222" spans="6:8">
      <c r="F7222" s="68" t="s">
        <v>257</v>
      </c>
      <c r="G7222" s="67" t="s">
        <v>419</v>
      </c>
      <c r="H7222" s="69">
        <v>1.04</v>
      </c>
    </row>
    <row r="7223" spans="6:8">
      <c r="F7223" s="68" t="s">
        <v>258</v>
      </c>
      <c r="G7223" s="67" t="s">
        <v>419</v>
      </c>
      <c r="H7223" s="69">
        <v>0.14000000000000001</v>
      </c>
    </row>
    <row r="7224" spans="6:8">
      <c r="F7224" s="68" t="s">
        <v>424</v>
      </c>
      <c r="G7224" s="67" t="s">
        <v>419</v>
      </c>
      <c r="H7224" s="69">
        <v>3.1859318795434355</v>
      </c>
    </row>
    <row r="7225" spans="6:8">
      <c r="F7225" s="68" t="s">
        <v>136</v>
      </c>
      <c r="G7225" s="67" t="s">
        <v>419</v>
      </c>
      <c r="H7225" s="69">
        <v>-0.65</v>
      </c>
    </row>
    <row r="7226" spans="6:8">
      <c r="F7226" s="68" t="s">
        <v>137</v>
      </c>
      <c r="G7226" s="67" t="s">
        <v>419</v>
      </c>
      <c r="H7226" s="69">
        <v>-0.5</v>
      </c>
    </row>
    <row r="7227" spans="6:8">
      <c r="F7227" s="68" t="s">
        <v>138</v>
      </c>
      <c r="G7227" s="67" t="s">
        <v>419</v>
      </c>
      <c r="H7227" s="69">
        <v>-0.55000000000000004</v>
      </c>
    </row>
    <row r="7228" spans="6:8">
      <c r="F7228" s="68" t="s">
        <v>259</v>
      </c>
      <c r="G7228" s="67" t="s">
        <v>419</v>
      </c>
      <c r="H7228" s="69">
        <v>0.17</v>
      </c>
    </row>
    <row r="7229" spans="6:8">
      <c r="F7229" s="68" t="s">
        <v>425</v>
      </c>
      <c r="G7229" s="67" t="s">
        <v>419</v>
      </c>
      <c r="H7229" s="69">
        <v>3.1928020895404696</v>
      </c>
    </row>
    <row r="7230" spans="6:8">
      <c r="F7230" s="68" t="s">
        <v>425</v>
      </c>
      <c r="G7230" s="67" t="s">
        <v>426</v>
      </c>
      <c r="H7230" s="69">
        <v>3.2341373274313856</v>
      </c>
    </row>
    <row r="7231" spans="6:8">
      <c r="F7231" s="68" t="s">
        <v>259</v>
      </c>
      <c r="G7231" s="67" t="s">
        <v>426</v>
      </c>
      <c r="H7231" s="69">
        <v>0.17</v>
      </c>
    </row>
    <row r="7232" spans="6:8">
      <c r="F7232" s="68" t="s">
        <v>138</v>
      </c>
      <c r="G7232" s="67" t="s">
        <v>426</v>
      </c>
      <c r="H7232" s="69">
        <v>-0.5</v>
      </c>
    </row>
    <row r="7233" spans="6:8">
      <c r="F7233" s="68" t="s">
        <v>137</v>
      </c>
      <c r="G7233" s="67" t="s">
        <v>426</v>
      </c>
      <c r="H7233" s="69">
        <v>-0.5</v>
      </c>
    </row>
    <row r="7234" spans="6:8">
      <c r="F7234" s="68" t="s">
        <v>136</v>
      </c>
      <c r="G7234" s="67" t="s">
        <v>426</v>
      </c>
      <c r="H7234" s="69">
        <v>-0.6</v>
      </c>
    </row>
    <row r="7235" spans="6:8">
      <c r="F7235" s="68" t="s">
        <v>424</v>
      </c>
      <c r="G7235" s="67" t="s">
        <v>426</v>
      </c>
      <c r="H7235" s="69">
        <v>3.2277042891261765</v>
      </c>
    </row>
    <row r="7236" spans="6:8">
      <c r="F7236" s="68" t="s">
        <v>258</v>
      </c>
      <c r="G7236" s="67" t="s">
        <v>426</v>
      </c>
      <c r="H7236" s="69">
        <v>0.14000000000000001</v>
      </c>
    </row>
    <row r="7237" spans="6:8">
      <c r="F7237" s="68" t="s">
        <v>257</v>
      </c>
      <c r="G7237" s="67" t="s">
        <v>426</v>
      </c>
      <c r="H7237" s="69">
        <v>1.05</v>
      </c>
    </row>
    <row r="7238" spans="6:8">
      <c r="F7238" s="68" t="s">
        <v>135</v>
      </c>
      <c r="G7238" s="67" t="s">
        <v>426</v>
      </c>
      <c r="H7238" s="69">
        <v>-0.35</v>
      </c>
    </row>
    <row r="7239" spans="6:8">
      <c r="F7239" s="68" t="s">
        <v>134</v>
      </c>
      <c r="G7239" s="67" t="s">
        <v>426</v>
      </c>
      <c r="H7239" s="69">
        <v>-0.6</v>
      </c>
    </row>
    <row r="7240" spans="6:8">
      <c r="F7240" s="68" t="s">
        <v>423</v>
      </c>
      <c r="G7240" s="67" t="s">
        <v>426</v>
      </c>
      <c r="H7240" s="69">
        <v>2.5111274833157449</v>
      </c>
    </row>
    <row r="7241" spans="6:8">
      <c r="F7241" s="68" t="s">
        <v>256</v>
      </c>
      <c r="G7241" s="67" t="s">
        <v>426</v>
      </c>
      <c r="H7241" s="69">
        <v>1</v>
      </c>
    </row>
    <row r="7242" spans="6:8">
      <c r="F7242" s="68" t="s">
        <v>133</v>
      </c>
      <c r="G7242" s="67" t="s">
        <v>426</v>
      </c>
      <c r="H7242" s="69">
        <v>-0.35</v>
      </c>
    </row>
    <row r="7243" spans="6:8">
      <c r="F7243" s="68" t="s">
        <v>132</v>
      </c>
      <c r="G7243" s="67" t="s">
        <v>426</v>
      </c>
      <c r="H7243" s="69">
        <v>-0.6</v>
      </c>
    </row>
    <row r="7244" spans="6:8">
      <c r="F7244" s="68" t="s">
        <v>422</v>
      </c>
      <c r="G7244" s="67" t="s">
        <v>426</v>
      </c>
      <c r="H7244" s="69">
        <v>2.4811046353007349</v>
      </c>
    </row>
    <row r="7245" spans="6:8">
      <c r="F7245" s="68" t="s">
        <v>303</v>
      </c>
      <c r="G7245" s="67" t="s">
        <v>426</v>
      </c>
      <c r="H7245" s="69">
        <v>17.8125</v>
      </c>
    </row>
    <row r="7246" spans="6:8">
      <c r="F7246" s="68" t="s">
        <v>255</v>
      </c>
      <c r="G7246" s="67" t="s">
        <v>426</v>
      </c>
      <c r="H7246" s="69">
        <v>0.84</v>
      </c>
    </row>
    <row r="7247" spans="6:8">
      <c r="F7247" s="68" t="s">
        <v>131</v>
      </c>
      <c r="G7247" s="67" t="s">
        <v>426</v>
      </c>
      <c r="H7247" s="69">
        <v>-0.3</v>
      </c>
    </row>
    <row r="7248" spans="6:8">
      <c r="F7248" s="68" t="s">
        <v>130</v>
      </c>
      <c r="G7248" s="67" t="s">
        <v>426</v>
      </c>
      <c r="H7248" s="69">
        <v>-0.65</v>
      </c>
    </row>
    <row r="7249" spans="6:8">
      <c r="F7249" s="68" t="s">
        <v>421</v>
      </c>
      <c r="G7249" s="67" t="s">
        <v>426</v>
      </c>
      <c r="H7249" s="69">
        <v>2.4753821971183143</v>
      </c>
    </row>
    <row r="7250" spans="6:8">
      <c r="F7250" s="68" t="s">
        <v>304</v>
      </c>
      <c r="G7250" s="67" t="s">
        <v>426</v>
      </c>
      <c r="H7250" s="69">
        <v>16.4375</v>
      </c>
    </row>
    <row r="7251" spans="6:8">
      <c r="F7251" s="68" t="s">
        <v>254</v>
      </c>
      <c r="G7251" s="67" t="s">
        <v>426</v>
      </c>
      <c r="H7251" s="69">
        <v>0.63</v>
      </c>
    </row>
    <row r="7252" spans="6:8">
      <c r="F7252" s="68" t="s">
        <v>129</v>
      </c>
      <c r="G7252" s="67" t="s">
        <v>426</v>
      </c>
      <c r="H7252" s="69">
        <v>-0.25</v>
      </c>
    </row>
    <row r="7253" spans="6:8">
      <c r="F7253" s="68" t="s">
        <v>128</v>
      </c>
      <c r="G7253" s="67" t="s">
        <v>426</v>
      </c>
      <c r="H7253" s="69">
        <v>-0.45</v>
      </c>
    </row>
    <row r="7254" spans="6:8">
      <c r="F7254" s="68" t="s">
        <v>315</v>
      </c>
      <c r="G7254" s="67" t="s">
        <v>426</v>
      </c>
      <c r="H7254" s="69">
        <v>-0.2</v>
      </c>
    </row>
    <row r="7255" spans="6:8">
      <c r="F7255" s="68" t="s">
        <v>253</v>
      </c>
      <c r="G7255" s="67" t="s">
        <v>426</v>
      </c>
      <c r="H7255" s="69">
        <v>0.46</v>
      </c>
    </row>
    <row r="7256" spans="6:8">
      <c r="F7256" s="68" t="s">
        <v>127</v>
      </c>
      <c r="G7256" s="67" t="s">
        <v>426</v>
      </c>
      <c r="H7256" s="69">
        <v>-0.15</v>
      </c>
    </row>
    <row r="7257" spans="6:8">
      <c r="F7257" s="68" t="s">
        <v>126</v>
      </c>
      <c r="G7257" s="67" t="s">
        <v>426</v>
      </c>
      <c r="H7257" s="69">
        <v>-0.5</v>
      </c>
    </row>
    <row r="7258" spans="6:8">
      <c r="F7258" s="68" t="s">
        <v>125</v>
      </c>
      <c r="G7258" s="67" t="s">
        <v>426</v>
      </c>
      <c r="H7258" s="69">
        <v>-0.4</v>
      </c>
    </row>
    <row r="7259" spans="6:8">
      <c r="F7259" s="68" t="s">
        <v>314</v>
      </c>
      <c r="G7259" s="67" t="s">
        <v>426</v>
      </c>
      <c r="H7259" s="69">
        <v>-0.3</v>
      </c>
    </row>
    <row r="7260" spans="6:8">
      <c r="F7260" s="68" t="s">
        <v>252</v>
      </c>
      <c r="G7260" s="67" t="s">
        <v>426</v>
      </c>
      <c r="H7260" s="69">
        <v>0.35</v>
      </c>
    </row>
    <row r="7261" spans="6:8">
      <c r="F7261" s="68" t="s">
        <v>124</v>
      </c>
      <c r="G7261" s="67" t="s">
        <v>426</v>
      </c>
      <c r="H7261" s="69">
        <v>-0.35</v>
      </c>
    </row>
    <row r="7262" spans="6:8">
      <c r="F7262" s="68" t="s">
        <v>123</v>
      </c>
      <c r="G7262" s="67" t="s">
        <v>426</v>
      </c>
      <c r="H7262" s="69">
        <v>-0.6</v>
      </c>
    </row>
    <row r="7263" spans="6:8">
      <c r="F7263" s="68" t="s">
        <v>122</v>
      </c>
      <c r="G7263" s="67" t="s">
        <v>426</v>
      </c>
      <c r="H7263" s="69">
        <v>-0.55000000000000004</v>
      </c>
    </row>
    <row r="7264" spans="6:8">
      <c r="F7264" s="68" t="s">
        <v>420</v>
      </c>
      <c r="G7264" s="67" t="s">
        <v>426</v>
      </c>
      <c r="H7264" s="69">
        <v>3.3639050543487592</v>
      </c>
    </row>
    <row r="7265" spans="6:8">
      <c r="F7265" s="68" t="s">
        <v>251</v>
      </c>
      <c r="G7265" s="67" t="s">
        <v>426</v>
      </c>
      <c r="H7265" s="69">
        <v>0.26</v>
      </c>
    </row>
    <row r="7266" spans="6:8">
      <c r="F7266" s="68" t="s">
        <v>121</v>
      </c>
      <c r="G7266" s="67" t="s">
        <v>426</v>
      </c>
      <c r="H7266" s="69">
        <v>-0.5</v>
      </c>
    </row>
    <row r="7267" spans="6:8">
      <c r="F7267" s="68" t="s">
        <v>120</v>
      </c>
      <c r="G7267" s="67" t="s">
        <v>426</v>
      </c>
      <c r="H7267" s="69">
        <v>-0.45</v>
      </c>
    </row>
    <row r="7268" spans="6:8">
      <c r="F7268" s="68" t="s">
        <v>119</v>
      </c>
      <c r="G7268" s="67" t="s">
        <v>426</v>
      </c>
      <c r="H7268" s="69">
        <v>-0.55000000000000004</v>
      </c>
    </row>
    <row r="7269" spans="6:8">
      <c r="F7269" s="68" t="s">
        <v>119</v>
      </c>
      <c r="G7269" s="67" t="s">
        <v>427</v>
      </c>
      <c r="H7269" s="69">
        <v>-0.55000000000000004</v>
      </c>
    </row>
    <row r="7270" spans="6:8">
      <c r="F7270" s="68" t="s">
        <v>120</v>
      </c>
      <c r="G7270" s="67" t="s">
        <v>427</v>
      </c>
      <c r="H7270" s="69">
        <v>-0.45</v>
      </c>
    </row>
    <row r="7271" spans="6:8">
      <c r="F7271" s="68" t="s">
        <v>121</v>
      </c>
      <c r="G7271" s="67" t="s">
        <v>427</v>
      </c>
      <c r="H7271" s="69">
        <v>-0.5</v>
      </c>
    </row>
    <row r="7272" spans="6:8">
      <c r="F7272" s="68" t="s">
        <v>251</v>
      </c>
      <c r="G7272" s="67" t="s">
        <v>427</v>
      </c>
      <c r="H7272" s="69">
        <v>0.26</v>
      </c>
    </row>
    <row r="7273" spans="6:8">
      <c r="F7273" s="68" t="s">
        <v>420</v>
      </c>
      <c r="G7273" s="67" t="s">
        <v>427</v>
      </c>
      <c r="H7273" s="69">
        <v>3.4296755954575708</v>
      </c>
    </row>
    <row r="7274" spans="6:8">
      <c r="F7274" s="68" t="s">
        <v>122</v>
      </c>
      <c r="G7274" s="67" t="s">
        <v>427</v>
      </c>
      <c r="H7274" s="69">
        <v>-0.55000000000000004</v>
      </c>
    </row>
    <row r="7275" spans="6:8">
      <c r="F7275" s="68" t="s">
        <v>123</v>
      </c>
      <c r="G7275" s="67" t="s">
        <v>427</v>
      </c>
      <c r="H7275" s="69">
        <v>-0.6</v>
      </c>
    </row>
    <row r="7276" spans="6:8">
      <c r="F7276" s="68" t="s">
        <v>124</v>
      </c>
      <c r="G7276" s="67" t="s">
        <v>427</v>
      </c>
      <c r="H7276" s="69">
        <v>-0.35</v>
      </c>
    </row>
    <row r="7277" spans="6:8">
      <c r="F7277" s="68" t="s">
        <v>252</v>
      </c>
      <c r="G7277" s="67" t="s">
        <v>427</v>
      </c>
      <c r="H7277" s="69">
        <v>0.35</v>
      </c>
    </row>
    <row r="7278" spans="6:8">
      <c r="F7278" s="68" t="s">
        <v>314</v>
      </c>
      <c r="G7278" s="67" t="s">
        <v>427</v>
      </c>
      <c r="H7278" s="69">
        <v>-0.3</v>
      </c>
    </row>
    <row r="7279" spans="6:8">
      <c r="F7279" s="68" t="s">
        <v>125</v>
      </c>
      <c r="G7279" s="67" t="s">
        <v>427</v>
      </c>
      <c r="H7279" s="69">
        <v>-0.4</v>
      </c>
    </row>
    <row r="7280" spans="6:8">
      <c r="F7280" s="68" t="s">
        <v>126</v>
      </c>
      <c r="G7280" s="67" t="s">
        <v>427</v>
      </c>
      <c r="H7280" s="69">
        <v>-0.5</v>
      </c>
    </row>
    <row r="7281" spans="6:8">
      <c r="F7281" s="68" t="s">
        <v>127</v>
      </c>
      <c r="G7281" s="67" t="s">
        <v>427</v>
      </c>
      <c r="H7281" s="69">
        <v>-0.15</v>
      </c>
    </row>
    <row r="7282" spans="6:8">
      <c r="F7282" s="68" t="s">
        <v>253</v>
      </c>
      <c r="G7282" s="67" t="s">
        <v>427</v>
      </c>
      <c r="H7282" s="69">
        <v>0.46</v>
      </c>
    </row>
    <row r="7283" spans="6:8">
      <c r="F7283" s="68" t="s">
        <v>315</v>
      </c>
      <c r="G7283" s="67" t="s">
        <v>427</v>
      </c>
      <c r="H7283" s="69">
        <v>-0.2</v>
      </c>
    </row>
    <row r="7284" spans="6:8">
      <c r="F7284" s="68" t="s">
        <v>128</v>
      </c>
      <c r="G7284" s="67" t="s">
        <v>427</v>
      </c>
      <c r="H7284" s="69">
        <v>-0.45</v>
      </c>
    </row>
    <row r="7285" spans="6:8">
      <c r="F7285" s="68" t="s">
        <v>129</v>
      </c>
      <c r="G7285" s="67" t="s">
        <v>427</v>
      </c>
      <c r="H7285" s="69">
        <v>-0.25</v>
      </c>
    </row>
    <row r="7286" spans="6:8">
      <c r="F7286" s="68" t="s">
        <v>254</v>
      </c>
      <c r="G7286" s="67" t="s">
        <v>427</v>
      </c>
      <c r="H7286" s="69">
        <v>0.63</v>
      </c>
    </row>
    <row r="7287" spans="6:8">
      <c r="F7287" s="68" t="s">
        <v>304</v>
      </c>
      <c r="G7287" s="67" t="s">
        <v>427</v>
      </c>
      <c r="H7287" s="69">
        <v>16.5625</v>
      </c>
    </row>
    <row r="7288" spans="6:8">
      <c r="F7288" s="68" t="s">
        <v>421</v>
      </c>
      <c r="G7288" s="67" t="s">
        <v>427</v>
      </c>
      <c r="H7288" s="69">
        <v>2.5439472436572519</v>
      </c>
    </row>
    <row r="7289" spans="6:8">
      <c r="F7289" s="68" t="s">
        <v>130</v>
      </c>
      <c r="G7289" s="67" t="s">
        <v>427</v>
      </c>
      <c r="H7289" s="69">
        <v>-0.65</v>
      </c>
    </row>
    <row r="7290" spans="6:8">
      <c r="F7290" s="68" t="s">
        <v>131</v>
      </c>
      <c r="G7290" s="67" t="s">
        <v>427</v>
      </c>
      <c r="H7290" s="69">
        <v>-0.3</v>
      </c>
    </row>
    <row r="7291" spans="6:8">
      <c r="F7291" s="68" t="s">
        <v>255</v>
      </c>
      <c r="G7291" s="67" t="s">
        <v>427</v>
      </c>
      <c r="H7291" s="69">
        <v>0.84</v>
      </c>
    </row>
    <row r="7292" spans="6:8">
      <c r="F7292" s="68" t="s">
        <v>303</v>
      </c>
      <c r="G7292" s="67" t="s">
        <v>427</v>
      </c>
      <c r="H7292" s="69">
        <v>17.9375</v>
      </c>
    </row>
    <row r="7293" spans="6:8">
      <c r="F7293" s="68" t="s">
        <v>422</v>
      </c>
      <c r="G7293" s="67" t="s">
        <v>427</v>
      </c>
      <c r="H7293" s="69">
        <v>2.5497243814139647</v>
      </c>
    </row>
    <row r="7294" spans="6:8">
      <c r="F7294" s="68" t="s">
        <v>132</v>
      </c>
      <c r="G7294" s="67" t="s">
        <v>427</v>
      </c>
      <c r="H7294" s="69">
        <v>-0.6</v>
      </c>
    </row>
    <row r="7295" spans="6:8">
      <c r="F7295" s="68" t="s">
        <v>133</v>
      </c>
      <c r="G7295" s="67" t="s">
        <v>427</v>
      </c>
      <c r="H7295" s="69">
        <v>-0.35</v>
      </c>
    </row>
    <row r="7296" spans="6:8">
      <c r="F7296" s="68" t="s">
        <v>256</v>
      </c>
      <c r="G7296" s="67" t="s">
        <v>427</v>
      </c>
      <c r="H7296" s="69">
        <v>1</v>
      </c>
    </row>
    <row r="7297" spans="6:8">
      <c r="F7297" s="68" t="s">
        <v>423</v>
      </c>
      <c r="G7297" s="67" t="s">
        <v>427</v>
      </c>
      <c r="H7297" s="69">
        <v>2.5816735550797887</v>
      </c>
    </row>
    <row r="7298" spans="6:8">
      <c r="F7298" s="68" t="s">
        <v>134</v>
      </c>
      <c r="G7298" s="67" t="s">
        <v>427</v>
      </c>
      <c r="H7298" s="69">
        <v>-0.6</v>
      </c>
    </row>
    <row r="7299" spans="6:8">
      <c r="F7299" s="68" t="s">
        <v>135</v>
      </c>
      <c r="G7299" s="67" t="s">
        <v>427</v>
      </c>
      <c r="H7299" s="69">
        <v>-0.35</v>
      </c>
    </row>
    <row r="7300" spans="6:8">
      <c r="F7300" s="68" t="s">
        <v>257</v>
      </c>
      <c r="G7300" s="67" t="s">
        <v>427</v>
      </c>
      <c r="H7300" s="69">
        <v>1.05</v>
      </c>
    </row>
    <row r="7301" spans="6:8">
      <c r="F7301" s="68" t="s">
        <v>258</v>
      </c>
      <c r="G7301" s="67" t="s">
        <v>427</v>
      </c>
      <c r="H7301" s="69">
        <v>0.14000000000000001</v>
      </c>
    </row>
    <row r="7302" spans="6:8">
      <c r="F7302" s="68" t="s">
        <v>424</v>
      </c>
      <c r="G7302" s="67" t="s">
        <v>427</v>
      </c>
      <c r="H7302" s="69">
        <v>3.2912392903016841</v>
      </c>
    </row>
    <row r="7303" spans="6:8">
      <c r="F7303" s="68" t="s">
        <v>136</v>
      </c>
      <c r="G7303" s="67" t="s">
        <v>427</v>
      </c>
      <c r="H7303" s="69">
        <v>-0.6</v>
      </c>
    </row>
    <row r="7304" spans="6:8">
      <c r="F7304" s="68" t="s">
        <v>137</v>
      </c>
      <c r="G7304" s="67" t="s">
        <v>427</v>
      </c>
      <c r="H7304" s="69">
        <v>-0.5</v>
      </c>
    </row>
    <row r="7305" spans="6:8">
      <c r="F7305" s="68" t="s">
        <v>138</v>
      </c>
      <c r="G7305" s="67" t="s">
        <v>427</v>
      </c>
      <c r="H7305" s="69">
        <v>-0.5</v>
      </c>
    </row>
    <row r="7306" spans="6:8">
      <c r="F7306" s="68" t="s">
        <v>259</v>
      </c>
      <c r="G7306" s="67" t="s">
        <v>427</v>
      </c>
      <c r="H7306" s="69">
        <v>0.17</v>
      </c>
    </row>
    <row r="7307" spans="6:8">
      <c r="F7307" s="68" t="s">
        <v>425</v>
      </c>
      <c r="G7307" s="67" t="s">
        <v>427</v>
      </c>
      <c r="H7307" s="69">
        <v>3.2987150227041795</v>
      </c>
    </row>
    <row r="7308" spans="6:8">
      <c r="F7308" s="68" t="s">
        <v>425</v>
      </c>
      <c r="G7308" s="67" t="s">
        <v>428</v>
      </c>
      <c r="H7308" s="69">
        <v>3.3034339662739942</v>
      </c>
    </row>
    <row r="7309" spans="6:8">
      <c r="F7309" s="68" t="s">
        <v>259</v>
      </c>
      <c r="G7309" s="67" t="s">
        <v>428</v>
      </c>
      <c r="H7309" s="69">
        <v>0.17</v>
      </c>
    </row>
    <row r="7310" spans="6:8">
      <c r="F7310" s="68" t="s">
        <v>138</v>
      </c>
      <c r="G7310" s="67" t="s">
        <v>428</v>
      </c>
      <c r="H7310" s="69">
        <v>-0.5</v>
      </c>
    </row>
    <row r="7311" spans="6:8">
      <c r="F7311" s="68" t="s">
        <v>137</v>
      </c>
      <c r="G7311" s="67" t="s">
        <v>428</v>
      </c>
      <c r="H7311" s="69">
        <v>-0.5</v>
      </c>
    </row>
    <row r="7312" spans="6:8">
      <c r="F7312" s="68" t="s">
        <v>136</v>
      </c>
      <c r="G7312" s="67" t="s">
        <v>428</v>
      </c>
      <c r="H7312" s="69">
        <v>-0.6</v>
      </c>
    </row>
    <row r="7313" spans="6:8">
      <c r="F7313" s="68" t="s">
        <v>424</v>
      </c>
      <c r="G7313" s="67" t="s">
        <v>428</v>
      </c>
      <c r="H7313" s="69">
        <v>3.2960161737392024</v>
      </c>
    </row>
    <row r="7314" spans="6:8">
      <c r="F7314" s="68" t="s">
        <v>258</v>
      </c>
      <c r="G7314" s="67" t="s">
        <v>428</v>
      </c>
      <c r="H7314" s="69">
        <v>0.14000000000000001</v>
      </c>
    </row>
    <row r="7315" spans="6:8">
      <c r="F7315" s="68" t="s">
        <v>257</v>
      </c>
      <c r="G7315" s="67" t="s">
        <v>428</v>
      </c>
      <c r="H7315" s="69">
        <v>1.05</v>
      </c>
    </row>
    <row r="7316" spans="6:8">
      <c r="F7316" s="68" t="s">
        <v>135</v>
      </c>
      <c r="G7316" s="67" t="s">
        <v>428</v>
      </c>
      <c r="H7316" s="69">
        <v>-0.35</v>
      </c>
    </row>
    <row r="7317" spans="6:8">
      <c r="F7317" s="68" t="s">
        <v>134</v>
      </c>
      <c r="G7317" s="67" t="s">
        <v>428</v>
      </c>
      <c r="H7317" s="69">
        <v>-0.6</v>
      </c>
    </row>
    <row r="7318" spans="6:8">
      <c r="F7318" s="68" t="s">
        <v>423</v>
      </c>
      <c r="G7318" s="67" t="s">
        <v>428</v>
      </c>
      <c r="H7318" s="69">
        <v>2.6057762494251957</v>
      </c>
    </row>
    <row r="7319" spans="6:8">
      <c r="F7319" s="68" t="s">
        <v>256</v>
      </c>
      <c r="G7319" s="67" t="s">
        <v>428</v>
      </c>
      <c r="H7319" s="69">
        <v>1</v>
      </c>
    </row>
    <row r="7320" spans="6:8">
      <c r="F7320" s="68" t="s">
        <v>133</v>
      </c>
      <c r="G7320" s="67" t="s">
        <v>428</v>
      </c>
      <c r="H7320" s="69">
        <v>-0.35</v>
      </c>
    </row>
    <row r="7321" spans="6:8">
      <c r="F7321" s="68" t="s">
        <v>132</v>
      </c>
      <c r="G7321" s="67" t="s">
        <v>428</v>
      </c>
      <c r="H7321" s="69">
        <v>-0.6</v>
      </c>
    </row>
    <row r="7322" spans="6:8">
      <c r="F7322" s="68" t="s">
        <v>422</v>
      </c>
      <c r="G7322" s="67" t="s">
        <v>428</v>
      </c>
      <c r="H7322" s="69">
        <v>2.572759199604846</v>
      </c>
    </row>
    <row r="7323" spans="6:8">
      <c r="F7323" s="68" t="s">
        <v>303</v>
      </c>
      <c r="G7323" s="67" t="s">
        <v>428</v>
      </c>
      <c r="H7323" s="69">
        <v>17.875</v>
      </c>
    </row>
    <row r="7324" spans="6:8">
      <c r="F7324" s="68" t="s">
        <v>255</v>
      </c>
      <c r="G7324" s="67" t="s">
        <v>428</v>
      </c>
      <c r="H7324" s="69">
        <v>0.84</v>
      </c>
    </row>
    <row r="7325" spans="6:8">
      <c r="F7325" s="68" t="s">
        <v>131</v>
      </c>
      <c r="G7325" s="67" t="s">
        <v>428</v>
      </c>
      <c r="H7325" s="69">
        <v>-0.3</v>
      </c>
    </row>
    <row r="7326" spans="6:8">
      <c r="F7326" s="68" t="s">
        <v>130</v>
      </c>
      <c r="G7326" s="67" t="s">
        <v>428</v>
      </c>
      <c r="H7326" s="69">
        <v>-0.65</v>
      </c>
    </row>
    <row r="7327" spans="6:8">
      <c r="F7327" s="68" t="s">
        <v>421</v>
      </c>
      <c r="G7327" s="67" t="s">
        <v>428</v>
      </c>
      <c r="H7327" s="69">
        <v>2.5670596620544384</v>
      </c>
    </row>
    <row r="7328" spans="6:8">
      <c r="F7328" s="68" t="s">
        <v>304</v>
      </c>
      <c r="G7328" s="67" t="s">
        <v>428</v>
      </c>
      <c r="H7328" s="69">
        <v>16.5</v>
      </c>
    </row>
    <row r="7329" spans="6:8">
      <c r="F7329" s="68" t="s">
        <v>254</v>
      </c>
      <c r="G7329" s="67" t="s">
        <v>428</v>
      </c>
      <c r="H7329" s="69">
        <v>0.63</v>
      </c>
    </row>
    <row r="7330" spans="6:8">
      <c r="F7330" s="68" t="s">
        <v>129</v>
      </c>
      <c r="G7330" s="67" t="s">
        <v>428</v>
      </c>
      <c r="H7330" s="69">
        <v>-0.25</v>
      </c>
    </row>
    <row r="7331" spans="6:8">
      <c r="F7331" s="68" t="s">
        <v>128</v>
      </c>
      <c r="G7331" s="67" t="s">
        <v>428</v>
      </c>
      <c r="H7331" s="69">
        <v>-0.45</v>
      </c>
    </row>
    <row r="7332" spans="6:8">
      <c r="F7332" s="68" t="s">
        <v>315</v>
      </c>
      <c r="G7332" s="67" t="s">
        <v>428</v>
      </c>
      <c r="H7332" s="69">
        <v>-0.2</v>
      </c>
    </row>
    <row r="7333" spans="6:8">
      <c r="F7333" s="68" t="s">
        <v>253</v>
      </c>
      <c r="G7333" s="67" t="s">
        <v>428</v>
      </c>
      <c r="H7333" s="69">
        <v>0.46</v>
      </c>
    </row>
    <row r="7334" spans="6:8">
      <c r="F7334" s="68" t="s">
        <v>127</v>
      </c>
      <c r="G7334" s="67" t="s">
        <v>428</v>
      </c>
      <c r="H7334" s="69">
        <v>-0.15</v>
      </c>
    </row>
    <row r="7335" spans="6:8">
      <c r="F7335" s="68" t="s">
        <v>126</v>
      </c>
      <c r="G7335" s="67" t="s">
        <v>428</v>
      </c>
      <c r="H7335" s="69">
        <v>-0.5</v>
      </c>
    </row>
    <row r="7336" spans="6:8">
      <c r="F7336" s="68" t="s">
        <v>125</v>
      </c>
      <c r="G7336" s="67" t="s">
        <v>428</v>
      </c>
      <c r="H7336" s="69">
        <v>-0.4</v>
      </c>
    </row>
    <row r="7337" spans="6:8">
      <c r="F7337" s="68" t="s">
        <v>314</v>
      </c>
      <c r="G7337" s="67" t="s">
        <v>428</v>
      </c>
      <c r="H7337" s="69">
        <v>-0.3</v>
      </c>
    </row>
    <row r="7338" spans="6:8">
      <c r="F7338" s="68" t="s">
        <v>252</v>
      </c>
      <c r="G7338" s="67" t="s">
        <v>428</v>
      </c>
      <c r="H7338" s="69">
        <v>0.35</v>
      </c>
    </row>
    <row r="7339" spans="6:8">
      <c r="F7339" s="68" t="s">
        <v>124</v>
      </c>
      <c r="G7339" s="67" t="s">
        <v>428</v>
      </c>
      <c r="H7339" s="69">
        <v>-0.35</v>
      </c>
    </row>
    <row r="7340" spans="6:8">
      <c r="F7340" s="68" t="s">
        <v>123</v>
      </c>
      <c r="G7340" s="67" t="s">
        <v>428</v>
      </c>
      <c r="H7340" s="69">
        <v>-0.6</v>
      </c>
    </row>
    <row r="7341" spans="6:8">
      <c r="F7341" s="68" t="s">
        <v>122</v>
      </c>
      <c r="G7341" s="67" t="s">
        <v>428</v>
      </c>
      <c r="H7341" s="69">
        <v>-0.55000000000000004</v>
      </c>
    </row>
    <row r="7342" spans="6:8">
      <c r="F7342" s="68" t="s">
        <v>420</v>
      </c>
      <c r="G7342" s="67" t="s">
        <v>428</v>
      </c>
      <c r="H7342" s="69">
        <v>3.4407863915877357</v>
      </c>
    </row>
    <row r="7343" spans="6:8">
      <c r="F7343" s="68" t="s">
        <v>251</v>
      </c>
      <c r="G7343" s="67" t="s">
        <v>428</v>
      </c>
      <c r="H7343" s="69">
        <v>0.26</v>
      </c>
    </row>
    <row r="7344" spans="6:8">
      <c r="F7344" s="68" t="s">
        <v>121</v>
      </c>
      <c r="G7344" s="67" t="s">
        <v>428</v>
      </c>
      <c r="H7344" s="69">
        <v>-0.5</v>
      </c>
    </row>
    <row r="7345" spans="6:8">
      <c r="F7345" s="68" t="s">
        <v>120</v>
      </c>
      <c r="G7345" s="67" t="s">
        <v>428</v>
      </c>
      <c r="H7345" s="69">
        <v>-0.45</v>
      </c>
    </row>
    <row r="7346" spans="6:8">
      <c r="F7346" s="68" t="s">
        <v>119</v>
      </c>
      <c r="G7346" s="67" t="s">
        <v>428</v>
      </c>
      <c r="H7346" s="69">
        <v>-0.55000000000000004</v>
      </c>
    </row>
    <row r="7347" spans="6:8">
      <c r="F7347" s="68" t="s">
        <v>119</v>
      </c>
      <c r="G7347" s="67" t="s">
        <v>429</v>
      </c>
      <c r="H7347" s="69">
        <v>-0.55000000000000004</v>
      </c>
    </row>
    <row r="7348" spans="6:8">
      <c r="F7348" s="68" t="s">
        <v>120</v>
      </c>
      <c r="G7348" s="67" t="s">
        <v>429</v>
      </c>
      <c r="H7348" s="69">
        <v>-0.45</v>
      </c>
    </row>
    <row r="7349" spans="6:8">
      <c r="F7349" s="68" t="s">
        <v>121</v>
      </c>
      <c r="G7349" s="67" t="s">
        <v>429</v>
      </c>
      <c r="H7349" s="69">
        <v>-0.5</v>
      </c>
    </row>
    <row r="7350" spans="6:8">
      <c r="F7350" s="68" t="s">
        <v>251</v>
      </c>
      <c r="G7350" s="67" t="s">
        <v>429</v>
      </c>
      <c r="H7350" s="69">
        <v>0.26</v>
      </c>
    </row>
    <row r="7351" spans="6:8">
      <c r="F7351" s="68" t="s">
        <v>420</v>
      </c>
      <c r="G7351" s="67" t="s">
        <v>429</v>
      </c>
      <c r="H7351" s="69">
        <v>3.3953206082541598</v>
      </c>
    </row>
    <row r="7352" spans="6:8">
      <c r="F7352" s="68" t="s">
        <v>122</v>
      </c>
      <c r="G7352" s="67" t="s">
        <v>429</v>
      </c>
      <c r="H7352" s="69">
        <v>-0.55000000000000004</v>
      </c>
    </row>
    <row r="7353" spans="6:8">
      <c r="F7353" s="68" t="s">
        <v>123</v>
      </c>
      <c r="G7353" s="67" t="s">
        <v>429</v>
      </c>
      <c r="H7353" s="69">
        <v>-0.6</v>
      </c>
    </row>
    <row r="7354" spans="6:8">
      <c r="F7354" s="68" t="s">
        <v>124</v>
      </c>
      <c r="G7354" s="67" t="s">
        <v>429</v>
      </c>
      <c r="H7354" s="69">
        <v>-0.35</v>
      </c>
    </row>
    <row r="7355" spans="6:8">
      <c r="F7355" s="68" t="s">
        <v>252</v>
      </c>
      <c r="G7355" s="67" t="s">
        <v>429</v>
      </c>
      <c r="H7355" s="69">
        <v>0.35</v>
      </c>
    </row>
    <row r="7356" spans="6:8">
      <c r="F7356" s="68" t="s">
        <v>314</v>
      </c>
      <c r="G7356" s="67" t="s">
        <v>429</v>
      </c>
      <c r="H7356" s="69">
        <v>-0.3</v>
      </c>
    </row>
    <row r="7357" spans="6:8">
      <c r="F7357" s="68" t="s">
        <v>125</v>
      </c>
      <c r="G7357" s="67" t="s">
        <v>429</v>
      </c>
      <c r="H7357" s="69">
        <v>-0.4</v>
      </c>
    </row>
    <row r="7358" spans="6:8">
      <c r="F7358" s="68" t="s">
        <v>126</v>
      </c>
      <c r="G7358" s="67" t="s">
        <v>429</v>
      </c>
      <c r="H7358" s="69">
        <v>-0.5</v>
      </c>
    </row>
    <row r="7359" spans="6:8">
      <c r="F7359" s="68" t="s">
        <v>127</v>
      </c>
      <c r="G7359" s="67" t="s">
        <v>429</v>
      </c>
      <c r="H7359" s="69">
        <v>-0.15</v>
      </c>
    </row>
    <row r="7360" spans="6:8">
      <c r="F7360" s="68" t="s">
        <v>253</v>
      </c>
      <c r="G7360" s="67" t="s">
        <v>429</v>
      </c>
      <c r="H7360" s="69">
        <v>0.46</v>
      </c>
    </row>
    <row r="7361" spans="6:8">
      <c r="F7361" s="68" t="s">
        <v>315</v>
      </c>
      <c r="G7361" s="67" t="s">
        <v>429</v>
      </c>
      <c r="H7361" s="69">
        <v>-0.2</v>
      </c>
    </row>
    <row r="7362" spans="6:8">
      <c r="F7362" s="68" t="s">
        <v>128</v>
      </c>
      <c r="G7362" s="67" t="s">
        <v>429</v>
      </c>
      <c r="H7362" s="69">
        <v>-0.45</v>
      </c>
    </row>
    <row r="7363" spans="6:8">
      <c r="F7363" s="68" t="s">
        <v>129</v>
      </c>
      <c r="G7363" s="67" t="s">
        <v>429</v>
      </c>
      <c r="H7363" s="69">
        <v>-0.25</v>
      </c>
    </row>
    <row r="7364" spans="6:8">
      <c r="F7364" s="68" t="s">
        <v>254</v>
      </c>
      <c r="G7364" s="67" t="s">
        <v>429</v>
      </c>
      <c r="H7364" s="69">
        <v>0.63</v>
      </c>
    </row>
    <row r="7365" spans="6:8">
      <c r="F7365" s="68" t="s">
        <v>304</v>
      </c>
      <c r="G7365" s="67" t="s">
        <v>429</v>
      </c>
      <c r="H7365" s="69">
        <v>16.4375</v>
      </c>
    </row>
    <row r="7366" spans="6:8">
      <c r="F7366" s="68" t="s">
        <v>421</v>
      </c>
      <c r="G7366" s="67" t="s">
        <v>429</v>
      </c>
      <c r="H7366" s="69">
        <v>2.5119212025377813</v>
      </c>
    </row>
    <row r="7367" spans="6:8">
      <c r="F7367" s="68" t="s">
        <v>130</v>
      </c>
      <c r="G7367" s="67" t="s">
        <v>429</v>
      </c>
      <c r="H7367" s="69">
        <v>-0.65</v>
      </c>
    </row>
    <row r="7368" spans="6:8">
      <c r="F7368" s="68" t="s">
        <v>131</v>
      </c>
      <c r="G7368" s="67" t="s">
        <v>429</v>
      </c>
      <c r="H7368" s="69">
        <v>-0.3</v>
      </c>
    </row>
    <row r="7369" spans="6:8">
      <c r="F7369" s="68" t="s">
        <v>255</v>
      </c>
      <c r="G7369" s="67" t="s">
        <v>429</v>
      </c>
      <c r="H7369" s="69">
        <v>0.84</v>
      </c>
    </row>
    <row r="7370" spans="6:8">
      <c r="F7370" s="68" t="s">
        <v>303</v>
      </c>
      <c r="G7370" s="67" t="s">
        <v>429</v>
      </c>
      <c r="H7370" s="69">
        <v>17.8125</v>
      </c>
    </row>
    <row r="7371" spans="6:8">
      <c r="F7371" s="68" t="s">
        <v>422</v>
      </c>
      <c r="G7371" s="67" t="s">
        <v>429</v>
      </c>
      <c r="H7371" s="69">
        <v>2.5176107750865651</v>
      </c>
    </row>
    <row r="7372" spans="6:8">
      <c r="F7372" s="68" t="s">
        <v>132</v>
      </c>
      <c r="G7372" s="67" t="s">
        <v>429</v>
      </c>
      <c r="H7372" s="69">
        <v>-0.6</v>
      </c>
    </row>
    <row r="7373" spans="6:8">
      <c r="F7373" s="68" t="s">
        <v>133</v>
      </c>
      <c r="G7373" s="67" t="s">
        <v>429</v>
      </c>
      <c r="H7373" s="69">
        <v>-0.35</v>
      </c>
    </row>
    <row r="7374" spans="6:8">
      <c r="F7374" s="68" t="s">
        <v>256</v>
      </c>
      <c r="G7374" s="67" t="s">
        <v>429</v>
      </c>
      <c r="H7374" s="69">
        <v>1</v>
      </c>
    </row>
    <row r="7375" spans="6:8">
      <c r="F7375" s="68" t="s">
        <v>423</v>
      </c>
      <c r="G7375" s="67" t="s">
        <v>429</v>
      </c>
      <c r="H7375" s="69">
        <v>2.5509796222082048</v>
      </c>
    </row>
    <row r="7376" spans="6:8">
      <c r="F7376" s="68" t="s">
        <v>134</v>
      </c>
      <c r="G7376" s="67" t="s">
        <v>429</v>
      </c>
      <c r="H7376" s="69">
        <v>-0.6</v>
      </c>
    </row>
    <row r="7377" spans="6:8">
      <c r="F7377" s="68" t="s">
        <v>135</v>
      </c>
      <c r="G7377" s="67" t="s">
        <v>429</v>
      </c>
      <c r="H7377" s="69">
        <v>-0.35</v>
      </c>
    </row>
    <row r="7378" spans="6:8">
      <c r="F7378" s="68" t="s">
        <v>257</v>
      </c>
      <c r="G7378" s="67" t="s">
        <v>429</v>
      </c>
      <c r="H7378" s="69">
        <v>1.05</v>
      </c>
    </row>
    <row r="7379" spans="6:8">
      <c r="F7379" s="68" t="s">
        <v>258</v>
      </c>
      <c r="G7379" s="67" t="s">
        <v>429</v>
      </c>
      <c r="H7379" s="69">
        <v>0.14000000000000001</v>
      </c>
    </row>
    <row r="7380" spans="6:8">
      <c r="F7380" s="68" t="s">
        <v>424</v>
      </c>
      <c r="G7380" s="67" t="s">
        <v>429</v>
      </c>
      <c r="H7380" s="69">
        <v>3.2515610689867191</v>
      </c>
    </row>
    <row r="7381" spans="6:8">
      <c r="F7381" s="68" t="s">
        <v>136</v>
      </c>
      <c r="G7381" s="67" t="s">
        <v>429</v>
      </c>
      <c r="H7381" s="69">
        <v>-0.6</v>
      </c>
    </row>
    <row r="7382" spans="6:8">
      <c r="F7382" s="68" t="s">
        <v>137</v>
      </c>
      <c r="G7382" s="67" t="s">
        <v>429</v>
      </c>
      <c r="H7382" s="69">
        <v>-0.5</v>
      </c>
    </row>
    <row r="7383" spans="6:8">
      <c r="F7383" s="68" t="s">
        <v>138</v>
      </c>
      <c r="G7383" s="67" t="s">
        <v>429</v>
      </c>
      <c r="H7383" s="69">
        <v>-0.5</v>
      </c>
    </row>
    <row r="7384" spans="6:8">
      <c r="F7384" s="68" t="s">
        <v>259</v>
      </c>
      <c r="G7384" s="67" t="s">
        <v>429</v>
      </c>
      <c r="H7384" s="69">
        <v>0.17</v>
      </c>
    </row>
    <row r="7385" spans="6:8">
      <c r="F7385" s="68" t="s">
        <v>425</v>
      </c>
      <c r="G7385" s="67" t="s">
        <v>429</v>
      </c>
      <c r="H7385" s="69">
        <v>3.2552307210794051</v>
      </c>
    </row>
    <row r="7386" spans="6:8">
      <c r="F7386" s="68" t="s">
        <v>425</v>
      </c>
      <c r="G7386" s="67" t="s">
        <v>430</v>
      </c>
      <c r="H7386" s="69">
        <v>3.2663468735775414</v>
      </c>
    </row>
    <row r="7387" spans="6:8">
      <c r="F7387" s="68" t="s">
        <v>259</v>
      </c>
      <c r="G7387" s="67" t="s">
        <v>430</v>
      </c>
      <c r="H7387" s="69">
        <v>0.17</v>
      </c>
    </row>
    <row r="7388" spans="6:8">
      <c r="F7388" s="68" t="s">
        <v>138</v>
      </c>
      <c r="G7388" s="67" t="s">
        <v>430</v>
      </c>
      <c r="H7388" s="69">
        <v>-0.5</v>
      </c>
    </row>
    <row r="7389" spans="6:8">
      <c r="F7389" s="68" t="s">
        <v>137</v>
      </c>
      <c r="G7389" s="67" t="s">
        <v>430</v>
      </c>
      <c r="H7389" s="69">
        <v>-0.5</v>
      </c>
    </row>
    <row r="7390" spans="6:8">
      <c r="F7390" s="68" t="s">
        <v>136</v>
      </c>
      <c r="G7390" s="67" t="s">
        <v>430</v>
      </c>
      <c r="H7390" s="69">
        <v>-0.6</v>
      </c>
    </row>
    <row r="7391" spans="6:8">
      <c r="F7391" s="68" t="s">
        <v>424</v>
      </c>
      <c r="G7391" s="67" t="s">
        <v>430</v>
      </c>
      <c r="H7391" s="69">
        <v>3.2659496242341657</v>
      </c>
    </row>
    <row r="7392" spans="6:8">
      <c r="F7392" s="68" t="s">
        <v>258</v>
      </c>
      <c r="G7392" s="67" t="s">
        <v>430</v>
      </c>
      <c r="H7392" s="69">
        <v>0.14000000000000001</v>
      </c>
    </row>
    <row r="7393" spans="6:8">
      <c r="F7393" s="68" t="s">
        <v>257</v>
      </c>
      <c r="G7393" s="67" t="s">
        <v>430</v>
      </c>
      <c r="H7393" s="69">
        <v>1.05</v>
      </c>
    </row>
    <row r="7394" spans="6:8">
      <c r="F7394" s="68" t="s">
        <v>135</v>
      </c>
      <c r="G7394" s="67" t="s">
        <v>430</v>
      </c>
      <c r="H7394" s="69">
        <v>-0.35</v>
      </c>
    </row>
    <row r="7395" spans="6:8">
      <c r="F7395" s="68" t="s">
        <v>134</v>
      </c>
      <c r="G7395" s="67" t="s">
        <v>430</v>
      </c>
      <c r="H7395" s="69">
        <v>-0.6</v>
      </c>
    </row>
    <row r="7396" spans="6:8">
      <c r="F7396" s="68" t="s">
        <v>423</v>
      </c>
      <c r="G7396" s="67" t="s">
        <v>430</v>
      </c>
      <c r="H7396" s="69">
        <v>2.5523036992544768</v>
      </c>
    </row>
    <row r="7397" spans="6:8">
      <c r="F7397" s="68" t="s">
        <v>256</v>
      </c>
      <c r="G7397" s="67" t="s">
        <v>430</v>
      </c>
      <c r="H7397" s="69">
        <v>1</v>
      </c>
    </row>
    <row r="7398" spans="6:8">
      <c r="F7398" s="68" t="s">
        <v>133</v>
      </c>
      <c r="G7398" s="67" t="s">
        <v>430</v>
      </c>
      <c r="H7398" s="69">
        <v>-0.35</v>
      </c>
    </row>
    <row r="7399" spans="6:8">
      <c r="F7399" s="68" t="s">
        <v>132</v>
      </c>
      <c r="G7399" s="67" t="s">
        <v>430</v>
      </c>
      <c r="H7399" s="69">
        <v>-0.6</v>
      </c>
    </row>
    <row r="7400" spans="6:8">
      <c r="F7400" s="68" t="s">
        <v>422</v>
      </c>
      <c r="G7400" s="67" t="s">
        <v>430</v>
      </c>
      <c r="H7400" s="69">
        <v>2.5150594510908952</v>
      </c>
    </row>
    <row r="7401" spans="6:8">
      <c r="F7401" s="68" t="s">
        <v>303</v>
      </c>
      <c r="G7401" s="67" t="s">
        <v>430</v>
      </c>
      <c r="H7401" s="69">
        <v>17.8125</v>
      </c>
    </row>
    <row r="7402" spans="6:8">
      <c r="F7402" s="68" t="s">
        <v>255</v>
      </c>
      <c r="G7402" s="67" t="s">
        <v>430</v>
      </c>
      <c r="H7402" s="69">
        <v>0.84</v>
      </c>
    </row>
    <row r="7403" spans="6:8">
      <c r="F7403" s="68" t="s">
        <v>131</v>
      </c>
      <c r="G7403" s="67" t="s">
        <v>430</v>
      </c>
      <c r="H7403" s="69">
        <v>-0.3</v>
      </c>
    </row>
    <row r="7404" spans="6:8">
      <c r="F7404" s="68" t="s">
        <v>130</v>
      </c>
      <c r="G7404" s="67" t="s">
        <v>430</v>
      </c>
      <c r="H7404" s="69">
        <v>-0.65</v>
      </c>
    </row>
    <row r="7405" spans="6:8">
      <c r="F7405" s="68" t="s">
        <v>421</v>
      </c>
      <c r="G7405" s="67" t="s">
        <v>430</v>
      </c>
      <c r="H7405" s="69">
        <v>2.5093467770430866</v>
      </c>
    </row>
    <row r="7406" spans="6:8">
      <c r="F7406" s="68" t="s">
        <v>304</v>
      </c>
      <c r="G7406" s="67" t="s">
        <v>430</v>
      </c>
      <c r="H7406" s="69">
        <v>16.4375</v>
      </c>
    </row>
    <row r="7407" spans="6:8">
      <c r="F7407" s="68" t="s">
        <v>254</v>
      </c>
      <c r="G7407" s="67" t="s">
        <v>430</v>
      </c>
      <c r="H7407" s="69">
        <v>0.63</v>
      </c>
    </row>
    <row r="7408" spans="6:8">
      <c r="F7408" s="68" t="s">
        <v>129</v>
      </c>
      <c r="G7408" s="67" t="s">
        <v>430</v>
      </c>
      <c r="H7408" s="69">
        <v>-0.25</v>
      </c>
    </row>
    <row r="7409" spans="6:8">
      <c r="F7409" s="68" t="s">
        <v>128</v>
      </c>
      <c r="G7409" s="67" t="s">
        <v>430</v>
      </c>
      <c r="H7409" s="69">
        <v>-0.45</v>
      </c>
    </row>
    <row r="7410" spans="6:8">
      <c r="F7410" s="68" t="s">
        <v>315</v>
      </c>
      <c r="G7410" s="67" t="s">
        <v>430</v>
      </c>
      <c r="H7410" s="69">
        <v>-0.2</v>
      </c>
    </row>
    <row r="7411" spans="6:8">
      <c r="F7411" s="68" t="s">
        <v>253</v>
      </c>
      <c r="G7411" s="67" t="s">
        <v>430</v>
      </c>
      <c r="H7411" s="69">
        <v>0.46</v>
      </c>
    </row>
    <row r="7412" spans="6:8">
      <c r="F7412" s="68" t="s">
        <v>127</v>
      </c>
      <c r="G7412" s="67" t="s">
        <v>430</v>
      </c>
      <c r="H7412" s="69">
        <v>-0.15</v>
      </c>
    </row>
    <row r="7413" spans="6:8">
      <c r="F7413" s="68" t="s">
        <v>126</v>
      </c>
      <c r="G7413" s="67" t="s">
        <v>430</v>
      </c>
      <c r="H7413" s="69">
        <v>-0.5</v>
      </c>
    </row>
    <row r="7414" spans="6:8">
      <c r="F7414" s="68" t="s">
        <v>125</v>
      </c>
      <c r="G7414" s="67" t="s">
        <v>430</v>
      </c>
      <c r="H7414" s="69">
        <v>-0.4</v>
      </c>
    </row>
    <row r="7415" spans="6:8">
      <c r="F7415" s="68" t="s">
        <v>314</v>
      </c>
      <c r="G7415" s="67" t="s">
        <v>430</v>
      </c>
      <c r="H7415" s="69">
        <v>-0.3</v>
      </c>
    </row>
    <row r="7416" spans="6:8">
      <c r="F7416" s="68" t="s">
        <v>252</v>
      </c>
      <c r="G7416" s="67" t="s">
        <v>430</v>
      </c>
      <c r="H7416" s="69">
        <v>0.35</v>
      </c>
    </row>
    <row r="7417" spans="6:8">
      <c r="F7417" s="68" t="s">
        <v>124</v>
      </c>
      <c r="G7417" s="67" t="s">
        <v>430</v>
      </c>
      <c r="H7417" s="69">
        <v>-0.35</v>
      </c>
    </row>
    <row r="7418" spans="6:8">
      <c r="F7418" s="68" t="s">
        <v>123</v>
      </c>
      <c r="G7418" s="67" t="s">
        <v>430</v>
      </c>
      <c r="H7418" s="69">
        <v>-0.6</v>
      </c>
    </row>
    <row r="7419" spans="6:8">
      <c r="F7419" s="68" t="s">
        <v>122</v>
      </c>
      <c r="G7419" s="67" t="s">
        <v>430</v>
      </c>
      <c r="H7419" s="69">
        <v>-0.55000000000000004</v>
      </c>
    </row>
    <row r="7420" spans="6:8">
      <c r="F7420" s="68" t="s">
        <v>420</v>
      </c>
      <c r="G7420" s="67" t="s">
        <v>430</v>
      </c>
      <c r="H7420" s="69">
        <v>3.4061464314062206</v>
      </c>
    </row>
    <row r="7421" spans="6:8">
      <c r="F7421" s="68" t="s">
        <v>251</v>
      </c>
      <c r="G7421" s="67" t="s">
        <v>430</v>
      </c>
      <c r="H7421" s="69">
        <v>0.26</v>
      </c>
    </row>
    <row r="7422" spans="6:8">
      <c r="F7422" s="68" t="s">
        <v>121</v>
      </c>
      <c r="G7422" s="67" t="s">
        <v>430</v>
      </c>
      <c r="H7422" s="69">
        <v>-0.5</v>
      </c>
    </row>
    <row r="7423" spans="6:8">
      <c r="F7423" s="68" t="s">
        <v>120</v>
      </c>
      <c r="G7423" s="67" t="s">
        <v>430</v>
      </c>
      <c r="H7423" s="69">
        <v>-0.45</v>
      </c>
    </row>
    <row r="7424" spans="6:8">
      <c r="F7424" s="68" t="s">
        <v>119</v>
      </c>
      <c r="G7424" s="67" t="s">
        <v>430</v>
      </c>
      <c r="H7424" s="69">
        <v>-0.55000000000000004</v>
      </c>
    </row>
    <row r="7425" spans="6:8">
      <c r="F7425" s="68" t="s">
        <v>119</v>
      </c>
      <c r="G7425" s="67" t="s">
        <v>431</v>
      </c>
      <c r="H7425" s="69">
        <v>-0.55000000000000004</v>
      </c>
    </row>
    <row r="7426" spans="6:8">
      <c r="F7426" s="68" t="s">
        <v>120</v>
      </c>
      <c r="G7426" s="67" t="s">
        <v>431</v>
      </c>
      <c r="H7426" s="69">
        <v>-0.45</v>
      </c>
    </row>
    <row r="7427" spans="6:8">
      <c r="F7427" s="68" t="s">
        <v>121</v>
      </c>
      <c r="G7427" s="67" t="s">
        <v>431</v>
      </c>
      <c r="H7427" s="69">
        <v>-0.5</v>
      </c>
    </row>
    <row r="7428" spans="6:8">
      <c r="F7428" s="68" t="s">
        <v>251</v>
      </c>
      <c r="G7428" s="67" t="s">
        <v>431</v>
      </c>
      <c r="H7428" s="69">
        <v>0.26</v>
      </c>
    </row>
    <row r="7429" spans="6:8">
      <c r="F7429" s="68" t="s">
        <v>420</v>
      </c>
      <c r="G7429" s="67" t="s">
        <v>431</v>
      </c>
      <c r="H7429" s="69">
        <v>3.4285967572115439</v>
      </c>
    </row>
    <row r="7430" spans="6:8">
      <c r="F7430" s="68" t="s">
        <v>122</v>
      </c>
      <c r="G7430" s="67" t="s">
        <v>431</v>
      </c>
      <c r="H7430" s="69">
        <v>-0.55000000000000004</v>
      </c>
    </row>
    <row r="7431" spans="6:8">
      <c r="F7431" s="68" t="s">
        <v>123</v>
      </c>
      <c r="G7431" s="67" t="s">
        <v>431</v>
      </c>
      <c r="H7431" s="69">
        <v>-0.6</v>
      </c>
    </row>
    <row r="7432" spans="6:8">
      <c r="F7432" s="68" t="s">
        <v>124</v>
      </c>
      <c r="G7432" s="67" t="s">
        <v>431</v>
      </c>
      <c r="H7432" s="69">
        <v>-0.35</v>
      </c>
    </row>
    <row r="7433" spans="6:8">
      <c r="F7433" s="68" t="s">
        <v>252</v>
      </c>
      <c r="G7433" s="67" t="s">
        <v>431</v>
      </c>
      <c r="H7433" s="69">
        <v>0.35</v>
      </c>
    </row>
    <row r="7434" spans="6:8">
      <c r="F7434" s="68" t="s">
        <v>314</v>
      </c>
      <c r="G7434" s="67" t="s">
        <v>431</v>
      </c>
      <c r="H7434" s="69">
        <v>-0.3</v>
      </c>
    </row>
    <row r="7435" spans="6:8">
      <c r="F7435" s="68" t="s">
        <v>125</v>
      </c>
      <c r="G7435" s="67" t="s">
        <v>431</v>
      </c>
      <c r="H7435" s="69">
        <v>-0.4</v>
      </c>
    </row>
    <row r="7436" spans="6:8">
      <c r="F7436" s="68" t="s">
        <v>126</v>
      </c>
      <c r="G7436" s="67" t="s">
        <v>431</v>
      </c>
      <c r="H7436" s="69">
        <v>-0.5</v>
      </c>
    </row>
    <row r="7437" spans="6:8">
      <c r="F7437" s="68" t="s">
        <v>127</v>
      </c>
      <c r="G7437" s="67" t="s">
        <v>431</v>
      </c>
      <c r="H7437" s="69">
        <v>-0.15</v>
      </c>
    </row>
    <row r="7438" spans="6:8">
      <c r="F7438" s="68" t="s">
        <v>253</v>
      </c>
      <c r="G7438" s="67" t="s">
        <v>431</v>
      </c>
      <c r="H7438" s="69">
        <v>0.46</v>
      </c>
    </row>
    <row r="7439" spans="6:8">
      <c r="F7439" s="68" t="s">
        <v>315</v>
      </c>
      <c r="G7439" s="67" t="s">
        <v>431</v>
      </c>
      <c r="H7439" s="69">
        <v>-0.2</v>
      </c>
    </row>
    <row r="7440" spans="6:8">
      <c r="F7440" s="68" t="s">
        <v>128</v>
      </c>
      <c r="G7440" s="67" t="s">
        <v>431</v>
      </c>
      <c r="H7440" s="69">
        <v>-0.45</v>
      </c>
    </row>
    <row r="7441" spans="6:8">
      <c r="F7441" s="68" t="s">
        <v>129</v>
      </c>
      <c r="G7441" s="67" t="s">
        <v>431</v>
      </c>
      <c r="H7441" s="69">
        <v>-0.25</v>
      </c>
    </row>
    <row r="7442" spans="6:8">
      <c r="F7442" s="68" t="s">
        <v>254</v>
      </c>
      <c r="G7442" s="67" t="s">
        <v>431</v>
      </c>
      <c r="H7442" s="69">
        <v>0.63</v>
      </c>
    </row>
    <row r="7443" spans="6:8">
      <c r="F7443" s="68" t="s">
        <v>304</v>
      </c>
      <c r="G7443" s="67" t="s">
        <v>431</v>
      </c>
      <c r="H7443" s="69">
        <v>16.5</v>
      </c>
    </row>
    <row r="7444" spans="6:8">
      <c r="F7444" s="68" t="s">
        <v>421</v>
      </c>
      <c r="G7444" s="67" t="s">
        <v>431</v>
      </c>
      <c r="H7444" s="69">
        <v>2.5080876448112299</v>
      </c>
    </row>
    <row r="7445" spans="6:8">
      <c r="F7445" s="68" t="s">
        <v>130</v>
      </c>
      <c r="G7445" s="67" t="s">
        <v>431</v>
      </c>
      <c r="H7445" s="69">
        <v>-0.65</v>
      </c>
    </row>
    <row r="7446" spans="6:8">
      <c r="F7446" s="68" t="s">
        <v>131</v>
      </c>
      <c r="G7446" s="67" t="s">
        <v>431</v>
      </c>
      <c r="H7446" s="69">
        <v>-0.3</v>
      </c>
    </row>
    <row r="7447" spans="6:8">
      <c r="F7447" s="68" t="s">
        <v>255</v>
      </c>
      <c r="G7447" s="67" t="s">
        <v>431</v>
      </c>
      <c r="H7447" s="69">
        <v>0.84</v>
      </c>
    </row>
    <row r="7448" spans="6:8">
      <c r="F7448" s="68" t="s">
        <v>303</v>
      </c>
      <c r="G7448" s="67" t="s">
        <v>431</v>
      </c>
      <c r="H7448" s="69">
        <v>17.875</v>
      </c>
    </row>
    <row r="7449" spans="6:8">
      <c r="F7449" s="68" t="s">
        <v>422</v>
      </c>
      <c r="G7449" s="67" t="s">
        <v>431</v>
      </c>
      <c r="H7449" s="69">
        <v>2.5137684894427359</v>
      </c>
    </row>
    <row r="7450" spans="6:8">
      <c r="F7450" s="68" t="s">
        <v>132</v>
      </c>
      <c r="G7450" s="67" t="s">
        <v>431</v>
      </c>
      <c r="H7450" s="69">
        <v>-0.6</v>
      </c>
    </row>
    <row r="7451" spans="6:8">
      <c r="F7451" s="68" t="s">
        <v>133</v>
      </c>
      <c r="G7451" s="67" t="s">
        <v>431</v>
      </c>
      <c r="H7451" s="69">
        <v>-0.35</v>
      </c>
    </row>
    <row r="7452" spans="6:8">
      <c r="F7452" s="68" t="s">
        <v>256</v>
      </c>
      <c r="G7452" s="67" t="s">
        <v>431</v>
      </c>
      <c r="H7452" s="69">
        <v>1</v>
      </c>
    </row>
    <row r="7453" spans="6:8">
      <c r="F7453" s="68" t="s">
        <v>423</v>
      </c>
      <c r="G7453" s="67" t="s">
        <v>431</v>
      </c>
      <c r="H7453" s="69">
        <v>2.5520382437695499</v>
      </c>
    </row>
    <row r="7454" spans="6:8">
      <c r="F7454" s="68" t="s">
        <v>134</v>
      </c>
      <c r="G7454" s="67" t="s">
        <v>431</v>
      </c>
      <c r="H7454" s="69">
        <v>-0.6</v>
      </c>
    </row>
    <row r="7455" spans="6:8">
      <c r="F7455" s="68" t="s">
        <v>135</v>
      </c>
      <c r="G7455" s="67" t="s">
        <v>431</v>
      </c>
      <c r="H7455" s="69">
        <v>-0.35</v>
      </c>
    </row>
    <row r="7456" spans="6:8">
      <c r="F7456" s="68" t="s">
        <v>257</v>
      </c>
      <c r="G7456" s="67" t="s">
        <v>431</v>
      </c>
      <c r="H7456" s="69">
        <v>1.05</v>
      </c>
    </row>
    <row r="7457" spans="6:8">
      <c r="F7457" s="68" t="s">
        <v>258</v>
      </c>
      <c r="G7457" s="67" t="s">
        <v>431</v>
      </c>
      <c r="H7457" s="69">
        <v>0.14000000000000001</v>
      </c>
    </row>
    <row r="7458" spans="6:8">
      <c r="F7458" s="68" t="s">
        <v>424</v>
      </c>
      <c r="G7458" s="67" t="s">
        <v>431</v>
      </c>
      <c r="H7458" s="69">
        <v>3.2982180743830636</v>
      </c>
    </row>
    <row r="7459" spans="6:8">
      <c r="F7459" s="68" t="s">
        <v>136</v>
      </c>
      <c r="G7459" s="67" t="s">
        <v>431</v>
      </c>
      <c r="H7459" s="69">
        <v>-0.6</v>
      </c>
    </row>
    <row r="7460" spans="6:8">
      <c r="F7460" s="68" t="s">
        <v>137</v>
      </c>
      <c r="G7460" s="67" t="s">
        <v>431</v>
      </c>
      <c r="H7460" s="69">
        <v>-0.5</v>
      </c>
    </row>
    <row r="7461" spans="6:8">
      <c r="F7461" s="68" t="s">
        <v>138</v>
      </c>
      <c r="G7461" s="67" t="s">
        <v>431</v>
      </c>
      <c r="H7461" s="69">
        <v>-0.5</v>
      </c>
    </row>
    <row r="7462" spans="6:8">
      <c r="F7462" s="68" t="s">
        <v>259</v>
      </c>
      <c r="G7462" s="67" t="s">
        <v>431</v>
      </c>
      <c r="H7462" s="69">
        <v>0.17</v>
      </c>
    </row>
    <row r="7463" spans="6:8">
      <c r="F7463" s="68" t="s">
        <v>425</v>
      </c>
      <c r="G7463" s="67" t="s">
        <v>431</v>
      </c>
      <c r="H7463" s="69">
        <v>3.296017714428956</v>
      </c>
    </row>
    <row r="7464" spans="6:8">
      <c r="F7464" s="68" t="s">
        <v>425</v>
      </c>
      <c r="G7464" s="67" t="s">
        <v>432</v>
      </c>
      <c r="H7464" s="69">
        <v>3.2678711852230258</v>
      </c>
    </row>
    <row r="7465" spans="6:8">
      <c r="F7465" s="68" t="s">
        <v>259</v>
      </c>
      <c r="G7465" s="67" t="s">
        <v>432</v>
      </c>
      <c r="H7465" s="69">
        <v>0.17</v>
      </c>
    </row>
    <row r="7466" spans="6:8">
      <c r="F7466" s="68" t="s">
        <v>138</v>
      </c>
      <c r="G7466" s="67" t="s">
        <v>432</v>
      </c>
      <c r="H7466" s="69">
        <v>-0.5</v>
      </c>
    </row>
    <row r="7467" spans="6:8">
      <c r="F7467" s="68" t="s">
        <v>137</v>
      </c>
      <c r="G7467" s="67" t="s">
        <v>432</v>
      </c>
      <c r="H7467" s="69">
        <v>-0.5</v>
      </c>
    </row>
    <row r="7468" spans="6:8">
      <c r="F7468" s="68" t="s">
        <v>136</v>
      </c>
      <c r="G7468" s="67" t="s">
        <v>432</v>
      </c>
      <c r="H7468" s="69">
        <v>-0.6</v>
      </c>
    </row>
    <row r="7469" spans="6:8">
      <c r="F7469" s="68" t="s">
        <v>424</v>
      </c>
      <c r="G7469" s="67" t="s">
        <v>432</v>
      </c>
      <c r="H7469" s="69">
        <v>3.2722131787765285</v>
      </c>
    </row>
    <row r="7470" spans="6:8">
      <c r="F7470" s="68" t="s">
        <v>258</v>
      </c>
      <c r="G7470" s="67" t="s">
        <v>432</v>
      </c>
      <c r="H7470" s="69">
        <v>0.14000000000000001</v>
      </c>
    </row>
    <row r="7471" spans="6:8">
      <c r="F7471" s="68" t="s">
        <v>257</v>
      </c>
      <c r="G7471" s="67" t="s">
        <v>432</v>
      </c>
      <c r="H7471" s="69">
        <v>1.05</v>
      </c>
    </row>
    <row r="7472" spans="6:8">
      <c r="F7472" s="68" t="s">
        <v>135</v>
      </c>
      <c r="G7472" s="67" t="s">
        <v>432</v>
      </c>
      <c r="H7472" s="69">
        <v>-0.35</v>
      </c>
    </row>
    <row r="7473" spans="6:8">
      <c r="F7473" s="68" t="s">
        <v>134</v>
      </c>
      <c r="G7473" s="67" t="s">
        <v>432</v>
      </c>
      <c r="H7473" s="69">
        <v>-0.6</v>
      </c>
    </row>
    <row r="7474" spans="6:8">
      <c r="F7474" s="68" t="s">
        <v>423</v>
      </c>
      <c r="G7474" s="67" t="s">
        <v>432</v>
      </c>
      <c r="H7474" s="69">
        <v>2.51269006898589</v>
      </c>
    </row>
    <row r="7475" spans="6:8">
      <c r="F7475" s="68" t="s">
        <v>256</v>
      </c>
      <c r="G7475" s="67" t="s">
        <v>432</v>
      </c>
      <c r="H7475" s="69">
        <v>1</v>
      </c>
    </row>
    <row r="7476" spans="6:8">
      <c r="F7476" s="68" t="s">
        <v>133</v>
      </c>
      <c r="G7476" s="67" t="s">
        <v>432</v>
      </c>
      <c r="H7476" s="69">
        <v>-0.35</v>
      </c>
    </row>
    <row r="7477" spans="6:8">
      <c r="F7477" s="68" t="s">
        <v>132</v>
      </c>
      <c r="G7477" s="67" t="s">
        <v>432</v>
      </c>
      <c r="H7477" s="69">
        <v>-0.6</v>
      </c>
    </row>
    <row r="7478" spans="6:8">
      <c r="F7478" s="68" t="s">
        <v>422</v>
      </c>
      <c r="G7478" s="67" t="s">
        <v>432</v>
      </c>
      <c r="H7478" s="69">
        <v>2.4732624098883438</v>
      </c>
    </row>
    <row r="7479" spans="6:8">
      <c r="F7479" s="68" t="s">
        <v>303</v>
      </c>
      <c r="G7479" s="67" t="s">
        <v>432</v>
      </c>
      <c r="H7479" s="69">
        <v>18.1875</v>
      </c>
    </row>
    <row r="7480" spans="6:8">
      <c r="F7480" s="68" t="s">
        <v>255</v>
      </c>
      <c r="G7480" s="67" t="s">
        <v>432</v>
      </c>
      <c r="H7480" s="69">
        <v>0.84</v>
      </c>
    </row>
    <row r="7481" spans="6:8">
      <c r="F7481" s="68" t="s">
        <v>131</v>
      </c>
      <c r="G7481" s="67" t="s">
        <v>432</v>
      </c>
      <c r="H7481" s="69">
        <v>-0.3</v>
      </c>
    </row>
    <row r="7482" spans="6:8">
      <c r="F7482" s="68" t="s">
        <v>130</v>
      </c>
      <c r="G7482" s="67" t="s">
        <v>432</v>
      </c>
      <c r="H7482" s="69">
        <v>-0.65</v>
      </c>
    </row>
    <row r="7483" spans="6:8">
      <c r="F7483" s="68" t="s">
        <v>421</v>
      </c>
      <c r="G7483" s="67" t="s">
        <v>432</v>
      </c>
      <c r="H7483" s="69">
        <v>2.4675581506983679</v>
      </c>
    </row>
    <row r="7484" spans="6:8">
      <c r="F7484" s="68" t="s">
        <v>304</v>
      </c>
      <c r="G7484" s="67" t="s">
        <v>432</v>
      </c>
      <c r="H7484" s="69">
        <v>16.6875</v>
      </c>
    </row>
    <row r="7485" spans="6:8">
      <c r="F7485" s="68" t="s">
        <v>254</v>
      </c>
      <c r="G7485" s="67" t="s">
        <v>432</v>
      </c>
      <c r="H7485" s="69">
        <v>0.63</v>
      </c>
    </row>
    <row r="7486" spans="6:8">
      <c r="F7486" s="68" t="s">
        <v>129</v>
      </c>
      <c r="G7486" s="67" t="s">
        <v>432</v>
      </c>
      <c r="H7486" s="69">
        <v>-0.25</v>
      </c>
    </row>
    <row r="7487" spans="6:8">
      <c r="F7487" s="68" t="s">
        <v>128</v>
      </c>
      <c r="G7487" s="67" t="s">
        <v>432</v>
      </c>
      <c r="H7487" s="69">
        <v>-0.45</v>
      </c>
    </row>
    <row r="7488" spans="6:8">
      <c r="F7488" s="68" t="s">
        <v>315</v>
      </c>
      <c r="G7488" s="67" t="s">
        <v>432</v>
      </c>
      <c r="H7488" s="69">
        <v>-0.2</v>
      </c>
    </row>
    <row r="7489" spans="6:8">
      <c r="F7489" s="68" t="s">
        <v>253</v>
      </c>
      <c r="G7489" s="67" t="s">
        <v>432</v>
      </c>
      <c r="H7489" s="69">
        <v>0.46</v>
      </c>
    </row>
    <row r="7490" spans="6:8">
      <c r="F7490" s="68" t="s">
        <v>127</v>
      </c>
      <c r="G7490" s="67" t="s">
        <v>432</v>
      </c>
      <c r="H7490" s="69">
        <v>-0.15</v>
      </c>
    </row>
    <row r="7491" spans="6:8">
      <c r="F7491" s="68" t="s">
        <v>126</v>
      </c>
      <c r="G7491" s="67" t="s">
        <v>432</v>
      </c>
      <c r="H7491" s="69">
        <v>-0.5</v>
      </c>
    </row>
    <row r="7492" spans="6:8">
      <c r="F7492" s="68" t="s">
        <v>125</v>
      </c>
      <c r="G7492" s="67" t="s">
        <v>432</v>
      </c>
      <c r="H7492" s="69">
        <v>-0.4</v>
      </c>
    </row>
    <row r="7493" spans="6:8">
      <c r="F7493" s="68" t="s">
        <v>314</v>
      </c>
      <c r="G7493" s="67" t="s">
        <v>432</v>
      </c>
      <c r="H7493" s="69">
        <v>-0.3</v>
      </c>
    </row>
    <row r="7494" spans="6:8">
      <c r="F7494" s="68" t="s">
        <v>252</v>
      </c>
      <c r="G7494" s="67" t="s">
        <v>432</v>
      </c>
      <c r="H7494" s="69">
        <v>0.35</v>
      </c>
    </row>
    <row r="7495" spans="6:8">
      <c r="F7495" s="68" t="s">
        <v>124</v>
      </c>
      <c r="G7495" s="67" t="s">
        <v>432</v>
      </c>
      <c r="H7495" s="69">
        <v>-0.35</v>
      </c>
    </row>
    <row r="7496" spans="6:8">
      <c r="F7496" s="68" t="s">
        <v>123</v>
      </c>
      <c r="G7496" s="67" t="s">
        <v>432</v>
      </c>
      <c r="H7496" s="69">
        <v>-0.6</v>
      </c>
    </row>
    <row r="7497" spans="6:8">
      <c r="F7497" s="68" t="s">
        <v>122</v>
      </c>
      <c r="G7497" s="67" t="s">
        <v>432</v>
      </c>
      <c r="H7497" s="69">
        <v>-0.55000000000000004</v>
      </c>
    </row>
    <row r="7498" spans="6:8">
      <c r="F7498" s="68" t="s">
        <v>420</v>
      </c>
      <c r="G7498" s="67" t="s">
        <v>432</v>
      </c>
      <c r="H7498" s="69">
        <v>3.4095392657433887</v>
      </c>
    </row>
    <row r="7499" spans="6:8">
      <c r="F7499" s="68" t="s">
        <v>251</v>
      </c>
      <c r="G7499" s="67" t="s">
        <v>432</v>
      </c>
      <c r="H7499" s="69">
        <v>0.26</v>
      </c>
    </row>
    <row r="7500" spans="6:8">
      <c r="F7500" s="68" t="s">
        <v>121</v>
      </c>
      <c r="G7500" s="67" t="s">
        <v>432</v>
      </c>
      <c r="H7500" s="69">
        <v>-0.5</v>
      </c>
    </row>
    <row r="7501" spans="6:8">
      <c r="F7501" s="68" t="s">
        <v>120</v>
      </c>
      <c r="G7501" s="67" t="s">
        <v>432</v>
      </c>
      <c r="H7501" s="69">
        <v>-0.45</v>
      </c>
    </row>
    <row r="7502" spans="6:8">
      <c r="F7502" s="68" t="s">
        <v>119</v>
      </c>
      <c r="G7502" s="67" t="s">
        <v>432</v>
      </c>
      <c r="H7502" s="69">
        <v>-0.55000000000000004</v>
      </c>
    </row>
    <row r="7503" spans="6:8">
      <c r="F7503" s="68" t="s">
        <v>119</v>
      </c>
      <c r="G7503" s="67" t="s">
        <v>433</v>
      </c>
      <c r="H7503" s="69">
        <v>-0.4</v>
      </c>
    </row>
    <row r="7504" spans="6:8">
      <c r="F7504" s="68" t="s">
        <v>120</v>
      </c>
      <c r="G7504" s="67" t="s">
        <v>433</v>
      </c>
      <c r="H7504" s="69">
        <v>-0.45</v>
      </c>
    </row>
    <row r="7505" spans="6:8">
      <c r="F7505" s="68" t="s">
        <v>121</v>
      </c>
      <c r="G7505" s="67" t="s">
        <v>433</v>
      </c>
      <c r="H7505" s="69">
        <v>-0.4</v>
      </c>
    </row>
    <row r="7506" spans="6:8">
      <c r="F7506" s="68" t="s">
        <v>251</v>
      </c>
      <c r="G7506" s="67" t="s">
        <v>433</v>
      </c>
      <c r="H7506" s="69">
        <v>0.26</v>
      </c>
    </row>
    <row r="7507" spans="6:8">
      <c r="F7507" s="68" t="s">
        <v>420</v>
      </c>
      <c r="G7507" s="67" t="s">
        <v>433</v>
      </c>
      <c r="H7507" s="69">
        <v>3.5316182022712805</v>
      </c>
    </row>
    <row r="7508" spans="6:8">
      <c r="F7508" s="68" t="s">
        <v>122</v>
      </c>
      <c r="G7508" s="67" t="s">
        <v>433</v>
      </c>
      <c r="H7508" s="69">
        <v>-0.45</v>
      </c>
    </row>
    <row r="7509" spans="6:8">
      <c r="F7509" s="68" t="s">
        <v>123</v>
      </c>
      <c r="G7509" s="67" t="s">
        <v>433</v>
      </c>
      <c r="H7509" s="69">
        <v>-0.6</v>
      </c>
    </row>
    <row r="7510" spans="6:8">
      <c r="F7510" s="68" t="s">
        <v>124</v>
      </c>
      <c r="G7510" s="67" t="s">
        <v>433</v>
      </c>
      <c r="H7510" s="69">
        <v>-0.25</v>
      </c>
    </row>
    <row r="7511" spans="6:8">
      <c r="F7511" s="68" t="s">
        <v>252</v>
      </c>
      <c r="G7511" s="67" t="s">
        <v>433</v>
      </c>
      <c r="H7511" s="69">
        <v>0.35</v>
      </c>
    </row>
    <row r="7512" spans="6:8">
      <c r="F7512" s="68" t="s">
        <v>314</v>
      </c>
      <c r="G7512" s="67" t="s">
        <v>433</v>
      </c>
      <c r="H7512" s="69">
        <v>-0.2</v>
      </c>
    </row>
    <row r="7513" spans="6:8">
      <c r="F7513" s="68" t="s">
        <v>125</v>
      </c>
      <c r="G7513" s="67" t="s">
        <v>433</v>
      </c>
      <c r="H7513" s="69">
        <v>-0.3</v>
      </c>
    </row>
    <row r="7514" spans="6:8">
      <c r="F7514" s="68" t="s">
        <v>126</v>
      </c>
      <c r="G7514" s="67" t="s">
        <v>433</v>
      </c>
      <c r="H7514" s="69">
        <v>-0.45</v>
      </c>
    </row>
    <row r="7515" spans="6:8">
      <c r="F7515" s="68" t="s">
        <v>127</v>
      </c>
      <c r="G7515" s="67" t="s">
        <v>433</v>
      </c>
      <c r="H7515" s="69">
        <v>-0.15</v>
      </c>
    </row>
    <row r="7516" spans="6:8">
      <c r="F7516" s="68" t="s">
        <v>253</v>
      </c>
      <c r="G7516" s="67" t="s">
        <v>433</v>
      </c>
      <c r="H7516" s="69">
        <v>0.47</v>
      </c>
    </row>
    <row r="7517" spans="6:8">
      <c r="F7517" s="68" t="s">
        <v>315</v>
      </c>
      <c r="G7517" s="67" t="s">
        <v>433</v>
      </c>
      <c r="H7517" s="69">
        <v>-0.15</v>
      </c>
    </row>
    <row r="7518" spans="6:8">
      <c r="F7518" s="68" t="s">
        <v>128</v>
      </c>
      <c r="G7518" s="67" t="s">
        <v>433</v>
      </c>
      <c r="H7518" s="69">
        <v>-0.4</v>
      </c>
    </row>
    <row r="7519" spans="6:8">
      <c r="F7519" s="68" t="s">
        <v>129</v>
      </c>
      <c r="G7519" s="67" t="s">
        <v>433</v>
      </c>
      <c r="H7519" s="69">
        <v>-0.25</v>
      </c>
    </row>
    <row r="7520" spans="6:8">
      <c r="F7520" s="68" t="s">
        <v>254</v>
      </c>
      <c r="G7520" s="67" t="s">
        <v>433</v>
      </c>
      <c r="H7520" s="69">
        <v>0.64</v>
      </c>
    </row>
    <row r="7521" spans="6:8">
      <c r="F7521" s="68" t="s">
        <v>304</v>
      </c>
      <c r="G7521" s="67" t="s">
        <v>433</v>
      </c>
      <c r="H7521" s="69">
        <v>16.90625</v>
      </c>
    </row>
    <row r="7522" spans="6:8">
      <c r="F7522" s="68" t="s">
        <v>421</v>
      </c>
      <c r="G7522" s="67" t="s">
        <v>433</v>
      </c>
      <c r="H7522" s="69">
        <v>2.5806730198959293</v>
      </c>
    </row>
    <row r="7523" spans="6:8">
      <c r="F7523" s="68" t="s">
        <v>130</v>
      </c>
      <c r="G7523" s="67" t="s">
        <v>433</v>
      </c>
      <c r="H7523" s="69">
        <v>-0.55000000000000004</v>
      </c>
    </row>
    <row r="7524" spans="6:8">
      <c r="F7524" s="68" t="s">
        <v>131</v>
      </c>
      <c r="G7524" s="67" t="s">
        <v>433</v>
      </c>
      <c r="H7524" s="69">
        <v>-0.3</v>
      </c>
    </row>
    <row r="7525" spans="6:8">
      <c r="F7525" s="68" t="s">
        <v>255</v>
      </c>
      <c r="G7525" s="67" t="s">
        <v>433</v>
      </c>
      <c r="H7525" s="69">
        <v>0.85</v>
      </c>
    </row>
    <row r="7526" spans="6:8">
      <c r="F7526" s="68" t="s">
        <v>303</v>
      </c>
      <c r="G7526" s="67" t="s">
        <v>433</v>
      </c>
      <c r="H7526" s="69">
        <v>18.34375</v>
      </c>
    </row>
    <row r="7527" spans="6:8">
      <c r="F7527" s="68" t="s">
        <v>422</v>
      </c>
      <c r="G7527" s="67" t="s">
        <v>433</v>
      </c>
      <c r="H7527" s="69">
        <v>2.5863887410053632</v>
      </c>
    </row>
    <row r="7528" spans="6:8">
      <c r="F7528" s="68" t="s">
        <v>132</v>
      </c>
      <c r="G7528" s="67" t="s">
        <v>433</v>
      </c>
      <c r="H7528" s="69">
        <v>-0.5</v>
      </c>
    </row>
    <row r="7529" spans="6:8">
      <c r="F7529" s="68" t="s">
        <v>133</v>
      </c>
      <c r="G7529" s="67" t="s">
        <v>433</v>
      </c>
      <c r="H7529" s="69">
        <v>-0.35</v>
      </c>
    </row>
    <row r="7530" spans="6:8">
      <c r="F7530" s="68" t="s">
        <v>256</v>
      </c>
      <c r="G7530" s="67" t="s">
        <v>433</v>
      </c>
      <c r="H7530" s="69">
        <v>1.01</v>
      </c>
    </row>
    <row r="7531" spans="6:8">
      <c r="F7531" s="68" t="s">
        <v>423</v>
      </c>
      <c r="G7531" s="67" t="s">
        <v>433</v>
      </c>
      <c r="H7531" s="69">
        <v>2.6278413792687694</v>
      </c>
    </row>
    <row r="7532" spans="6:8">
      <c r="F7532" s="68" t="s">
        <v>134</v>
      </c>
      <c r="G7532" s="67" t="s">
        <v>433</v>
      </c>
      <c r="H7532" s="69">
        <v>-0.5</v>
      </c>
    </row>
    <row r="7533" spans="6:8">
      <c r="F7533" s="68" t="s">
        <v>135</v>
      </c>
      <c r="G7533" s="67" t="s">
        <v>433</v>
      </c>
      <c r="H7533" s="69">
        <v>-0.35</v>
      </c>
    </row>
    <row r="7534" spans="6:8">
      <c r="F7534" s="68" t="s">
        <v>257</v>
      </c>
      <c r="G7534" s="67" t="s">
        <v>433</v>
      </c>
      <c r="H7534" s="69">
        <v>1.06</v>
      </c>
    </row>
    <row r="7535" spans="6:8">
      <c r="F7535" s="68" t="s">
        <v>258</v>
      </c>
      <c r="G7535" s="67" t="s">
        <v>433</v>
      </c>
      <c r="H7535" s="69">
        <v>0.14000000000000001</v>
      </c>
    </row>
    <row r="7536" spans="6:8">
      <c r="F7536" s="68" t="s">
        <v>424</v>
      </c>
      <c r="G7536" s="67" t="s">
        <v>433</v>
      </c>
      <c r="H7536" s="69">
        <v>3.4054333941979209</v>
      </c>
    </row>
    <row r="7537" spans="6:8">
      <c r="F7537" s="68" t="s">
        <v>136</v>
      </c>
      <c r="G7537" s="67" t="s">
        <v>433</v>
      </c>
      <c r="H7537" s="69">
        <v>-0.5</v>
      </c>
    </row>
    <row r="7538" spans="6:8">
      <c r="F7538" s="68" t="s">
        <v>137</v>
      </c>
      <c r="G7538" s="67" t="s">
        <v>433</v>
      </c>
      <c r="H7538" s="69">
        <v>-0.5</v>
      </c>
    </row>
    <row r="7539" spans="6:8">
      <c r="F7539" s="68" t="s">
        <v>138</v>
      </c>
      <c r="G7539" s="67" t="s">
        <v>433</v>
      </c>
      <c r="H7539" s="69">
        <v>-0.4</v>
      </c>
    </row>
    <row r="7540" spans="6:8">
      <c r="F7540" s="68" t="s">
        <v>259</v>
      </c>
      <c r="G7540" s="67" t="s">
        <v>433</v>
      </c>
      <c r="H7540" s="69">
        <v>0.17</v>
      </c>
    </row>
    <row r="7541" spans="6:8">
      <c r="F7541" s="68" t="s">
        <v>425</v>
      </c>
      <c r="G7541" s="67" t="s">
        <v>433</v>
      </c>
      <c r="H7541" s="69">
        <v>3.3982828406285748</v>
      </c>
    </row>
    <row r="7542" spans="6:8">
      <c r="F7542" s="68" t="s">
        <v>425</v>
      </c>
      <c r="G7542" s="67" t="s">
        <v>434</v>
      </c>
      <c r="H7542" s="69">
        <v>3.2604229776300286</v>
      </c>
    </row>
    <row r="7543" spans="6:8">
      <c r="F7543" s="68" t="s">
        <v>259</v>
      </c>
      <c r="G7543" s="67" t="s">
        <v>434</v>
      </c>
      <c r="H7543" s="69">
        <v>0.17</v>
      </c>
    </row>
    <row r="7544" spans="6:8">
      <c r="F7544" s="68" t="s">
        <v>138</v>
      </c>
      <c r="G7544" s="67" t="s">
        <v>434</v>
      </c>
      <c r="H7544" s="69">
        <v>-0.4</v>
      </c>
    </row>
    <row r="7545" spans="6:8">
      <c r="F7545" s="68" t="s">
        <v>137</v>
      </c>
      <c r="G7545" s="67" t="s">
        <v>434</v>
      </c>
      <c r="H7545" s="69">
        <v>-0.5</v>
      </c>
    </row>
    <row r="7546" spans="6:8">
      <c r="F7546" s="68" t="s">
        <v>136</v>
      </c>
      <c r="G7546" s="67" t="s">
        <v>434</v>
      </c>
      <c r="H7546" s="69">
        <v>-0.5</v>
      </c>
    </row>
    <row r="7547" spans="6:8">
      <c r="F7547" s="68" t="s">
        <v>424</v>
      </c>
      <c r="G7547" s="67" t="s">
        <v>434</v>
      </c>
      <c r="H7547" s="69">
        <v>3.2683974802276694</v>
      </c>
    </row>
    <row r="7548" spans="6:8">
      <c r="F7548" s="68" t="s">
        <v>258</v>
      </c>
      <c r="G7548" s="67" t="s">
        <v>434</v>
      </c>
      <c r="H7548" s="69">
        <v>0.14000000000000001</v>
      </c>
    </row>
    <row r="7549" spans="6:8">
      <c r="F7549" s="68" t="s">
        <v>257</v>
      </c>
      <c r="G7549" s="67" t="s">
        <v>434</v>
      </c>
      <c r="H7549" s="69">
        <v>1.05</v>
      </c>
    </row>
    <row r="7550" spans="6:8">
      <c r="F7550" s="68" t="s">
        <v>135</v>
      </c>
      <c r="G7550" s="67" t="s">
        <v>434</v>
      </c>
      <c r="H7550" s="69">
        <v>-0.35</v>
      </c>
    </row>
    <row r="7551" spans="6:8">
      <c r="F7551" s="68" t="s">
        <v>134</v>
      </c>
      <c r="G7551" s="67" t="s">
        <v>434</v>
      </c>
      <c r="H7551" s="69">
        <v>-0.5</v>
      </c>
    </row>
    <row r="7552" spans="6:8">
      <c r="F7552" s="68" t="s">
        <v>423</v>
      </c>
      <c r="G7552" s="67" t="s">
        <v>434</v>
      </c>
      <c r="H7552" s="69">
        <v>2.5111617661216279</v>
      </c>
    </row>
    <row r="7553" spans="6:8">
      <c r="F7553" s="68" t="s">
        <v>256</v>
      </c>
      <c r="G7553" s="67" t="s">
        <v>434</v>
      </c>
      <c r="H7553" s="69">
        <v>1</v>
      </c>
    </row>
    <row r="7554" spans="6:8">
      <c r="F7554" s="68" t="s">
        <v>133</v>
      </c>
      <c r="G7554" s="67" t="s">
        <v>434</v>
      </c>
      <c r="H7554" s="69">
        <v>-0.35</v>
      </c>
    </row>
    <row r="7555" spans="6:8">
      <c r="F7555" s="68" t="s">
        <v>132</v>
      </c>
      <c r="G7555" s="67" t="s">
        <v>434</v>
      </c>
      <c r="H7555" s="69">
        <v>-0.5</v>
      </c>
    </row>
    <row r="7556" spans="6:8">
      <c r="F7556" s="68" t="s">
        <v>422</v>
      </c>
      <c r="G7556" s="67" t="s">
        <v>434</v>
      </c>
      <c r="H7556" s="69">
        <v>2.4687685752815103</v>
      </c>
    </row>
    <row r="7557" spans="6:8">
      <c r="F7557" s="68" t="s">
        <v>303</v>
      </c>
      <c r="G7557" s="67" t="s">
        <v>434</v>
      </c>
      <c r="H7557" s="69">
        <v>18.375</v>
      </c>
    </row>
    <row r="7558" spans="6:8">
      <c r="F7558" s="68" t="s">
        <v>255</v>
      </c>
      <c r="G7558" s="67" t="s">
        <v>434</v>
      </c>
      <c r="H7558" s="69">
        <v>0.84</v>
      </c>
    </row>
    <row r="7559" spans="6:8">
      <c r="F7559" s="68" t="s">
        <v>131</v>
      </c>
      <c r="G7559" s="67" t="s">
        <v>434</v>
      </c>
      <c r="H7559" s="69">
        <v>-0.3</v>
      </c>
    </row>
    <row r="7560" spans="6:8">
      <c r="F7560" s="68" t="s">
        <v>130</v>
      </c>
      <c r="G7560" s="67" t="s">
        <v>434</v>
      </c>
      <c r="H7560" s="69">
        <v>-0.55000000000000004</v>
      </c>
    </row>
    <row r="7561" spans="6:8">
      <c r="F7561" s="68" t="s">
        <v>421</v>
      </c>
      <c r="G7561" s="67" t="s">
        <v>434</v>
      </c>
      <c r="H7561" s="69">
        <v>2.4630002816961039</v>
      </c>
    </row>
    <row r="7562" spans="6:8">
      <c r="F7562" s="68" t="s">
        <v>304</v>
      </c>
      <c r="G7562" s="67" t="s">
        <v>434</v>
      </c>
      <c r="H7562" s="69">
        <v>16.8125</v>
      </c>
    </row>
    <row r="7563" spans="6:8">
      <c r="F7563" s="68" t="s">
        <v>254</v>
      </c>
      <c r="G7563" s="67" t="s">
        <v>434</v>
      </c>
      <c r="H7563" s="69">
        <v>0.63</v>
      </c>
    </row>
    <row r="7564" spans="6:8">
      <c r="F7564" s="68" t="s">
        <v>129</v>
      </c>
      <c r="G7564" s="67" t="s">
        <v>434</v>
      </c>
      <c r="H7564" s="69">
        <v>-0.25</v>
      </c>
    </row>
    <row r="7565" spans="6:8">
      <c r="F7565" s="68" t="s">
        <v>128</v>
      </c>
      <c r="G7565" s="67" t="s">
        <v>434</v>
      </c>
      <c r="H7565" s="69">
        <v>-0.4</v>
      </c>
    </row>
    <row r="7566" spans="6:8">
      <c r="F7566" s="68" t="s">
        <v>315</v>
      </c>
      <c r="G7566" s="67" t="s">
        <v>434</v>
      </c>
      <c r="H7566" s="69">
        <v>-0.15</v>
      </c>
    </row>
    <row r="7567" spans="6:8">
      <c r="F7567" s="68" t="s">
        <v>253</v>
      </c>
      <c r="G7567" s="67" t="s">
        <v>434</v>
      </c>
      <c r="H7567" s="69">
        <v>0.46</v>
      </c>
    </row>
    <row r="7568" spans="6:8">
      <c r="F7568" s="68" t="s">
        <v>127</v>
      </c>
      <c r="G7568" s="67" t="s">
        <v>434</v>
      </c>
      <c r="H7568" s="69">
        <v>-0.15</v>
      </c>
    </row>
    <row r="7569" spans="6:8">
      <c r="F7569" s="68" t="s">
        <v>126</v>
      </c>
      <c r="G7569" s="67" t="s">
        <v>434</v>
      </c>
      <c r="H7569" s="69">
        <v>-0.45</v>
      </c>
    </row>
    <row r="7570" spans="6:8">
      <c r="F7570" s="68" t="s">
        <v>125</v>
      </c>
      <c r="G7570" s="67" t="s">
        <v>434</v>
      </c>
      <c r="H7570" s="69">
        <v>-0.3</v>
      </c>
    </row>
    <row r="7571" spans="6:8">
      <c r="F7571" s="68" t="s">
        <v>314</v>
      </c>
      <c r="G7571" s="67" t="s">
        <v>434</v>
      </c>
      <c r="H7571" s="69">
        <v>-0.2</v>
      </c>
    </row>
    <row r="7572" spans="6:8">
      <c r="F7572" s="68" t="s">
        <v>252</v>
      </c>
      <c r="G7572" s="67" t="s">
        <v>434</v>
      </c>
      <c r="H7572" s="69">
        <v>0.35</v>
      </c>
    </row>
    <row r="7573" spans="6:8">
      <c r="F7573" s="68" t="s">
        <v>124</v>
      </c>
      <c r="G7573" s="67" t="s">
        <v>434</v>
      </c>
      <c r="H7573" s="69">
        <v>-0.25</v>
      </c>
    </row>
    <row r="7574" spans="6:8">
      <c r="F7574" s="68" t="s">
        <v>123</v>
      </c>
      <c r="G7574" s="67" t="s">
        <v>434</v>
      </c>
      <c r="H7574" s="69">
        <v>-0.6</v>
      </c>
    </row>
    <row r="7575" spans="6:8">
      <c r="F7575" s="68" t="s">
        <v>122</v>
      </c>
      <c r="G7575" s="67" t="s">
        <v>434</v>
      </c>
      <c r="H7575" s="69">
        <v>-0.45</v>
      </c>
    </row>
    <row r="7576" spans="6:8">
      <c r="F7576" s="68" t="s">
        <v>420</v>
      </c>
      <c r="G7576" s="67" t="s">
        <v>434</v>
      </c>
      <c r="H7576" s="69">
        <v>3.4035662511479714</v>
      </c>
    </row>
    <row r="7577" spans="6:8">
      <c r="F7577" s="68" t="s">
        <v>251</v>
      </c>
      <c r="G7577" s="67" t="s">
        <v>434</v>
      </c>
      <c r="H7577" s="69">
        <v>0.26</v>
      </c>
    </row>
    <row r="7578" spans="6:8">
      <c r="F7578" s="68" t="s">
        <v>121</v>
      </c>
      <c r="G7578" s="67" t="s">
        <v>434</v>
      </c>
      <c r="H7578" s="69">
        <v>-0.4</v>
      </c>
    </row>
    <row r="7579" spans="6:8">
      <c r="F7579" s="68" t="s">
        <v>120</v>
      </c>
      <c r="G7579" s="67" t="s">
        <v>434</v>
      </c>
      <c r="H7579" s="69">
        <v>-0.45</v>
      </c>
    </row>
    <row r="7580" spans="6:8">
      <c r="F7580" s="68" t="s">
        <v>119</v>
      </c>
      <c r="G7580" s="67" t="s">
        <v>434</v>
      </c>
      <c r="H7580" s="69">
        <v>-0.4</v>
      </c>
    </row>
    <row r="7581" spans="6:8">
      <c r="F7581" s="68" t="s">
        <v>119</v>
      </c>
      <c r="G7581" s="67" t="s">
        <v>435</v>
      </c>
      <c r="H7581" s="69">
        <v>-0.4</v>
      </c>
    </row>
    <row r="7582" spans="6:8">
      <c r="F7582" s="68" t="s">
        <v>120</v>
      </c>
      <c r="G7582" s="67" t="s">
        <v>435</v>
      </c>
      <c r="H7582" s="69">
        <v>-0.45</v>
      </c>
    </row>
    <row r="7583" spans="6:8">
      <c r="F7583" s="68" t="s">
        <v>121</v>
      </c>
      <c r="G7583" s="67" t="s">
        <v>435</v>
      </c>
      <c r="H7583" s="69">
        <v>-0.4</v>
      </c>
    </row>
    <row r="7584" spans="6:8">
      <c r="F7584" s="68" t="s">
        <v>251</v>
      </c>
      <c r="G7584" s="67" t="s">
        <v>435</v>
      </c>
      <c r="H7584" s="69">
        <v>0.26</v>
      </c>
    </row>
    <row r="7585" spans="6:8">
      <c r="F7585" s="68" t="s">
        <v>420</v>
      </c>
      <c r="G7585" s="67" t="s">
        <v>435</v>
      </c>
      <c r="H7585" s="69">
        <v>3.4178117990662837</v>
      </c>
    </row>
    <row r="7586" spans="6:8">
      <c r="F7586" s="68" t="s">
        <v>122</v>
      </c>
      <c r="G7586" s="67" t="s">
        <v>435</v>
      </c>
      <c r="H7586" s="69">
        <v>-0.45</v>
      </c>
    </row>
    <row r="7587" spans="6:8">
      <c r="F7587" s="68" t="s">
        <v>123</v>
      </c>
      <c r="G7587" s="67" t="s">
        <v>435</v>
      </c>
      <c r="H7587" s="69">
        <v>-0.6</v>
      </c>
    </row>
    <row r="7588" spans="6:8">
      <c r="F7588" s="68" t="s">
        <v>124</v>
      </c>
      <c r="G7588" s="67" t="s">
        <v>435</v>
      </c>
      <c r="H7588" s="69">
        <v>-0.25</v>
      </c>
    </row>
    <row r="7589" spans="6:8">
      <c r="F7589" s="68" t="s">
        <v>252</v>
      </c>
      <c r="G7589" s="67" t="s">
        <v>435</v>
      </c>
      <c r="H7589" s="69">
        <v>0.35</v>
      </c>
    </row>
    <row r="7590" spans="6:8">
      <c r="F7590" s="68" t="s">
        <v>314</v>
      </c>
      <c r="G7590" s="67" t="s">
        <v>435</v>
      </c>
      <c r="H7590" s="69">
        <v>-0.2</v>
      </c>
    </row>
    <row r="7591" spans="6:8">
      <c r="F7591" s="68" t="s">
        <v>125</v>
      </c>
      <c r="G7591" s="67" t="s">
        <v>435</v>
      </c>
      <c r="H7591" s="69">
        <v>-0.3</v>
      </c>
    </row>
    <row r="7592" spans="6:8">
      <c r="F7592" s="68" t="s">
        <v>126</v>
      </c>
      <c r="G7592" s="67" t="s">
        <v>435</v>
      </c>
      <c r="H7592" s="69">
        <v>-0.45</v>
      </c>
    </row>
    <row r="7593" spans="6:8">
      <c r="F7593" s="68" t="s">
        <v>127</v>
      </c>
      <c r="G7593" s="67" t="s">
        <v>435</v>
      </c>
      <c r="H7593" s="69">
        <v>-0.15</v>
      </c>
    </row>
    <row r="7594" spans="6:8">
      <c r="F7594" s="68" t="s">
        <v>253</v>
      </c>
      <c r="G7594" s="67" t="s">
        <v>435</v>
      </c>
      <c r="H7594" s="69">
        <v>0.46</v>
      </c>
    </row>
    <row r="7595" spans="6:8">
      <c r="F7595" s="68" t="s">
        <v>315</v>
      </c>
      <c r="G7595" s="67" t="s">
        <v>435</v>
      </c>
      <c r="H7595" s="69">
        <v>-0.15</v>
      </c>
    </row>
    <row r="7596" spans="6:8">
      <c r="F7596" s="68" t="s">
        <v>128</v>
      </c>
      <c r="G7596" s="67" t="s">
        <v>435</v>
      </c>
      <c r="H7596" s="69">
        <v>-0.4</v>
      </c>
    </row>
    <row r="7597" spans="6:8">
      <c r="F7597" s="68" t="s">
        <v>129</v>
      </c>
      <c r="G7597" s="67" t="s">
        <v>435</v>
      </c>
      <c r="H7597" s="69">
        <v>-0.25</v>
      </c>
    </row>
    <row r="7598" spans="6:8">
      <c r="F7598" s="68" t="s">
        <v>254</v>
      </c>
      <c r="G7598" s="67" t="s">
        <v>435</v>
      </c>
      <c r="H7598" s="69">
        <v>0.63</v>
      </c>
    </row>
    <row r="7599" spans="6:8">
      <c r="F7599" s="68" t="s">
        <v>304</v>
      </c>
      <c r="G7599" s="67" t="s">
        <v>435</v>
      </c>
      <c r="H7599" s="69">
        <v>16.8125</v>
      </c>
    </row>
    <row r="7600" spans="6:8">
      <c r="F7600" s="68" t="s">
        <v>421</v>
      </c>
      <c r="G7600" s="67" t="s">
        <v>435</v>
      </c>
      <c r="H7600" s="69">
        <v>2.4828161865534604</v>
      </c>
    </row>
    <row r="7601" spans="6:8">
      <c r="F7601" s="68" t="s">
        <v>130</v>
      </c>
      <c r="G7601" s="67" t="s">
        <v>435</v>
      </c>
      <c r="H7601" s="69">
        <v>-0.55000000000000004</v>
      </c>
    </row>
    <row r="7602" spans="6:8">
      <c r="F7602" s="68" t="s">
        <v>131</v>
      </c>
      <c r="G7602" s="67" t="s">
        <v>435</v>
      </c>
      <c r="H7602" s="69">
        <v>-0.3</v>
      </c>
    </row>
    <row r="7603" spans="6:8">
      <c r="F7603" s="68" t="s">
        <v>255</v>
      </c>
      <c r="G7603" s="67" t="s">
        <v>435</v>
      </c>
      <c r="H7603" s="69">
        <v>0.84</v>
      </c>
    </row>
    <row r="7604" spans="6:8">
      <c r="F7604" s="68" t="s">
        <v>303</v>
      </c>
      <c r="G7604" s="67" t="s">
        <v>435</v>
      </c>
      <c r="H7604" s="69">
        <v>18.375</v>
      </c>
    </row>
    <row r="7605" spans="6:8">
      <c r="F7605" s="68" t="s">
        <v>422</v>
      </c>
      <c r="G7605" s="67" t="s">
        <v>435</v>
      </c>
      <c r="H7605" s="69">
        <v>2.4886311276189677</v>
      </c>
    </row>
    <row r="7606" spans="6:8">
      <c r="F7606" s="68" t="s">
        <v>132</v>
      </c>
      <c r="G7606" s="67" t="s">
        <v>435</v>
      </c>
      <c r="H7606" s="69">
        <v>-0.5</v>
      </c>
    </row>
    <row r="7607" spans="6:8">
      <c r="F7607" s="68" t="s">
        <v>133</v>
      </c>
      <c r="G7607" s="67" t="s">
        <v>435</v>
      </c>
      <c r="H7607" s="69">
        <v>-0.35</v>
      </c>
    </row>
    <row r="7608" spans="6:8">
      <c r="F7608" s="68" t="s">
        <v>256</v>
      </c>
      <c r="G7608" s="67" t="s">
        <v>435</v>
      </c>
      <c r="H7608" s="69">
        <v>1</v>
      </c>
    </row>
    <row r="7609" spans="6:8">
      <c r="F7609" s="68" t="s">
        <v>423</v>
      </c>
      <c r="G7609" s="67" t="s">
        <v>435</v>
      </c>
      <c r="H7609" s="69">
        <v>2.5354609577195042</v>
      </c>
    </row>
    <row r="7610" spans="6:8">
      <c r="F7610" s="68" t="s">
        <v>134</v>
      </c>
      <c r="G7610" s="67" t="s">
        <v>435</v>
      </c>
      <c r="H7610" s="69">
        <v>-0.5</v>
      </c>
    </row>
    <row r="7611" spans="6:8">
      <c r="F7611" s="68" t="s">
        <v>135</v>
      </c>
      <c r="G7611" s="67" t="s">
        <v>435</v>
      </c>
      <c r="H7611" s="69">
        <v>-0.35</v>
      </c>
    </row>
    <row r="7612" spans="6:8">
      <c r="F7612" s="68" t="s">
        <v>257</v>
      </c>
      <c r="G7612" s="67" t="s">
        <v>435</v>
      </c>
      <c r="H7612" s="69">
        <v>1.05</v>
      </c>
    </row>
    <row r="7613" spans="6:8">
      <c r="F7613" s="68" t="s">
        <v>258</v>
      </c>
      <c r="G7613" s="67" t="s">
        <v>435</v>
      </c>
      <c r="H7613" s="69">
        <v>0.14000000000000001</v>
      </c>
    </row>
    <row r="7614" spans="6:8">
      <c r="F7614" s="68" t="s">
        <v>424</v>
      </c>
      <c r="G7614" s="67" t="s">
        <v>435</v>
      </c>
      <c r="H7614" s="69">
        <v>3.2755401915265825</v>
      </c>
    </row>
    <row r="7615" spans="6:8">
      <c r="F7615" s="68" t="s">
        <v>136</v>
      </c>
      <c r="G7615" s="67" t="s">
        <v>435</v>
      </c>
      <c r="H7615" s="69">
        <v>-0.5</v>
      </c>
    </row>
    <row r="7616" spans="6:8">
      <c r="F7616" s="68" t="s">
        <v>137</v>
      </c>
      <c r="G7616" s="67" t="s">
        <v>435</v>
      </c>
      <c r="H7616" s="69">
        <v>-0.5</v>
      </c>
    </row>
    <row r="7617" spans="6:8">
      <c r="F7617" s="68" t="s">
        <v>138</v>
      </c>
      <c r="G7617" s="67" t="s">
        <v>435</v>
      </c>
      <c r="H7617" s="69">
        <v>-0.4</v>
      </c>
    </row>
    <row r="7618" spans="6:8">
      <c r="F7618" s="68" t="s">
        <v>259</v>
      </c>
      <c r="G7618" s="67" t="s">
        <v>435</v>
      </c>
      <c r="H7618" s="69">
        <v>0.17</v>
      </c>
    </row>
    <row r="7619" spans="6:8">
      <c r="F7619" s="68" t="s">
        <v>425</v>
      </c>
      <c r="G7619" s="67" t="s">
        <v>435</v>
      </c>
      <c r="H7619" s="69">
        <v>3.2659516822130641</v>
      </c>
    </row>
    <row r="7620" spans="6:8">
      <c r="F7620" s="68" t="s">
        <v>425</v>
      </c>
      <c r="G7620" s="67" t="s">
        <v>436</v>
      </c>
      <c r="H7620" s="69">
        <v>3.2842946149256758</v>
      </c>
    </row>
    <row r="7621" spans="6:8">
      <c r="F7621" s="68" t="s">
        <v>259</v>
      </c>
      <c r="G7621" s="67" t="s">
        <v>436</v>
      </c>
      <c r="H7621" s="69">
        <v>0.17</v>
      </c>
    </row>
    <row r="7622" spans="6:8">
      <c r="F7622" s="68" t="s">
        <v>138</v>
      </c>
      <c r="G7622" s="67" t="s">
        <v>436</v>
      </c>
      <c r="H7622" s="69">
        <v>-0.4</v>
      </c>
    </row>
    <row r="7623" spans="6:8">
      <c r="F7623" s="68" t="s">
        <v>137</v>
      </c>
      <c r="G7623" s="67" t="s">
        <v>436</v>
      </c>
      <c r="H7623" s="69">
        <v>-0.5</v>
      </c>
    </row>
    <row r="7624" spans="6:8">
      <c r="F7624" s="68" t="s">
        <v>136</v>
      </c>
      <c r="G7624" s="67" t="s">
        <v>436</v>
      </c>
      <c r="H7624" s="69">
        <v>-0.5</v>
      </c>
    </row>
    <row r="7625" spans="6:8">
      <c r="F7625" s="68" t="s">
        <v>424</v>
      </c>
      <c r="G7625" s="67" t="s">
        <v>436</v>
      </c>
      <c r="H7625" s="69">
        <v>3.2952294186459063</v>
      </c>
    </row>
    <row r="7626" spans="6:8">
      <c r="F7626" s="68" t="s">
        <v>258</v>
      </c>
      <c r="G7626" s="67" t="s">
        <v>436</v>
      </c>
      <c r="H7626" s="69">
        <v>0.14000000000000001</v>
      </c>
    </row>
    <row r="7627" spans="6:8">
      <c r="F7627" s="68" t="s">
        <v>257</v>
      </c>
      <c r="G7627" s="67" t="s">
        <v>436</v>
      </c>
      <c r="H7627" s="69">
        <v>1.05</v>
      </c>
    </row>
    <row r="7628" spans="6:8">
      <c r="F7628" s="68" t="s">
        <v>135</v>
      </c>
      <c r="G7628" s="67" t="s">
        <v>436</v>
      </c>
      <c r="H7628" s="69">
        <v>-0.35</v>
      </c>
    </row>
    <row r="7629" spans="6:8">
      <c r="F7629" s="68" t="s">
        <v>134</v>
      </c>
      <c r="G7629" s="67" t="s">
        <v>436</v>
      </c>
      <c r="H7629" s="69">
        <v>-0.5</v>
      </c>
    </row>
    <row r="7630" spans="6:8">
      <c r="F7630" s="68" t="s">
        <v>423</v>
      </c>
      <c r="G7630" s="67" t="s">
        <v>436</v>
      </c>
      <c r="H7630" s="69">
        <v>2.5675741169344235</v>
      </c>
    </row>
    <row r="7631" spans="6:8">
      <c r="F7631" s="68" t="s">
        <v>256</v>
      </c>
      <c r="G7631" s="67" t="s">
        <v>436</v>
      </c>
      <c r="H7631" s="69">
        <v>1</v>
      </c>
    </row>
    <row r="7632" spans="6:8">
      <c r="F7632" s="68" t="s">
        <v>133</v>
      </c>
      <c r="G7632" s="67" t="s">
        <v>436</v>
      </c>
      <c r="H7632" s="69">
        <v>-0.35</v>
      </c>
    </row>
    <row r="7633" spans="6:8">
      <c r="F7633" s="68" t="s">
        <v>132</v>
      </c>
      <c r="G7633" s="67" t="s">
        <v>436</v>
      </c>
      <c r="H7633" s="69">
        <v>-0.5</v>
      </c>
    </row>
    <row r="7634" spans="6:8">
      <c r="F7634" s="68" t="s">
        <v>422</v>
      </c>
      <c r="G7634" s="67" t="s">
        <v>436</v>
      </c>
      <c r="H7634" s="69">
        <v>2.5150392497645502</v>
      </c>
    </row>
    <row r="7635" spans="6:8">
      <c r="F7635" s="68" t="s">
        <v>303</v>
      </c>
      <c r="G7635" s="67" t="s">
        <v>436</v>
      </c>
      <c r="H7635" s="69">
        <v>18.40625</v>
      </c>
    </row>
    <row r="7636" spans="6:8">
      <c r="F7636" s="68" t="s">
        <v>255</v>
      </c>
      <c r="G7636" s="67" t="s">
        <v>436</v>
      </c>
      <c r="H7636" s="69">
        <v>0.84</v>
      </c>
    </row>
    <row r="7637" spans="6:8">
      <c r="F7637" s="68" t="s">
        <v>131</v>
      </c>
      <c r="G7637" s="67" t="s">
        <v>436</v>
      </c>
      <c r="H7637" s="69">
        <v>-0.3</v>
      </c>
    </row>
    <row r="7638" spans="6:8">
      <c r="F7638" s="68" t="s">
        <v>130</v>
      </c>
      <c r="G7638" s="67" t="s">
        <v>436</v>
      </c>
      <c r="H7638" s="69">
        <v>-0.55000000000000004</v>
      </c>
    </row>
    <row r="7639" spans="6:8">
      <c r="F7639" s="68" t="s">
        <v>421</v>
      </c>
      <c r="G7639" s="67" t="s">
        <v>436</v>
      </c>
      <c r="H7639" s="69">
        <v>2.509384124413705</v>
      </c>
    </row>
    <row r="7640" spans="6:8">
      <c r="F7640" s="68" t="s">
        <v>304</v>
      </c>
      <c r="G7640" s="67" t="s">
        <v>436</v>
      </c>
      <c r="H7640" s="69">
        <v>16.84375</v>
      </c>
    </row>
    <row r="7641" spans="6:8">
      <c r="F7641" s="68" t="s">
        <v>254</v>
      </c>
      <c r="G7641" s="67" t="s">
        <v>436</v>
      </c>
      <c r="H7641" s="69">
        <v>0.63</v>
      </c>
    </row>
    <row r="7642" spans="6:8">
      <c r="F7642" s="68" t="s">
        <v>129</v>
      </c>
      <c r="G7642" s="67" t="s">
        <v>436</v>
      </c>
      <c r="H7642" s="69">
        <v>-0.25</v>
      </c>
    </row>
    <row r="7643" spans="6:8">
      <c r="F7643" s="68" t="s">
        <v>128</v>
      </c>
      <c r="G7643" s="67" t="s">
        <v>436</v>
      </c>
      <c r="H7643" s="69">
        <v>-0.4</v>
      </c>
    </row>
    <row r="7644" spans="6:8">
      <c r="F7644" s="68" t="s">
        <v>315</v>
      </c>
      <c r="G7644" s="67" t="s">
        <v>436</v>
      </c>
      <c r="H7644" s="69">
        <v>-0.15</v>
      </c>
    </row>
    <row r="7645" spans="6:8">
      <c r="F7645" s="68" t="s">
        <v>253</v>
      </c>
      <c r="G7645" s="67" t="s">
        <v>436</v>
      </c>
      <c r="H7645" s="69">
        <v>0.46</v>
      </c>
    </row>
    <row r="7646" spans="6:8">
      <c r="F7646" s="68" t="s">
        <v>127</v>
      </c>
      <c r="G7646" s="67" t="s">
        <v>436</v>
      </c>
      <c r="H7646" s="69">
        <v>-0.15</v>
      </c>
    </row>
    <row r="7647" spans="6:8">
      <c r="F7647" s="68" t="s">
        <v>126</v>
      </c>
      <c r="G7647" s="67" t="s">
        <v>436</v>
      </c>
      <c r="H7647" s="69">
        <v>-0.45</v>
      </c>
    </row>
    <row r="7648" spans="6:8">
      <c r="F7648" s="68" t="s">
        <v>125</v>
      </c>
      <c r="G7648" s="67" t="s">
        <v>436</v>
      </c>
      <c r="H7648" s="69">
        <v>-0.3</v>
      </c>
    </row>
    <row r="7649" spans="6:8">
      <c r="F7649" s="68" t="s">
        <v>314</v>
      </c>
      <c r="G7649" s="67" t="s">
        <v>436</v>
      </c>
      <c r="H7649" s="69">
        <v>-0.2</v>
      </c>
    </row>
    <row r="7650" spans="6:8">
      <c r="F7650" s="68" t="s">
        <v>252</v>
      </c>
      <c r="G7650" s="67" t="s">
        <v>436</v>
      </c>
      <c r="H7650" s="69">
        <v>0.35</v>
      </c>
    </row>
    <row r="7651" spans="6:8">
      <c r="F7651" s="68" t="s">
        <v>124</v>
      </c>
      <c r="G7651" s="67" t="s">
        <v>436</v>
      </c>
      <c r="H7651" s="69">
        <v>-0.25</v>
      </c>
    </row>
    <row r="7652" spans="6:8">
      <c r="F7652" s="68" t="s">
        <v>123</v>
      </c>
      <c r="G7652" s="67" t="s">
        <v>436</v>
      </c>
      <c r="H7652" s="69">
        <v>-0.6</v>
      </c>
    </row>
    <row r="7653" spans="6:8">
      <c r="F7653" s="68" t="s">
        <v>122</v>
      </c>
      <c r="G7653" s="67" t="s">
        <v>436</v>
      </c>
      <c r="H7653" s="69">
        <v>-0.45</v>
      </c>
    </row>
    <row r="7654" spans="6:8">
      <c r="F7654" s="68" t="s">
        <v>420</v>
      </c>
      <c r="G7654" s="67" t="s">
        <v>436</v>
      </c>
      <c r="H7654" s="69">
        <v>3.4430869374846296</v>
      </c>
    </row>
    <row r="7655" spans="6:8">
      <c r="F7655" s="68" t="s">
        <v>251</v>
      </c>
      <c r="G7655" s="67" t="s">
        <v>436</v>
      </c>
      <c r="H7655" s="69">
        <v>0.26</v>
      </c>
    </row>
    <row r="7656" spans="6:8">
      <c r="F7656" s="68" t="s">
        <v>121</v>
      </c>
      <c r="G7656" s="67" t="s">
        <v>436</v>
      </c>
      <c r="H7656" s="69">
        <v>-0.4</v>
      </c>
    </row>
    <row r="7657" spans="6:8">
      <c r="F7657" s="68" t="s">
        <v>120</v>
      </c>
      <c r="G7657" s="67" t="s">
        <v>436</v>
      </c>
      <c r="H7657" s="69">
        <v>-0.45</v>
      </c>
    </row>
    <row r="7658" spans="6:8">
      <c r="F7658" s="68" t="s">
        <v>119</v>
      </c>
      <c r="G7658" s="67" t="s">
        <v>436</v>
      </c>
      <c r="H7658" s="69">
        <v>-0.4</v>
      </c>
    </row>
    <row r="7659" spans="6:8">
      <c r="F7659" s="68" t="s">
        <v>119</v>
      </c>
      <c r="G7659" s="67" t="s">
        <v>437</v>
      </c>
      <c r="H7659" s="69">
        <v>-0.4</v>
      </c>
    </row>
    <row r="7660" spans="6:8">
      <c r="F7660" s="68" t="s">
        <v>120</v>
      </c>
      <c r="G7660" s="67" t="s">
        <v>437</v>
      </c>
      <c r="H7660" s="69">
        <v>-0.45</v>
      </c>
    </row>
    <row r="7661" spans="6:8">
      <c r="F7661" s="68" t="s">
        <v>121</v>
      </c>
      <c r="G7661" s="67" t="s">
        <v>437</v>
      </c>
      <c r="H7661" s="69">
        <v>-0.4</v>
      </c>
    </row>
    <row r="7662" spans="6:8">
      <c r="F7662" s="68" t="s">
        <v>251</v>
      </c>
      <c r="G7662" s="67" t="s">
        <v>437</v>
      </c>
      <c r="H7662" s="69">
        <v>0.26</v>
      </c>
    </row>
    <row r="7663" spans="6:8">
      <c r="F7663" s="68" t="s">
        <v>420</v>
      </c>
      <c r="G7663" s="67" t="s">
        <v>437</v>
      </c>
      <c r="H7663" s="69">
        <v>3.409529346837914</v>
      </c>
    </row>
    <row r="7664" spans="6:8">
      <c r="F7664" s="68" t="s">
        <v>122</v>
      </c>
      <c r="G7664" s="67" t="s">
        <v>437</v>
      </c>
      <c r="H7664" s="69">
        <v>-0.45</v>
      </c>
    </row>
    <row r="7665" spans="6:8">
      <c r="F7665" s="68" t="s">
        <v>123</v>
      </c>
      <c r="G7665" s="67" t="s">
        <v>437</v>
      </c>
      <c r="H7665" s="69">
        <v>-0.6</v>
      </c>
    </row>
    <row r="7666" spans="6:8">
      <c r="F7666" s="68" t="s">
        <v>124</v>
      </c>
      <c r="G7666" s="67" t="s">
        <v>437</v>
      </c>
      <c r="H7666" s="69">
        <v>-0.25</v>
      </c>
    </row>
    <row r="7667" spans="6:8">
      <c r="F7667" s="68" t="s">
        <v>252</v>
      </c>
      <c r="G7667" s="67" t="s">
        <v>437</v>
      </c>
      <c r="H7667" s="69">
        <v>0.35</v>
      </c>
    </row>
    <row r="7668" spans="6:8">
      <c r="F7668" s="68" t="s">
        <v>314</v>
      </c>
      <c r="G7668" s="67" t="s">
        <v>437</v>
      </c>
      <c r="H7668" s="69">
        <v>-0.2</v>
      </c>
    </row>
    <row r="7669" spans="6:8">
      <c r="F7669" s="68" t="s">
        <v>125</v>
      </c>
      <c r="G7669" s="67" t="s">
        <v>437</v>
      </c>
      <c r="H7669" s="69">
        <v>-0.3</v>
      </c>
    </row>
    <row r="7670" spans="6:8">
      <c r="F7670" s="68" t="s">
        <v>126</v>
      </c>
      <c r="G7670" s="67" t="s">
        <v>437</v>
      </c>
      <c r="H7670" s="69">
        <v>-0.45</v>
      </c>
    </row>
    <row r="7671" spans="6:8">
      <c r="F7671" s="68" t="s">
        <v>127</v>
      </c>
      <c r="G7671" s="67" t="s">
        <v>437</v>
      </c>
      <c r="H7671" s="69">
        <v>-0.15</v>
      </c>
    </row>
    <row r="7672" spans="6:8">
      <c r="F7672" s="68" t="s">
        <v>253</v>
      </c>
      <c r="G7672" s="67" t="s">
        <v>437</v>
      </c>
      <c r="H7672" s="69">
        <v>0.46</v>
      </c>
    </row>
    <row r="7673" spans="6:8">
      <c r="F7673" s="68" t="s">
        <v>315</v>
      </c>
      <c r="G7673" s="67" t="s">
        <v>437</v>
      </c>
      <c r="H7673" s="69">
        <v>-0.15</v>
      </c>
    </row>
    <row r="7674" spans="6:8">
      <c r="F7674" s="68" t="s">
        <v>128</v>
      </c>
      <c r="G7674" s="67" t="s">
        <v>437</v>
      </c>
      <c r="H7674" s="69">
        <v>-0.4</v>
      </c>
    </row>
    <row r="7675" spans="6:8">
      <c r="F7675" s="68" t="s">
        <v>129</v>
      </c>
      <c r="G7675" s="67" t="s">
        <v>437</v>
      </c>
      <c r="H7675" s="69">
        <v>-0.25</v>
      </c>
    </row>
    <row r="7676" spans="6:8">
      <c r="F7676" s="68" t="s">
        <v>254</v>
      </c>
      <c r="G7676" s="67" t="s">
        <v>437</v>
      </c>
      <c r="H7676" s="69">
        <v>0.63</v>
      </c>
    </row>
    <row r="7677" spans="6:8">
      <c r="F7677" s="68" t="s">
        <v>304</v>
      </c>
      <c r="G7677" s="67" t="s">
        <v>437</v>
      </c>
      <c r="H7677" s="69">
        <v>17</v>
      </c>
    </row>
    <row r="7678" spans="6:8">
      <c r="F7678" s="68" t="s">
        <v>421</v>
      </c>
      <c r="G7678" s="67" t="s">
        <v>437</v>
      </c>
      <c r="H7678" s="69">
        <v>2.4765141187530038</v>
      </c>
    </row>
    <row r="7679" spans="6:8">
      <c r="F7679" s="68" t="s">
        <v>130</v>
      </c>
      <c r="G7679" s="67" t="s">
        <v>437</v>
      </c>
      <c r="H7679" s="69">
        <v>-0.55000000000000004</v>
      </c>
    </row>
    <row r="7680" spans="6:8">
      <c r="F7680" s="68" t="s">
        <v>131</v>
      </c>
      <c r="G7680" s="67" t="s">
        <v>437</v>
      </c>
      <c r="H7680" s="69">
        <v>-0.3</v>
      </c>
    </row>
    <row r="7681" spans="6:8">
      <c r="F7681" s="68" t="s">
        <v>255</v>
      </c>
      <c r="G7681" s="67" t="s">
        <v>437</v>
      </c>
      <c r="H7681" s="69">
        <v>0.84</v>
      </c>
    </row>
    <row r="7682" spans="6:8">
      <c r="F7682" s="68" t="s">
        <v>303</v>
      </c>
      <c r="G7682" s="67" t="s">
        <v>437</v>
      </c>
      <c r="H7682" s="69">
        <v>18.625</v>
      </c>
    </row>
    <row r="7683" spans="6:8">
      <c r="F7683" s="68" t="s">
        <v>422</v>
      </c>
      <c r="G7683" s="67" t="s">
        <v>437</v>
      </c>
      <c r="H7683" s="69">
        <v>2.482066781659098</v>
      </c>
    </row>
    <row r="7684" spans="6:8">
      <c r="F7684" s="68" t="s">
        <v>132</v>
      </c>
      <c r="G7684" s="67" t="s">
        <v>437</v>
      </c>
      <c r="H7684" s="69">
        <v>-0.5</v>
      </c>
    </row>
    <row r="7685" spans="6:8">
      <c r="F7685" s="68" t="s">
        <v>133</v>
      </c>
      <c r="G7685" s="67" t="s">
        <v>437</v>
      </c>
      <c r="H7685" s="69">
        <v>-0.35</v>
      </c>
    </row>
    <row r="7686" spans="6:8">
      <c r="F7686" s="68" t="s">
        <v>256</v>
      </c>
      <c r="G7686" s="67" t="s">
        <v>437</v>
      </c>
      <c r="H7686" s="69">
        <v>1</v>
      </c>
    </row>
    <row r="7687" spans="6:8">
      <c r="F7687" s="68" t="s">
        <v>423</v>
      </c>
      <c r="G7687" s="67" t="s">
        <v>437</v>
      </c>
      <c r="H7687" s="69">
        <v>2.5313444050263367</v>
      </c>
    </row>
    <row r="7688" spans="6:8">
      <c r="F7688" s="68" t="s">
        <v>134</v>
      </c>
      <c r="G7688" s="67" t="s">
        <v>437</v>
      </c>
      <c r="H7688" s="69">
        <v>-0.5</v>
      </c>
    </row>
    <row r="7689" spans="6:8">
      <c r="F7689" s="68" t="s">
        <v>135</v>
      </c>
      <c r="G7689" s="67" t="s">
        <v>437</v>
      </c>
      <c r="H7689" s="69">
        <v>-0.35</v>
      </c>
    </row>
    <row r="7690" spans="6:8">
      <c r="F7690" s="68" t="s">
        <v>257</v>
      </c>
      <c r="G7690" s="67" t="s">
        <v>437</v>
      </c>
      <c r="H7690" s="69">
        <v>1.05</v>
      </c>
    </row>
    <row r="7691" spans="6:8">
      <c r="F7691" s="68" t="s">
        <v>258</v>
      </c>
      <c r="G7691" s="67" t="s">
        <v>437</v>
      </c>
      <c r="H7691" s="69">
        <v>0.14000000000000001</v>
      </c>
    </row>
    <row r="7692" spans="6:8">
      <c r="F7692" s="68" t="s">
        <v>424</v>
      </c>
      <c r="G7692" s="67" t="s">
        <v>437</v>
      </c>
      <c r="H7692" s="69">
        <v>3.2601334071190813</v>
      </c>
    </row>
    <row r="7693" spans="6:8">
      <c r="F7693" s="68" t="s">
        <v>136</v>
      </c>
      <c r="G7693" s="67" t="s">
        <v>437</v>
      </c>
      <c r="H7693" s="69">
        <v>-0.5</v>
      </c>
    </row>
    <row r="7694" spans="6:8">
      <c r="F7694" s="68" t="s">
        <v>137</v>
      </c>
      <c r="G7694" s="67" t="s">
        <v>437</v>
      </c>
      <c r="H7694" s="69">
        <v>-0.5</v>
      </c>
    </row>
    <row r="7695" spans="6:8">
      <c r="F7695" s="68" t="s">
        <v>138</v>
      </c>
      <c r="G7695" s="67" t="s">
        <v>437</v>
      </c>
      <c r="H7695" s="69">
        <v>-0.4</v>
      </c>
    </row>
    <row r="7696" spans="6:8">
      <c r="F7696" s="68" t="s">
        <v>259</v>
      </c>
      <c r="G7696" s="67" t="s">
        <v>437</v>
      </c>
      <c r="H7696" s="69">
        <v>0.17</v>
      </c>
    </row>
    <row r="7697" spans="6:8">
      <c r="F7697" s="68" t="s">
        <v>425</v>
      </c>
      <c r="G7697" s="67" t="s">
        <v>437</v>
      </c>
      <c r="H7697" s="69">
        <v>3.2487090350559633</v>
      </c>
    </row>
    <row r="7698" spans="6:8">
      <c r="F7698" s="68" t="s">
        <v>425</v>
      </c>
      <c r="G7698" s="67" t="s">
        <v>438</v>
      </c>
      <c r="H7698" s="69">
        <v>3.2545506732767127</v>
      </c>
    </row>
    <row r="7699" spans="6:8">
      <c r="F7699" s="68" t="s">
        <v>259</v>
      </c>
      <c r="G7699" s="67" t="s">
        <v>438</v>
      </c>
      <c r="H7699" s="69">
        <v>0.17</v>
      </c>
    </row>
    <row r="7700" spans="6:8">
      <c r="F7700" s="68" t="s">
        <v>138</v>
      </c>
      <c r="G7700" s="67" t="s">
        <v>438</v>
      </c>
      <c r="H7700" s="69">
        <v>-0.4</v>
      </c>
    </row>
    <row r="7701" spans="6:8">
      <c r="F7701" s="68" t="s">
        <v>137</v>
      </c>
      <c r="G7701" s="67" t="s">
        <v>438</v>
      </c>
      <c r="H7701" s="69">
        <v>-0.5</v>
      </c>
    </row>
    <row r="7702" spans="6:8">
      <c r="F7702" s="68" t="s">
        <v>136</v>
      </c>
      <c r="G7702" s="67" t="s">
        <v>438</v>
      </c>
      <c r="H7702" s="69">
        <v>-0.5</v>
      </c>
    </row>
    <row r="7703" spans="6:8">
      <c r="F7703" s="68" t="s">
        <v>424</v>
      </c>
      <c r="G7703" s="67" t="s">
        <v>438</v>
      </c>
      <c r="H7703" s="69">
        <v>3.2316234650851428</v>
      </c>
    </row>
    <row r="7704" spans="6:8">
      <c r="F7704" s="68" t="s">
        <v>258</v>
      </c>
      <c r="G7704" s="67" t="s">
        <v>438</v>
      </c>
      <c r="H7704" s="69">
        <v>0.14000000000000001</v>
      </c>
    </row>
    <row r="7705" spans="6:8">
      <c r="F7705" s="68" t="s">
        <v>257</v>
      </c>
      <c r="G7705" s="67" t="s">
        <v>438</v>
      </c>
      <c r="H7705" s="69">
        <v>1.05</v>
      </c>
    </row>
    <row r="7706" spans="6:8">
      <c r="F7706" s="68" t="s">
        <v>135</v>
      </c>
      <c r="G7706" s="67" t="s">
        <v>438</v>
      </c>
      <c r="H7706" s="69">
        <v>-0.35</v>
      </c>
    </row>
    <row r="7707" spans="6:8">
      <c r="F7707" s="68" t="s">
        <v>134</v>
      </c>
      <c r="G7707" s="67" t="s">
        <v>438</v>
      </c>
      <c r="H7707" s="69">
        <v>-0.5</v>
      </c>
    </row>
    <row r="7708" spans="6:8">
      <c r="F7708" s="68" t="s">
        <v>423</v>
      </c>
      <c r="G7708" s="67" t="s">
        <v>438</v>
      </c>
      <c r="H7708" s="69">
        <v>2.4948382713293249</v>
      </c>
    </row>
    <row r="7709" spans="6:8">
      <c r="F7709" s="68" t="s">
        <v>256</v>
      </c>
      <c r="G7709" s="67" t="s">
        <v>438</v>
      </c>
      <c r="H7709" s="69">
        <v>1</v>
      </c>
    </row>
    <row r="7710" spans="6:8">
      <c r="F7710" s="68" t="s">
        <v>133</v>
      </c>
      <c r="G7710" s="67" t="s">
        <v>438</v>
      </c>
      <c r="H7710" s="69">
        <v>-0.35</v>
      </c>
    </row>
    <row r="7711" spans="6:8">
      <c r="F7711" s="68" t="s">
        <v>132</v>
      </c>
      <c r="G7711" s="67" t="s">
        <v>438</v>
      </c>
      <c r="H7711" s="69">
        <v>-0.5</v>
      </c>
    </row>
    <row r="7712" spans="6:8">
      <c r="F7712" s="68" t="s">
        <v>422</v>
      </c>
      <c r="G7712" s="67" t="s">
        <v>438</v>
      </c>
      <c r="H7712" s="69">
        <v>2.4806008052442596</v>
      </c>
    </row>
    <row r="7713" spans="6:8">
      <c r="F7713" s="68" t="s">
        <v>303</v>
      </c>
      <c r="G7713" s="67" t="s">
        <v>438</v>
      </c>
      <c r="H7713" s="69">
        <v>18.5625</v>
      </c>
    </row>
    <row r="7714" spans="6:8">
      <c r="F7714" s="68" t="s">
        <v>255</v>
      </c>
      <c r="G7714" s="67" t="s">
        <v>438</v>
      </c>
      <c r="H7714" s="69">
        <v>0.84</v>
      </c>
    </row>
    <row r="7715" spans="6:8">
      <c r="F7715" s="68" t="s">
        <v>131</v>
      </c>
      <c r="G7715" s="67" t="s">
        <v>438</v>
      </c>
      <c r="H7715" s="69">
        <v>-0.3</v>
      </c>
    </row>
    <row r="7716" spans="6:8">
      <c r="F7716" s="68" t="s">
        <v>130</v>
      </c>
      <c r="G7716" s="67" t="s">
        <v>438</v>
      </c>
      <c r="H7716" s="69">
        <v>-0.55000000000000004</v>
      </c>
    </row>
    <row r="7717" spans="6:8">
      <c r="F7717" s="68" t="s">
        <v>421</v>
      </c>
      <c r="G7717" s="67" t="s">
        <v>438</v>
      </c>
      <c r="H7717" s="69">
        <v>2.4747895265840647</v>
      </c>
    </row>
    <row r="7718" spans="6:8">
      <c r="F7718" s="68" t="s">
        <v>304</v>
      </c>
      <c r="G7718" s="67" t="s">
        <v>438</v>
      </c>
      <c r="H7718" s="69">
        <v>16.9375</v>
      </c>
    </row>
    <row r="7719" spans="6:8">
      <c r="F7719" s="68" t="s">
        <v>254</v>
      </c>
      <c r="G7719" s="67" t="s">
        <v>438</v>
      </c>
      <c r="H7719" s="69">
        <v>0.63</v>
      </c>
    </row>
    <row r="7720" spans="6:8">
      <c r="F7720" s="68" t="s">
        <v>129</v>
      </c>
      <c r="G7720" s="67" t="s">
        <v>438</v>
      </c>
      <c r="H7720" s="69">
        <v>-0.25</v>
      </c>
    </row>
    <row r="7721" spans="6:8">
      <c r="F7721" s="68" t="s">
        <v>128</v>
      </c>
      <c r="G7721" s="67" t="s">
        <v>438</v>
      </c>
      <c r="H7721" s="69">
        <v>-0.4</v>
      </c>
    </row>
    <row r="7722" spans="6:8">
      <c r="F7722" s="68" t="s">
        <v>315</v>
      </c>
      <c r="G7722" s="67" t="s">
        <v>438</v>
      </c>
      <c r="H7722" s="69">
        <v>-0.15</v>
      </c>
    </row>
    <row r="7723" spans="6:8">
      <c r="F7723" s="68" t="s">
        <v>253</v>
      </c>
      <c r="G7723" s="67" t="s">
        <v>438</v>
      </c>
      <c r="H7723" s="69">
        <v>0.46</v>
      </c>
    </row>
    <row r="7724" spans="6:8">
      <c r="F7724" s="68" t="s">
        <v>127</v>
      </c>
      <c r="G7724" s="67" t="s">
        <v>438</v>
      </c>
      <c r="H7724" s="69">
        <v>-0.15</v>
      </c>
    </row>
    <row r="7725" spans="6:8">
      <c r="F7725" s="68" t="s">
        <v>126</v>
      </c>
      <c r="G7725" s="67" t="s">
        <v>438</v>
      </c>
      <c r="H7725" s="69">
        <v>-0.45</v>
      </c>
    </row>
    <row r="7726" spans="6:8">
      <c r="F7726" s="68" t="s">
        <v>125</v>
      </c>
      <c r="G7726" s="67" t="s">
        <v>438</v>
      </c>
      <c r="H7726" s="69">
        <v>-0.3</v>
      </c>
    </row>
    <row r="7727" spans="6:8">
      <c r="F7727" s="68" t="s">
        <v>314</v>
      </c>
      <c r="G7727" s="67" t="s">
        <v>438</v>
      </c>
      <c r="H7727" s="69">
        <v>-0.2</v>
      </c>
    </row>
    <row r="7728" spans="6:8">
      <c r="F7728" s="68" t="s">
        <v>252</v>
      </c>
      <c r="G7728" s="67" t="s">
        <v>438</v>
      </c>
      <c r="H7728" s="69">
        <v>0.35</v>
      </c>
    </row>
    <row r="7729" spans="6:8">
      <c r="F7729" s="68" t="s">
        <v>124</v>
      </c>
      <c r="G7729" s="67" t="s">
        <v>438</v>
      </c>
      <c r="H7729" s="69">
        <v>-0.25</v>
      </c>
    </row>
    <row r="7730" spans="6:8">
      <c r="F7730" s="68" t="s">
        <v>123</v>
      </c>
      <c r="G7730" s="67" t="s">
        <v>438</v>
      </c>
      <c r="H7730" s="69">
        <v>-0.6</v>
      </c>
    </row>
    <row r="7731" spans="6:8">
      <c r="F7731" s="68" t="s">
        <v>122</v>
      </c>
      <c r="G7731" s="67" t="s">
        <v>438</v>
      </c>
      <c r="H7731" s="69">
        <v>-0.45</v>
      </c>
    </row>
    <row r="7732" spans="6:8">
      <c r="F7732" s="68" t="s">
        <v>420</v>
      </c>
      <c r="G7732" s="67" t="s">
        <v>438</v>
      </c>
      <c r="H7732" s="69">
        <v>3.3814009033412251</v>
      </c>
    </row>
    <row r="7733" spans="6:8">
      <c r="F7733" s="68" t="s">
        <v>251</v>
      </c>
      <c r="G7733" s="67" t="s">
        <v>438</v>
      </c>
      <c r="H7733" s="69">
        <v>0.26</v>
      </c>
    </row>
    <row r="7734" spans="6:8">
      <c r="F7734" s="68" t="s">
        <v>121</v>
      </c>
      <c r="G7734" s="67" t="s">
        <v>438</v>
      </c>
      <c r="H7734" s="69">
        <v>-0.4</v>
      </c>
    </row>
    <row r="7735" spans="6:8">
      <c r="F7735" s="68" t="s">
        <v>120</v>
      </c>
      <c r="G7735" s="67" t="s">
        <v>438</v>
      </c>
      <c r="H7735" s="69">
        <v>-0.45</v>
      </c>
    </row>
    <row r="7736" spans="6:8">
      <c r="F7736" s="68" t="s">
        <v>119</v>
      </c>
      <c r="G7736" s="67" t="s">
        <v>438</v>
      </c>
      <c r="H7736" s="69">
        <v>-0.4</v>
      </c>
    </row>
    <row r="7737" spans="6:8">
      <c r="F7737" s="68" t="s">
        <v>119</v>
      </c>
      <c r="G7737" s="67" t="s">
        <v>439</v>
      </c>
      <c r="H7737" s="69">
        <v>-0.4</v>
      </c>
    </row>
    <row r="7738" spans="6:8">
      <c r="F7738" s="68" t="s">
        <v>120</v>
      </c>
      <c r="G7738" s="67" t="s">
        <v>439</v>
      </c>
      <c r="H7738" s="69">
        <v>-0.45</v>
      </c>
    </row>
    <row r="7739" spans="6:8">
      <c r="F7739" s="68" t="s">
        <v>121</v>
      </c>
      <c r="G7739" s="67" t="s">
        <v>439</v>
      </c>
      <c r="H7739" s="69">
        <v>-0.4</v>
      </c>
    </row>
    <row r="7740" spans="6:8">
      <c r="F7740" s="68" t="s">
        <v>251</v>
      </c>
      <c r="G7740" s="67" t="s">
        <v>439</v>
      </c>
      <c r="H7740" s="69">
        <v>0.26</v>
      </c>
    </row>
    <row r="7741" spans="6:8">
      <c r="F7741" s="68" t="s">
        <v>420</v>
      </c>
      <c r="G7741" s="67" t="s">
        <v>439</v>
      </c>
      <c r="H7741" s="69">
        <v>3.3634250017153366</v>
      </c>
    </row>
    <row r="7742" spans="6:8">
      <c r="F7742" s="68" t="s">
        <v>122</v>
      </c>
      <c r="G7742" s="67" t="s">
        <v>439</v>
      </c>
      <c r="H7742" s="69">
        <v>-0.45</v>
      </c>
    </row>
    <row r="7743" spans="6:8">
      <c r="F7743" s="68" t="s">
        <v>123</v>
      </c>
      <c r="G7743" s="67" t="s">
        <v>439</v>
      </c>
      <c r="H7743" s="69">
        <v>-0.6</v>
      </c>
    </row>
    <row r="7744" spans="6:8">
      <c r="F7744" s="68" t="s">
        <v>124</v>
      </c>
      <c r="G7744" s="67" t="s">
        <v>439</v>
      </c>
      <c r="H7744" s="69">
        <v>-0.25</v>
      </c>
    </row>
    <row r="7745" spans="6:8">
      <c r="F7745" s="68" t="s">
        <v>252</v>
      </c>
      <c r="G7745" s="67" t="s">
        <v>439</v>
      </c>
      <c r="H7745" s="69">
        <v>0.35</v>
      </c>
    </row>
    <row r="7746" spans="6:8">
      <c r="F7746" s="68" t="s">
        <v>314</v>
      </c>
      <c r="G7746" s="67" t="s">
        <v>439</v>
      </c>
      <c r="H7746" s="69">
        <v>-0.2</v>
      </c>
    </row>
    <row r="7747" spans="6:8">
      <c r="F7747" s="68" t="s">
        <v>125</v>
      </c>
      <c r="G7747" s="67" t="s">
        <v>439</v>
      </c>
      <c r="H7747" s="69">
        <v>-0.3</v>
      </c>
    </row>
    <row r="7748" spans="6:8">
      <c r="F7748" s="68" t="s">
        <v>126</v>
      </c>
      <c r="G7748" s="67" t="s">
        <v>439</v>
      </c>
      <c r="H7748" s="69">
        <v>-0.45</v>
      </c>
    </row>
    <row r="7749" spans="6:8">
      <c r="F7749" s="68" t="s">
        <v>127</v>
      </c>
      <c r="G7749" s="67" t="s">
        <v>439</v>
      </c>
      <c r="H7749" s="69">
        <v>-0.15</v>
      </c>
    </row>
    <row r="7750" spans="6:8">
      <c r="F7750" s="68" t="s">
        <v>253</v>
      </c>
      <c r="G7750" s="67" t="s">
        <v>439</v>
      </c>
      <c r="H7750" s="69">
        <v>0.46</v>
      </c>
    </row>
    <row r="7751" spans="6:8">
      <c r="F7751" s="68" t="s">
        <v>315</v>
      </c>
      <c r="G7751" s="67" t="s">
        <v>439</v>
      </c>
      <c r="H7751" s="69">
        <v>-0.15</v>
      </c>
    </row>
    <row r="7752" spans="6:8">
      <c r="F7752" s="68" t="s">
        <v>128</v>
      </c>
      <c r="G7752" s="67" t="s">
        <v>439</v>
      </c>
      <c r="H7752" s="69">
        <v>-0.4</v>
      </c>
    </row>
    <row r="7753" spans="6:8">
      <c r="F7753" s="68" t="s">
        <v>129</v>
      </c>
      <c r="G7753" s="67" t="s">
        <v>439</v>
      </c>
      <c r="H7753" s="69">
        <v>-0.25</v>
      </c>
    </row>
    <row r="7754" spans="6:8">
      <c r="F7754" s="68" t="s">
        <v>254</v>
      </c>
      <c r="G7754" s="67" t="s">
        <v>439</v>
      </c>
      <c r="H7754" s="69">
        <v>0.63</v>
      </c>
    </row>
    <row r="7755" spans="6:8">
      <c r="F7755" s="68" t="s">
        <v>304</v>
      </c>
      <c r="G7755" s="67" t="s">
        <v>439</v>
      </c>
      <c r="H7755" s="69">
        <v>16.9375</v>
      </c>
    </row>
    <row r="7756" spans="6:8">
      <c r="F7756" s="68" t="s">
        <v>421</v>
      </c>
      <c r="G7756" s="67" t="s">
        <v>439</v>
      </c>
      <c r="H7756" s="69">
        <v>2.4759567896019519</v>
      </c>
    </row>
    <row r="7757" spans="6:8">
      <c r="F7757" s="68" t="s">
        <v>130</v>
      </c>
      <c r="G7757" s="67" t="s">
        <v>439</v>
      </c>
      <c r="H7757" s="69">
        <v>-0.55000000000000004</v>
      </c>
    </row>
    <row r="7758" spans="6:8">
      <c r="F7758" s="68" t="s">
        <v>131</v>
      </c>
      <c r="G7758" s="67" t="s">
        <v>439</v>
      </c>
      <c r="H7758" s="69">
        <v>-0.3</v>
      </c>
    </row>
    <row r="7759" spans="6:8">
      <c r="F7759" s="68" t="s">
        <v>255</v>
      </c>
      <c r="G7759" s="67" t="s">
        <v>439</v>
      </c>
      <c r="H7759" s="69">
        <v>0.84</v>
      </c>
    </row>
    <row r="7760" spans="6:8">
      <c r="F7760" s="68" t="s">
        <v>303</v>
      </c>
      <c r="G7760" s="67" t="s">
        <v>439</v>
      </c>
      <c r="H7760" s="69">
        <v>18.59375</v>
      </c>
    </row>
    <row r="7761" spans="6:8">
      <c r="F7761" s="68" t="s">
        <v>422</v>
      </c>
      <c r="G7761" s="67" t="s">
        <v>439</v>
      </c>
      <c r="H7761" s="69">
        <v>2.4815930621967297</v>
      </c>
    </row>
    <row r="7762" spans="6:8">
      <c r="F7762" s="68" t="s">
        <v>132</v>
      </c>
      <c r="G7762" s="67" t="s">
        <v>439</v>
      </c>
      <c r="H7762" s="69">
        <v>-0.5</v>
      </c>
    </row>
    <row r="7763" spans="6:8">
      <c r="F7763" s="68" t="s">
        <v>133</v>
      </c>
      <c r="G7763" s="67" t="s">
        <v>439</v>
      </c>
      <c r="H7763" s="69">
        <v>-0.35</v>
      </c>
    </row>
    <row r="7764" spans="6:8">
      <c r="F7764" s="68" t="s">
        <v>256</v>
      </c>
      <c r="G7764" s="67" t="s">
        <v>439</v>
      </c>
      <c r="H7764" s="69">
        <v>1</v>
      </c>
    </row>
    <row r="7765" spans="6:8">
      <c r="F7765" s="68" t="s">
        <v>423</v>
      </c>
      <c r="G7765" s="67" t="s">
        <v>439</v>
      </c>
      <c r="H7765" s="69">
        <v>2.4744172236852435</v>
      </c>
    </row>
    <row r="7766" spans="6:8">
      <c r="F7766" s="68" t="s">
        <v>134</v>
      </c>
      <c r="G7766" s="67" t="s">
        <v>439</v>
      </c>
      <c r="H7766" s="69">
        <v>-0.5</v>
      </c>
    </row>
    <row r="7767" spans="6:8">
      <c r="F7767" s="68" t="s">
        <v>135</v>
      </c>
      <c r="G7767" s="67" t="s">
        <v>439</v>
      </c>
      <c r="H7767" s="69">
        <v>-0.35</v>
      </c>
    </row>
    <row r="7768" spans="6:8">
      <c r="F7768" s="68" t="s">
        <v>257</v>
      </c>
      <c r="G7768" s="67" t="s">
        <v>439</v>
      </c>
      <c r="H7768" s="69">
        <v>1.05</v>
      </c>
    </row>
    <row r="7769" spans="6:8">
      <c r="F7769" s="68" t="s">
        <v>258</v>
      </c>
      <c r="G7769" s="67" t="s">
        <v>439</v>
      </c>
      <c r="H7769" s="69">
        <v>0.14000000000000001</v>
      </c>
    </row>
    <row r="7770" spans="6:8">
      <c r="F7770" s="68" t="s">
        <v>424</v>
      </c>
      <c r="G7770" s="67" t="s">
        <v>439</v>
      </c>
      <c r="H7770" s="69">
        <v>3.2115682296264936</v>
      </c>
    </row>
    <row r="7771" spans="6:8">
      <c r="F7771" s="68" t="s">
        <v>136</v>
      </c>
      <c r="G7771" s="67" t="s">
        <v>439</v>
      </c>
      <c r="H7771" s="69">
        <v>-0.5</v>
      </c>
    </row>
    <row r="7772" spans="6:8">
      <c r="F7772" s="68" t="s">
        <v>137</v>
      </c>
      <c r="G7772" s="67" t="s">
        <v>439</v>
      </c>
      <c r="H7772" s="69">
        <v>-0.5</v>
      </c>
    </row>
    <row r="7773" spans="6:8">
      <c r="F7773" s="68" t="s">
        <v>138</v>
      </c>
      <c r="G7773" s="67" t="s">
        <v>439</v>
      </c>
      <c r="H7773" s="69">
        <v>-0.4</v>
      </c>
    </row>
    <row r="7774" spans="6:8">
      <c r="F7774" s="68" t="s">
        <v>259</v>
      </c>
      <c r="G7774" s="67" t="s">
        <v>439</v>
      </c>
      <c r="H7774" s="69">
        <v>0.17</v>
      </c>
    </row>
    <row r="7775" spans="6:8">
      <c r="F7775" s="68" t="s">
        <v>425</v>
      </c>
      <c r="G7775" s="67" t="s">
        <v>439</v>
      </c>
      <c r="H7775" s="69">
        <v>3.2315651070717433</v>
      </c>
    </row>
    <row r="7776" spans="6:8">
      <c r="F7776" s="68" t="s">
        <v>425</v>
      </c>
      <c r="G7776" s="67" t="s">
        <v>440</v>
      </c>
      <c r="H7776" s="69">
        <v>3.2471874385564092</v>
      </c>
    </row>
    <row r="7777" spans="6:8">
      <c r="F7777" s="68" t="s">
        <v>259</v>
      </c>
      <c r="G7777" s="67" t="s">
        <v>440</v>
      </c>
      <c r="H7777" s="69">
        <v>0.17</v>
      </c>
    </row>
    <row r="7778" spans="6:8">
      <c r="F7778" s="68" t="s">
        <v>138</v>
      </c>
      <c r="G7778" s="67" t="s">
        <v>440</v>
      </c>
      <c r="H7778" s="69">
        <v>-0.4</v>
      </c>
    </row>
    <row r="7779" spans="6:8">
      <c r="F7779" s="68" t="s">
        <v>137</v>
      </c>
      <c r="G7779" s="67" t="s">
        <v>440</v>
      </c>
      <c r="H7779" s="69">
        <v>-0.5</v>
      </c>
    </row>
    <row r="7780" spans="6:8">
      <c r="F7780" s="68" t="s">
        <v>136</v>
      </c>
      <c r="G7780" s="67" t="s">
        <v>440</v>
      </c>
      <c r="H7780" s="69">
        <v>-0.5</v>
      </c>
    </row>
    <row r="7781" spans="6:8">
      <c r="F7781" s="68" t="s">
        <v>424</v>
      </c>
      <c r="G7781" s="67" t="s">
        <v>440</v>
      </c>
      <c r="H7781" s="69">
        <v>3.2307849614642503</v>
      </c>
    </row>
    <row r="7782" spans="6:8">
      <c r="F7782" s="68" t="s">
        <v>258</v>
      </c>
      <c r="G7782" s="67" t="s">
        <v>440</v>
      </c>
      <c r="H7782" s="69">
        <v>0.14000000000000001</v>
      </c>
    </row>
    <row r="7783" spans="6:8">
      <c r="F7783" s="68" t="s">
        <v>257</v>
      </c>
      <c r="G7783" s="67" t="s">
        <v>440</v>
      </c>
      <c r="H7783" s="69">
        <v>1.05</v>
      </c>
    </row>
    <row r="7784" spans="6:8">
      <c r="F7784" s="68" t="s">
        <v>135</v>
      </c>
      <c r="G7784" s="67" t="s">
        <v>440</v>
      </c>
      <c r="H7784" s="69">
        <v>-0.35</v>
      </c>
    </row>
    <row r="7785" spans="6:8">
      <c r="F7785" s="68" t="s">
        <v>134</v>
      </c>
      <c r="G7785" s="67" t="s">
        <v>440</v>
      </c>
      <c r="H7785" s="69">
        <v>-0.5</v>
      </c>
    </row>
    <row r="7786" spans="6:8">
      <c r="F7786" s="68" t="s">
        <v>423</v>
      </c>
      <c r="G7786" s="67" t="s">
        <v>440</v>
      </c>
      <c r="H7786" s="69">
        <v>2.4883882770508237</v>
      </c>
    </row>
    <row r="7787" spans="6:8">
      <c r="F7787" s="68" t="s">
        <v>256</v>
      </c>
      <c r="G7787" s="67" t="s">
        <v>440</v>
      </c>
      <c r="H7787" s="69">
        <v>1</v>
      </c>
    </row>
    <row r="7788" spans="6:8">
      <c r="F7788" s="68" t="s">
        <v>133</v>
      </c>
      <c r="G7788" s="67" t="s">
        <v>440</v>
      </c>
      <c r="H7788" s="69">
        <v>-0.35</v>
      </c>
    </row>
    <row r="7789" spans="6:8">
      <c r="F7789" s="68" t="s">
        <v>132</v>
      </c>
      <c r="G7789" s="67" t="s">
        <v>440</v>
      </c>
      <c r="H7789" s="69">
        <v>-0.5</v>
      </c>
    </row>
    <row r="7790" spans="6:8">
      <c r="F7790" s="68" t="s">
        <v>422</v>
      </c>
      <c r="G7790" s="67" t="s">
        <v>440</v>
      </c>
      <c r="H7790" s="69">
        <v>2.4788445917264479</v>
      </c>
    </row>
    <row r="7791" spans="6:8">
      <c r="F7791" s="68" t="s">
        <v>303</v>
      </c>
      <c r="G7791" s="67" t="s">
        <v>440</v>
      </c>
      <c r="H7791" s="69">
        <v>18.5625</v>
      </c>
    </row>
    <row r="7792" spans="6:8">
      <c r="F7792" s="68" t="s">
        <v>255</v>
      </c>
      <c r="G7792" s="67" t="s">
        <v>440</v>
      </c>
      <c r="H7792" s="69">
        <v>0.84</v>
      </c>
    </row>
    <row r="7793" spans="6:8">
      <c r="F7793" s="68" t="s">
        <v>131</v>
      </c>
      <c r="G7793" s="67" t="s">
        <v>440</v>
      </c>
      <c r="H7793" s="69">
        <v>-0.3</v>
      </c>
    </row>
    <row r="7794" spans="6:8">
      <c r="F7794" s="68" t="s">
        <v>130</v>
      </c>
      <c r="G7794" s="67" t="s">
        <v>440</v>
      </c>
      <c r="H7794" s="69">
        <v>-0.55000000000000004</v>
      </c>
    </row>
    <row r="7795" spans="6:8">
      <c r="F7795" s="68" t="s">
        <v>421</v>
      </c>
      <c r="G7795" s="67" t="s">
        <v>440</v>
      </c>
      <c r="H7795" s="69">
        <v>2.4731858234249948</v>
      </c>
    </row>
    <row r="7796" spans="6:8">
      <c r="F7796" s="68" t="s">
        <v>304</v>
      </c>
      <c r="G7796" s="67" t="s">
        <v>440</v>
      </c>
      <c r="H7796" s="69">
        <v>16.9375</v>
      </c>
    </row>
    <row r="7797" spans="6:8">
      <c r="F7797" s="68" t="s">
        <v>254</v>
      </c>
      <c r="G7797" s="67" t="s">
        <v>440</v>
      </c>
      <c r="H7797" s="69">
        <v>0.63</v>
      </c>
    </row>
    <row r="7798" spans="6:8">
      <c r="F7798" s="68" t="s">
        <v>129</v>
      </c>
      <c r="G7798" s="67" t="s">
        <v>440</v>
      </c>
      <c r="H7798" s="69">
        <v>-0.25</v>
      </c>
    </row>
    <row r="7799" spans="6:8">
      <c r="F7799" s="68" t="s">
        <v>128</v>
      </c>
      <c r="G7799" s="67" t="s">
        <v>440</v>
      </c>
      <c r="H7799" s="69">
        <v>-0.4</v>
      </c>
    </row>
    <row r="7800" spans="6:8">
      <c r="F7800" s="68" t="s">
        <v>315</v>
      </c>
      <c r="G7800" s="67" t="s">
        <v>440</v>
      </c>
      <c r="H7800" s="69">
        <v>-0.15</v>
      </c>
    </row>
    <row r="7801" spans="6:8">
      <c r="F7801" s="68" t="s">
        <v>253</v>
      </c>
      <c r="G7801" s="67" t="s">
        <v>440</v>
      </c>
      <c r="H7801" s="69">
        <v>0.46</v>
      </c>
    </row>
    <row r="7802" spans="6:8">
      <c r="F7802" s="68" t="s">
        <v>127</v>
      </c>
      <c r="G7802" s="67" t="s">
        <v>440</v>
      </c>
      <c r="H7802" s="69">
        <v>-0.15</v>
      </c>
    </row>
    <row r="7803" spans="6:8">
      <c r="F7803" s="68" t="s">
        <v>126</v>
      </c>
      <c r="G7803" s="67" t="s">
        <v>440</v>
      </c>
      <c r="H7803" s="69">
        <v>-0.45</v>
      </c>
    </row>
    <row r="7804" spans="6:8">
      <c r="F7804" s="68" t="s">
        <v>125</v>
      </c>
      <c r="G7804" s="67" t="s">
        <v>440</v>
      </c>
      <c r="H7804" s="69">
        <v>-0.3</v>
      </c>
    </row>
    <row r="7805" spans="6:8">
      <c r="F7805" s="68" t="s">
        <v>314</v>
      </c>
      <c r="G7805" s="67" t="s">
        <v>440</v>
      </c>
      <c r="H7805" s="69">
        <v>-0.2</v>
      </c>
    </row>
    <row r="7806" spans="6:8">
      <c r="F7806" s="68" t="s">
        <v>252</v>
      </c>
      <c r="G7806" s="67" t="s">
        <v>440</v>
      </c>
      <c r="H7806" s="69">
        <v>0.35</v>
      </c>
    </row>
    <row r="7807" spans="6:8">
      <c r="F7807" s="68" t="s">
        <v>124</v>
      </c>
      <c r="G7807" s="67" t="s">
        <v>440</v>
      </c>
      <c r="H7807" s="69">
        <v>-0.25</v>
      </c>
    </row>
    <row r="7808" spans="6:8">
      <c r="F7808" s="68" t="s">
        <v>123</v>
      </c>
      <c r="G7808" s="67" t="s">
        <v>440</v>
      </c>
      <c r="H7808" s="69">
        <v>-0.6</v>
      </c>
    </row>
    <row r="7809" spans="6:8">
      <c r="F7809" s="68" t="s">
        <v>122</v>
      </c>
      <c r="G7809" s="67" t="s">
        <v>440</v>
      </c>
      <c r="H7809" s="69">
        <v>-0.45</v>
      </c>
    </row>
    <row r="7810" spans="6:8">
      <c r="F7810" s="68" t="s">
        <v>420</v>
      </c>
      <c r="G7810" s="67" t="s">
        <v>440</v>
      </c>
      <c r="H7810" s="69">
        <v>3.3837187013812109</v>
      </c>
    </row>
    <row r="7811" spans="6:8">
      <c r="F7811" s="68" t="s">
        <v>251</v>
      </c>
      <c r="G7811" s="67" t="s">
        <v>440</v>
      </c>
      <c r="H7811" s="69">
        <v>0.26</v>
      </c>
    </row>
    <row r="7812" spans="6:8">
      <c r="F7812" s="68" t="s">
        <v>121</v>
      </c>
      <c r="G7812" s="67" t="s">
        <v>440</v>
      </c>
      <c r="H7812" s="69">
        <v>-0.4</v>
      </c>
    </row>
    <row r="7813" spans="6:8">
      <c r="F7813" s="68" t="s">
        <v>120</v>
      </c>
      <c r="G7813" s="67" t="s">
        <v>440</v>
      </c>
      <c r="H7813" s="69">
        <v>-0.45</v>
      </c>
    </row>
    <row r="7814" spans="6:8">
      <c r="F7814" s="68" t="s">
        <v>119</v>
      </c>
      <c r="G7814" s="67" t="s">
        <v>440</v>
      </c>
      <c r="H7814" s="69">
        <v>-0.4</v>
      </c>
    </row>
    <row r="7815" spans="6:8">
      <c r="F7815" s="68" t="s">
        <v>119</v>
      </c>
      <c r="G7815" s="67" t="s">
        <v>441</v>
      </c>
      <c r="H7815" s="69">
        <v>-0.4</v>
      </c>
    </row>
    <row r="7816" spans="6:8">
      <c r="F7816" s="68" t="s">
        <v>120</v>
      </c>
      <c r="G7816" s="67" t="s">
        <v>441</v>
      </c>
      <c r="H7816" s="69">
        <v>-0.45</v>
      </c>
    </row>
    <row r="7817" spans="6:8">
      <c r="F7817" s="68" t="s">
        <v>121</v>
      </c>
      <c r="G7817" s="67" t="s">
        <v>441</v>
      </c>
      <c r="H7817" s="69">
        <v>-0.4</v>
      </c>
    </row>
    <row r="7818" spans="6:8">
      <c r="F7818" s="68" t="s">
        <v>251</v>
      </c>
      <c r="G7818" s="67" t="s">
        <v>441</v>
      </c>
      <c r="H7818" s="69">
        <v>0.26</v>
      </c>
    </row>
    <row r="7819" spans="6:8">
      <c r="F7819" s="68" t="s">
        <v>420</v>
      </c>
      <c r="G7819" s="67" t="s">
        <v>441</v>
      </c>
      <c r="H7819" s="69">
        <v>3.4865976988538883</v>
      </c>
    </row>
    <row r="7820" spans="6:8">
      <c r="F7820" s="68" t="s">
        <v>122</v>
      </c>
      <c r="G7820" s="67" t="s">
        <v>441</v>
      </c>
      <c r="H7820" s="69">
        <v>-0.45</v>
      </c>
    </row>
    <row r="7821" spans="6:8">
      <c r="F7821" s="68" t="s">
        <v>123</v>
      </c>
      <c r="G7821" s="67" t="s">
        <v>441</v>
      </c>
      <c r="H7821" s="69">
        <v>-0.6</v>
      </c>
    </row>
    <row r="7822" spans="6:8">
      <c r="F7822" s="68" t="s">
        <v>124</v>
      </c>
      <c r="G7822" s="67" t="s">
        <v>441</v>
      </c>
      <c r="H7822" s="69">
        <v>-0.25</v>
      </c>
    </row>
    <row r="7823" spans="6:8">
      <c r="F7823" s="68" t="s">
        <v>252</v>
      </c>
      <c r="G7823" s="67" t="s">
        <v>441</v>
      </c>
      <c r="H7823" s="69">
        <v>0.35</v>
      </c>
    </row>
    <row r="7824" spans="6:8">
      <c r="F7824" s="68" t="s">
        <v>314</v>
      </c>
      <c r="G7824" s="67" t="s">
        <v>441</v>
      </c>
      <c r="H7824" s="69">
        <v>-0.2</v>
      </c>
    </row>
    <row r="7825" spans="6:8">
      <c r="F7825" s="68" t="s">
        <v>125</v>
      </c>
      <c r="G7825" s="67" t="s">
        <v>441</v>
      </c>
      <c r="H7825" s="69">
        <v>-0.3</v>
      </c>
    </row>
    <row r="7826" spans="6:8">
      <c r="F7826" s="68" t="s">
        <v>126</v>
      </c>
      <c r="G7826" s="67" t="s">
        <v>441</v>
      </c>
      <c r="H7826" s="69">
        <v>-0.45</v>
      </c>
    </row>
    <row r="7827" spans="6:8">
      <c r="F7827" s="68" t="s">
        <v>127</v>
      </c>
      <c r="G7827" s="67" t="s">
        <v>441</v>
      </c>
      <c r="H7827" s="69">
        <v>-0.15</v>
      </c>
    </row>
    <row r="7828" spans="6:8">
      <c r="F7828" s="68" t="s">
        <v>253</v>
      </c>
      <c r="G7828" s="67" t="s">
        <v>441</v>
      </c>
      <c r="H7828" s="69">
        <v>0.46</v>
      </c>
    </row>
    <row r="7829" spans="6:8">
      <c r="F7829" s="68" t="s">
        <v>315</v>
      </c>
      <c r="G7829" s="67" t="s">
        <v>441</v>
      </c>
      <c r="H7829" s="69">
        <v>-0.15</v>
      </c>
    </row>
    <row r="7830" spans="6:8">
      <c r="F7830" s="68" t="s">
        <v>128</v>
      </c>
      <c r="G7830" s="67" t="s">
        <v>441</v>
      </c>
      <c r="H7830" s="69">
        <v>-0.4</v>
      </c>
    </row>
    <row r="7831" spans="6:8">
      <c r="F7831" s="68" t="s">
        <v>129</v>
      </c>
      <c r="G7831" s="67" t="s">
        <v>441</v>
      </c>
      <c r="H7831" s="69">
        <v>-0.25</v>
      </c>
    </row>
    <row r="7832" spans="6:8">
      <c r="F7832" s="68" t="s">
        <v>254</v>
      </c>
      <c r="G7832" s="67" t="s">
        <v>441</v>
      </c>
      <c r="H7832" s="69">
        <v>0.63</v>
      </c>
    </row>
    <row r="7833" spans="6:8">
      <c r="F7833" s="68" t="s">
        <v>304</v>
      </c>
      <c r="G7833" s="67" t="s">
        <v>441</v>
      </c>
      <c r="H7833" s="69">
        <v>16.9375</v>
      </c>
    </row>
    <row r="7834" spans="6:8">
      <c r="F7834" s="68" t="s">
        <v>421</v>
      </c>
      <c r="G7834" s="67" t="s">
        <v>441</v>
      </c>
      <c r="H7834" s="69">
        <v>2.5593137483877815</v>
      </c>
    </row>
    <row r="7835" spans="6:8">
      <c r="F7835" s="68" t="s">
        <v>130</v>
      </c>
      <c r="G7835" s="67" t="s">
        <v>441</v>
      </c>
      <c r="H7835" s="69">
        <v>-0.55000000000000004</v>
      </c>
    </row>
    <row r="7836" spans="6:8">
      <c r="F7836" s="68" t="s">
        <v>131</v>
      </c>
      <c r="G7836" s="67" t="s">
        <v>441</v>
      </c>
      <c r="H7836" s="69">
        <v>-0.3</v>
      </c>
    </row>
    <row r="7837" spans="6:8">
      <c r="F7837" s="68" t="s">
        <v>255</v>
      </c>
      <c r="G7837" s="67" t="s">
        <v>441</v>
      </c>
      <c r="H7837" s="69">
        <v>0.84</v>
      </c>
    </row>
    <row r="7838" spans="6:8">
      <c r="F7838" s="68" t="s">
        <v>303</v>
      </c>
      <c r="G7838" s="67" t="s">
        <v>441</v>
      </c>
      <c r="H7838" s="69">
        <v>18.625</v>
      </c>
    </row>
    <row r="7839" spans="6:8">
      <c r="F7839" s="68" t="s">
        <v>422</v>
      </c>
      <c r="G7839" s="67" t="s">
        <v>441</v>
      </c>
      <c r="H7839" s="69">
        <v>2.5649679012178073</v>
      </c>
    </row>
    <row r="7840" spans="6:8">
      <c r="F7840" s="68" t="s">
        <v>132</v>
      </c>
      <c r="G7840" s="67" t="s">
        <v>441</v>
      </c>
      <c r="H7840" s="69">
        <v>-0.5</v>
      </c>
    </row>
    <row r="7841" spans="6:8">
      <c r="F7841" s="68" t="s">
        <v>133</v>
      </c>
      <c r="G7841" s="67" t="s">
        <v>441</v>
      </c>
      <c r="H7841" s="69">
        <v>-0.35</v>
      </c>
    </row>
    <row r="7842" spans="6:8">
      <c r="F7842" s="68" t="s">
        <v>256</v>
      </c>
      <c r="G7842" s="67" t="s">
        <v>441</v>
      </c>
      <c r="H7842" s="69">
        <v>1</v>
      </c>
    </row>
    <row r="7843" spans="6:8">
      <c r="F7843" s="68" t="s">
        <v>423</v>
      </c>
      <c r="G7843" s="67" t="s">
        <v>441</v>
      </c>
      <c r="H7843" s="69">
        <v>2.5959101403457918</v>
      </c>
    </row>
    <row r="7844" spans="6:8">
      <c r="F7844" s="68" t="s">
        <v>134</v>
      </c>
      <c r="G7844" s="67" t="s">
        <v>441</v>
      </c>
      <c r="H7844" s="69">
        <v>-0.5</v>
      </c>
    </row>
    <row r="7845" spans="6:8">
      <c r="F7845" s="68" t="s">
        <v>135</v>
      </c>
      <c r="G7845" s="67" t="s">
        <v>441</v>
      </c>
      <c r="H7845" s="69">
        <v>-0.35</v>
      </c>
    </row>
    <row r="7846" spans="6:8">
      <c r="F7846" s="68" t="s">
        <v>257</v>
      </c>
      <c r="G7846" s="67" t="s">
        <v>441</v>
      </c>
      <c r="H7846" s="69">
        <v>1.05</v>
      </c>
    </row>
    <row r="7847" spans="6:8">
      <c r="F7847" s="68" t="s">
        <v>258</v>
      </c>
      <c r="G7847" s="67" t="s">
        <v>441</v>
      </c>
      <c r="H7847" s="69">
        <v>0.14000000000000001</v>
      </c>
    </row>
    <row r="7848" spans="6:8">
      <c r="F7848" s="68" t="s">
        <v>424</v>
      </c>
      <c r="G7848" s="67" t="s">
        <v>441</v>
      </c>
      <c r="H7848" s="69">
        <v>3.3368488627558257</v>
      </c>
    </row>
    <row r="7849" spans="6:8">
      <c r="F7849" s="68" t="s">
        <v>136</v>
      </c>
      <c r="G7849" s="67" t="s">
        <v>441</v>
      </c>
      <c r="H7849" s="69">
        <v>-0.5</v>
      </c>
    </row>
    <row r="7850" spans="6:8">
      <c r="F7850" s="68" t="s">
        <v>137</v>
      </c>
      <c r="G7850" s="67" t="s">
        <v>441</v>
      </c>
      <c r="H7850" s="69">
        <v>-0.5</v>
      </c>
    </row>
    <row r="7851" spans="6:8">
      <c r="F7851" s="68" t="s">
        <v>138</v>
      </c>
      <c r="G7851" s="67" t="s">
        <v>441</v>
      </c>
      <c r="H7851" s="69">
        <v>-0.4</v>
      </c>
    </row>
    <row r="7852" spans="6:8">
      <c r="F7852" s="68" t="s">
        <v>259</v>
      </c>
      <c r="G7852" s="67" t="s">
        <v>441</v>
      </c>
      <c r="H7852" s="69">
        <v>0.17</v>
      </c>
    </row>
    <row r="7853" spans="6:8">
      <c r="F7853" s="68" t="s">
        <v>425</v>
      </c>
      <c r="G7853" s="67" t="s">
        <v>441</v>
      </c>
      <c r="H7853" s="69">
        <v>3.3534407837263913</v>
      </c>
    </row>
    <row r="7854" spans="6:8">
      <c r="F7854" s="68" t="s">
        <v>425</v>
      </c>
      <c r="G7854" s="67" t="s">
        <v>442</v>
      </c>
      <c r="H7854" s="69">
        <v>3.3632650043548207</v>
      </c>
    </row>
    <row r="7855" spans="6:8">
      <c r="F7855" s="68" t="s">
        <v>443</v>
      </c>
      <c r="G7855" s="67" t="s">
        <v>442</v>
      </c>
      <c r="H7855" s="69">
        <v>87</v>
      </c>
    </row>
    <row r="7856" spans="6:8">
      <c r="F7856" s="68" t="s">
        <v>259</v>
      </c>
      <c r="G7856" s="67" t="s">
        <v>442</v>
      </c>
      <c r="H7856" s="69">
        <v>0.17</v>
      </c>
    </row>
    <row r="7857" spans="6:8">
      <c r="F7857" s="68" t="s">
        <v>138</v>
      </c>
      <c r="G7857" s="67" t="s">
        <v>442</v>
      </c>
      <c r="H7857" s="69">
        <v>-0.4</v>
      </c>
    </row>
    <row r="7858" spans="6:8">
      <c r="F7858" s="68" t="s">
        <v>137</v>
      </c>
      <c r="G7858" s="67" t="s">
        <v>442</v>
      </c>
      <c r="H7858" s="69">
        <v>-0.5</v>
      </c>
    </row>
    <row r="7859" spans="6:8">
      <c r="F7859" s="68" t="s">
        <v>136</v>
      </c>
      <c r="G7859" s="67" t="s">
        <v>442</v>
      </c>
      <c r="H7859" s="69">
        <v>-0.5</v>
      </c>
    </row>
    <row r="7860" spans="6:8">
      <c r="F7860" s="68" t="s">
        <v>424</v>
      </c>
      <c r="G7860" s="67" t="s">
        <v>442</v>
      </c>
      <c r="H7860" s="69">
        <v>3.3479239810113803</v>
      </c>
    </row>
    <row r="7861" spans="6:8">
      <c r="F7861" s="68" t="s">
        <v>258</v>
      </c>
      <c r="G7861" s="67" t="s">
        <v>442</v>
      </c>
      <c r="H7861" s="69">
        <v>0.14000000000000001</v>
      </c>
    </row>
    <row r="7862" spans="6:8">
      <c r="F7862" s="68" t="s">
        <v>257</v>
      </c>
      <c r="G7862" s="67" t="s">
        <v>442</v>
      </c>
      <c r="H7862" s="69">
        <v>1.05</v>
      </c>
    </row>
    <row r="7863" spans="6:8">
      <c r="F7863" s="68" t="s">
        <v>135</v>
      </c>
      <c r="G7863" s="67" t="s">
        <v>442</v>
      </c>
      <c r="H7863" s="69">
        <v>-0.35</v>
      </c>
    </row>
    <row r="7864" spans="6:8">
      <c r="F7864" s="68" t="s">
        <v>134</v>
      </c>
      <c r="G7864" s="67" t="s">
        <v>442</v>
      </c>
      <c r="H7864" s="69">
        <v>-0.5</v>
      </c>
    </row>
    <row r="7865" spans="6:8">
      <c r="F7865" s="68" t="s">
        <v>423</v>
      </c>
      <c r="G7865" s="67" t="s">
        <v>442</v>
      </c>
      <c r="H7865" s="69">
        <v>2.588278851322956</v>
      </c>
    </row>
    <row r="7866" spans="6:8">
      <c r="F7866" s="68" t="s">
        <v>256</v>
      </c>
      <c r="G7866" s="67" t="s">
        <v>442</v>
      </c>
      <c r="H7866" s="69">
        <v>1</v>
      </c>
    </row>
    <row r="7867" spans="6:8">
      <c r="F7867" s="68" t="s">
        <v>133</v>
      </c>
      <c r="G7867" s="67" t="s">
        <v>442</v>
      </c>
      <c r="H7867" s="69">
        <v>-0.35</v>
      </c>
    </row>
    <row r="7868" spans="6:8">
      <c r="F7868" s="68" t="s">
        <v>132</v>
      </c>
      <c r="G7868" s="67" t="s">
        <v>442</v>
      </c>
      <c r="H7868" s="69">
        <v>-0.5</v>
      </c>
    </row>
    <row r="7869" spans="6:8">
      <c r="F7869" s="68" t="s">
        <v>422</v>
      </c>
      <c r="G7869" s="67" t="s">
        <v>442</v>
      </c>
      <c r="H7869" s="69">
        <v>2.5572535181189515</v>
      </c>
    </row>
    <row r="7870" spans="6:8">
      <c r="F7870" s="68" t="s">
        <v>303</v>
      </c>
      <c r="G7870" s="67" t="s">
        <v>442</v>
      </c>
      <c r="H7870" s="69">
        <v>19.0625</v>
      </c>
    </row>
    <row r="7871" spans="6:8">
      <c r="F7871" s="68" t="s">
        <v>255</v>
      </c>
      <c r="G7871" s="67" t="s">
        <v>442</v>
      </c>
      <c r="H7871" s="69">
        <v>0.84</v>
      </c>
    </row>
    <row r="7872" spans="6:8">
      <c r="F7872" s="68" t="s">
        <v>131</v>
      </c>
      <c r="G7872" s="67" t="s">
        <v>442</v>
      </c>
      <c r="H7872" s="69">
        <v>-0.3</v>
      </c>
    </row>
    <row r="7873" spans="6:8">
      <c r="F7873" s="68" t="s">
        <v>130</v>
      </c>
      <c r="G7873" s="67" t="s">
        <v>442</v>
      </c>
      <c r="H7873" s="69">
        <v>-0.55000000000000004</v>
      </c>
    </row>
    <row r="7874" spans="6:8">
      <c r="F7874" s="68" t="s">
        <v>421</v>
      </c>
      <c r="G7874" s="67" t="s">
        <v>442</v>
      </c>
      <c r="H7874" s="69">
        <v>2.5516441342478657</v>
      </c>
    </row>
    <row r="7875" spans="6:8">
      <c r="F7875" s="68" t="s">
        <v>304</v>
      </c>
      <c r="G7875" s="67" t="s">
        <v>442</v>
      </c>
      <c r="H7875" s="69">
        <v>17.34375</v>
      </c>
    </row>
    <row r="7876" spans="6:8">
      <c r="F7876" s="68" t="s">
        <v>254</v>
      </c>
      <c r="G7876" s="67" t="s">
        <v>442</v>
      </c>
      <c r="H7876" s="69">
        <v>0.63</v>
      </c>
    </row>
    <row r="7877" spans="6:8">
      <c r="F7877" s="68" t="s">
        <v>129</v>
      </c>
      <c r="G7877" s="67" t="s">
        <v>442</v>
      </c>
      <c r="H7877" s="69">
        <v>-0.25</v>
      </c>
    </row>
    <row r="7878" spans="6:8">
      <c r="F7878" s="68" t="s">
        <v>128</v>
      </c>
      <c r="G7878" s="67" t="s">
        <v>442</v>
      </c>
      <c r="H7878" s="69">
        <v>-0.4</v>
      </c>
    </row>
    <row r="7879" spans="6:8">
      <c r="F7879" s="68" t="s">
        <v>315</v>
      </c>
      <c r="G7879" s="67" t="s">
        <v>442</v>
      </c>
      <c r="H7879" s="69">
        <v>-0.15</v>
      </c>
    </row>
    <row r="7880" spans="6:8">
      <c r="F7880" s="68" t="s">
        <v>253</v>
      </c>
      <c r="G7880" s="67" t="s">
        <v>442</v>
      </c>
      <c r="H7880" s="69">
        <v>0.46</v>
      </c>
    </row>
    <row r="7881" spans="6:8">
      <c r="F7881" s="68" t="s">
        <v>127</v>
      </c>
      <c r="G7881" s="67" t="s">
        <v>442</v>
      </c>
      <c r="H7881" s="69">
        <v>-0.15</v>
      </c>
    </row>
    <row r="7882" spans="6:8">
      <c r="F7882" s="68" t="s">
        <v>126</v>
      </c>
      <c r="G7882" s="67" t="s">
        <v>442</v>
      </c>
      <c r="H7882" s="69">
        <v>-0.45</v>
      </c>
    </row>
    <row r="7883" spans="6:8">
      <c r="F7883" s="68" t="s">
        <v>125</v>
      </c>
      <c r="G7883" s="67" t="s">
        <v>442</v>
      </c>
      <c r="H7883" s="69">
        <v>-0.3</v>
      </c>
    </row>
    <row r="7884" spans="6:8">
      <c r="F7884" s="68" t="s">
        <v>314</v>
      </c>
      <c r="G7884" s="67" t="s">
        <v>442</v>
      </c>
      <c r="H7884" s="69">
        <v>-0.2</v>
      </c>
    </row>
    <row r="7885" spans="6:8">
      <c r="F7885" s="68" t="s">
        <v>252</v>
      </c>
      <c r="G7885" s="67" t="s">
        <v>442</v>
      </c>
      <c r="H7885" s="69">
        <v>0.35</v>
      </c>
    </row>
    <row r="7886" spans="6:8">
      <c r="F7886" s="68" t="s">
        <v>124</v>
      </c>
      <c r="G7886" s="67" t="s">
        <v>442</v>
      </c>
      <c r="H7886" s="69">
        <v>-0.25</v>
      </c>
    </row>
    <row r="7887" spans="6:8">
      <c r="F7887" s="68" t="s">
        <v>123</v>
      </c>
      <c r="G7887" s="67" t="s">
        <v>442</v>
      </c>
      <c r="H7887" s="69">
        <v>-0.6</v>
      </c>
    </row>
    <row r="7888" spans="6:8">
      <c r="F7888" s="68" t="s">
        <v>122</v>
      </c>
      <c r="G7888" s="67" t="s">
        <v>442</v>
      </c>
      <c r="H7888" s="69">
        <v>-0.45</v>
      </c>
    </row>
    <row r="7889" spans="6:8">
      <c r="F7889" s="68" t="s">
        <v>420</v>
      </c>
      <c r="G7889" s="67" t="s">
        <v>442</v>
      </c>
      <c r="H7889" s="69">
        <v>3.4840884878886591</v>
      </c>
    </row>
    <row r="7890" spans="6:8">
      <c r="F7890" s="68" t="s">
        <v>251</v>
      </c>
      <c r="G7890" s="67" t="s">
        <v>442</v>
      </c>
      <c r="H7890" s="69">
        <v>0.26</v>
      </c>
    </row>
    <row r="7891" spans="6:8">
      <c r="F7891" s="68" t="s">
        <v>121</v>
      </c>
      <c r="G7891" s="67" t="s">
        <v>442</v>
      </c>
      <c r="H7891" s="69">
        <v>-0.4</v>
      </c>
    </row>
    <row r="7892" spans="6:8">
      <c r="F7892" s="68" t="s">
        <v>120</v>
      </c>
      <c r="G7892" s="67" t="s">
        <v>442</v>
      </c>
      <c r="H7892" s="69">
        <v>-0.45</v>
      </c>
    </row>
    <row r="7893" spans="6:8">
      <c r="F7893" s="68" t="s">
        <v>119</v>
      </c>
      <c r="G7893" s="67" t="s">
        <v>442</v>
      </c>
      <c r="H7893" s="69">
        <v>-0.4</v>
      </c>
    </row>
    <row r="7894" spans="6:8">
      <c r="F7894" s="68" t="s">
        <v>119</v>
      </c>
      <c r="G7894" s="67" t="s">
        <v>444</v>
      </c>
      <c r="H7894" s="69">
        <v>-0.35</v>
      </c>
    </row>
    <row r="7895" spans="6:8">
      <c r="F7895" s="68" t="s">
        <v>120</v>
      </c>
      <c r="G7895" s="67" t="s">
        <v>444</v>
      </c>
      <c r="H7895" s="69">
        <v>-0.45</v>
      </c>
    </row>
    <row r="7896" spans="6:8">
      <c r="F7896" s="68" t="s">
        <v>121</v>
      </c>
      <c r="G7896" s="67" t="s">
        <v>444</v>
      </c>
      <c r="H7896" s="69">
        <v>-0.35</v>
      </c>
    </row>
    <row r="7897" spans="6:8">
      <c r="F7897" s="68" t="s">
        <v>251</v>
      </c>
      <c r="G7897" s="67" t="s">
        <v>444</v>
      </c>
      <c r="H7897" s="69">
        <v>0.26</v>
      </c>
    </row>
    <row r="7898" spans="6:8">
      <c r="F7898" s="68" t="s">
        <v>420</v>
      </c>
      <c r="G7898" s="67" t="s">
        <v>444</v>
      </c>
      <c r="H7898" s="69">
        <v>3.5396629285043613</v>
      </c>
    </row>
    <row r="7899" spans="6:8">
      <c r="F7899" s="68" t="s">
        <v>122</v>
      </c>
      <c r="G7899" s="67" t="s">
        <v>444</v>
      </c>
      <c r="H7899" s="69">
        <v>-0.4</v>
      </c>
    </row>
    <row r="7900" spans="6:8">
      <c r="F7900" s="68" t="s">
        <v>123</v>
      </c>
      <c r="G7900" s="67" t="s">
        <v>444</v>
      </c>
      <c r="H7900" s="69">
        <v>-0.6</v>
      </c>
    </row>
    <row r="7901" spans="6:8">
      <c r="F7901" s="68" t="s">
        <v>124</v>
      </c>
      <c r="G7901" s="67" t="s">
        <v>444</v>
      </c>
      <c r="H7901" s="69">
        <v>-0.2</v>
      </c>
    </row>
    <row r="7902" spans="6:8">
      <c r="F7902" s="68" t="s">
        <v>252</v>
      </c>
      <c r="G7902" s="67" t="s">
        <v>444</v>
      </c>
      <c r="H7902" s="69">
        <v>0.36</v>
      </c>
    </row>
    <row r="7903" spans="6:8">
      <c r="F7903" s="68" t="s">
        <v>314</v>
      </c>
      <c r="G7903" s="67" t="s">
        <v>444</v>
      </c>
      <c r="H7903" s="69">
        <v>-0.15</v>
      </c>
    </row>
    <row r="7904" spans="6:8">
      <c r="F7904" s="68" t="s">
        <v>125</v>
      </c>
      <c r="G7904" s="67" t="s">
        <v>444</v>
      </c>
      <c r="H7904" s="69">
        <v>-0.25</v>
      </c>
    </row>
    <row r="7905" spans="6:8">
      <c r="F7905" s="68" t="s">
        <v>126</v>
      </c>
      <c r="G7905" s="67" t="s">
        <v>444</v>
      </c>
      <c r="H7905" s="69">
        <v>-0.45</v>
      </c>
    </row>
    <row r="7906" spans="6:8">
      <c r="F7906" s="68" t="s">
        <v>127</v>
      </c>
      <c r="G7906" s="67" t="s">
        <v>444</v>
      </c>
      <c r="H7906" s="69">
        <v>-0.15</v>
      </c>
    </row>
    <row r="7907" spans="6:8">
      <c r="F7907" s="68" t="s">
        <v>253</v>
      </c>
      <c r="G7907" s="67" t="s">
        <v>444</v>
      </c>
      <c r="H7907" s="69">
        <v>0.47</v>
      </c>
    </row>
    <row r="7908" spans="6:8">
      <c r="F7908" s="68" t="s">
        <v>315</v>
      </c>
      <c r="G7908" s="67" t="s">
        <v>444</v>
      </c>
      <c r="H7908" s="69">
        <v>-0.1</v>
      </c>
    </row>
    <row r="7909" spans="6:8">
      <c r="F7909" s="68" t="s">
        <v>128</v>
      </c>
      <c r="G7909" s="67" t="s">
        <v>444</v>
      </c>
      <c r="H7909" s="69">
        <v>-0.4</v>
      </c>
    </row>
    <row r="7910" spans="6:8">
      <c r="F7910" s="68" t="s">
        <v>129</v>
      </c>
      <c r="G7910" s="67" t="s">
        <v>444</v>
      </c>
      <c r="H7910" s="69">
        <v>-0.25</v>
      </c>
    </row>
    <row r="7911" spans="6:8">
      <c r="F7911" s="68" t="s">
        <v>254</v>
      </c>
      <c r="G7911" s="67" t="s">
        <v>444</v>
      </c>
      <c r="H7911" s="69">
        <v>0.65</v>
      </c>
    </row>
    <row r="7912" spans="6:8">
      <c r="F7912" s="68" t="s">
        <v>304</v>
      </c>
      <c r="G7912" s="67" t="s">
        <v>444</v>
      </c>
      <c r="H7912" s="69">
        <v>17.125</v>
      </c>
    </row>
    <row r="7913" spans="6:8">
      <c r="F7913" s="68" t="s">
        <v>421</v>
      </c>
      <c r="G7913" s="67" t="s">
        <v>444</v>
      </c>
      <c r="H7913" s="69">
        <v>2.6063234199720675</v>
      </c>
    </row>
    <row r="7914" spans="6:8">
      <c r="F7914" s="68" t="s">
        <v>130</v>
      </c>
      <c r="G7914" s="67" t="s">
        <v>444</v>
      </c>
      <c r="H7914" s="69">
        <v>-0.5</v>
      </c>
    </row>
    <row r="7915" spans="6:8">
      <c r="F7915" s="68" t="s">
        <v>131</v>
      </c>
      <c r="G7915" s="67" t="s">
        <v>444</v>
      </c>
      <c r="H7915" s="69">
        <v>-0.3</v>
      </c>
    </row>
    <row r="7916" spans="6:8">
      <c r="F7916" s="68" t="s">
        <v>255</v>
      </c>
      <c r="G7916" s="67" t="s">
        <v>444</v>
      </c>
      <c r="H7916" s="69">
        <v>0.86</v>
      </c>
    </row>
    <row r="7917" spans="6:8">
      <c r="F7917" s="68" t="s">
        <v>303</v>
      </c>
      <c r="G7917" s="67" t="s">
        <v>444</v>
      </c>
      <c r="H7917" s="69">
        <v>18.8125</v>
      </c>
    </row>
    <row r="7918" spans="6:8">
      <c r="F7918" s="68" t="s">
        <v>422</v>
      </c>
      <c r="G7918" s="67" t="s">
        <v>444</v>
      </c>
      <c r="H7918" s="69">
        <v>2.6119840238167047</v>
      </c>
    </row>
    <row r="7919" spans="6:8">
      <c r="F7919" s="68" t="s">
        <v>132</v>
      </c>
      <c r="G7919" s="67" t="s">
        <v>444</v>
      </c>
      <c r="H7919" s="69">
        <v>-0.45</v>
      </c>
    </row>
    <row r="7920" spans="6:8">
      <c r="F7920" s="68" t="s">
        <v>133</v>
      </c>
      <c r="G7920" s="67" t="s">
        <v>444</v>
      </c>
      <c r="H7920" s="69">
        <v>-0.35</v>
      </c>
    </row>
    <row r="7921" spans="6:8">
      <c r="F7921" s="68" t="s">
        <v>256</v>
      </c>
      <c r="G7921" s="67" t="s">
        <v>444</v>
      </c>
      <c r="H7921" s="69">
        <v>1.02</v>
      </c>
    </row>
    <row r="7922" spans="6:8">
      <c r="F7922" s="68" t="s">
        <v>423</v>
      </c>
      <c r="G7922" s="67" t="s">
        <v>444</v>
      </c>
      <c r="H7922" s="69">
        <v>2.6602348263426556</v>
      </c>
    </row>
    <row r="7923" spans="6:8">
      <c r="F7923" s="68" t="s">
        <v>134</v>
      </c>
      <c r="G7923" s="67" t="s">
        <v>444</v>
      </c>
      <c r="H7923" s="69">
        <v>-0.45</v>
      </c>
    </row>
    <row r="7924" spans="6:8">
      <c r="F7924" s="68" t="s">
        <v>135</v>
      </c>
      <c r="G7924" s="67" t="s">
        <v>444</v>
      </c>
      <c r="H7924" s="69">
        <v>-0.35</v>
      </c>
    </row>
    <row r="7925" spans="6:8">
      <c r="F7925" s="68" t="s">
        <v>257</v>
      </c>
      <c r="G7925" s="67" t="s">
        <v>444</v>
      </c>
      <c r="H7925" s="69">
        <v>1.07</v>
      </c>
    </row>
    <row r="7926" spans="6:8">
      <c r="F7926" s="68" t="s">
        <v>258</v>
      </c>
      <c r="G7926" s="67" t="s">
        <v>444</v>
      </c>
      <c r="H7926" s="69">
        <v>0.14000000000000001</v>
      </c>
    </row>
    <row r="7927" spans="6:8">
      <c r="F7927" s="68" t="s">
        <v>424</v>
      </c>
      <c r="G7927" s="67" t="s">
        <v>444</v>
      </c>
      <c r="H7927" s="69">
        <v>3.4138391430861059</v>
      </c>
    </row>
    <row r="7928" spans="6:8">
      <c r="F7928" s="68" t="s">
        <v>136</v>
      </c>
      <c r="G7928" s="67" t="s">
        <v>444</v>
      </c>
      <c r="H7928" s="69">
        <v>-0.45</v>
      </c>
    </row>
    <row r="7929" spans="6:8">
      <c r="F7929" s="68" t="s">
        <v>137</v>
      </c>
      <c r="G7929" s="67" t="s">
        <v>444</v>
      </c>
      <c r="H7929" s="69">
        <v>-0.5</v>
      </c>
    </row>
    <row r="7930" spans="6:8">
      <c r="F7930" s="68" t="s">
        <v>138</v>
      </c>
      <c r="G7930" s="67" t="s">
        <v>444</v>
      </c>
      <c r="H7930" s="69">
        <v>-0.4</v>
      </c>
    </row>
    <row r="7931" spans="6:8">
      <c r="F7931" s="68" t="s">
        <v>259</v>
      </c>
      <c r="G7931" s="67" t="s">
        <v>444</v>
      </c>
      <c r="H7931" s="69">
        <v>0.17</v>
      </c>
    </row>
    <row r="7932" spans="6:8">
      <c r="F7932" s="68" t="s">
        <v>425</v>
      </c>
      <c r="G7932" s="67" t="s">
        <v>444</v>
      </c>
      <c r="H7932" s="69">
        <v>3.4299768502683126</v>
      </c>
    </row>
    <row r="7933" spans="6:8">
      <c r="F7933" s="68" t="s">
        <v>425</v>
      </c>
      <c r="G7933" s="67" t="s">
        <v>445</v>
      </c>
      <c r="H7933" s="69">
        <v>3.5095031186150205</v>
      </c>
    </row>
    <row r="7934" spans="6:8">
      <c r="F7934" s="68" t="s">
        <v>259</v>
      </c>
      <c r="G7934" s="67" t="s">
        <v>445</v>
      </c>
      <c r="H7934" s="69">
        <v>0.17</v>
      </c>
    </row>
    <row r="7935" spans="6:8">
      <c r="F7935" s="68" t="s">
        <v>138</v>
      </c>
      <c r="G7935" s="67" t="s">
        <v>445</v>
      </c>
      <c r="H7935" s="69">
        <v>-0.35</v>
      </c>
    </row>
    <row r="7936" spans="6:8">
      <c r="F7936" s="68" t="s">
        <v>137</v>
      </c>
      <c r="G7936" s="67" t="s">
        <v>445</v>
      </c>
      <c r="H7936" s="69">
        <v>-0.5</v>
      </c>
    </row>
    <row r="7937" spans="6:8">
      <c r="F7937" s="68" t="s">
        <v>136</v>
      </c>
      <c r="G7937" s="67" t="s">
        <v>445</v>
      </c>
      <c r="H7937" s="69">
        <v>-0.4</v>
      </c>
    </row>
    <row r="7938" spans="6:8">
      <c r="F7938" s="68" t="s">
        <v>424</v>
      </c>
      <c r="G7938" s="67" t="s">
        <v>445</v>
      </c>
      <c r="H7938" s="69">
        <v>3.4898870007961769</v>
      </c>
    </row>
    <row r="7939" spans="6:8">
      <c r="F7939" s="68" t="s">
        <v>258</v>
      </c>
      <c r="G7939" s="67" t="s">
        <v>445</v>
      </c>
      <c r="H7939" s="69">
        <v>0.14000000000000001</v>
      </c>
    </row>
    <row r="7940" spans="6:8">
      <c r="F7940" s="68" t="s">
        <v>257</v>
      </c>
      <c r="G7940" s="67" t="s">
        <v>445</v>
      </c>
      <c r="H7940" s="69">
        <v>1.08</v>
      </c>
    </row>
    <row r="7941" spans="6:8">
      <c r="F7941" s="68" t="s">
        <v>135</v>
      </c>
      <c r="G7941" s="67" t="s">
        <v>445</v>
      </c>
      <c r="H7941" s="69">
        <v>-0.35</v>
      </c>
    </row>
    <row r="7942" spans="6:8">
      <c r="F7942" s="68" t="s">
        <v>134</v>
      </c>
      <c r="G7942" s="67" t="s">
        <v>445</v>
      </c>
      <c r="H7942" s="69">
        <v>-0.4</v>
      </c>
    </row>
    <row r="7943" spans="6:8">
      <c r="F7943" s="68" t="s">
        <v>423</v>
      </c>
      <c r="G7943" s="67" t="s">
        <v>445</v>
      </c>
      <c r="H7943" s="69">
        <v>2.7548802644729697</v>
      </c>
    </row>
    <row r="7944" spans="6:8">
      <c r="F7944" s="68" t="s">
        <v>256</v>
      </c>
      <c r="G7944" s="67" t="s">
        <v>445</v>
      </c>
      <c r="H7944" s="69">
        <v>1.03</v>
      </c>
    </row>
    <row r="7945" spans="6:8">
      <c r="F7945" s="68" t="s">
        <v>133</v>
      </c>
      <c r="G7945" s="67" t="s">
        <v>445</v>
      </c>
      <c r="H7945" s="69">
        <v>-0.35</v>
      </c>
    </row>
    <row r="7946" spans="6:8">
      <c r="F7946" s="68" t="s">
        <v>132</v>
      </c>
      <c r="G7946" s="67" t="s">
        <v>445</v>
      </c>
      <c r="H7946" s="69">
        <v>-0.4</v>
      </c>
    </row>
    <row r="7947" spans="6:8">
      <c r="F7947" s="68" t="s">
        <v>422</v>
      </c>
      <c r="G7947" s="67" t="s">
        <v>445</v>
      </c>
      <c r="H7947" s="69">
        <v>2.6839106796072265</v>
      </c>
    </row>
    <row r="7948" spans="6:8">
      <c r="F7948" s="68" t="s">
        <v>303</v>
      </c>
      <c r="G7948" s="67" t="s">
        <v>445</v>
      </c>
      <c r="H7948" s="69">
        <v>18.875</v>
      </c>
    </row>
    <row r="7949" spans="6:8">
      <c r="F7949" s="68" t="s">
        <v>255</v>
      </c>
      <c r="G7949" s="67" t="s">
        <v>445</v>
      </c>
      <c r="H7949" s="69">
        <v>0.87</v>
      </c>
    </row>
    <row r="7950" spans="6:8">
      <c r="F7950" s="68" t="s">
        <v>131</v>
      </c>
      <c r="G7950" s="67" t="s">
        <v>445</v>
      </c>
      <c r="H7950" s="69">
        <v>-0.3</v>
      </c>
    </row>
    <row r="7951" spans="6:8">
      <c r="F7951" s="68" t="s">
        <v>130</v>
      </c>
      <c r="G7951" s="67" t="s">
        <v>445</v>
      </c>
      <c r="H7951" s="69">
        <v>-0.45</v>
      </c>
    </row>
    <row r="7952" spans="6:8">
      <c r="F7952" s="68" t="s">
        <v>421</v>
      </c>
      <c r="G7952" s="67" t="s">
        <v>445</v>
      </c>
      <c r="H7952" s="69">
        <v>2.6784258517841053</v>
      </c>
    </row>
    <row r="7953" spans="6:8">
      <c r="F7953" s="68" t="s">
        <v>304</v>
      </c>
      <c r="G7953" s="67" t="s">
        <v>445</v>
      </c>
      <c r="H7953" s="69">
        <v>17.25</v>
      </c>
    </row>
    <row r="7954" spans="6:8">
      <c r="F7954" s="68" t="s">
        <v>254</v>
      </c>
      <c r="G7954" s="67" t="s">
        <v>445</v>
      </c>
      <c r="H7954" s="69">
        <v>0.66</v>
      </c>
    </row>
    <row r="7955" spans="6:8">
      <c r="F7955" s="68" t="s">
        <v>129</v>
      </c>
      <c r="G7955" s="67" t="s">
        <v>445</v>
      </c>
      <c r="H7955" s="69">
        <v>-0.25</v>
      </c>
    </row>
    <row r="7956" spans="6:8">
      <c r="F7956" s="68" t="s">
        <v>128</v>
      </c>
      <c r="G7956" s="67" t="s">
        <v>445</v>
      </c>
      <c r="H7956" s="69">
        <v>-0.35</v>
      </c>
    </row>
    <row r="7957" spans="6:8">
      <c r="F7957" s="68" t="s">
        <v>315</v>
      </c>
      <c r="G7957" s="67" t="s">
        <v>445</v>
      </c>
      <c r="H7957" s="69">
        <v>-0.05</v>
      </c>
    </row>
    <row r="7958" spans="6:8">
      <c r="F7958" s="68" t="s">
        <v>253</v>
      </c>
      <c r="G7958" s="67" t="s">
        <v>445</v>
      </c>
      <c r="H7958" s="69">
        <v>0.48</v>
      </c>
    </row>
    <row r="7959" spans="6:8">
      <c r="F7959" s="68" t="s">
        <v>127</v>
      </c>
      <c r="G7959" s="67" t="s">
        <v>445</v>
      </c>
      <c r="H7959" s="69">
        <v>-0.15</v>
      </c>
    </row>
    <row r="7960" spans="6:8">
      <c r="F7960" s="68" t="s">
        <v>126</v>
      </c>
      <c r="G7960" s="67" t="s">
        <v>445</v>
      </c>
      <c r="H7960" s="69">
        <v>-0.4</v>
      </c>
    </row>
    <row r="7961" spans="6:8">
      <c r="F7961" s="68" t="s">
        <v>125</v>
      </c>
      <c r="G7961" s="67" t="s">
        <v>445</v>
      </c>
      <c r="H7961" s="69">
        <v>-0.2</v>
      </c>
    </row>
    <row r="7962" spans="6:8">
      <c r="F7962" s="68" t="s">
        <v>314</v>
      </c>
      <c r="G7962" s="67" t="s">
        <v>445</v>
      </c>
      <c r="H7962" s="69">
        <v>-0.1</v>
      </c>
    </row>
    <row r="7963" spans="6:8">
      <c r="F7963" s="68" t="s">
        <v>252</v>
      </c>
      <c r="G7963" s="67" t="s">
        <v>445</v>
      </c>
      <c r="H7963" s="69">
        <v>0.37</v>
      </c>
    </row>
    <row r="7964" spans="6:8">
      <c r="F7964" s="68" t="s">
        <v>124</v>
      </c>
      <c r="G7964" s="67" t="s">
        <v>445</v>
      </c>
      <c r="H7964" s="69">
        <v>-0.15</v>
      </c>
    </row>
    <row r="7965" spans="6:8">
      <c r="F7965" s="68" t="s">
        <v>123</v>
      </c>
      <c r="G7965" s="67" t="s">
        <v>445</v>
      </c>
      <c r="H7965" s="69">
        <v>-0.55000000000000004</v>
      </c>
    </row>
    <row r="7966" spans="6:8">
      <c r="F7966" s="68" t="s">
        <v>122</v>
      </c>
      <c r="G7966" s="67" t="s">
        <v>445</v>
      </c>
      <c r="H7966" s="69">
        <v>-0.35</v>
      </c>
    </row>
    <row r="7967" spans="6:8">
      <c r="F7967" s="68" t="s">
        <v>420</v>
      </c>
      <c r="G7967" s="67" t="s">
        <v>445</v>
      </c>
      <c r="H7967" s="69">
        <v>3.6342285275715369</v>
      </c>
    </row>
    <row r="7968" spans="6:8">
      <c r="F7968" s="68" t="s">
        <v>251</v>
      </c>
      <c r="G7968" s="67" t="s">
        <v>445</v>
      </c>
      <c r="H7968" s="69">
        <v>0.26</v>
      </c>
    </row>
    <row r="7969" spans="6:8">
      <c r="F7969" s="68" t="s">
        <v>121</v>
      </c>
      <c r="G7969" s="67" t="s">
        <v>445</v>
      </c>
      <c r="H7969" s="69">
        <v>-0.3</v>
      </c>
    </row>
    <row r="7970" spans="6:8">
      <c r="F7970" s="68" t="s">
        <v>120</v>
      </c>
      <c r="G7970" s="67" t="s">
        <v>445</v>
      </c>
      <c r="H7970" s="69">
        <v>-0.45</v>
      </c>
    </row>
    <row r="7971" spans="6:8">
      <c r="F7971" s="68" t="s">
        <v>119</v>
      </c>
      <c r="G7971" s="67" t="s">
        <v>445</v>
      </c>
      <c r="H7971" s="69">
        <v>-0.3</v>
      </c>
    </row>
    <row r="7972" spans="6:8">
      <c r="F7972" s="68" t="s">
        <v>119</v>
      </c>
      <c r="G7972" s="67" t="s">
        <v>446</v>
      </c>
      <c r="H7972" s="69">
        <v>-0.3</v>
      </c>
    </row>
    <row r="7973" spans="6:8">
      <c r="F7973" s="68" t="s">
        <v>120</v>
      </c>
      <c r="G7973" s="67" t="s">
        <v>446</v>
      </c>
      <c r="H7973" s="69">
        <v>-0.45</v>
      </c>
    </row>
    <row r="7974" spans="6:8">
      <c r="F7974" s="68" t="s">
        <v>121</v>
      </c>
      <c r="G7974" s="67" t="s">
        <v>446</v>
      </c>
      <c r="H7974" s="69">
        <v>-0.3</v>
      </c>
    </row>
    <row r="7975" spans="6:8">
      <c r="F7975" s="68" t="s">
        <v>251</v>
      </c>
      <c r="G7975" s="67" t="s">
        <v>446</v>
      </c>
      <c r="H7975" s="69">
        <v>0.26</v>
      </c>
    </row>
    <row r="7976" spans="6:8">
      <c r="F7976" s="68" t="s">
        <v>420</v>
      </c>
      <c r="G7976" s="67" t="s">
        <v>446</v>
      </c>
      <c r="H7976" s="69">
        <v>3.7110478408662217</v>
      </c>
    </row>
    <row r="7977" spans="6:8">
      <c r="F7977" s="68" t="s">
        <v>122</v>
      </c>
      <c r="G7977" s="67" t="s">
        <v>446</v>
      </c>
      <c r="H7977" s="69">
        <v>-0.35</v>
      </c>
    </row>
    <row r="7978" spans="6:8">
      <c r="F7978" s="68" t="s">
        <v>123</v>
      </c>
      <c r="G7978" s="67" t="s">
        <v>446</v>
      </c>
      <c r="H7978" s="69">
        <v>-0.55000000000000004</v>
      </c>
    </row>
    <row r="7979" spans="6:8">
      <c r="F7979" s="68" t="s">
        <v>124</v>
      </c>
      <c r="G7979" s="67" t="s">
        <v>446</v>
      </c>
      <c r="H7979" s="69">
        <v>-0.15</v>
      </c>
    </row>
    <row r="7980" spans="6:8">
      <c r="F7980" s="68" t="s">
        <v>252</v>
      </c>
      <c r="G7980" s="67" t="s">
        <v>446</v>
      </c>
      <c r="H7980" s="69">
        <v>0.37</v>
      </c>
    </row>
    <row r="7981" spans="6:8">
      <c r="F7981" s="68" t="s">
        <v>314</v>
      </c>
      <c r="G7981" s="67" t="s">
        <v>446</v>
      </c>
      <c r="H7981" s="69">
        <v>-0.1</v>
      </c>
    </row>
    <row r="7982" spans="6:8">
      <c r="F7982" s="68" t="s">
        <v>125</v>
      </c>
      <c r="G7982" s="67" t="s">
        <v>446</v>
      </c>
      <c r="H7982" s="69">
        <v>-0.2</v>
      </c>
    </row>
    <row r="7983" spans="6:8">
      <c r="F7983" s="68" t="s">
        <v>126</v>
      </c>
      <c r="G7983" s="67" t="s">
        <v>446</v>
      </c>
      <c r="H7983" s="69">
        <v>-0.4</v>
      </c>
    </row>
    <row r="7984" spans="6:8">
      <c r="F7984" s="68" t="s">
        <v>127</v>
      </c>
      <c r="G7984" s="67" t="s">
        <v>446</v>
      </c>
      <c r="H7984" s="69">
        <v>-0.15</v>
      </c>
    </row>
    <row r="7985" spans="6:8">
      <c r="F7985" s="68" t="s">
        <v>253</v>
      </c>
      <c r="G7985" s="67" t="s">
        <v>446</v>
      </c>
      <c r="H7985" s="69">
        <v>0.49</v>
      </c>
    </row>
    <row r="7986" spans="6:8">
      <c r="F7986" s="68" t="s">
        <v>315</v>
      </c>
      <c r="G7986" s="67" t="s">
        <v>446</v>
      </c>
      <c r="H7986" s="69">
        <v>-0.05</v>
      </c>
    </row>
    <row r="7987" spans="6:8">
      <c r="F7987" s="68" t="s">
        <v>128</v>
      </c>
      <c r="G7987" s="67" t="s">
        <v>446</v>
      </c>
      <c r="H7987" s="69">
        <v>-0.35</v>
      </c>
    </row>
    <row r="7988" spans="6:8">
      <c r="F7988" s="68" t="s">
        <v>129</v>
      </c>
      <c r="G7988" s="67" t="s">
        <v>446</v>
      </c>
      <c r="H7988" s="69">
        <v>-0.25</v>
      </c>
    </row>
    <row r="7989" spans="6:8">
      <c r="F7989" s="68" t="s">
        <v>254</v>
      </c>
      <c r="G7989" s="67" t="s">
        <v>446</v>
      </c>
      <c r="H7989" s="69">
        <v>0.67</v>
      </c>
    </row>
    <row r="7990" spans="6:8">
      <c r="F7990" s="68" t="s">
        <v>304</v>
      </c>
      <c r="G7990" s="67" t="s">
        <v>446</v>
      </c>
      <c r="H7990" s="69">
        <v>17.375</v>
      </c>
    </row>
    <row r="7991" spans="6:8">
      <c r="F7991" s="68" t="s">
        <v>421</v>
      </c>
      <c r="G7991" s="67" t="s">
        <v>446</v>
      </c>
      <c r="H7991" s="69">
        <v>2.7526564662313735</v>
      </c>
    </row>
    <row r="7992" spans="6:8">
      <c r="F7992" s="68" t="s">
        <v>130</v>
      </c>
      <c r="G7992" s="67" t="s">
        <v>446</v>
      </c>
      <c r="H7992" s="69">
        <v>-0.45</v>
      </c>
    </row>
    <row r="7993" spans="6:8">
      <c r="F7993" s="68" t="s">
        <v>131</v>
      </c>
      <c r="G7993" s="67" t="s">
        <v>446</v>
      </c>
      <c r="H7993" s="69">
        <v>-0.3</v>
      </c>
    </row>
    <row r="7994" spans="6:8">
      <c r="F7994" s="68" t="s">
        <v>255</v>
      </c>
      <c r="G7994" s="67" t="s">
        <v>446</v>
      </c>
      <c r="H7994" s="69">
        <v>0.88</v>
      </c>
    </row>
    <row r="7995" spans="6:8">
      <c r="F7995" s="68" t="s">
        <v>303</v>
      </c>
      <c r="G7995" s="67" t="s">
        <v>446</v>
      </c>
      <c r="H7995" s="69">
        <v>18.65625</v>
      </c>
    </row>
    <row r="7996" spans="6:8">
      <c r="F7996" s="68" t="s">
        <v>422</v>
      </c>
      <c r="G7996" s="67" t="s">
        <v>446</v>
      </c>
      <c r="H7996" s="69">
        <v>2.7581926921238065</v>
      </c>
    </row>
    <row r="7997" spans="6:8">
      <c r="F7997" s="68" t="s">
        <v>132</v>
      </c>
      <c r="G7997" s="67" t="s">
        <v>446</v>
      </c>
      <c r="H7997" s="69">
        <v>-0.4</v>
      </c>
    </row>
    <row r="7998" spans="6:8">
      <c r="F7998" s="68" t="s">
        <v>133</v>
      </c>
      <c r="G7998" s="67" t="s">
        <v>446</v>
      </c>
      <c r="H7998" s="69">
        <v>-0.35</v>
      </c>
    </row>
    <row r="7999" spans="6:8">
      <c r="F7999" s="68" t="s">
        <v>256</v>
      </c>
      <c r="G7999" s="67" t="s">
        <v>446</v>
      </c>
      <c r="H7999" s="69">
        <v>1.04</v>
      </c>
    </row>
    <row r="8000" spans="6:8">
      <c r="F8000" s="68" t="s">
        <v>423</v>
      </c>
      <c r="G8000" s="67" t="s">
        <v>446</v>
      </c>
      <c r="H8000" s="69">
        <v>2.8612030871619343</v>
      </c>
    </row>
    <row r="8001" spans="6:8">
      <c r="F8001" s="68" t="s">
        <v>134</v>
      </c>
      <c r="G8001" s="67" t="s">
        <v>446</v>
      </c>
      <c r="H8001" s="69">
        <v>-0.4</v>
      </c>
    </row>
    <row r="8002" spans="6:8">
      <c r="F8002" s="68" t="s">
        <v>135</v>
      </c>
      <c r="G8002" s="67" t="s">
        <v>446</v>
      </c>
      <c r="H8002" s="69">
        <v>-0.35</v>
      </c>
    </row>
    <row r="8003" spans="6:8">
      <c r="F8003" s="68" t="s">
        <v>257</v>
      </c>
      <c r="G8003" s="67" t="s">
        <v>446</v>
      </c>
      <c r="H8003" s="69">
        <v>1.0900000000000001</v>
      </c>
    </row>
    <row r="8004" spans="6:8">
      <c r="F8004" s="68" t="s">
        <v>258</v>
      </c>
      <c r="G8004" s="67" t="s">
        <v>446</v>
      </c>
      <c r="H8004" s="69">
        <v>0.14000000000000001</v>
      </c>
    </row>
    <row r="8005" spans="6:8">
      <c r="F8005" s="68" t="s">
        <v>424</v>
      </c>
      <c r="G8005" s="67" t="s">
        <v>446</v>
      </c>
      <c r="H8005" s="69">
        <v>3.5639131366635546</v>
      </c>
    </row>
    <row r="8006" spans="6:8">
      <c r="F8006" s="68" t="s">
        <v>136</v>
      </c>
      <c r="G8006" s="67" t="s">
        <v>446</v>
      </c>
      <c r="H8006" s="69">
        <v>-0.4</v>
      </c>
    </row>
    <row r="8007" spans="6:8">
      <c r="F8007" s="68" t="s">
        <v>137</v>
      </c>
      <c r="G8007" s="67" t="s">
        <v>446</v>
      </c>
      <c r="H8007" s="69">
        <v>-0.5</v>
      </c>
    </row>
    <row r="8008" spans="6:8">
      <c r="F8008" s="68" t="s">
        <v>138</v>
      </c>
      <c r="G8008" s="67" t="s">
        <v>446</v>
      </c>
      <c r="H8008" s="69">
        <v>-0.35</v>
      </c>
    </row>
    <row r="8009" spans="6:8">
      <c r="F8009" s="68" t="s">
        <v>259</v>
      </c>
      <c r="G8009" s="67" t="s">
        <v>446</v>
      </c>
      <c r="H8009" s="69">
        <v>0.17</v>
      </c>
    </row>
    <row r="8010" spans="6:8">
      <c r="F8010" s="68" t="s">
        <v>425</v>
      </c>
      <c r="G8010" s="67" t="s">
        <v>446</v>
      </c>
      <c r="H8010" s="69">
        <v>3.5834133395098888</v>
      </c>
    </row>
    <row r="8011" spans="6:8">
      <c r="F8011" s="68" t="s">
        <v>425</v>
      </c>
      <c r="G8011" s="67" t="s">
        <v>447</v>
      </c>
      <c r="H8011" s="69">
        <v>3.4831841040150913</v>
      </c>
    </row>
    <row r="8012" spans="6:8">
      <c r="F8012" s="68" t="s">
        <v>259</v>
      </c>
      <c r="G8012" s="67" t="s">
        <v>447</v>
      </c>
      <c r="H8012" s="69">
        <v>0.17</v>
      </c>
    </row>
    <row r="8013" spans="6:8">
      <c r="F8013" s="68" t="s">
        <v>138</v>
      </c>
      <c r="G8013" s="67" t="s">
        <v>447</v>
      </c>
      <c r="H8013" s="69">
        <v>-0.35</v>
      </c>
    </row>
    <row r="8014" spans="6:8">
      <c r="F8014" s="68" t="s">
        <v>137</v>
      </c>
      <c r="G8014" s="67" t="s">
        <v>447</v>
      </c>
      <c r="H8014" s="69">
        <v>-0.5</v>
      </c>
    </row>
    <row r="8015" spans="6:8">
      <c r="F8015" s="68" t="s">
        <v>136</v>
      </c>
      <c r="G8015" s="67" t="s">
        <v>447</v>
      </c>
      <c r="H8015" s="69">
        <v>-0.4</v>
      </c>
    </row>
    <row r="8016" spans="6:8">
      <c r="F8016" s="68" t="s">
        <v>424</v>
      </c>
      <c r="G8016" s="67" t="s">
        <v>447</v>
      </c>
      <c r="H8016" s="69">
        <v>3.4690687771488982</v>
      </c>
    </row>
    <row r="8017" spans="6:8">
      <c r="F8017" s="68" t="s">
        <v>258</v>
      </c>
      <c r="G8017" s="67" t="s">
        <v>447</v>
      </c>
      <c r="H8017" s="69">
        <v>0.14000000000000001</v>
      </c>
    </row>
    <row r="8018" spans="6:8">
      <c r="F8018" s="68" t="s">
        <v>257</v>
      </c>
      <c r="G8018" s="67" t="s">
        <v>447</v>
      </c>
      <c r="H8018" s="69">
        <v>1.0900000000000001</v>
      </c>
    </row>
    <row r="8019" spans="6:8">
      <c r="F8019" s="68" t="s">
        <v>135</v>
      </c>
      <c r="G8019" s="67" t="s">
        <v>447</v>
      </c>
      <c r="H8019" s="69">
        <v>-0.35</v>
      </c>
    </row>
    <row r="8020" spans="6:8">
      <c r="F8020" s="68" t="s">
        <v>134</v>
      </c>
      <c r="G8020" s="67" t="s">
        <v>447</v>
      </c>
      <c r="H8020" s="69">
        <v>-0.4</v>
      </c>
    </row>
    <row r="8021" spans="6:8">
      <c r="F8021" s="68" t="s">
        <v>423</v>
      </c>
      <c r="G8021" s="67" t="s">
        <v>447</v>
      </c>
      <c r="H8021" s="69">
        <v>2.7748038013302168</v>
      </c>
    </row>
    <row r="8022" spans="6:8">
      <c r="F8022" s="68" t="s">
        <v>256</v>
      </c>
      <c r="G8022" s="67" t="s">
        <v>447</v>
      </c>
      <c r="H8022" s="69">
        <v>1.04</v>
      </c>
    </row>
    <row r="8023" spans="6:8">
      <c r="F8023" s="68" t="s">
        <v>133</v>
      </c>
      <c r="G8023" s="67" t="s">
        <v>447</v>
      </c>
      <c r="H8023" s="69">
        <v>-0.35</v>
      </c>
    </row>
    <row r="8024" spans="6:8">
      <c r="F8024" s="68" t="s">
        <v>132</v>
      </c>
      <c r="G8024" s="67" t="s">
        <v>447</v>
      </c>
      <c r="H8024" s="69">
        <v>-0.4</v>
      </c>
    </row>
    <row r="8025" spans="6:8">
      <c r="F8025" s="68" t="s">
        <v>422</v>
      </c>
      <c r="G8025" s="67" t="s">
        <v>447</v>
      </c>
      <c r="H8025" s="69">
        <v>2.6968635438369581</v>
      </c>
    </row>
    <row r="8026" spans="6:8">
      <c r="F8026" s="68" t="s">
        <v>303</v>
      </c>
      <c r="G8026" s="67" t="s">
        <v>447</v>
      </c>
      <c r="H8026" s="69">
        <v>18.59375</v>
      </c>
    </row>
    <row r="8027" spans="6:8">
      <c r="F8027" s="68" t="s">
        <v>255</v>
      </c>
      <c r="G8027" s="67" t="s">
        <v>447</v>
      </c>
      <c r="H8027" s="69">
        <v>0.88</v>
      </c>
    </row>
    <row r="8028" spans="6:8">
      <c r="F8028" s="68" t="s">
        <v>131</v>
      </c>
      <c r="G8028" s="67" t="s">
        <v>447</v>
      </c>
      <c r="H8028" s="69">
        <v>-0.3</v>
      </c>
    </row>
    <row r="8029" spans="6:8">
      <c r="F8029" s="68" t="s">
        <v>130</v>
      </c>
      <c r="G8029" s="67" t="s">
        <v>447</v>
      </c>
      <c r="H8029" s="69">
        <v>-0.45</v>
      </c>
    </row>
    <row r="8030" spans="6:8">
      <c r="F8030" s="68" t="s">
        <v>421</v>
      </c>
      <c r="G8030" s="67" t="s">
        <v>447</v>
      </c>
      <c r="H8030" s="69">
        <v>2.691129219486621</v>
      </c>
    </row>
    <row r="8031" spans="6:8">
      <c r="F8031" s="68" t="s">
        <v>304</v>
      </c>
      <c r="G8031" s="67" t="s">
        <v>447</v>
      </c>
      <c r="H8031" s="69">
        <v>17.0625</v>
      </c>
    </row>
    <row r="8032" spans="6:8">
      <c r="F8032" s="68" t="s">
        <v>254</v>
      </c>
      <c r="G8032" s="67" t="s">
        <v>447</v>
      </c>
      <c r="H8032" s="69">
        <v>0.67</v>
      </c>
    </row>
    <row r="8033" spans="6:8">
      <c r="F8033" s="68" t="s">
        <v>129</v>
      </c>
      <c r="G8033" s="67" t="s">
        <v>447</v>
      </c>
      <c r="H8033" s="69">
        <v>-0.25</v>
      </c>
    </row>
    <row r="8034" spans="6:8">
      <c r="F8034" s="68" t="s">
        <v>128</v>
      </c>
      <c r="G8034" s="67" t="s">
        <v>447</v>
      </c>
      <c r="H8034" s="69">
        <v>-0.35</v>
      </c>
    </row>
    <row r="8035" spans="6:8">
      <c r="F8035" s="68" t="s">
        <v>315</v>
      </c>
      <c r="G8035" s="67" t="s">
        <v>447</v>
      </c>
      <c r="H8035" s="69">
        <v>-0.05</v>
      </c>
    </row>
    <row r="8036" spans="6:8">
      <c r="F8036" s="68" t="s">
        <v>253</v>
      </c>
      <c r="G8036" s="67" t="s">
        <v>447</v>
      </c>
      <c r="H8036" s="69">
        <v>0.49</v>
      </c>
    </row>
    <row r="8037" spans="6:8">
      <c r="F8037" s="68" t="s">
        <v>127</v>
      </c>
      <c r="G8037" s="67" t="s">
        <v>447</v>
      </c>
      <c r="H8037" s="69">
        <v>-0.15</v>
      </c>
    </row>
    <row r="8038" spans="6:8">
      <c r="F8038" s="68" t="s">
        <v>126</v>
      </c>
      <c r="G8038" s="67" t="s">
        <v>447</v>
      </c>
      <c r="H8038" s="69">
        <v>-0.4</v>
      </c>
    </row>
    <row r="8039" spans="6:8">
      <c r="F8039" s="68" t="s">
        <v>125</v>
      </c>
      <c r="G8039" s="67" t="s">
        <v>447</v>
      </c>
      <c r="H8039" s="69">
        <v>-0.2</v>
      </c>
    </row>
    <row r="8040" spans="6:8">
      <c r="F8040" s="68" t="s">
        <v>314</v>
      </c>
      <c r="G8040" s="67" t="s">
        <v>447</v>
      </c>
      <c r="H8040" s="69">
        <v>-0.1</v>
      </c>
    </row>
    <row r="8041" spans="6:8">
      <c r="F8041" s="68" t="s">
        <v>252</v>
      </c>
      <c r="G8041" s="67" t="s">
        <v>447</v>
      </c>
      <c r="H8041" s="69">
        <v>0.37</v>
      </c>
    </row>
    <row r="8042" spans="6:8">
      <c r="F8042" s="68" t="s">
        <v>124</v>
      </c>
      <c r="G8042" s="67" t="s">
        <v>447</v>
      </c>
      <c r="H8042" s="69">
        <v>-0.15</v>
      </c>
    </row>
    <row r="8043" spans="6:8">
      <c r="F8043" s="68" t="s">
        <v>123</v>
      </c>
      <c r="G8043" s="67" t="s">
        <v>447</v>
      </c>
      <c r="H8043" s="69">
        <v>-0.55000000000000004</v>
      </c>
    </row>
    <row r="8044" spans="6:8">
      <c r="F8044" s="68" t="s">
        <v>122</v>
      </c>
      <c r="G8044" s="67" t="s">
        <v>447</v>
      </c>
      <c r="H8044" s="69">
        <v>-0.35</v>
      </c>
    </row>
    <row r="8045" spans="6:8">
      <c r="F8045" s="68" t="s">
        <v>420</v>
      </c>
      <c r="G8045" s="67" t="s">
        <v>447</v>
      </c>
      <c r="H8045" s="69">
        <v>3.6306830336311435</v>
      </c>
    </row>
    <row r="8046" spans="6:8">
      <c r="F8046" s="68" t="s">
        <v>251</v>
      </c>
      <c r="G8046" s="67" t="s">
        <v>447</v>
      </c>
      <c r="H8046" s="69">
        <v>0.26</v>
      </c>
    </row>
    <row r="8047" spans="6:8">
      <c r="F8047" s="68" t="s">
        <v>121</v>
      </c>
      <c r="G8047" s="67" t="s">
        <v>447</v>
      </c>
      <c r="H8047" s="69">
        <v>-0.3</v>
      </c>
    </row>
    <row r="8048" spans="6:8">
      <c r="F8048" s="68" t="s">
        <v>120</v>
      </c>
      <c r="G8048" s="67" t="s">
        <v>447</v>
      </c>
      <c r="H8048" s="69">
        <v>-0.45</v>
      </c>
    </row>
    <row r="8049" spans="6:8">
      <c r="F8049" s="68" t="s">
        <v>119</v>
      </c>
      <c r="G8049" s="67" t="s">
        <v>447</v>
      </c>
      <c r="H8049" s="69">
        <v>-0.3</v>
      </c>
    </row>
    <row r="8050" spans="6:8">
      <c r="F8050" s="68" t="s">
        <v>119</v>
      </c>
      <c r="G8050" s="67" t="s">
        <v>448</v>
      </c>
      <c r="H8050" s="69">
        <v>-0.3</v>
      </c>
    </row>
    <row r="8051" spans="6:8">
      <c r="F8051" s="68" t="s">
        <v>120</v>
      </c>
      <c r="G8051" s="67" t="s">
        <v>448</v>
      </c>
      <c r="H8051" s="69">
        <v>-0.45</v>
      </c>
    </row>
    <row r="8052" spans="6:8">
      <c r="F8052" s="68" t="s">
        <v>121</v>
      </c>
      <c r="G8052" s="67" t="s">
        <v>448</v>
      </c>
      <c r="H8052" s="69">
        <v>-0.3</v>
      </c>
    </row>
    <row r="8053" spans="6:8">
      <c r="F8053" s="68" t="s">
        <v>251</v>
      </c>
      <c r="G8053" s="67" t="s">
        <v>448</v>
      </c>
      <c r="H8053" s="69">
        <v>0.26</v>
      </c>
    </row>
    <row r="8054" spans="6:8">
      <c r="F8054" s="68" t="s">
        <v>420</v>
      </c>
      <c r="G8054" s="67" t="s">
        <v>448</v>
      </c>
      <c r="H8054" s="69">
        <v>3.6746442970123194</v>
      </c>
    </row>
    <row r="8055" spans="6:8">
      <c r="F8055" s="68" t="s">
        <v>122</v>
      </c>
      <c r="G8055" s="67" t="s">
        <v>448</v>
      </c>
      <c r="H8055" s="69">
        <v>-0.35</v>
      </c>
    </row>
    <row r="8056" spans="6:8">
      <c r="F8056" s="68" t="s">
        <v>123</v>
      </c>
      <c r="G8056" s="67" t="s">
        <v>448</v>
      </c>
      <c r="H8056" s="69">
        <v>-0.55000000000000004</v>
      </c>
    </row>
    <row r="8057" spans="6:8">
      <c r="F8057" s="68" t="s">
        <v>124</v>
      </c>
      <c r="G8057" s="67" t="s">
        <v>448</v>
      </c>
      <c r="H8057" s="69">
        <v>-0.15</v>
      </c>
    </row>
    <row r="8058" spans="6:8">
      <c r="F8058" s="68" t="s">
        <v>252</v>
      </c>
      <c r="G8058" s="67" t="s">
        <v>448</v>
      </c>
      <c r="H8058" s="69">
        <v>0.37</v>
      </c>
    </row>
    <row r="8059" spans="6:8">
      <c r="F8059" s="68" t="s">
        <v>314</v>
      </c>
      <c r="G8059" s="67" t="s">
        <v>448</v>
      </c>
      <c r="H8059" s="69">
        <v>-0.1</v>
      </c>
    </row>
    <row r="8060" spans="6:8">
      <c r="F8060" s="68" t="s">
        <v>125</v>
      </c>
      <c r="G8060" s="67" t="s">
        <v>448</v>
      </c>
      <c r="H8060" s="69">
        <v>-0.2</v>
      </c>
    </row>
    <row r="8061" spans="6:8">
      <c r="F8061" s="68" t="s">
        <v>126</v>
      </c>
      <c r="G8061" s="67" t="s">
        <v>448</v>
      </c>
      <c r="H8061" s="69">
        <v>-0.4</v>
      </c>
    </row>
    <row r="8062" spans="6:8">
      <c r="F8062" s="68" t="s">
        <v>127</v>
      </c>
      <c r="G8062" s="67" t="s">
        <v>448</v>
      </c>
      <c r="H8062" s="69">
        <v>-0.15</v>
      </c>
    </row>
    <row r="8063" spans="6:8">
      <c r="F8063" s="68" t="s">
        <v>253</v>
      </c>
      <c r="G8063" s="67" t="s">
        <v>448</v>
      </c>
      <c r="H8063" s="69">
        <v>0.5</v>
      </c>
    </row>
    <row r="8064" spans="6:8">
      <c r="F8064" s="68" t="s">
        <v>315</v>
      </c>
      <c r="G8064" s="67" t="s">
        <v>448</v>
      </c>
      <c r="H8064" s="69">
        <v>-0.05</v>
      </c>
    </row>
    <row r="8065" spans="6:8">
      <c r="F8065" s="68" t="s">
        <v>128</v>
      </c>
      <c r="G8065" s="67" t="s">
        <v>448</v>
      </c>
      <c r="H8065" s="69">
        <v>-0.35</v>
      </c>
    </row>
    <row r="8066" spans="6:8">
      <c r="F8066" s="68" t="s">
        <v>129</v>
      </c>
      <c r="G8066" s="67" t="s">
        <v>448</v>
      </c>
      <c r="H8066" s="69">
        <v>-0.25</v>
      </c>
    </row>
    <row r="8067" spans="6:8">
      <c r="F8067" s="68" t="s">
        <v>254</v>
      </c>
      <c r="G8067" s="67" t="s">
        <v>448</v>
      </c>
      <c r="H8067" s="69">
        <v>0.68</v>
      </c>
    </row>
    <row r="8068" spans="6:8">
      <c r="F8068" s="68" t="s">
        <v>304</v>
      </c>
      <c r="G8068" s="67" t="s">
        <v>448</v>
      </c>
      <c r="H8068" s="69">
        <v>17.15625</v>
      </c>
    </row>
    <row r="8069" spans="6:8">
      <c r="F8069" s="68" t="s">
        <v>421</v>
      </c>
      <c r="G8069" s="67" t="s">
        <v>448</v>
      </c>
      <c r="H8069" s="69">
        <v>2.7186709255491159</v>
      </c>
    </row>
    <row r="8070" spans="6:8">
      <c r="F8070" s="68" t="s">
        <v>130</v>
      </c>
      <c r="G8070" s="67" t="s">
        <v>448</v>
      </c>
      <c r="H8070" s="69">
        <v>-0.45</v>
      </c>
    </row>
    <row r="8071" spans="6:8">
      <c r="F8071" s="68" t="s">
        <v>131</v>
      </c>
      <c r="G8071" s="67" t="s">
        <v>448</v>
      </c>
      <c r="H8071" s="69">
        <v>-0.3</v>
      </c>
    </row>
    <row r="8072" spans="6:8">
      <c r="F8072" s="68" t="s">
        <v>255</v>
      </c>
      <c r="G8072" s="67" t="s">
        <v>448</v>
      </c>
      <c r="H8072" s="69">
        <v>0.89</v>
      </c>
    </row>
    <row r="8073" spans="6:8">
      <c r="F8073" s="68" t="s">
        <v>303</v>
      </c>
      <c r="G8073" s="67" t="s">
        <v>448</v>
      </c>
      <c r="H8073" s="69">
        <v>18.53125</v>
      </c>
    </row>
    <row r="8074" spans="6:8">
      <c r="F8074" s="68" t="s">
        <v>422</v>
      </c>
      <c r="G8074" s="67" t="s">
        <v>448</v>
      </c>
      <c r="H8074" s="69">
        <v>2.7242642557969265</v>
      </c>
    </row>
    <row r="8075" spans="6:8">
      <c r="F8075" s="68" t="s">
        <v>132</v>
      </c>
      <c r="G8075" s="67" t="s">
        <v>448</v>
      </c>
      <c r="H8075" s="69">
        <v>-0.4</v>
      </c>
    </row>
    <row r="8076" spans="6:8">
      <c r="F8076" s="68" t="s">
        <v>133</v>
      </c>
      <c r="G8076" s="67" t="s">
        <v>448</v>
      </c>
      <c r="H8076" s="69">
        <v>-0.35</v>
      </c>
    </row>
    <row r="8077" spans="6:8">
      <c r="F8077" s="68" t="s">
        <v>256</v>
      </c>
      <c r="G8077" s="67" t="s">
        <v>448</v>
      </c>
      <c r="H8077" s="69">
        <v>1.05</v>
      </c>
    </row>
    <row r="8078" spans="6:8">
      <c r="F8078" s="68" t="s">
        <v>423</v>
      </c>
      <c r="G8078" s="67" t="s">
        <v>448</v>
      </c>
      <c r="H8078" s="69">
        <v>2.8119741928374076</v>
      </c>
    </row>
    <row r="8079" spans="6:8">
      <c r="F8079" s="68" t="s">
        <v>134</v>
      </c>
      <c r="G8079" s="67" t="s">
        <v>448</v>
      </c>
      <c r="H8079" s="69">
        <v>-0.4</v>
      </c>
    </row>
    <row r="8080" spans="6:8">
      <c r="F8080" s="68" t="s">
        <v>135</v>
      </c>
      <c r="G8080" s="67" t="s">
        <v>448</v>
      </c>
      <c r="H8080" s="69">
        <v>-0.35</v>
      </c>
    </row>
    <row r="8081" spans="6:8">
      <c r="F8081" s="68" t="s">
        <v>257</v>
      </c>
      <c r="G8081" s="67" t="s">
        <v>448</v>
      </c>
      <c r="H8081" s="69">
        <v>1.1000000000000001</v>
      </c>
    </row>
    <row r="8082" spans="6:8">
      <c r="F8082" s="68" t="s">
        <v>258</v>
      </c>
      <c r="G8082" s="67" t="s">
        <v>448</v>
      </c>
      <c r="H8082" s="69">
        <v>0.14000000000000001</v>
      </c>
    </row>
    <row r="8083" spans="6:8">
      <c r="F8083" s="68" t="s">
        <v>424</v>
      </c>
      <c r="G8083" s="67" t="s">
        <v>448</v>
      </c>
      <c r="H8083" s="69">
        <v>3.5137064700026421</v>
      </c>
    </row>
    <row r="8084" spans="6:8">
      <c r="F8084" s="68" t="s">
        <v>136</v>
      </c>
      <c r="G8084" s="67" t="s">
        <v>448</v>
      </c>
      <c r="H8084" s="69">
        <v>-0.4</v>
      </c>
    </row>
    <row r="8085" spans="6:8">
      <c r="F8085" s="68" t="s">
        <v>137</v>
      </c>
      <c r="G8085" s="67" t="s">
        <v>448</v>
      </c>
      <c r="H8085" s="69">
        <v>-0.5</v>
      </c>
    </row>
    <row r="8086" spans="6:8">
      <c r="F8086" s="68" t="s">
        <v>138</v>
      </c>
      <c r="G8086" s="67" t="s">
        <v>448</v>
      </c>
      <c r="H8086" s="69">
        <v>-0.35</v>
      </c>
    </row>
    <row r="8087" spans="6:8">
      <c r="F8087" s="68" t="s">
        <v>259</v>
      </c>
      <c r="G8087" s="67" t="s">
        <v>448</v>
      </c>
      <c r="H8087" s="69">
        <v>0.17</v>
      </c>
    </row>
    <row r="8088" spans="6:8">
      <c r="F8088" s="68" t="s">
        <v>425</v>
      </c>
      <c r="G8088" s="67" t="s">
        <v>448</v>
      </c>
      <c r="H8088" s="69">
        <v>3.5263076009516947</v>
      </c>
    </row>
    <row r="8089" spans="6:8">
      <c r="F8089" s="68" t="s">
        <v>425</v>
      </c>
      <c r="G8089" s="67" t="s">
        <v>449</v>
      </c>
      <c r="H8089" s="69">
        <v>3.572376007632716</v>
      </c>
    </row>
    <row r="8090" spans="6:8">
      <c r="F8090" s="68" t="s">
        <v>259</v>
      </c>
      <c r="G8090" s="67" t="s">
        <v>449</v>
      </c>
      <c r="H8090" s="69">
        <v>0.17</v>
      </c>
    </row>
    <row r="8091" spans="6:8">
      <c r="F8091" s="68" t="s">
        <v>138</v>
      </c>
      <c r="G8091" s="67" t="s">
        <v>449</v>
      </c>
      <c r="H8091" s="69">
        <v>-0.35</v>
      </c>
    </row>
    <row r="8092" spans="6:8">
      <c r="F8092" s="68" t="s">
        <v>137</v>
      </c>
      <c r="G8092" s="67" t="s">
        <v>449</v>
      </c>
      <c r="H8092" s="69">
        <v>-0.5</v>
      </c>
    </row>
    <row r="8093" spans="6:8">
      <c r="F8093" s="68" t="s">
        <v>136</v>
      </c>
      <c r="G8093" s="67" t="s">
        <v>449</v>
      </c>
      <c r="H8093" s="69">
        <v>-0.4</v>
      </c>
    </row>
    <row r="8094" spans="6:8">
      <c r="F8094" s="68" t="s">
        <v>424</v>
      </c>
      <c r="G8094" s="67" t="s">
        <v>449</v>
      </c>
      <c r="H8094" s="69">
        <v>3.5591270023844324</v>
      </c>
    </row>
    <row r="8095" spans="6:8">
      <c r="F8095" s="68" t="s">
        <v>258</v>
      </c>
      <c r="G8095" s="67" t="s">
        <v>449</v>
      </c>
      <c r="H8095" s="69">
        <v>0.14000000000000001</v>
      </c>
    </row>
    <row r="8096" spans="6:8">
      <c r="F8096" s="68" t="s">
        <v>257</v>
      </c>
      <c r="G8096" s="67" t="s">
        <v>449</v>
      </c>
      <c r="H8096" s="69">
        <v>1.1000000000000001</v>
      </c>
    </row>
    <row r="8097" spans="6:8">
      <c r="F8097" s="68" t="s">
        <v>135</v>
      </c>
      <c r="G8097" s="67" t="s">
        <v>449</v>
      </c>
      <c r="H8097" s="69">
        <v>-0.35</v>
      </c>
    </row>
    <row r="8098" spans="6:8">
      <c r="F8098" s="68" t="s">
        <v>134</v>
      </c>
      <c r="G8098" s="67" t="s">
        <v>449</v>
      </c>
      <c r="H8098" s="69">
        <v>-0.4</v>
      </c>
    </row>
    <row r="8099" spans="6:8">
      <c r="F8099" s="68" t="s">
        <v>423</v>
      </c>
      <c r="G8099" s="67" t="s">
        <v>449</v>
      </c>
      <c r="H8099" s="69">
        <v>2.8344749297072536</v>
      </c>
    </row>
    <row r="8100" spans="6:8">
      <c r="F8100" s="68" t="s">
        <v>256</v>
      </c>
      <c r="G8100" s="67" t="s">
        <v>449</v>
      </c>
      <c r="H8100" s="69">
        <v>1.05</v>
      </c>
    </row>
    <row r="8101" spans="6:8">
      <c r="F8101" s="68" t="s">
        <v>133</v>
      </c>
      <c r="G8101" s="67" t="s">
        <v>449</v>
      </c>
      <c r="H8101" s="69">
        <v>-0.35</v>
      </c>
    </row>
    <row r="8102" spans="6:8">
      <c r="F8102" s="68" t="s">
        <v>132</v>
      </c>
      <c r="G8102" s="67" t="s">
        <v>449</v>
      </c>
      <c r="H8102" s="69">
        <v>-0.4</v>
      </c>
    </row>
    <row r="8103" spans="6:8">
      <c r="F8103" s="68" t="s">
        <v>422</v>
      </c>
      <c r="G8103" s="67" t="s">
        <v>449</v>
      </c>
      <c r="H8103" s="69">
        <v>2.7461059424152889</v>
      </c>
    </row>
    <row r="8104" spans="6:8">
      <c r="F8104" s="68" t="s">
        <v>303</v>
      </c>
      <c r="G8104" s="67" t="s">
        <v>449</v>
      </c>
      <c r="H8104" s="69">
        <v>18.5625</v>
      </c>
    </row>
    <row r="8105" spans="6:8">
      <c r="F8105" s="68" t="s">
        <v>255</v>
      </c>
      <c r="G8105" s="67" t="s">
        <v>449</v>
      </c>
      <c r="H8105" s="69">
        <v>0.91</v>
      </c>
    </row>
    <row r="8106" spans="6:8">
      <c r="F8106" s="68" t="s">
        <v>131</v>
      </c>
      <c r="G8106" s="67" t="s">
        <v>449</v>
      </c>
      <c r="H8106" s="69">
        <v>-0.3</v>
      </c>
    </row>
    <row r="8107" spans="6:8">
      <c r="F8107" s="68" t="s">
        <v>130</v>
      </c>
      <c r="G8107" s="67" t="s">
        <v>449</v>
      </c>
      <c r="H8107" s="69">
        <v>-0.45</v>
      </c>
    </row>
    <row r="8108" spans="6:8">
      <c r="F8108" s="68" t="s">
        <v>421</v>
      </c>
      <c r="G8108" s="67" t="s">
        <v>449</v>
      </c>
      <c r="H8108" s="69">
        <v>2.7403887271311156</v>
      </c>
    </row>
    <row r="8109" spans="6:8">
      <c r="F8109" s="68" t="s">
        <v>304</v>
      </c>
      <c r="G8109" s="67" t="s">
        <v>449</v>
      </c>
      <c r="H8109" s="69">
        <v>17.125</v>
      </c>
    </row>
    <row r="8110" spans="6:8">
      <c r="F8110" s="68" t="s">
        <v>254</v>
      </c>
      <c r="G8110" s="67" t="s">
        <v>449</v>
      </c>
      <c r="H8110" s="69">
        <v>0.69</v>
      </c>
    </row>
    <row r="8111" spans="6:8">
      <c r="F8111" s="68" t="s">
        <v>129</v>
      </c>
      <c r="G8111" s="67" t="s">
        <v>449</v>
      </c>
      <c r="H8111" s="69">
        <v>-0.25</v>
      </c>
    </row>
    <row r="8112" spans="6:8">
      <c r="F8112" s="68" t="s">
        <v>128</v>
      </c>
      <c r="G8112" s="67" t="s">
        <v>449</v>
      </c>
      <c r="H8112" s="69">
        <v>-0.35</v>
      </c>
    </row>
    <row r="8113" spans="6:8">
      <c r="F8113" s="68" t="s">
        <v>315</v>
      </c>
      <c r="G8113" s="67" t="s">
        <v>449</v>
      </c>
      <c r="H8113" s="69">
        <v>-0.05</v>
      </c>
    </row>
    <row r="8114" spans="6:8">
      <c r="F8114" s="68" t="s">
        <v>253</v>
      </c>
      <c r="G8114" s="67" t="s">
        <v>449</v>
      </c>
      <c r="H8114" s="69">
        <v>0.5</v>
      </c>
    </row>
    <row r="8115" spans="6:8">
      <c r="F8115" s="68" t="s">
        <v>127</v>
      </c>
      <c r="G8115" s="67" t="s">
        <v>449</v>
      </c>
      <c r="H8115" s="69">
        <v>-0.15</v>
      </c>
    </row>
    <row r="8116" spans="6:8">
      <c r="F8116" s="68" t="s">
        <v>126</v>
      </c>
      <c r="G8116" s="67" t="s">
        <v>449</v>
      </c>
      <c r="H8116" s="69">
        <v>-0.4</v>
      </c>
    </row>
    <row r="8117" spans="6:8">
      <c r="F8117" s="68" t="s">
        <v>125</v>
      </c>
      <c r="G8117" s="67" t="s">
        <v>449</v>
      </c>
      <c r="H8117" s="69">
        <v>-0.2</v>
      </c>
    </row>
    <row r="8118" spans="6:8">
      <c r="F8118" s="68" t="s">
        <v>314</v>
      </c>
      <c r="G8118" s="67" t="s">
        <v>449</v>
      </c>
      <c r="H8118" s="69">
        <v>-0.1</v>
      </c>
    </row>
    <row r="8119" spans="6:8">
      <c r="F8119" s="68" t="s">
        <v>252</v>
      </c>
      <c r="G8119" s="67" t="s">
        <v>449</v>
      </c>
      <c r="H8119" s="69">
        <v>0.37</v>
      </c>
    </row>
    <row r="8120" spans="6:8">
      <c r="F8120" s="68" t="s">
        <v>124</v>
      </c>
      <c r="G8120" s="67" t="s">
        <v>449</v>
      </c>
      <c r="H8120" s="69">
        <v>-0.15</v>
      </c>
    </row>
    <row r="8121" spans="6:8">
      <c r="F8121" s="68" t="s">
        <v>123</v>
      </c>
      <c r="G8121" s="67" t="s">
        <v>449</v>
      </c>
      <c r="H8121" s="69">
        <v>-0.55000000000000004</v>
      </c>
    </row>
    <row r="8122" spans="6:8">
      <c r="F8122" s="68" t="s">
        <v>122</v>
      </c>
      <c r="G8122" s="67" t="s">
        <v>449</v>
      </c>
      <c r="H8122" s="69">
        <v>-0.35</v>
      </c>
    </row>
    <row r="8123" spans="6:8">
      <c r="F8123" s="68" t="s">
        <v>420</v>
      </c>
      <c r="G8123" s="67" t="s">
        <v>449</v>
      </c>
      <c r="H8123" s="69">
        <v>3.7101937917241479</v>
      </c>
    </row>
    <row r="8124" spans="6:8">
      <c r="F8124" s="68" t="s">
        <v>251</v>
      </c>
      <c r="G8124" s="67" t="s">
        <v>449</v>
      </c>
      <c r="H8124" s="69">
        <v>0.26</v>
      </c>
    </row>
    <row r="8125" spans="6:8">
      <c r="F8125" s="68" t="s">
        <v>121</v>
      </c>
      <c r="G8125" s="67" t="s">
        <v>449</v>
      </c>
      <c r="H8125" s="69">
        <v>-0.3</v>
      </c>
    </row>
    <row r="8126" spans="6:8">
      <c r="F8126" s="68" t="s">
        <v>120</v>
      </c>
      <c r="G8126" s="67" t="s">
        <v>449</v>
      </c>
      <c r="H8126" s="69">
        <v>-0.45</v>
      </c>
    </row>
    <row r="8127" spans="6:8">
      <c r="F8127" s="68" t="s">
        <v>119</v>
      </c>
      <c r="G8127" s="67" t="s">
        <v>449</v>
      </c>
      <c r="H8127" s="69">
        <v>-0.3</v>
      </c>
    </row>
    <row r="8128" spans="6:8">
      <c r="F8128" s="68" t="s">
        <v>119</v>
      </c>
      <c r="G8128" s="67" t="s">
        <v>450</v>
      </c>
      <c r="H8128" s="69">
        <v>-0.35</v>
      </c>
    </row>
    <row r="8129" spans="6:8">
      <c r="F8129" s="68" t="s">
        <v>120</v>
      </c>
      <c r="G8129" s="67" t="s">
        <v>450</v>
      </c>
      <c r="H8129" s="69">
        <v>-0.45</v>
      </c>
    </row>
    <row r="8130" spans="6:8">
      <c r="F8130" s="68" t="s">
        <v>121</v>
      </c>
      <c r="G8130" s="67" t="s">
        <v>450</v>
      </c>
      <c r="H8130" s="69">
        <v>-0.35</v>
      </c>
    </row>
    <row r="8131" spans="6:8">
      <c r="F8131" s="68" t="s">
        <v>251</v>
      </c>
      <c r="G8131" s="67" t="s">
        <v>450</v>
      </c>
      <c r="H8131" s="69">
        <v>0.26</v>
      </c>
    </row>
    <row r="8132" spans="6:8">
      <c r="F8132" s="68" t="s">
        <v>420</v>
      </c>
      <c r="G8132" s="67" t="s">
        <v>450</v>
      </c>
      <c r="H8132" s="69">
        <v>3.6014591745782365</v>
      </c>
    </row>
    <row r="8133" spans="6:8">
      <c r="F8133" s="68" t="s">
        <v>122</v>
      </c>
      <c r="G8133" s="67" t="s">
        <v>450</v>
      </c>
      <c r="H8133" s="69">
        <v>-0.4</v>
      </c>
    </row>
    <row r="8134" spans="6:8">
      <c r="F8134" s="68" t="s">
        <v>123</v>
      </c>
      <c r="G8134" s="67" t="s">
        <v>450</v>
      </c>
      <c r="H8134" s="69">
        <v>-0.55000000000000004</v>
      </c>
    </row>
    <row r="8135" spans="6:8">
      <c r="F8135" s="68" t="s">
        <v>124</v>
      </c>
      <c r="G8135" s="67" t="s">
        <v>450</v>
      </c>
      <c r="H8135" s="69">
        <v>-0.2</v>
      </c>
    </row>
    <row r="8136" spans="6:8">
      <c r="F8136" s="68" t="s">
        <v>252</v>
      </c>
      <c r="G8136" s="67" t="s">
        <v>450</v>
      </c>
      <c r="H8136" s="69">
        <v>0.36</v>
      </c>
    </row>
    <row r="8137" spans="6:8">
      <c r="F8137" s="68" t="s">
        <v>314</v>
      </c>
      <c r="G8137" s="67" t="s">
        <v>450</v>
      </c>
      <c r="H8137" s="69">
        <v>-0.15</v>
      </c>
    </row>
    <row r="8138" spans="6:8">
      <c r="F8138" s="68" t="s">
        <v>125</v>
      </c>
      <c r="G8138" s="67" t="s">
        <v>450</v>
      </c>
      <c r="H8138" s="69">
        <v>-0.25</v>
      </c>
    </row>
    <row r="8139" spans="6:8">
      <c r="F8139" s="68" t="s">
        <v>126</v>
      </c>
      <c r="G8139" s="67" t="s">
        <v>450</v>
      </c>
      <c r="H8139" s="69">
        <v>-0.45</v>
      </c>
    </row>
    <row r="8140" spans="6:8">
      <c r="F8140" s="68" t="s">
        <v>127</v>
      </c>
      <c r="G8140" s="67" t="s">
        <v>450</v>
      </c>
      <c r="H8140" s="69">
        <v>-0.15</v>
      </c>
    </row>
    <row r="8141" spans="6:8">
      <c r="F8141" s="68" t="s">
        <v>253</v>
      </c>
      <c r="G8141" s="67" t="s">
        <v>450</v>
      </c>
      <c r="H8141" s="69">
        <v>0.49</v>
      </c>
    </row>
    <row r="8142" spans="6:8">
      <c r="F8142" s="68" t="s">
        <v>315</v>
      </c>
      <c r="G8142" s="67" t="s">
        <v>450</v>
      </c>
      <c r="H8142" s="69">
        <v>-0.1</v>
      </c>
    </row>
    <row r="8143" spans="6:8">
      <c r="F8143" s="68" t="s">
        <v>128</v>
      </c>
      <c r="G8143" s="67" t="s">
        <v>450</v>
      </c>
      <c r="H8143" s="69">
        <v>-0.4</v>
      </c>
    </row>
    <row r="8144" spans="6:8">
      <c r="F8144" s="68" t="s">
        <v>129</v>
      </c>
      <c r="G8144" s="67" t="s">
        <v>450</v>
      </c>
      <c r="H8144" s="69">
        <v>-0.25</v>
      </c>
    </row>
    <row r="8145" spans="6:8">
      <c r="F8145" s="68" t="s">
        <v>254</v>
      </c>
      <c r="G8145" s="67" t="s">
        <v>450</v>
      </c>
      <c r="H8145" s="69">
        <v>0.68</v>
      </c>
    </row>
    <row r="8146" spans="6:8">
      <c r="F8146" s="68" t="s">
        <v>304</v>
      </c>
      <c r="G8146" s="67" t="s">
        <v>450</v>
      </c>
      <c r="H8146" s="69">
        <v>17.15625</v>
      </c>
    </row>
    <row r="8147" spans="6:8">
      <c r="F8147" s="68" t="s">
        <v>421</v>
      </c>
      <c r="G8147" s="67" t="s">
        <v>450</v>
      </c>
      <c r="H8147" s="69">
        <v>2.6669720355785298</v>
      </c>
    </row>
    <row r="8148" spans="6:8">
      <c r="F8148" s="68" t="s">
        <v>130</v>
      </c>
      <c r="G8148" s="67" t="s">
        <v>450</v>
      </c>
      <c r="H8148" s="69">
        <v>-0.5</v>
      </c>
    </row>
    <row r="8149" spans="6:8">
      <c r="F8149" s="68" t="s">
        <v>131</v>
      </c>
      <c r="G8149" s="67" t="s">
        <v>450</v>
      </c>
      <c r="H8149" s="69">
        <v>-0.3</v>
      </c>
    </row>
    <row r="8150" spans="6:8">
      <c r="F8150" s="68" t="s">
        <v>255</v>
      </c>
      <c r="G8150" s="67" t="s">
        <v>450</v>
      </c>
      <c r="H8150" s="69">
        <v>0.9</v>
      </c>
    </row>
    <row r="8151" spans="6:8">
      <c r="F8151" s="68" t="s">
        <v>303</v>
      </c>
      <c r="G8151" s="67" t="s">
        <v>450</v>
      </c>
      <c r="H8151" s="69">
        <v>18.59375</v>
      </c>
    </row>
    <row r="8152" spans="6:8">
      <c r="F8152" s="68" t="s">
        <v>422</v>
      </c>
      <c r="G8152" s="67" t="s">
        <v>450</v>
      </c>
      <c r="H8152" s="69">
        <v>2.6726955346836778</v>
      </c>
    </row>
    <row r="8153" spans="6:8">
      <c r="F8153" s="68" t="s">
        <v>132</v>
      </c>
      <c r="G8153" s="67" t="s">
        <v>450</v>
      </c>
      <c r="H8153" s="69">
        <v>-0.45</v>
      </c>
    </row>
    <row r="8154" spans="6:8">
      <c r="F8154" s="68" t="s">
        <v>133</v>
      </c>
      <c r="G8154" s="67" t="s">
        <v>450</v>
      </c>
      <c r="H8154" s="69">
        <v>-0.35</v>
      </c>
    </row>
    <row r="8155" spans="6:8">
      <c r="F8155" s="68" t="s">
        <v>256</v>
      </c>
      <c r="G8155" s="67" t="s">
        <v>450</v>
      </c>
      <c r="H8155" s="69">
        <v>1.04</v>
      </c>
    </row>
    <row r="8156" spans="6:8">
      <c r="F8156" s="68" t="s">
        <v>423</v>
      </c>
      <c r="G8156" s="67" t="s">
        <v>450</v>
      </c>
      <c r="H8156" s="69">
        <v>2.7374320841483613</v>
      </c>
    </row>
    <row r="8157" spans="6:8">
      <c r="F8157" s="68" t="s">
        <v>134</v>
      </c>
      <c r="G8157" s="67" t="s">
        <v>450</v>
      </c>
      <c r="H8157" s="69">
        <v>-0.45</v>
      </c>
    </row>
    <row r="8158" spans="6:8">
      <c r="F8158" s="68" t="s">
        <v>135</v>
      </c>
      <c r="G8158" s="67" t="s">
        <v>450</v>
      </c>
      <c r="H8158" s="69">
        <v>-0.35</v>
      </c>
    </row>
    <row r="8159" spans="6:8">
      <c r="F8159" s="68" t="s">
        <v>257</v>
      </c>
      <c r="G8159" s="67" t="s">
        <v>450</v>
      </c>
      <c r="H8159" s="69">
        <v>1.0900000000000001</v>
      </c>
    </row>
    <row r="8160" spans="6:8">
      <c r="F8160" s="68" t="s">
        <v>258</v>
      </c>
      <c r="G8160" s="67" t="s">
        <v>450</v>
      </c>
      <c r="H8160" s="69">
        <v>0.14000000000000001</v>
      </c>
    </row>
    <row r="8161" spans="6:8">
      <c r="F8161" s="68" t="s">
        <v>424</v>
      </c>
      <c r="G8161" s="67" t="s">
        <v>450</v>
      </c>
      <c r="H8161" s="69">
        <v>3.441969709354975</v>
      </c>
    </row>
    <row r="8162" spans="6:8">
      <c r="F8162" s="68" t="s">
        <v>136</v>
      </c>
      <c r="G8162" s="67" t="s">
        <v>450</v>
      </c>
      <c r="H8162" s="69">
        <v>-0.45</v>
      </c>
    </row>
    <row r="8163" spans="6:8">
      <c r="F8163" s="68" t="s">
        <v>137</v>
      </c>
      <c r="G8163" s="67" t="s">
        <v>450</v>
      </c>
      <c r="H8163" s="69">
        <v>-0.5</v>
      </c>
    </row>
    <row r="8164" spans="6:8">
      <c r="F8164" s="68" t="s">
        <v>138</v>
      </c>
      <c r="G8164" s="67" t="s">
        <v>450</v>
      </c>
      <c r="H8164" s="69">
        <v>-0.4</v>
      </c>
    </row>
    <row r="8165" spans="6:8">
      <c r="F8165" s="68" t="s">
        <v>259</v>
      </c>
      <c r="G8165" s="67" t="s">
        <v>450</v>
      </c>
      <c r="H8165" s="69">
        <v>0.17</v>
      </c>
    </row>
    <row r="8166" spans="6:8">
      <c r="F8166" s="68" t="s">
        <v>425</v>
      </c>
      <c r="G8166" s="67" t="s">
        <v>450</v>
      </c>
      <c r="H8166" s="69">
        <v>3.448003845872849</v>
      </c>
    </row>
    <row r="8167" spans="6:8">
      <c r="F8167" s="68" t="s">
        <v>425</v>
      </c>
      <c r="G8167" s="67" t="s">
        <v>451</v>
      </c>
      <c r="H8167" s="69">
        <v>3.394801963148053</v>
      </c>
    </row>
    <row r="8168" spans="6:8">
      <c r="F8168" s="68" t="s">
        <v>259</v>
      </c>
      <c r="G8168" s="67" t="s">
        <v>451</v>
      </c>
      <c r="H8168" s="69">
        <v>0.17</v>
      </c>
    </row>
    <row r="8169" spans="6:8">
      <c r="F8169" s="68" t="s">
        <v>138</v>
      </c>
      <c r="G8169" s="67" t="s">
        <v>451</v>
      </c>
      <c r="H8169" s="69">
        <v>-0.4</v>
      </c>
    </row>
    <row r="8170" spans="6:8">
      <c r="F8170" s="68" t="s">
        <v>137</v>
      </c>
      <c r="G8170" s="67" t="s">
        <v>451</v>
      </c>
      <c r="H8170" s="69">
        <v>-0.5</v>
      </c>
    </row>
    <row r="8171" spans="6:8">
      <c r="F8171" s="68" t="s">
        <v>136</v>
      </c>
      <c r="G8171" s="67" t="s">
        <v>451</v>
      </c>
      <c r="H8171" s="69">
        <v>-0.45</v>
      </c>
    </row>
    <row r="8172" spans="6:8">
      <c r="F8172" s="68" t="s">
        <v>424</v>
      </c>
      <c r="G8172" s="67" t="s">
        <v>451</v>
      </c>
      <c r="H8172" s="69">
        <v>3.392981164501041</v>
      </c>
    </row>
    <row r="8173" spans="6:8">
      <c r="F8173" s="68" t="s">
        <v>258</v>
      </c>
      <c r="G8173" s="67" t="s">
        <v>451</v>
      </c>
      <c r="H8173" s="69">
        <v>0.14000000000000001</v>
      </c>
    </row>
    <row r="8174" spans="6:8">
      <c r="F8174" s="68" t="s">
        <v>257</v>
      </c>
      <c r="G8174" s="67" t="s">
        <v>451</v>
      </c>
      <c r="H8174" s="69">
        <v>1.0900000000000001</v>
      </c>
    </row>
    <row r="8175" spans="6:8">
      <c r="F8175" s="68" t="s">
        <v>135</v>
      </c>
      <c r="G8175" s="67" t="s">
        <v>451</v>
      </c>
      <c r="H8175" s="69">
        <v>-0.35</v>
      </c>
    </row>
    <row r="8176" spans="6:8">
      <c r="F8176" s="68" t="s">
        <v>134</v>
      </c>
      <c r="G8176" s="67" t="s">
        <v>451</v>
      </c>
      <c r="H8176" s="69">
        <v>-0.45</v>
      </c>
    </row>
    <row r="8177" spans="6:8">
      <c r="F8177" s="68" t="s">
        <v>423</v>
      </c>
      <c r="G8177" s="67" t="s">
        <v>451</v>
      </c>
      <c r="H8177" s="69">
        <v>2.6968453552504545</v>
      </c>
    </row>
    <row r="8178" spans="6:8">
      <c r="F8178" s="68" t="s">
        <v>256</v>
      </c>
      <c r="G8178" s="67" t="s">
        <v>451</v>
      </c>
      <c r="H8178" s="69">
        <v>1.04</v>
      </c>
    </row>
    <row r="8179" spans="6:8">
      <c r="F8179" s="68" t="s">
        <v>133</v>
      </c>
      <c r="G8179" s="67" t="s">
        <v>451</v>
      </c>
      <c r="H8179" s="69">
        <v>-0.35</v>
      </c>
    </row>
    <row r="8180" spans="6:8">
      <c r="F8180" s="68" t="s">
        <v>132</v>
      </c>
      <c r="G8180" s="67" t="s">
        <v>451</v>
      </c>
      <c r="H8180" s="69">
        <v>-0.45</v>
      </c>
    </row>
    <row r="8181" spans="6:8">
      <c r="F8181" s="68" t="s">
        <v>422</v>
      </c>
      <c r="G8181" s="67" t="s">
        <v>451</v>
      </c>
      <c r="H8181" s="69">
        <v>2.6393161038496427</v>
      </c>
    </row>
    <row r="8182" spans="6:8">
      <c r="F8182" s="68" t="s">
        <v>303</v>
      </c>
      <c r="G8182" s="67" t="s">
        <v>451</v>
      </c>
      <c r="H8182" s="69">
        <v>18.5625</v>
      </c>
    </row>
    <row r="8183" spans="6:8">
      <c r="F8183" s="68" t="s">
        <v>255</v>
      </c>
      <c r="G8183" s="67" t="s">
        <v>451</v>
      </c>
      <c r="H8183" s="69">
        <v>0.9</v>
      </c>
    </row>
    <row r="8184" spans="6:8">
      <c r="F8184" s="68" t="s">
        <v>131</v>
      </c>
      <c r="G8184" s="67" t="s">
        <v>451</v>
      </c>
      <c r="H8184" s="69">
        <v>-0.3</v>
      </c>
    </row>
    <row r="8185" spans="6:8">
      <c r="F8185" s="68" t="s">
        <v>130</v>
      </c>
      <c r="G8185" s="67" t="s">
        <v>451</v>
      </c>
      <c r="H8185" s="69">
        <v>-0.5</v>
      </c>
    </row>
    <row r="8186" spans="6:8">
      <c r="F8186" s="68" t="s">
        <v>421</v>
      </c>
      <c r="G8186" s="67" t="s">
        <v>451</v>
      </c>
      <c r="H8186" s="69">
        <v>2.6336372601855729</v>
      </c>
    </row>
    <row r="8187" spans="6:8">
      <c r="F8187" s="68" t="s">
        <v>304</v>
      </c>
      <c r="G8187" s="67" t="s">
        <v>451</v>
      </c>
      <c r="H8187" s="69">
        <v>17.125</v>
      </c>
    </row>
    <row r="8188" spans="6:8">
      <c r="F8188" s="68" t="s">
        <v>254</v>
      </c>
      <c r="G8188" s="67" t="s">
        <v>451</v>
      </c>
      <c r="H8188" s="69">
        <v>0.68</v>
      </c>
    </row>
    <row r="8189" spans="6:8">
      <c r="F8189" s="68" t="s">
        <v>129</v>
      </c>
      <c r="G8189" s="67" t="s">
        <v>451</v>
      </c>
      <c r="H8189" s="69">
        <v>-0.25</v>
      </c>
    </row>
    <row r="8190" spans="6:8">
      <c r="F8190" s="68" t="s">
        <v>128</v>
      </c>
      <c r="G8190" s="67" t="s">
        <v>451</v>
      </c>
      <c r="H8190" s="69">
        <v>-0.4</v>
      </c>
    </row>
    <row r="8191" spans="6:8">
      <c r="F8191" s="68" t="s">
        <v>315</v>
      </c>
      <c r="G8191" s="67" t="s">
        <v>451</v>
      </c>
      <c r="H8191" s="69">
        <v>-0.1</v>
      </c>
    </row>
    <row r="8192" spans="6:8">
      <c r="F8192" s="68" t="s">
        <v>253</v>
      </c>
      <c r="G8192" s="67" t="s">
        <v>451</v>
      </c>
      <c r="H8192" s="69">
        <v>0.49</v>
      </c>
    </row>
    <row r="8193" spans="6:8">
      <c r="F8193" s="68" t="s">
        <v>127</v>
      </c>
      <c r="G8193" s="67" t="s">
        <v>451</v>
      </c>
      <c r="H8193" s="69">
        <v>-0.15</v>
      </c>
    </row>
    <row r="8194" spans="6:8">
      <c r="F8194" s="68" t="s">
        <v>126</v>
      </c>
      <c r="G8194" s="67" t="s">
        <v>451</v>
      </c>
      <c r="H8194" s="69">
        <v>-0.45</v>
      </c>
    </row>
    <row r="8195" spans="6:8">
      <c r="F8195" s="68" t="s">
        <v>125</v>
      </c>
      <c r="G8195" s="67" t="s">
        <v>451</v>
      </c>
      <c r="H8195" s="69">
        <v>-0.25</v>
      </c>
    </row>
    <row r="8196" spans="6:8">
      <c r="F8196" s="68" t="s">
        <v>314</v>
      </c>
      <c r="G8196" s="67" t="s">
        <v>451</v>
      </c>
      <c r="H8196" s="69">
        <v>-0.15</v>
      </c>
    </row>
    <row r="8197" spans="6:8">
      <c r="F8197" s="68" t="s">
        <v>252</v>
      </c>
      <c r="G8197" s="67" t="s">
        <v>451</v>
      </c>
      <c r="H8197" s="69">
        <v>0.36</v>
      </c>
    </row>
    <row r="8198" spans="6:8">
      <c r="F8198" s="68" t="s">
        <v>124</v>
      </c>
      <c r="G8198" s="67" t="s">
        <v>451</v>
      </c>
      <c r="H8198" s="69">
        <v>-0.2</v>
      </c>
    </row>
    <row r="8199" spans="6:8">
      <c r="F8199" s="68" t="s">
        <v>123</v>
      </c>
      <c r="G8199" s="67" t="s">
        <v>451</v>
      </c>
      <c r="H8199" s="69">
        <v>-0.55000000000000004</v>
      </c>
    </row>
    <row r="8200" spans="6:8">
      <c r="F8200" s="68" t="s">
        <v>122</v>
      </c>
      <c r="G8200" s="67" t="s">
        <v>451</v>
      </c>
      <c r="H8200" s="69">
        <v>-0.4</v>
      </c>
    </row>
    <row r="8201" spans="6:8">
      <c r="F8201" s="68" t="s">
        <v>420</v>
      </c>
      <c r="G8201" s="67" t="s">
        <v>451</v>
      </c>
      <c r="H8201" s="69">
        <v>3.5649427405179956</v>
      </c>
    </row>
    <row r="8202" spans="6:8">
      <c r="F8202" s="68" t="s">
        <v>251</v>
      </c>
      <c r="G8202" s="67" t="s">
        <v>451</v>
      </c>
      <c r="H8202" s="69">
        <v>0.26</v>
      </c>
    </row>
    <row r="8203" spans="6:8">
      <c r="F8203" s="68" t="s">
        <v>121</v>
      </c>
      <c r="G8203" s="67" t="s">
        <v>451</v>
      </c>
      <c r="H8203" s="69">
        <v>-0.35</v>
      </c>
    </row>
    <row r="8204" spans="6:8">
      <c r="F8204" s="68" t="s">
        <v>120</v>
      </c>
      <c r="G8204" s="67" t="s">
        <v>451</v>
      </c>
      <c r="H8204" s="69">
        <v>-0.45</v>
      </c>
    </row>
    <row r="8205" spans="6:8">
      <c r="F8205" s="68" t="s">
        <v>119</v>
      </c>
      <c r="G8205" s="67" t="s">
        <v>451</v>
      </c>
      <c r="H8205" s="69">
        <v>-0.35</v>
      </c>
    </row>
    <row r="8206" spans="6:8">
      <c r="F8206" s="68" t="s">
        <v>119</v>
      </c>
      <c r="G8206" s="67" t="s">
        <v>452</v>
      </c>
      <c r="H8206" s="69">
        <v>-0.35</v>
      </c>
    </row>
    <row r="8207" spans="6:8">
      <c r="F8207" s="68" t="s">
        <v>120</v>
      </c>
      <c r="G8207" s="67" t="s">
        <v>452</v>
      </c>
      <c r="H8207" s="69">
        <v>-0.45</v>
      </c>
    </row>
    <row r="8208" spans="6:8">
      <c r="F8208" s="68" t="s">
        <v>121</v>
      </c>
      <c r="G8208" s="67" t="s">
        <v>452</v>
      </c>
      <c r="H8208" s="69">
        <v>-0.35</v>
      </c>
    </row>
    <row r="8209" spans="6:8">
      <c r="F8209" s="68" t="s">
        <v>251</v>
      </c>
      <c r="G8209" s="67" t="s">
        <v>452</v>
      </c>
      <c r="H8209" s="69">
        <v>0.26</v>
      </c>
    </row>
    <row r="8210" spans="6:8">
      <c r="F8210" s="68" t="s">
        <v>420</v>
      </c>
      <c r="G8210" s="67" t="s">
        <v>452</v>
      </c>
      <c r="H8210" s="69">
        <v>3.4950120682200048</v>
      </c>
    </row>
    <row r="8211" spans="6:8">
      <c r="F8211" s="68" t="s">
        <v>122</v>
      </c>
      <c r="G8211" s="67" t="s">
        <v>452</v>
      </c>
      <c r="H8211" s="69">
        <v>-0.4</v>
      </c>
    </row>
    <row r="8212" spans="6:8">
      <c r="F8212" s="68" t="s">
        <v>123</v>
      </c>
      <c r="G8212" s="67" t="s">
        <v>452</v>
      </c>
      <c r="H8212" s="69">
        <v>-0.55000000000000004</v>
      </c>
    </row>
    <row r="8213" spans="6:8">
      <c r="F8213" s="68" t="s">
        <v>124</v>
      </c>
      <c r="G8213" s="67" t="s">
        <v>452</v>
      </c>
      <c r="H8213" s="69">
        <v>-0.2</v>
      </c>
    </row>
    <row r="8214" spans="6:8">
      <c r="F8214" s="68" t="s">
        <v>252</v>
      </c>
      <c r="G8214" s="67" t="s">
        <v>452</v>
      </c>
      <c r="H8214" s="69">
        <v>0.36</v>
      </c>
    </row>
    <row r="8215" spans="6:8">
      <c r="F8215" s="68" t="s">
        <v>314</v>
      </c>
      <c r="G8215" s="67" t="s">
        <v>452</v>
      </c>
      <c r="H8215" s="69">
        <v>-0.15</v>
      </c>
    </row>
    <row r="8216" spans="6:8">
      <c r="F8216" s="68" t="s">
        <v>125</v>
      </c>
      <c r="G8216" s="67" t="s">
        <v>452</v>
      </c>
      <c r="H8216" s="69">
        <v>-0.25</v>
      </c>
    </row>
    <row r="8217" spans="6:8">
      <c r="F8217" s="68" t="s">
        <v>126</v>
      </c>
      <c r="G8217" s="67" t="s">
        <v>452</v>
      </c>
      <c r="H8217" s="69">
        <v>-0.45</v>
      </c>
    </row>
    <row r="8218" spans="6:8">
      <c r="F8218" s="68" t="s">
        <v>127</v>
      </c>
      <c r="G8218" s="67" t="s">
        <v>452</v>
      </c>
      <c r="H8218" s="69">
        <v>-0.15</v>
      </c>
    </row>
    <row r="8219" spans="6:8">
      <c r="F8219" s="68" t="s">
        <v>253</v>
      </c>
      <c r="G8219" s="67" t="s">
        <v>452</v>
      </c>
      <c r="H8219" s="69">
        <v>0.48</v>
      </c>
    </row>
    <row r="8220" spans="6:8">
      <c r="F8220" s="68" t="s">
        <v>315</v>
      </c>
      <c r="G8220" s="67" t="s">
        <v>452</v>
      </c>
      <c r="H8220" s="69">
        <v>-0.1</v>
      </c>
    </row>
    <row r="8221" spans="6:8">
      <c r="F8221" s="68" t="s">
        <v>128</v>
      </c>
      <c r="G8221" s="67" t="s">
        <v>452</v>
      </c>
      <c r="H8221" s="69">
        <v>-0.4</v>
      </c>
    </row>
    <row r="8222" spans="6:8">
      <c r="F8222" s="68" t="s">
        <v>129</v>
      </c>
      <c r="G8222" s="67" t="s">
        <v>452</v>
      </c>
      <c r="H8222" s="69">
        <v>-0.25</v>
      </c>
    </row>
    <row r="8223" spans="6:8">
      <c r="F8223" s="68" t="s">
        <v>254</v>
      </c>
      <c r="G8223" s="67" t="s">
        <v>452</v>
      </c>
      <c r="H8223" s="69">
        <v>0.67</v>
      </c>
    </row>
    <row r="8224" spans="6:8">
      <c r="F8224" s="68" t="s">
        <v>304</v>
      </c>
      <c r="G8224" s="67" t="s">
        <v>452</v>
      </c>
      <c r="H8224" s="69">
        <v>17.0625</v>
      </c>
    </row>
    <row r="8225" spans="6:8">
      <c r="F8225" s="68" t="s">
        <v>421</v>
      </c>
      <c r="G8225" s="67" t="s">
        <v>452</v>
      </c>
      <c r="H8225" s="69">
        <v>2.5795877535625511</v>
      </c>
    </row>
    <row r="8226" spans="6:8">
      <c r="F8226" s="68" t="s">
        <v>130</v>
      </c>
      <c r="G8226" s="67" t="s">
        <v>452</v>
      </c>
      <c r="H8226" s="69">
        <v>-0.5</v>
      </c>
    </row>
    <row r="8227" spans="6:8">
      <c r="F8227" s="68" t="s">
        <v>131</v>
      </c>
      <c r="G8227" s="67" t="s">
        <v>452</v>
      </c>
      <c r="H8227" s="69">
        <v>-0.3</v>
      </c>
    </row>
    <row r="8228" spans="6:8">
      <c r="F8228" s="68" t="s">
        <v>255</v>
      </c>
      <c r="G8228" s="67" t="s">
        <v>452</v>
      </c>
      <c r="H8228" s="69">
        <v>0.89</v>
      </c>
    </row>
    <row r="8229" spans="6:8">
      <c r="F8229" s="68" t="s">
        <v>303</v>
      </c>
      <c r="G8229" s="67" t="s">
        <v>452</v>
      </c>
      <c r="H8229" s="69">
        <v>18.5</v>
      </c>
    </row>
    <row r="8230" spans="6:8">
      <c r="F8230" s="68" t="s">
        <v>422</v>
      </c>
      <c r="G8230" s="67" t="s">
        <v>452</v>
      </c>
      <c r="H8230" s="69">
        <v>2.5853152542686164</v>
      </c>
    </row>
    <row r="8231" spans="6:8">
      <c r="F8231" s="68" t="s">
        <v>132</v>
      </c>
      <c r="G8231" s="67" t="s">
        <v>452</v>
      </c>
      <c r="H8231" s="69">
        <v>-0.45</v>
      </c>
    </row>
    <row r="8232" spans="6:8">
      <c r="F8232" s="68" t="s">
        <v>133</v>
      </c>
      <c r="G8232" s="67" t="s">
        <v>452</v>
      </c>
      <c r="H8232" s="69">
        <v>-0.35</v>
      </c>
    </row>
    <row r="8233" spans="6:8">
      <c r="F8233" s="68" t="s">
        <v>256</v>
      </c>
      <c r="G8233" s="67" t="s">
        <v>452</v>
      </c>
      <c r="H8233" s="69">
        <v>1.03</v>
      </c>
    </row>
    <row r="8234" spans="6:8">
      <c r="F8234" s="68" t="s">
        <v>423</v>
      </c>
      <c r="G8234" s="67" t="s">
        <v>452</v>
      </c>
      <c r="H8234" s="69">
        <v>2.6317839919125952</v>
      </c>
    </row>
    <row r="8235" spans="6:8">
      <c r="F8235" s="68" t="s">
        <v>134</v>
      </c>
      <c r="G8235" s="67" t="s">
        <v>452</v>
      </c>
      <c r="H8235" s="69">
        <v>-0.45</v>
      </c>
    </row>
    <row r="8236" spans="6:8">
      <c r="F8236" s="68" t="s">
        <v>135</v>
      </c>
      <c r="G8236" s="67" t="s">
        <v>452</v>
      </c>
      <c r="H8236" s="69">
        <v>-0.35</v>
      </c>
    </row>
    <row r="8237" spans="6:8">
      <c r="F8237" s="68" t="s">
        <v>257</v>
      </c>
      <c r="G8237" s="67" t="s">
        <v>452</v>
      </c>
      <c r="H8237" s="69">
        <v>1.08</v>
      </c>
    </row>
    <row r="8238" spans="6:8">
      <c r="F8238" s="68" t="s">
        <v>258</v>
      </c>
      <c r="G8238" s="67" t="s">
        <v>452</v>
      </c>
      <c r="H8238" s="69">
        <v>0.14000000000000001</v>
      </c>
    </row>
    <row r="8239" spans="6:8">
      <c r="F8239" s="68" t="s">
        <v>424</v>
      </c>
      <c r="G8239" s="67" t="s">
        <v>452</v>
      </c>
      <c r="H8239" s="69">
        <v>3.3549220198410001</v>
      </c>
    </row>
    <row r="8240" spans="6:8">
      <c r="F8240" s="68" t="s">
        <v>136</v>
      </c>
      <c r="G8240" s="67" t="s">
        <v>452</v>
      </c>
      <c r="H8240" s="69">
        <v>-0.45</v>
      </c>
    </row>
    <row r="8241" spans="6:8">
      <c r="F8241" s="68" t="s">
        <v>137</v>
      </c>
      <c r="G8241" s="67" t="s">
        <v>452</v>
      </c>
      <c r="H8241" s="69">
        <v>-0.5</v>
      </c>
    </row>
    <row r="8242" spans="6:8">
      <c r="F8242" s="68" t="s">
        <v>138</v>
      </c>
      <c r="G8242" s="67" t="s">
        <v>452</v>
      </c>
      <c r="H8242" s="69">
        <v>-0.4</v>
      </c>
    </row>
    <row r="8243" spans="6:8">
      <c r="F8243" s="68" t="s">
        <v>259</v>
      </c>
      <c r="G8243" s="67" t="s">
        <v>452</v>
      </c>
      <c r="H8243" s="69">
        <v>0.17</v>
      </c>
    </row>
    <row r="8244" spans="6:8">
      <c r="F8244" s="68" t="s">
        <v>425</v>
      </c>
      <c r="G8244" s="67" t="s">
        <v>452</v>
      </c>
      <c r="H8244" s="69">
        <v>3.3609897025257851</v>
      </c>
    </row>
    <row r="8245" spans="6:8">
      <c r="F8245" s="68" t="s">
        <v>425</v>
      </c>
      <c r="G8245" s="67" t="s">
        <v>453</v>
      </c>
      <c r="H8245" s="69">
        <v>3.4293216745036048</v>
      </c>
    </row>
    <row r="8246" spans="6:8">
      <c r="F8246" s="68" t="s">
        <v>259</v>
      </c>
      <c r="G8246" s="67" t="s">
        <v>453</v>
      </c>
      <c r="H8246" s="69">
        <v>0.17</v>
      </c>
    </row>
    <row r="8247" spans="6:8">
      <c r="F8247" s="68" t="s">
        <v>138</v>
      </c>
      <c r="G8247" s="67" t="s">
        <v>453</v>
      </c>
      <c r="H8247" s="69">
        <v>-0.35</v>
      </c>
    </row>
    <row r="8248" spans="6:8">
      <c r="F8248" s="68" t="s">
        <v>137</v>
      </c>
      <c r="G8248" s="67" t="s">
        <v>453</v>
      </c>
      <c r="H8248" s="69">
        <v>-0.45</v>
      </c>
    </row>
    <row r="8249" spans="6:8">
      <c r="F8249" s="68" t="s">
        <v>136</v>
      </c>
      <c r="G8249" s="67" t="s">
        <v>453</v>
      </c>
      <c r="H8249" s="69">
        <v>-0.4</v>
      </c>
    </row>
    <row r="8250" spans="6:8">
      <c r="F8250" s="68" t="s">
        <v>424</v>
      </c>
      <c r="G8250" s="67" t="s">
        <v>453</v>
      </c>
      <c r="H8250" s="69">
        <v>3.4246284672290184</v>
      </c>
    </row>
    <row r="8251" spans="6:8">
      <c r="F8251" s="68" t="s">
        <v>258</v>
      </c>
      <c r="G8251" s="67" t="s">
        <v>453</v>
      </c>
      <c r="H8251" s="69">
        <v>0.14000000000000001</v>
      </c>
    </row>
    <row r="8252" spans="6:8">
      <c r="F8252" s="68" t="s">
        <v>257</v>
      </c>
      <c r="G8252" s="67" t="s">
        <v>453</v>
      </c>
      <c r="H8252" s="69">
        <v>1.08</v>
      </c>
    </row>
    <row r="8253" spans="6:8">
      <c r="F8253" s="68" t="s">
        <v>135</v>
      </c>
      <c r="G8253" s="67" t="s">
        <v>453</v>
      </c>
      <c r="H8253" s="69">
        <v>-0.35</v>
      </c>
    </row>
    <row r="8254" spans="6:8">
      <c r="F8254" s="68" t="s">
        <v>134</v>
      </c>
      <c r="G8254" s="67" t="s">
        <v>453</v>
      </c>
      <c r="H8254" s="69">
        <v>-0.4</v>
      </c>
    </row>
    <row r="8255" spans="6:8">
      <c r="F8255" s="68" t="s">
        <v>423</v>
      </c>
      <c r="G8255" s="67" t="s">
        <v>453</v>
      </c>
      <c r="H8255" s="69">
        <v>2.6958362260061985</v>
      </c>
    </row>
    <row r="8256" spans="6:8">
      <c r="F8256" s="68" t="s">
        <v>256</v>
      </c>
      <c r="G8256" s="67" t="s">
        <v>453</v>
      </c>
      <c r="H8256" s="69">
        <v>1.03</v>
      </c>
    </row>
    <row r="8257" spans="6:8">
      <c r="F8257" s="68" t="s">
        <v>133</v>
      </c>
      <c r="G8257" s="67" t="s">
        <v>453</v>
      </c>
      <c r="H8257" s="69">
        <v>-0.35</v>
      </c>
    </row>
    <row r="8258" spans="6:8">
      <c r="F8258" s="68" t="s">
        <v>132</v>
      </c>
      <c r="G8258" s="67" t="s">
        <v>453</v>
      </c>
      <c r="H8258" s="69">
        <v>-0.4</v>
      </c>
    </row>
    <row r="8259" spans="6:8">
      <c r="F8259" s="68" t="s">
        <v>422</v>
      </c>
      <c r="G8259" s="67" t="s">
        <v>453</v>
      </c>
      <c r="H8259" s="69">
        <v>2.6399284451683158</v>
      </c>
    </row>
    <row r="8260" spans="6:8">
      <c r="F8260" s="68" t="s">
        <v>303</v>
      </c>
      <c r="G8260" s="67" t="s">
        <v>453</v>
      </c>
      <c r="H8260" s="69">
        <v>18.5625</v>
      </c>
    </row>
    <row r="8261" spans="6:8">
      <c r="F8261" s="68" t="s">
        <v>255</v>
      </c>
      <c r="G8261" s="67" t="s">
        <v>453</v>
      </c>
      <c r="H8261" s="69">
        <v>0.89</v>
      </c>
    </row>
    <row r="8262" spans="6:8">
      <c r="F8262" s="68" t="s">
        <v>131</v>
      </c>
      <c r="G8262" s="67" t="s">
        <v>453</v>
      </c>
      <c r="H8262" s="69">
        <v>-0.3</v>
      </c>
    </row>
    <row r="8263" spans="6:8">
      <c r="F8263" s="68" t="s">
        <v>130</v>
      </c>
      <c r="G8263" s="67" t="s">
        <v>453</v>
      </c>
      <c r="H8263" s="69">
        <v>-0.45</v>
      </c>
    </row>
    <row r="8264" spans="6:8">
      <c r="F8264" s="68" t="s">
        <v>421</v>
      </c>
      <c r="G8264" s="67" t="s">
        <v>453</v>
      </c>
      <c r="H8264" s="69">
        <v>2.6342207954433761</v>
      </c>
    </row>
    <row r="8265" spans="6:8">
      <c r="F8265" s="68" t="s">
        <v>304</v>
      </c>
      <c r="G8265" s="67" t="s">
        <v>453</v>
      </c>
      <c r="H8265" s="69">
        <v>17.125</v>
      </c>
    </row>
    <row r="8266" spans="6:8">
      <c r="F8266" s="68" t="s">
        <v>254</v>
      </c>
      <c r="G8266" s="67" t="s">
        <v>453</v>
      </c>
      <c r="H8266" s="69">
        <v>0.67</v>
      </c>
    </row>
    <row r="8267" spans="6:8">
      <c r="F8267" s="68" t="s">
        <v>129</v>
      </c>
      <c r="G8267" s="67" t="s">
        <v>453</v>
      </c>
      <c r="H8267" s="69">
        <v>-0.25</v>
      </c>
    </row>
    <row r="8268" spans="6:8">
      <c r="F8268" s="68" t="s">
        <v>128</v>
      </c>
      <c r="G8268" s="67" t="s">
        <v>453</v>
      </c>
      <c r="H8268" s="69">
        <v>-0.35</v>
      </c>
    </row>
    <row r="8269" spans="6:8">
      <c r="F8269" s="68" t="s">
        <v>315</v>
      </c>
      <c r="G8269" s="67" t="s">
        <v>453</v>
      </c>
      <c r="H8269" s="69">
        <v>-0.05</v>
      </c>
    </row>
    <row r="8270" spans="6:8">
      <c r="F8270" s="68" t="s">
        <v>253</v>
      </c>
      <c r="G8270" s="67" t="s">
        <v>453</v>
      </c>
      <c r="H8270" s="69">
        <v>0.48</v>
      </c>
    </row>
    <row r="8271" spans="6:8">
      <c r="F8271" s="68" t="s">
        <v>127</v>
      </c>
      <c r="G8271" s="67" t="s">
        <v>453</v>
      </c>
      <c r="H8271" s="69">
        <v>-0.15</v>
      </c>
    </row>
    <row r="8272" spans="6:8">
      <c r="F8272" s="68" t="s">
        <v>126</v>
      </c>
      <c r="G8272" s="67" t="s">
        <v>453</v>
      </c>
      <c r="H8272" s="69">
        <v>-0.4</v>
      </c>
    </row>
    <row r="8273" spans="6:8">
      <c r="F8273" s="68" t="s">
        <v>125</v>
      </c>
      <c r="G8273" s="67" t="s">
        <v>453</v>
      </c>
      <c r="H8273" s="69">
        <v>-0.2</v>
      </c>
    </row>
    <row r="8274" spans="6:8">
      <c r="F8274" s="68" t="s">
        <v>314</v>
      </c>
      <c r="G8274" s="67" t="s">
        <v>453</v>
      </c>
      <c r="H8274" s="69">
        <v>-0.1</v>
      </c>
    </row>
    <row r="8275" spans="6:8">
      <c r="F8275" s="68" t="s">
        <v>252</v>
      </c>
      <c r="G8275" s="67" t="s">
        <v>453</v>
      </c>
      <c r="H8275" s="69">
        <v>0.36</v>
      </c>
    </row>
    <row r="8276" spans="6:8">
      <c r="F8276" s="68" t="s">
        <v>124</v>
      </c>
      <c r="G8276" s="67" t="s">
        <v>453</v>
      </c>
      <c r="H8276" s="69">
        <v>-0.15</v>
      </c>
    </row>
    <row r="8277" spans="6:8">
      <c r="F8277" s="68" t="s">
        <v>123</v>
      </c>
      <c r="G8277" s="67" t="s">
        <v>453</v>
      </c>
      <c r="H8277" s="69">
        <v>-0.5</v>
      </c>
    </row>
    <row r="8278" spans="6:8">
      <c r="F8278" s="68" t="s">
        <v>122</v>
      </c>
      <c r="G8278" s="67" t="s">
        <v>453</v>
      </c>
      <c r="H8278" s="69">
        <v>-0.35</v>
      </c>
    </row>
    <row r="8279" spans="6:8">
      <c r="F8279" s="68" t="s">
        <v>420</v>
      </c>
      <c r="G8279" s="67" t="s">
        <v>453</v>
      </c>
      <c r="H8279" s="69">
        <v>3.5582006040342229</v>
      </c>
    </row>
    <row r="8280" spans="6:8">
      <c r="F8280" s="68" t="s">
        <v>251</v>
      </c>
      <c r="G8280" s="67" t="s">
        <v>453</v>
      </c>
      <c r="H8280" s="69">
        <v>0.26</v>
      </c>
    </row>
    <row r="8281" spans="6:8">
      <c r="F8281" s="68" t="s">
        <v>121</v>
      </c>
      <c r="G8281" s="67" t="s">
        <v>453</v>
      </c>
      <c r="H8281" s="69">
        <v>-0.3</v>
      </c>
    </row>
    <row r="8282" spans="6:8">
      <c r="F8282" s="68" t="s">
        <v>120</v>
      </c>
      <c r="G8282" s="67" t="s">
        <v>453</v>
      </c>
      <c r="H8282" s="69">
        <v>-0.4</v>
      </c>
    </row>
    <row r="8283" spans="6:8">
      <c r="F8283" s="68" t="s">
        <v>119</v>
      </c>
      <c r="G8283" s="67" t="s">
        <v>453</v>
      </c>
      <c r="H8283" s="69">
        <v>-0.35</v>
      </c>
    </row>
    <row r="8284" spans="6:8">
      <c r="F8284" s="68" t="s">
        <v>119</v>
      </c>
      <c r="G8284" s="67" t="s">
        <v>454</v>
      </c>
      <c r="H8284" s="69">
        <v>-0.35</v>
      </c>
    </row>
    <row r="8285" spans="6:8">
      <c r="F8285" s="68" t="s">
        <v>120</v>
      </c>
      <c r="G8285" s="67" t="s">
        <v>454</v>
      </c>
      <c r="H8285" s="69">
        <v>-0.4</v>
      </c>
    </row>
    <row r="8286" spans="6:8">
      <c r="F8286" s="68" t="s">
        <v>121</v>
      </c>
      <c r="G8286" s="67" t="s">
        <v>454</v>
      </c>
      <c r="H8286" s="69">
        <v>-0.3</v>
      </c>
    </row>
    <row r="8287" spans="6:8">
      <c r="F8287" s="68" t="s">
        <v>251</v>
      </c>
      <c r="G8287" s="67" t="s">
        <v>454</v>
      </c>
      <c r="H8287" s="69">
        <v>0.26</v>
      </c>
    </row>
    <row r="8288" spans="6:8">
      <c r="F8288" s="68" t="s">
        <v>420</v>
      </c>
      <c r="G8288" s="67" t="s">
        <v>454</v>
      </c>
      <c r="H8288" s="69">
        <v>3.5163998212649705</v>
      </c>
    </row>
    <row r="8289" spans="6:8">
      <c r="F8289" s="68" t="s">
        <v>122</v>
      </c>
      <c r="G8289" s="67" t="s">
        <v>454</v>
      </c>
      <c r="H8289" s="69">
        <v>-0.35</v>
      </c>
    </row>
    <row r="8290" spans="6:8">
      <c r="F8290" s="68" t="s">
        <v>123</v>
      </c>
      <c r="G8290" s="67" t="s">
        <v>454</v>
      </c>
      <c r="H8290" s="69">
        <v>-0.5</v>
      </c>
    </row>
    <row r="8291" spans="6:8">
      <c r="F8291" s="68" t="s">
        <v>124</v>
      </c>
      <c r="G8291" s="67" t="s">
        <v>454</v>
      </c>
      <c r="H8291" s="69">
        <v>-0.15</v>
      </c>
    </row>
    <row r="8292" spans="6:8">
      <c r="F8292" s="68" t="s">
        <v>252</v>
      </c>
      <c r="G8292" s="67" t="s">
        <v>454</v>
      </c>
      <c r="H8292" s="69">
        <v>0.36</v>
      </c>
    </row>
    <row r="8293" spans="6:8">
      <c r="F8293" s="68" t="s">
        <v>314</v>
      </c>
      <c r="G8293" s="67" t="s">
        <v>454</v>
      </c>
      <c r="H8293" s="69">
        <v>-0.1</v>
      </c>
    </row>
    <row r="8294" spans="6:8">
      <c r="F8294" s="68" t="s">
        <v>125</v>
      </c>
      <c r="G8294" s="67" t="s">
        <v>454</v>
      </c>
      <c r="H8294" s="69">
        <v>-0.2</v>
      </c>
    </row>
    <row r="8295" spans="6:8">
      <c r="F8295" s="68" t="s">
        <v>126</v>
      </c>
      <c r="G8295" s="67" t="s">
        <v>454</v>
      </c>
      <c r="H8295" s="69">
        <v>-0.4</v>
      </c>
    </row>
    <row r="8296" spans="6:8">
      <c r="F8296" s="68" t="s">
        <v>127</v>
      </c>
      <c r="G8296" s="67" t="s">
        <v>454</v>
      </c>
      <c r="H8296" s="69">
        <v>-0.15</v>
      </c>
    </row>
    <row r="8297" spans="6:8">
      <c r="F8297" s="68" t="s">
        <v>253</v>
      </c>
      <c r="G8297" s="67" t="s">
        <v>454</v>
      </c>
      <c r="H8297" s="69">
        <v>0.48</v>
      </c>
    </row>
    <row r="8298" spans="6:8">
      <c r="F8298" s="68" t="s">
        <v>315</v>
      </c>
      <c r="G8298" s="67" t="s">
        <v>454</v>
      </c>
      <c r="H8298" s="69">
        <v>-0.05</v>
      </c>
    </row>
    <row r="8299" spans="6:8">
      <c r="F8299" s="68" t="s">
        <v>128</v>
      </c>
      <c r="G8299" s="67" t="s">
        <v>454</v>
      </c>
      <c r="H8299" s="69">
        <v>-0.35</v>
      </c>
    </row>
    <row r="8300" spans="6:8">
      <c r="F8300" s="68" t="s">
        <v>129</v>
      </c>
      <c r="G8300" s="67" t="s">
        <v>454</v>
      </c>
      <c r="H8300" s="69">
        <v>-0.25</v>
      </c>
    </row>
    <row r="8301" spans="6:8">
      <c r="F8301" s="68" t="s">
        <v>254</v>
      </c>
      <c r="G8301" s="67" t="s">
        <v>454</v>
      </c>
      <c r="H8301" s="69">
        <v>0.67</v>
      </c>
    </row>
    <row r="8302" spans="6:8">
      <c r="F8302" s="68" t="s">
        <v>304</v>
      </c>
      <c r="G8302" s="67" t="s">
        <v>454</v>
      </c>
      <c r="H8302" s="69">
        <v>17.0625</v>
      </c>
    </row>
    <row r="8303" spans="6:8">
      <c r="F8303" s="68" t="s">
        <v>421</v>
      </c>
      <c r="G8303" s="67" t="s">
        <v>454</v>
      </c>
      <c r="H8303" s="69">
        <v>2.5909575792609107</v>
      </c>
    </row>
    <row r="8304" spans="6:8">
      <c r="F8304" s="68" t="s">
        <v>130</v>
      </c>
      <c r="G8304" s="67" t="s">
        <v>454</v>
      </c>
      <c r="H8304" s="69">
        <v>-0.45</v>
      </c>
    </row>
    <row r="8305" spans="6:8">
      <c r="F8305" s="68" t="s">
        <v>131</v>
      </c>
      <c r="G8305" s="67" t="s">
        <v>454</v>
      </c>
      <c r="H8305" s="69">
        <v>-0.3</v>
      </c>
    </row>
    <row r="8306" spans="6:8">
      <c r="F8306" s="68" t="s">
        <v>255</v>
      </c>
      <c r="G8306" s="67" t="s">
        <v>454</v>
      </c>
      <c r="H8306" s="69">
        <v>0.89</v>
      </c>
    </row>
    <row r="8307" spans="6:8">
      <c r="F8307" s="68" t="s">
        <v>303</v>
      </c>
      <c r="G8307" s="67" t="s">
        <v>454</v>
      </c>
      <c r="H8307" s="69">
        <v>18.5</v>
      </c>
    </row>
    <row r="8308" spans="6:8">
      <c r="F8308" s="68" t="s">
        <v>422</v>
      </c>
      <c r="G8308" s="67" t="s">
        <v>454</v>
      </c>
      <c r="H8308" s="69">
        <v>2.5966259581593931</v>
      </c>
    </row>
    <row r="8309" spans="6:8">
      <c r="F8309" s="68" t="s">
        <v>132</v>
      </c>
      <c r="G8309" s="67" t="s">
        <v>454</v>
      </c>
      <c r="H8309" s="69">
        <v>-0.4</v>
      </c>
    </row>
    <row r="8310" spans="6:8">
      <c r="F8310" s="68" t="s">
        <v>133</v>
      </c>
      <c r="G8310" s="67" t="s">
        <v>454</v>
      </c>
      <c r="H8310" s="69">
        <v>-0.35</v>
      </c>
    </row>
    <row r="8311" spans="6:8">
      <c r="F8311" s="68" t="s">
        <v>256</v>
      </c>
      <c r="G8311" s="67" t="s">
        <v>454</v>
      </c>
      <c r="H8311" s="69">
        <v>1.03</v>
      </c>
    </row>
    <row r="8312" spans="6:8">
      <c r="F8312" s="68" t="s">
        <v>423</v>
      </c>
      <c r="G8312" s="67" t="s">
        <v>454</v>
      </c>
      <c r="H8312" s="69">
        <v>2.648318164582486</v>
      </c>
    </row>
    <row r="8313" spans="6:8">
      <c r="F8313" s="68" t="s">
        <v>134</v>
      </c>
      <c r="G8313" s="67" t="s">
        <v>454</v>
      </c>
      <c r="H8313" s="69">
        <v>-0.4</v>
      </c>
    </row>
    <row r="8314" spans="6:8">
      <c r="F8314" s="68" t="s">
        <v>135</v>
      </c>
      <c r="G8314" s="67" t="s">
        <v>454</v>
      </c>
      <c r="H8314" s="69">
        <v>-0.35</v>
      </c>
    </row>
    <row r="8315" spans="6:8">
      <c r="F8315" s="68" t="s">
        <v>257</v>
      </c>
      <c r="G8315" s="67" t="s">
        <v>454</v>
      </c>
      <c r="H8315" s="69">
        <v>1.08</v>
      </c>
    </row>
    <row r="8316" spans="6:8">
      <c r="F8316" s="68" t="s">
        <v>258</v>
      </c>
      <c r="G8316" s="67" t="s">
        <v>454</v>
      </c>
      <c r="H8316" s="69">
        <v>0.14000000000000001</v>
      </c>
    </row>
    <row r="8317" spans="6:8">
      <c r="F8317" s="68" t="s">
        <v>424</v>
      </c>
      <c r="G8317" s="67" t="s">
        <v>454</v>
      </c>
      <c r="H8317" s="69">
        <v>3.3496757943289879</v>
      </c>
    </row>
    <row r="8318" spans="6:8">
      <c r="F8318" s="68" t="s">
        <v>136</v>
      </c>
      <c r="G8318" s="67" t="s">
        <v>454</v>
      </c>
      <c r="H8318" s="69">
        <v>-0.4</v>
      </c>
    </row>
    <row r="8319" spans="6:8">
      <c r="F8319" s="68" t="s">
        <v>137</v>
      </c>
      <c r="G8319" s="67" t="s">
        <v>454</v>
      </c>
      <c r="H8319" s="69">
        <v>-0.45</v>
      </c>
    </row>
    <row r="8320" spans="6:8">
      <c r="F8320" s="68" t="s">
        <v>138</v>
      </c>
      <c r="G8320" s="67" t="s">
        <v>454</v>
      </c>
      <c r="H8320" s="69">
        <v>-0.35</v>
      </c>
    </row>
    <row r="8321" spans="6:8">
      <c r="F8321" s="68" t="s">
        <v>259</v>
      </c>
      <c r="G8321" s="67" t="s">
        <v>454</v>
      </c>
      <c r="H8321" s="69">
        <v>0.17</v>
      </c>
    </row>
    <row r="8322" spans="6:8">
      <c r="F8322" s="68" t="s">
        <v>425</v>
      </c>
      <c r="G8322" s="67" t="s">
        <v>454</v>
      </c>
      <c r="H8322" s="69">
        <v>3.3441878445577</v>
      </c>
    </row>
    <row r="8323" spans="6:8">
      <c r="F8323" s="68" t="s">
        <v>425</v>
      </c>
      <c r="G8323" s="67" t="s">
        <v>455</v>
      </c>
      <c r="H8323" s="69">
        <v>3.3400814159277203</v>
      </c>
    </row>
    <row r="8324" spans="6:8">
      <c r="F8324" s="68" t="s">
        <v>259</v>
      </c>
      <c r="G8324" s="67" t="s">
        <v>455</v>
      </c>
      <c r="H8324" s="69">
        <v>0.17</v>
      </c>
    </row>
    <row r="8325" spans="6:8">
      <c r="F8325" s="68" t="s">
        <v>138</v>
      </c>
      <c r="G8325" s="67" t="s">
        <v>455</v>
      </c>
      <c r="H8325" s="69">
        <v>-0.35</v>
      </c>
    </row>
    <row r="8326" spans="6:8">
      <c r="F8326" s="68" t="s">
        <v>137</v>
      </c>
      <c r="G8326" s="67" t="s">
        <v>455</v>
      </c>
      <c r="H8326" s="69">
        <v>-0.45</v>
      </c>
    </row>
    <row r="8327" spans="6:8">
      <c r="F8327" s="68" t="s">
        <v>136</v>
      </c>
      <c r="G8327" s="67" t="s">
        <v>455</v>
      </c>
      <c r="H8327" s="69">
        <v>-0.4</v>
      </c>
    </row>
    <row r="8328" spans="6:8">
      <c r="F8328" s="68" t="s">
        <v>424</v>
      </c>
      <c r="G8328" s="67" t="s">
        <v>455</v>
      </c>
      <c r="H8328" s="69">
        <v>3.3474053175938323</v>
      </c>
    </row>
    <row r="8329" spans="6:8">
      <c r="F8329" s="68" t="s">
        <v>258</v>
      </c>
      <c r="G8329" s="67" t="s">
        <v>455</v>
      </c>
      <c r="H8329" s="69">
        <v>0.14000000000000001</v>
      </c>
    </row>
    <row r="8330" spans="6:8">
      <c r="F8330" s="68" t="s">
        <v>257</v>
      </c>
      <c r="G8330" s="67" t="s">
        <v>455</v>
      </c>
      <c r="H8330" s="69">
        <v>1.08</v>
      </c>
    </row>
    <row r="8331" spans="6:8">
      <c r="F8331" s="68" t="s">
        <v>135</v>
      </c>
      <c r="G8331" s="67" t="s">
        <v>455</v>
      </c>
      <c r="H8331" s="69">
        <v>-0.35</v>
      </c>
    </row>
    <row r="8332" spans="6:8">
      <c r="F8332" s="68" t="s">
        <v>134</v>
      </c>
      <c r="G8332" s="67" t="s">
        <v>455</v>
      </c>
      <c r="H8332" s="69">
        <v>-0.4</v>
      </c>
    </row>
    <row r="8333" spans="6:8">
      <c r="F8333" s="68" t="s">
        <v>423</v>
      </c>
      <c r="G8333" s="67" t="s">
        <v>455</v>
      </c>
      <c r="H8333" s="69">
        <v>2.6442661575000415</v>
      </c>
    </row>
    <row r="8334" spans="6:8">
      <c r="F8334" s="68" t="s">
        <v>256</v>
      </c>
      <c r="G8334" s="67" t="s">
        <v>455</v>
      </c>
      <c r="H8334" s="69">
        <v>1.03</v>
      </c>
    </row>
    <row r="8335" spans="6:8">
      <c r="F8335" s="68" t="s">
        <v>133</v>
      </c>
      <c r="G8335" s="67" t="s">
        <v>455</v>
      </c>
      <c r="H8335" s="69">
        <v>-0.35</v>
      </c>
    </row>
    <row r="8336" spans="6:8">
      <c r="F8336" s="68" t="s">
        <v>132</v>
      </c>
      <c r="G8336" s="67" t="s">
        <v>455</v>
      </c>
      <c r="H8336" s="69">
        <v>-0.4</v>
      </c>
    </row>
    <row r="8337" spans="6:8">
      <c r="F8337" s="68" t="s">
        <v>422</v>
      </c>
      <c r="G8337" s="67" t="s">
        <v>455</v>
      </c>
      <c r="H8337" s="69">
        <v>2.5920638867840129</v>
      </c>
    </row>
    <row r="8338" spans="6:8">
      <c r="F8338" s="68" t="s">
        <v>303</v>
      </c>
      <c r="G8338" s="67" t="s">
        <v>455</v>
      </c>
      <c r="H8338" s="69">
        <v>18.5</v>
      </c>
    </row>
    <row r="8339" spans="6:8">
      <c r="F8339" s="68" t="s">
        <v>255</v>
      </c>
      <c r="G8339" s="67" t="s">
        <v>455</v>
      </c>
      <c r="H8339" s="69">
        <v>0.89</v>
      </c>
    </row>
    <row r="8340" spans="6:8">
      <c r="F8340" s="68" t="s">
        <v>131</v>
      </c>
      <c r="G8340" s="67" t="s">
        <v>455</v>
      </c>
      <c r="H8340" s="69">
        <v>-0.3</v>
      </c>
    </row>
    <row r="8341" spans="6:8">
      <c r="F8341" s="68" t="s">
        <v>130</v>
      </c>
      <c r="G8341" s="67" t="s">
        <v>455</v>
      </c>
      <c r="H8341" s="69">
        <v>-0.45</v>
      </c>
    </row>
    <row r="8342" spans="6:8">
      <c r="F8342" s="68" t="s">
        <v>421</v>
      </c>
      <c r="G8342" s="67" t="s">
        <v>455</v>
      </c>
      <c r="H8342" s="69">
        <v>2.5863777404981914</v>
      </c>
    </row>
    <row r="8343" spans="6:8">
      <c r="F8343" s="68" t="s">
        <v>304</v>
      </c>
      <c r="G8343" s="67" t="s">
        <v>455</v>
      </c>
      <c r="H8343" s="69">
        <v>17.0625</v>
      </c>
    </row>
    <row r="8344" spans="6:8">
      <c r="F8344" s="68" t="s">
        <v>254</v>
      </c>
      <c r="G8344" s="67" t="s">
        <v>455</v>
      </c>
      <c r="H8344" s="69">
        <v>0.67</v>
      </c>
    </row>
    <row r="8345" spans="6:8">
      <c r="F8345" s="68" t="s">
        <v>129</v>
      </c>
      <c r="G8345" s="67" t="s">
        <v>455</v>
      </c>
      <c r="H8345" s="69">
        <v>-0.25</v>
      </c>
    </row>
    <row r="8346" spans="6:8">
      <c r="F8346" s="68" t="s">
        <v>128</v>
      </c>
      <c r="G8346" s="67" t="s">
        <v>455</v>
      </c>
      <c r="H8346" s="69">
        <v>-0.35</v>
      </c>
    </row>
    <row r="8347" spans="6:8">
      <c r="F8347" s="68" t="s">
        <v>315</v>
      </c>
      <c r="G8347" s="67" t="s">
        <v>455</v>
      </c>
      <c r="H8347" s="69">
        <v>-0.05</v>
      </c>
    </row>
    <row r="8348" spans="6:8">
      <c r="F8348" s="68" t="s">
        <v>253</v>
      </c>
      <c r="G8348" s="67" t="s">
        <v>455</v>
      </c>
      <c r="H8348" s="69">
        <v>0.48</v>
      </c>
    </row>
    <row r="8349" spans="6:8">
      <c r="F8349" s="68" t="s">
        <v>127</v>
      </c>
      <c r="G8349" s="67" t="s">
        <v>455</v>
      </c>
      <c r="H8349" s="69">
        <v>-0.15</v>
      </c>
    </row>
    <row r="8350" spans="6:8">
      <c r="F8350" s="68" t="s">
        <v>126</v>
      </c>
      <c r="G8350" s="67" t="s">
        <v>455</v>
      </c>
      <c r="H8350" s="69">
        <v>-0.4</v>
      </c>
    </row>
    <row r="8351" spans="6:8">
      <c r="F8351" s="68" t="s">
        <v>125</v>
      </c>
      <c r="G8351" s="67" t="s">
        <v>455</v>
      </c>
      <c r="H8351" s="69">
        <v>-0.2</v>
      </c>
    </row>
    <row r="8352" spans="6:8">
      <c r="F8352" s="68" t="s">
        <v>314</v>
      </c>
      <c r="G8352" s="67" t="s">
        <v>455</v>
      </c>
      <c r="H8352" s="69">
        <v>-0.1</v>
      </c>
    </row>
    <row r="8353" spans="6:8">
      <c r="F8353" s="68" t="s">
        <v>252</v>
      </c>
      <c r="G8353" s="67" t="s">
        <v>455</v>
      </c>
      <c r="H8353" s="69">
        <v>0.36</v>
      </c>
    </row>
    <row r="8354" spans="6:8">
      <c r="F8354" s="68" t="s">
        <v>124</v>
      </c>
      <c r="G8354" s="67" t="s">
        <v>455</v>
      </c>
      <c r="H8354" s="69">
        <v>-0.15</v>
      </c>
    </row>
    <row r="8355" spans="6:8">
      <c r="F8355" s="68" t="s">
        <v>123</v>
      </c>
      <c r="G8355" s="67" t="s">
        <v>455</v>
      </c>
      <c r="H8355" s="69">
        <v>-0.5</v>
      </c>
    </row>
    <row r="8356" spans="6:8">
      <c r="F8356" s="68" t="s">
        <v>122</v>
      </c>
      <c r="G8356" s="67" t="s">
        <v>455</v>
      </c>
      <c r="H8356" s="69">
        <v>-0.35</v>
      </c>
    </row>
    <row r="8357" spans="6:8">
      <c r="F8357" s="68" t="s">
        <v>420</v>
      </c>
      <c r="G8357" s="67" t="s">
        <v>455</v>
      </c>
      <c r="H8357" s="69">
        <v>3.5181082868119606</v>
      </c>
    </row>
    <row r="8358" spans="6:8">
      <c r="F8358" s="68" t="s">
        <v>251</v>
      </c>
      <c r="G8358" s="67" t="s">
        <v>455</v>
      </c>
      <c r="H8358" s="69">
        <v>0.26</v>
      </c>
    </row>
    <row r="8359" spans="6:8">
      <c r="F8359" s="68" t="s">
        <v>121</v>
      </c>
      <c r="G8359" s="67" t="s">
        <v>455</v>
      </c>
      <c r="H8359" s="69">
        <v>-0.3</v>
      </c>
    </row>
    <row r="8360" spans="6:8">
      <c r="F8360" s="68" t="s">
        <v>120</v>
      </c>
      <c r="G8360" s="67" t="s">
        <v>455</v>
      </c>
      <c r="H8360" s="69">
        <v>-0.4</v>
      </c>
    </row>
    <row r="8361" spans="6:8">
      <c r="F8361" s="68" t="s">
        <v>119</v>
      </c>
      <c r="G8361" s="67" t="s">
        <v>455</v>
      </c>
      <c r="H8361" s="69">
        <v>-0.35</v>
      </c>
    </row>
    <row r="8362" spans="6:8">
      <c r="F8362" s="68" t="s">
        <v>119</v>
      </c>
      <c r="G8362" s="67" t="s">
        <v>456</v>
      </c>
      <c r="H8362" s="69">
        <v>-0.35</v>
      </c>
    </row>
    <row r="8363" spans="6:8">
      <c r="F8363" s="68" t="s">
        <v>120</v>
      </c>
      <c r="G8363" s="67" t="s">
        <v>456</v>
      </c>
      <c r="H8363" s="69">
        <v>-0.4</v>
      </c>
    </row>
    <row r="8364" spans="6:8">
      <c r="F8364" s="68" t="s">
        <v>121</v>
      </c>
      <c r="G8364" s="67" t="s">
        <v>456</v>
      </c>
      <c r="H8364" s="69">
        <v>-0.3</v>
      </c>
    </row>
    <row r="8365" spans="6:8">
      <c r="F8365" s="68" t="s">
        <v>251</v>
      </c>
      <c r="G8365" s="67" t="s">
        <v>456</v>
      </c>
      <c r="H8365" s="69">
        <v>0.26</v>
      </c>
    </row>
    <row r="8366" spans="6:8">
      <c r="F8366" s="68" t="s">
        <v>420</v>
      </c>
      <c r="G8366" s="67" t="s">
        <v>456</v>
      </c>
      <c r="H8366" s="69">
        <v>3.6230343632850381</v>
      </c>
    </row>
    <row r="8367" spans="6:8">
      <c r="F8367" s="68" t="s">
        <v>122</v>
      </c>
      <c r="G8367" s="67" t="s">
        <v>456</v>
      </c>
      <c r="H8367" s="69">
        <v>-0.35</v>
      </c>
    </row>
    <row r="8368" spans="6:8">
      <c r="F8368" s="68" t="s">
        <v>123</v>
      </c>
      <c r="G8368" s="67" t="s">
        <v>456</v>
      </c>
      <c r="H8368" s="69">
        <v>-0.5</v>
      </c>
    </row>
    <row r="8369" spans="6:8">
      <c r="F8369" s="68" t="s">
        <v>124</v>
      </c>
      <c r="G8369" s="67" t="s">
        <v>456</v>
      </c>
      <c r="H8369" s="69">
        <v>-0.15</v>
      </c>
    </row>
    <row r="8370" spans="6:8">
      <c r="F8370" s="68" t="s">
        <v>252</v>
      </c>
      <c r="G8370" s="67" t="s">
        <v>456</v>
      </c>
      <c r="H8370" s="69">
        <v>0.36</v>
      </c>
    </row>
    <row r="8371" spans="6:8">
      <c r="F8371" s="68" t="s">
        <v>314</v>
      </c>
      <c r="G8371" s="67" t="s">
        <v>456</v>
      </c>
      <c r="H8371" s="69">
        <v>-0.1</v>
      </c>
    </row>
    <row r="8372" spans="6:8">
      <c r="F8372" s="68" t="s">
        <v>125</v>
      </c>
      <c r="G8372" s="67" t="s">
        <v>456</v>
      </c>
      <c r="H8372" s="69">
        <v>-0.2</v>
      </c>
    </row>
    <row r="8373" spans="6:8">
      <c r="F8373" s="68" t="s">
        <v>126</v>
      </c>
      <c r="G8373" s="67" t="s">
        <v>456</v>
      </c>
      <c r="H8373" s="69">
        <v>-0.4</v>
      </c>
    </row>
    <row r="8374" spans="6:8">
      <c r="F8374" s="68" t="s">
        <v>127</v>
      </c>
      <c r="G8374" s="67" t="s">
        <v>456</v>
      </c>
      <c r="H8374" s="69">
        <v>-0.15</v>
      </c>
    </row>
    <row r="8375" spans="6:8">
      <c r="F8375" s="68" t="s">
        <v>253</v>
      </c>
      <c r="G8375" s="67" t="s">
        <v>456</v>
      </c>
      <c r="H8375" s="69">
        <v>0.48</v>
      </c>
    </row>
    <row r="8376" spans="6:8">
      <c r="F8376" s="68" t="s">
        <v>315</v>
      </c>
      <c r="G8376" s="67" t="s">
        <v>456</v>
      </c>
      <c r="H8376" s="69">
        <v>-0.05</v>
      </c>
    </row>
    <row r="8377" spans="6:8">
      <c r="F8377" s="68" t="s">
        <v>128</v>
      </c>
      <c r="G8377" s="67" t="s">
        <v>456</v>
      </c>
      <c r="H8377" s="69">
        <v>-0.35</v>
      </c>
    </row>
    <row r="8378" spans="6:8">
      <c r="F8378" s="68" t="s">
        <v>129</v>
      </c>
      <c r="G8378" s="67" t="s">
        <v>456</v>
      </c>
      <c r="H8378" s="69">
        <v>-0.25</v>
      </c>
    </row>
    <row r="8379" spans="6:8">
      <c r="F8379" s="68" t="s">
        <v>254</v>
      </c>
      <c r="G8379" s="67" t="s">
        <v>456</v>
      </c>
      <c r="H8379" s="69">
        <v>0.67</v>
      </c>
    </row>
    <row r="8380" spans="6:8">
      <c r="F8380" s="68" t="s">
        <v>304</v>
      </c>
      <c r="G8380" s="67" t="s">
        <v>456</v>
      </c>
      <c r="H8380" s="69">
        <v>17.1875</v>
      </c>
    </row>
    <row r="8381" spans="6:8">
      <c r="F8381" s="68" t="s">
        <v>421</v>
      </c>
      <c r="G8381" s="67" t="s">
        <v>456</v>
      </c>
      <c r="H8381" s="69">
        <v>2.6695982541045549</v>
      </c>
    </row>
    <row r="8382" spans="6:8">
      <c r="F8382" s="68" t="s">
        <v>130</v>
      </c>
      <c r="G8382" s="67" t="s">
        <v>456</v>
      </c>
      <c r="H8382" s="69">
        <v>-0.45</v>
      </c>
    </row>
    <row r="8383" spans="6:8">
      <c r="F8383" s="68" t="s">
        <v>131</v>
      </c>
      <c r="G8383" s="67" t="s">
        <v>456</v>
      </c>
      <c r="H8383" s="69">
        <v>-0.3</v>
      </c>
    </row>
    <row r="8384" spans="6:8">
      <c r="F8384" s="68" t="s">
        <v>255</v>
      </c>
      <c r="G8384" s="67" t="s">
        <v>456</v>
      </c>
      <c r="H8384" s="69">
        <v>0.89</v>
      </c>
    </row>
    <row r="8385" spans="6:8">
      <c r="F8385" s="68" t="s">
        <v>303</v>
      </c>
      <c r="G8385" s="67" t="s">
        <v>456</v>
      </c>
      <c r="H8385" s="69">
        <v>18.625</v>
      </c>
    </row>
    <row r="8386" spans="6:8">
      <c r="F8386" s="68" t="s">
        <v>422</v>
      </c>
      <c r="G8386" s="67" t="s">
        <v>456</v>
      </c>
      <c r="H8386" s="69">
        <v>2.6754253575508535</v>
      </c>
    </row>
    <row r="8387" spans="6:8">
      <c r="F8387" s="68" t="s">
        <v>132</v>
      </c>
      <c r="G8387" s="67" t="s">
        <v>456</v>
      </c>
      <c r="H8387" s="69">
        <v>-0.4</v>
      </c>
    </row>
    <row r="8388" spans="6:8">
      <c r="F8388" s="68" t="s">
        <v>133</v>
      </c>
      <c r="G8388" s="67" t="s">
        <v>456</v>
      </c>
      <c r="H8388" s="69">
        <v>-0.35</v>
      </c>
    </row>
    <row r="8389" spans="6:8">
      <c r="F8389" s="68" t="s">
        <v>256</v>
      </c>
      <c r="G8389" s="67" t="s">
        <v>456</v>
      </c>
      <c r="H8389" s="69">
        <v>1.03</v>
      </c>
    </row>
    <row r="8390" spans="6:8">
      <c r="F8390" s="68" t="s">
        <v>423</v>
      </c>
      <c r="G8390" s="67" t="s">
        <v>456</v>
      </c>
      <c r="H8390" s="69">
        <v>2.7491400542692723</v>
      </c>
    </row>
    <row r="8391" spans="6:8">
      <c r="F8391" s="68" t="s">
        <v>134</v>
      </c>
      <c r="G8391" s="67" t="s">
        <v>456</v>
      </c>
      <c r="H8391" s="69">
        <v>-0.4</v>
      </c>
    </row>
    <row r="8392" spans="6:8">
      <c r="F8392" s="68" t="s">
        <v>135</v>
      </c>
      <c r="G8392" s="67" t="s">
        <v>456</v>
      </c>
      <c r="H8392" s="69">
        <v>-0.35</v>
      </c>
    </row>
    <row r="8393" spans="6:8">
      <c r="F8393" s="68" t="s">
        <v>257</v>
      </c>
      <c r="G8393" s="67" t="s">
        <v>456</v>
      </c>
      <c r="H8393" s="69">
        <v>1.08</v>
      </c>
    </row>
    <row r="8394" spans="6:8">
      <c r="F8394" s="68" t="s">
        <v>258</v>
      </c>
      <c r="G8394" s="67" t="s">
        <v>456</v>
      </c>
      <c r="H8394" s="69">
        <v>0.14000000000000001</v>
      </c>
    </row>
    <row r="8395" spans="6:8">
      <c r="F8395" s="68" t="s">
        <v>424</v>
      </c>
      <c r="G8395" s="67" t="s">
        <v>456</v>
      </c>
      <c r="H8395" s="69">
        <v>3.4581742818386996</v>
      </c>
    </row>
    <row r="8396" spans="6:8">
      <c r="F8396" s="68" t="s">
        <v>136</v>
      </c>
      <c r="G8396" s="67" t="s">
        <v>456</v>
      </c>
      <c r="H8396" s="69">
        <v>-0.4</v>
      </c>
    </row>
    <row r="8397" spans="6:8">
      <c r="F8397" s="68" t="s">
        <v>137</v>
      </c>
      <c r="G8397" s="67" t="s">
        <v>456</v>
      </c>
      <c r="H8397" s="69">
        <v>-0.45</v>
      </c>
    </row>
    <row r="8398" spans="6:8">
      <c r="F8398" s="68" t="s">
        <v>138</v>
      </c>
      <c r="G8398" s="67" t="s">
        <v>456</v>
      </c>
      <c r="H8398" s="69">
        <v>-0.35</v>
      </c>
    </row>
    <row r="8399" spans="6:8">
      <c r="F8399" s="68" t="s">
        <v>259</v>
      </c>
      <c r="G8399" s="67" t="s">
        <v>456</v>
      </c>
      <c r="H8399" s="69">
        <v>0.17</v>
      </c>
    </row>
    <row r="8400" spans="6:8">
      <c r="F8400" s="68" t="s">
        <v>425</v>
      </c>
      <c r="G8400" s="67" t="s">
        <v>456</v>
      </c>
      <c r="H8400" s="69">
        <v>3.4513161249939639</v>
      </c>
    </row>
    <row r="8401" spans="6:8">
      <c r="F8401" s="68" t="s">
        <v>425</v>
      </c>
      <c r="G8401" s="67" t="s">
        <v>457</v>
      </c>
      <c r="H8401" s="69">
        <v>3.5263257970919337</v>
      </c>
    </row>
    <row r="8402" spans="6:8">
      <c r="F8402" s="68" t="s">
        <v>259</v>
      </c>
      <c r="G8402" s="67" t="s">
        <v>457</v>
      </c>
      <c r="H8402" s="69">
        <v>0.17</v>
      </c>
    </row>
    <row r="8403" spans="6:8">
      <c r="F8403" s="68" t="s">
        <v>138</v>
      </c>
      <c r="G8403" s="67" t="s">
        <v>457</v>
      </c>
      <c r="H8403" s="69">
        <v>-0.35</v>
      </c>
    </row>
    <row r="8404" spans="6:8">
      <c r="F8404" s="68" t="s">
        <v>137</v>
      </c>
      <c r="G8404" s="67" t="s">
        <v>457</v>
      </c>
      <c r="H8404" s="69">
        <v>-0.45</v>
      </c>
    </row>
    <row r="8405" spans="6:8">
      <c r="F8405" s="68" t="s">
        <v>136</v>
      </c>
      <c r="G8405" s="67" t="s">
        <v>457</v>
      </c>
      <c r="H8405" s="69">
        <v>-0.4</v>
      </c>
    </row>
    <row r="8406" spans="6:8">
      <c r="F8406" s="68" t="s">
        <v>424</v>
      </c>
      <c r="G8406" s="67" t="s">
        <v>457</v>
      </c>
      <c r="H8406" s="69">
        <v>3.5281610969686295</v>
      </c>
    </row>
    <row r="8407" spans="6:8">
      <c r="F8407" s="68" t="s">
        <v>258</v>
      </c>
      <c r="G8407" s="67" t="s">
        <v>457</v>
      </c>
      <c r="H8407" s="69">
        <v>0.14000000000000001</v>
      </c>
    </row>
    <row r="8408" spans="6:8">
      <c r="F8408" s="68" t="s">
        <v>257</v>
      </c>
      <c r="G8408" s="67" t="s">
        <v>457</v>
      </c>
      <c r="H8408" s="69">
        <v>1.08</v>
      </c>
    </row>
    <row r="8409" spans="6:8">
      <c r="F8409" s="68" t="s">
        <v>135</v>
      </c>
      <c r="G8409" s="67" t="s">
        <v>457</v>
      </c>
      <c r="H8409" s="69">
        <v>-0.35</v>
      </c>
    </row>
    <row r="8410" spans="6:8">
      <c r="F8410" s="68" t="s">
        <v>134</v>
      </c>
      <c r="G8410" s="67" t="s">
        <v>457</v>
      </c>
      <c r="H8410" s="69">
        <v>-0.4</v>
      </c>
    </row>
    <row r="8411" spans="6:8">
      <c r="F8411" s="68" t="s">
        <v>423</v>
      </c>
      <c r="G8411" s="67" t="s">
        <v>457</v>
      </c>
      <c r="H8411" s="69">
        <v>2.8277089314254322</v>
      </c>
    </row>
    <row r="8412" spans="6:8">
      <c r="F8412" s="68" t="s">
        <v>256</v>
      </c>
      <c r="G8412" s="67" t="s">
        <v>457</v>
      </c>
      <c r="H8412" s="69">
        <v>1.03</v>
      </c>
    </row>
    <row r="8413" spans="6:8">
      <c r="F8413" s="68" t="s">
        <v>133</v>
      </c>
      <c r="G8413" s="67" t="s">
        <v>457</v>
      </c>
      <c r="H8413" s="69">
        <v>-0.35</v>
      </c>
    </row>
    <row r="8414" spans="6:8">
      <c r="F8414" s="68" t="s">
        <v>132</v>
      </c>
      <c r="G8414" s="67" t="s">
        <v>457</v>
      </c>
      <c r="H8414" s="69">
        <v>-0.4</v>
      </c>
    </row>
    <row r="8415" spans="6:8">
      <c r="F8415" s="68" t="s">
        <v>422</v>
      </c>
      <c r="G8415" s="67" t="s">
        <v>457</v>
      </c>
      <c r="H8415" s="69">
        <v>2.7304333130998781</v>
      </c>
    </row>
    <row r="8416" spans="6:8">
      <c r="F8416" s="68" t="s">
        <v>303</v>
      </c>
      <c r="G8416" s="67" t="s">
        <v>457</v>
      </c>
      <c r="H8416" s="69">
        <v>18.5625</v>
      </c>
    </row>
    <row r="8417" spans="6:8">
      <c r="F8417" s="68" t="s">
        <v>255</v>
      </c>
      <c r="G8417" s="67" t="s">
        <v>457</v>
      </c>
      <c r="H8417" s="69">
        <v>0.89</v>
      </c>
    </row>
    <row r="8418" spans="6:8">
      <c r="F8418" s="68" t="s">
        <v>131</v>
      </c>
      <c r="G8418" s="67" t="s">
        <v>457</v>
      </c>
      <c r="H8418" s="69">
        <v>-0.3</v>
      </c>
    </row>
    <row r="8419" spans="6:8">
      <c r="F8419" s="68" t="s">
        <v>130</v>
      </c>
      <c r="G8419" s="67" t="s">
        <v>457</v>
      </c>
      <c r="H8419" s="69">
        <v>-0.45</v>
      </c>
    </row>
    <row r="8420" spans="6:8">
      <c r="F8420" s="68" t="s">
        <v>421</v>
      </c>
      <c r="G8420" s="67" t="s">
        <v>457</v>
      </c>
      <c r="H8420" s="69">
        <v>2.7246954590562922</v>
      </c>
    </row>
    <row r="8421" spans="6:8">
      <c r="F8421" s="68" t="s">
        <v>304</v>
      </c>
      <c r="G8421" s="67" t="s">
        <v>457</v>
      </c>
      <c r="H8421" s="69">
        <v>17.1875</v>
      </c>
    </row>
    <row r="8422" spans="6:8">
      <c r="F8422" s="68" t="s">
        <v>254</v>
      </c>
      <c r="G8422" s="67" t="s">
        <v>457</v>
      </c>
      <c r="H8422" s="69">
        <v>0.67</v>
      </c>
    </row>
    <row r="8423" spans="6:8">
      <c r="F8423" s="68" t="s">
        <v>129</v>
      </c>
      <c r="G8423" s="67" t="s">
        <v>457</v>
      </c>
      <c r="H8423" s="69">
        <v>-0.25</v>
      </c>
    </row>
    <row r="8424" spans="6:8">
      <c r="F8424" s="68" t="s">
        <v>128</v>
      </c>
      <c r="G8424" s="67" t="s">
        <v>457</v>
      </c>
      <c r="H8424" s="69">
        <v>-0.35</v>
      </c>
    </row>
    <row r="8425" spans="6:8">
      <c r="F8425" s="68" t="s">
        <v>315</v>
      </c>
      <c r="G8425" s="67" t="s">
        <v>457</v>
      </c>
      <c r="H8425" s="69">
        <v>-0.05</v>
      </c>
    </row>
    <row r="8426" spans="6:8">
      <c r="F8426" s="68" t="s">
        <v>253</v>
      </c>
      <c r="G8426" s="67" t="s">
        <v>457</v>
      </c>
      <c r="H8426" s="69">
        <v>0.48</v>
      </c>
    </row>
    <row r="8427" spans="6:8">
      <c r="F8427" s="68" t="s">
        <v>127</v>
      </c>
      <c r="G8427" s="67" t="s">
        <v>457</v>
      </c>
      <c r="H8427" s="69">
        <v>-0.15</v>
      </c>
    </row>
    <row r="8428" spans="6:8">
      <c r="F8428" s="68" t="s">
        <v>126</v>
      </c>
      <c r="G8428" s="67" t="s">
        <v>457</v>
      </c>
      <c r="H8428" s="69">
        <v>-0.4</v>
      </c>
    </row>
    <row r="8429" spans="6:8">
      <c r="F8429" s="68" t="s">
        <v>125</v>
      </c>
      <c r="G8429" s="67" t="s">
        <v>457</v>
      </c>
      <c r="H8429" s="69">
        <v>-0.2</v>
      </c>
    </row>
    <row r="8430" spans="6:8">
      <c r="F8430" s="68" t="s">
        <v>314</v>
      </c>
      <c r="G8430" s="67" t="s">
        <v>457</v>
      </c>
      <c r="H8430" s="69">
        <v>-0.1</v>
      </c>
    </row>
    <row r="8431" spans="6:8">
      <c r="F8431" s="68" t="s">
        <v>252</v>
      </c>
      <c r="G8431" s="67" t="s">
        <v>457</v>
      </c>
      <c r="H8431" s="69">
        <v>0.36</v>
      </c>
    </row>
    <row r="8432" spans="6:8">
      <c r="F8432" s="68" t="s">
        <v>124</v>
      </c>
      <c r="G8432" s="67" t="s">
        <v>457</v>
      </c>
      <c r="H8432" s="69">
        <v>-0.15</v>
      </c>
    </row>
    <row r="8433" spans="6:8">
      <c r="F8433" s="68" t="s">
        <v>123</v>
      </c>
      <c r="G8433" s="67" t="s">
        <v>457</v>
      </c>
      <c r="H8433" s="69">
        <v>-0.5</v>
      </c>
    </row>
    <row r="8434" spans="6:8">
      <c r="F8434" s="68" t="s">
        <v>122</v>
      </c>
      <c r="G8434" s="67" t="s">
        <v>457</v>
      </c>
      <c r="H8434" s="69">
        <v>-0.35</v>
      </c>
    </row>
    <row r="8435" spans="6:8">
      <c r="F8435" s="68" t="s">
        <v>420</v>
      </c>
      <c r="G8435" s="67" t="s">
        <v>457</v>
      </c>
      <c r="H8435" s="69">
        <v>3.6795741616596711</v>
      </c>
    </row>
    <row r="8436" spans="6:8">
      <c r="F8436" s="68" t="s">
        <v>251</v>
      </c>
      <c r="G8436" s="67" t="s">
        <v>457</v>
      </c>
      <c r="H8436" s="69">
        <v>0.26</v>
      </c>
    </row>
    <row r="8437" spans="6:8">
      <c r="F8437" s="68" t="s">
        <v>121</v>
      </c>
      <c r="G8437" s="67" t="s">
        <v>457</v>
      </c>
      <c r="H8437" s="69">
        <v>-0.3</v>
      </c>
    </row>
    <row r="8438" spans="6:8">
      <c r="F8438" s="68" t="s">
        <v>120</v>
      </c>
      <c r="G8438" s="67" t="s">
        <v>457</v>
      </c>
      <c r="H8438" s="69">
        <v>-0.4</v>
      </c>
    </row>
    <row r="8439" spans="6:8">
      <c r="F8439" s="68" t="s">
        <v>119</v>
      </c>
      <c r="G8439" s="67" t="s">
        <v>457</v>
      </c>
      <c r="H8439" s="69">
        <v>-0.35</v>
      </c>
    </row>
    <row r="8440" spans="6:8">
      <c r="F8440" s="68" t="s">
        <v>119</v>
      </c>
      <c r="G8440" s="67" t="s">
        <v>458</v>
      </c>
      <c r="H8440" s="69">
        <v>-0.3</v>
      </c>
    </row>
    <row r="8441" spans="6:8">
      <c r="F8441" s="68" t="s">
        <v>120</v>
      </c>
      <c r="G8441" s="67" t="s">
        <v>458</v>
      </c>
      <c r="H8441" s="69">
        <v>-0.4</v>
      </c>
    </row>
    <row r="8442" spans="6:8">
      <c r="F8442" s="68" t="s">
        <v>121</v>
      </c>
      <c r="G8442" s="67" t="s">
        <v>458</v>
      </c>
      <c r="H8442" s="69">
        <v>-0.25</v>
      </c>
    </row>
    <row r="8443" spans="6:8">
      <c r="F8443" s="68" t="s">
        <v>251</v>
      </c>
      <c r="G8443" s="67" t="s">
        <v>458</v>
      </c>
      <c r="H8443" s="69">
        <v>0.26</v>
      </c>
    </row>
    <row r="8444" spans="6:8">
      <c r="F8444" s="68" t="s">
        <v>420</v>
      </c>
      <c r="G8444" s="67" t="s">
        <v>458</v>
      </c>
      <c r="H8444" s="69">
        <v>3.7866951063074694</v>
      </c>
    </row>
    <row r="8445" spans="6:8">
      <c r="F8445" s="68" t="s">
        <v>122</v>
      </c>
      <c r="G8445" s="67" t="s">
        <v>458</v>
      </c>
      <c r="H8445" s="69">
        <v>-0.3</v>
      </c>
    </row>
    <row r="8446" spans="6:8">
      <c r="F8446" s="68" t="s">
        <v>123</v>
      </c>
      <c r="G8446" s="67" t="s">
        <v>458</v>
      </c>
      <c r="H8446" s="69">
        <v>-0.5</v>
      </c>
    </row>
    <row r="8447" spans="6:8">
      <c r="F8447" s="68" t="s">
        <v>124</v>
      </c>
      <c r="G8447" s="67" t="s">
        <v>458</v>
      </c>
      <c r="H8447" s="69">
        <v>-0.1</v>
      </c>
    </row>
    <row r="8448" spans="6:8">
      <c r="F8448" s="68" t="s">
        <v>252</v>
      </c>
      <c r="G8448" s="67" t="s">
        <v>458</v>
      </c>
      <c r="H8448" s="69">
        <v>0.36</v>
      </c>
    </row>
    <row r="8449" spans="6:8">
      <c r="F8449" s="68" t="s">
        <v>314</v>
      </c>
      <c r="G8449" s="67" t="s">
        <v>458</v>
      </c>
      <c r="H8449" s="69">
        <v>-0.1</v>
      </c>
    </row>
    <row r="8450" spans="6:8">
      <c r="F8450" s="68" t="s">
        <v>125</v>
      </c>
      <c r="G8450" s="67" t="s">
        <v>458</v>
      </c>
      <c r="H8450" s="69">
        <v>-0.15</v>
      </c>
    </row>
    <row r="8451" spans="6:8">
      <c r="F8451" s="68" t="s">
        <v>126</v>
      </c>
      <c r="G8451" s="67" t="s">
        <v>458</v>
      </c>
      <c r="H8451" s="69">
        <v>-0.4</v>
      </c>
    </row>
    <row r="8452" spans="6:8">
      <c r="F8452" s="68" t="s">
        <v>127</v>
      </c>
      <c r="G8452" s="67" t="s">
        <v>458</v>
      </c>
      <c r="H8452" s="69">
        <v>-0.15</v>
      </c>
    </row>
    <row r="8453" spans="6:8">
      <c r="F8453" s="68" t="s">
        <v>253</v>
      </c>
      <c r="G8453" s="67" t="s">
        <v>458</v>
      </c>
      <c r="H8453" s="69">
        <v>0.48</v>
      </c>
    </row>
    <row r="8454" spans="6:8">
      <c r="F8454" s="68" t="s">
        <v>315</v>
      </c>
      <c r="G8454" s="67" t="s">
        <v>458</v>
      </c>
      <c r="H8454" s="69">
        <v>-0.05</v>
      </c>
    </row>
    <row r="8455" spans="6:8">
      <c r="F8455" s="68" t="s">
        <v>128</v>
      </c>
      <c r="G8455" s="67" t="s">
        <v>458</v>
      </c>
      <c r="H8455" s="69">
        <v>-0.35</v>
      </c>
    </row>
    <row r="8456" spans="6:8">
      <c r="F8456" s="68" t="s">
        <v>129</v>
      </c>
      <c r="G8456" s="67" t="s">
        <v>458</v>
      </c>
      <c r="H8456" s="69">
        <v>-0.25</v>
      </c>
    </row>
    <row r="8457" spans="6:8">
      <c r="F8457" s="68" t="s">
        <v>254</v>
      </c>
      <c r="G8457" s="67" t="s">
        <v>458</v>
      </c>
      <c r="H8457" s="69">
        <v>0.67</v>
      </c>
    </row>
    <row r="8458" spans="6:8">
      <c r="F8458" s="68" t="s">
        <v>304</v>
      </c>
      <c r="G8458" s="67" t="s">
        <v>458</v>
      </c>
      <c r="H8458" s="69">
        <v>17.1875</v>
      </c>
    </row>
    <row r="8459" spans="6:8">
      <c r="F8459" s="68" t="s">
        <v>421</v>
      </c>
      <c r="G8459" s="67" t="s">
        <v>458</v>
      </c>
      <c r="H8459" s="69">
        <v>2.8065803789253607</v>
      </c>
    </row>
    <row r="8460" spans="6:8">
      <c r="F8460" s="68" t="s">
        <v>130</v>
      </c>
      <c r="G8460" s="67" t="s">
        <v>458</v>
      </c>
      <c r="H8460" s="69">
        <v>-0.4</v>
      </c>
    </row>
    <row r="8461" spans="6:8">
      <c r="F8461" s="68" t="s">
        <v>131</v>
      </c>
      <c r="G8461" s="67" t="s">
        <v>458</v>
      </c>
      <c r="H8461" s="69">
        <v>-0.3</v>
      </c>
    </row>
    <row r="8462" spans="6:8">
      <c r="F8462" s="68" t="s">
        <v>255</v>
      </c>
      <c r="G8462" s="67" t="s">
        <v>458</v>
      </c>
      <c r="H8462" s="69">
        <v>0.89</v>
      </c>
    </row>
    <row r="8463" spans="6:8">
      <c r="F8463" s="68" t="s">
        <v>303</v>
      </c>
      <c r="G8463" s="67" t="s">
        <v>458</v>
      </c>
      <c r="H8463" s="69">
        <v>18.5</v>
      </c>
    </row>
    <row r="8464" spans="6:8">
      <c r="F8464" s="68" t="s">
        <v>422</v>
      </c>
      <c r="G8464" s="67" t="s">
        <v>458</v>
      </c>
      <c r="H8464" s="69">
        <v>2.8123029308869008</v>
      </c>
    </row>
    <row r="8465" spans="6:8">
      <c r="F8465" s="68" t="s">
        <v>132</v>
      </c>
      <c r="G8465" s="67" t="s">
        <v>458</v>
      </c>
      <c r="H8465" s="69">
        <v>-0.35</v>
      </c>
    </row>
    <row r="8466" spans="6:8">
      <c r="F8466" s="68" t="s">
        <v>133</v>
      </c>
      <c r="G8466" s="67" t="s">
        <v>458</v>
      </c>
      <c r="H8466" s="69">
        <v>-0.35</v>
      </c>
    </row>
    <row r="8467" spans="6:8">
      <c r="F8467" s="68" t="s">
        <v>256</v>
      </c>
      <c r="G8467" s="67" t="s">
        <v>458</v>
      </c>
      <c r="H8467" s="69">
        <v>1.03</v>
      </c>
    </row>
    <row r="8468" spans="6:8">
      <c r="F8468" s="68" t="s">
        <v>423</v>
      </c>
      <c r="G8468" s="67" t="s">
        <v>458</v>
      </c>
      <c r="H8468" s="69">
        <v>2.9111818289246028</v>
      </c>
    </row>
    <row r="8469" spans="6:8">
      <c r="F8469" s="68" t="s">
        <v>134</v>
      </c>
      <c r="G8469" s="67" t="s">
        <v>458</v>
      </c>
      <c r="H8469" s="69">
        <v>-0.35</v>
      </c>
    </row>
    <row r="8470" spans="6:8">
      <c r="F8470" s="68" t="s">
        <v>135</v>
      </c>
      <c r="G8470" s="67" t="s">
        <v>458</v>
      </c>
      <c r="H8470" s="69">
        <v>-0.35</v>
      </c>
    </row>
    <row r="8471" spans="6:8">
      <c r="F8471" s="68" t="s">
        <v>257</v>
      </c>
      <c r="G8471" s="67" t="s">
        <v>458</v>
      </c>
      <c r="H8471" s="69">
        <v>1.0900000000000001</v>
      </c>
    </row>
    <row r="8472" spans="6:8">
      <c r="F8472" s="68" t="s">
        <v>258</v>
      </c>
      <c r="G8472" s="67" t="s">
        <v>458</v>
      </c>
      <c r="H8472" s="69">
        <v>0.14000000000000001</v>
      </c>
    </row>
    <row r="8473" spans="6:8">
      <c r="F8473" s="68" t="s">
        <v>424</v>
      </c>
      <c r="G8473" s="67" t="s">
        <v>458</v>
      </c>
      <c r="H8473" s="69">
        <v>3.6578528825544687</v>
      </c>
    </row>
    <row r="8474" spans="6:8">
      <c r="F8474" s="68" t="s">
        <v>136</v>
      </c>
      <c r="G8474" s="67" t="s">
        <v>458</v>
      </c>
      <c r="H8474" s="69">
        <v>-0.35</v>
      </c>
    </row>
    <row r="8475" spans="6:8">
      <c r="F8475" s="68" t="s">
        <v>137</v>
      </c>
      <c r="G8475" s="67" t="s">
        <v>458</v>
      </c>
      <c r="H8475" s="69">
        <v>-0.45</v>
      </c>
    </row>
    <row r="8476" spans="6:8">
      <c r="F8476" s="68" t="s">
        <v>138</v>
      </c>
      <c r="G8476" s="67" t="s">
        <v>458</v>
      </c>
      <c r="H8476" s="69">
        <v>-0.3</v>
      </c>
    </row>
    <row r="8477" spans="6:8">
      <c r="F8477" s="68" t="s">
        <v>259</v>
      </c>
      <c r="G8477" s="67" t="s">
        <v>458</v>
      </c>
      <c r="H8477" s="69">
        <v>0.17</v>
      </c>
    </row>
    <row r="8478" spans="6:8">
      <c r="F8478" s="68" t="s">
        <v>425</v>
      </c>
      <c r="G8478" s="67" t="s">
        <v>458</v>
      </c>
      <c r="H8478" s="69">
        <v>3.6605387509674792</v>
      </c>
    </row>
    <row r="8479" spans="6:8">
      <c r="F8479" s="68" t="s">
        <v>425</v>
      </c>
      <c r="G8479" s="67" t="s">
        <v>459</v>
      </c>
      <c r="H8479" s="69">
        <v>3.5921898548211484</v>
      </c>
    </row>
    <row r="8480" spans="6:8">
      <c r="F8480" s="68" t="s">
        <v>259</v>
      </c>
      <c r="G8480" s="67" t="s">
        <v>459</v>
      </c>
      <c r="H8480" s="69">
        <v>0.17</v>
      </c>
    </row>
    <row r="8481" spans="6:8">
      <c r="F8481" s="68" t="s">
        <v>138</v>
      </c>
      <c r="G8481" s="67" t="s">
        <v>459</v>
      </c>
      <c r="H8481" s="69">
        <v>-0.3</v>
      </c>
    </row>
    <row r="8482" spans="6:8">
      <c r="F8482" s="68" t="s">
        <v>137</v>
      </c>
      <c r="G8482" s="67" t="s">
        <v>459</v>
      </c>
      <c r="H8482" s="69">
        <v>-0.45</v>
      </c>
    </row>
    <row r="8483" spans="6:8">
      <c r="F8483" s="68" t="s">
        <v>136</v>
      </c>
      <c r="G8483" s="67" t="s">
        <v>459</v>
      </c>
      <c r="H8483" s="69">
        <v>-0.35</v>
      </c>
    </row>
    <row r="8484" spans="6:8">
      <c r="F8484" s="68" t="s">
        <v>424</v>
      </c>
      <c r="G8484" s="67" t="s">
        <v>459</v>
      </c>
      <c r="H8484" s="69">
        <v>3.5936461709433765</v>
      </c>
    </row>
    <row r="8485" spans="6:8">
      <c r="F8485" s="68" t="s">
        <v>258</v>
      </c>
      <c r="G8485" s="67" t="s">
        <v>459</v>
      </c>
      <c r="H8485" s="69">
        <v>0.14000000000000001</v>
      </c>
    </row>
    <row r="8486" spans="6:8">
      <c r="F8486" s="68" t="s">
        <v>257</v>
      </c>
      <c r="G8486" s="67" t="s">
        <v>459</v>
      </c>
      <c r="H8486" s="69">
        <v>1.0900000000000001</v>
      </c>
    </row>
    <row r="8487" spans="6:8">
      <c r="F8487" s="68" t="s">
        <v>135</v>
      </c>
      <c r="G8487" s="67" t="s">
        <v>459</v>
      </c>
      <c r="H8487" s="69">
        <v>-0.35</v>
      </c>
    </row>
    <row r="8488" spans="6:8">
      <c r="F8488" s="68" t="s">
        <v>134</v>
      </c>
      <c r="G8488" s="67" t="s">
        <v>459</v>
      </c>
      <c r="H8488" s="69">
        <v>-0.35</v>
      </c>
    </row>
    <row r="8489" spans="6:8">
      <c r="F8489" s="68" t="s">
        <v>423</v>
      </c>
      <c r="G8489" s="67" t="s">
        <v>459</v>
      </c>
      <c r="H8489" s="69">
        <v>2.8350617206995388</v>
      </c>
    </row>
    <row r="8490" spans="6:8">
      <c r="F8490" s="68" t="s">
        <v>256</v>
      </c>
      <c r="G8490" s="67" t="s">
        <v>459</v>
      </c>
      <c r="H8490" s="69">
        <v>1.03</v>
      </c>
    </row>
    <row r="8491" spans="6:8">
      <c r="F8491" s="68" t="s">
        <v>133</v>
      </c>
      <c r="G8491" s="67" t="s">
        <v>459</v>
      </c>
      <c r="H8491" s="69">
        <v>-0.35</v>
      </c>
    </row>
    <row r="8492" spans="6:8">
      <c r="F8492" s="68" t="s">
        <v>132</v>
      </c>
      <c r="G8492" s="67" t="s">
        <v>459</v>
      </c>
      <c r="H8492" s="69">
        <v>-0.35</v>
      </c>
    </row>
    <row r="8493" spans="6:8">
      <c r="F8493" s="68" t="s">
        <v>422</v>
      </c>
      <c r="G8493" s="67" t="s">
        <v>459</v>
      </c>
      <c r="H8493" s="69">
        <v>2.755547948848136</v>
      </c>
    </row>
    <row r="8494" spans="6:8">
      <c r="F8494" s="68" t="s">
        <v>303</v>
      </c>
      <c r="G8494" s="67" t="s">
        <v>459</v>
      </c>
      <c r="H8494" s="69">
        <v>18.625</v>
      </c>
    </row>
    <row r="8495" spans="6:8">
      <c r="F8495" s="68" t="s">
        <v>255</v>
      </c>
      <c r="G8495" s="67" t="s">
        <v>459</v>
      </c>
      <c r="H8495" s="69">
        <v>0.89</v>
      </c>
    </row>
    <row r="8496" spans="6:8">
      <c r="F8496" s="68" t="s">
        <v>131</v>
      </c>
      <c r="G8496" s="67" t="s">
        <v>459</v>
      </c>
      <c r="H8496" s="69">
        <v>-0.3</v>
      </c>
    </row>
    <row r="8497" spans="6:8">
      <c r="F8497" s="68" t="s">
        <v>130</v>
      </c>
      <c r="G8497" s="67" t="s">
        <v>459</v>
      </c>
      <c r="H8497" s="69">
        <v>-0.4</v>
      </c>
    </row>
    <row r="8498" spans="6:8">
      <c r="F8498" s="68" t="s">
        <v>421</v>
      </c>
      <c r="G8498" s="67" t="s">
        <v>459</v>
      </c>
      <c r="H8498" s="69">
        <v>2.7498109651225455</v>
      </c>
    </row>
    <row r="8499" spans="6:8">
      <c r="F8499" s="68" t="s">
        <v>304</v>
      </c>
      <c r="G8499" s="67" t="s">
        <v>459</v>
      </c>
      <c r="H8499" s="69">
        <v>17.25</v>
      </c>
    </row>
    <row r="8500" spans="6:8">
      <c r="F8500" s="68" t="s">
        <v>254</v>
      </c>
      <c r="G8500" s="67" t="s">
        <v>459</v>
      </c>
      <c r="H8500" s="69">
        <v>0.67</v>
      </c>
    </row>
    <row r="8501" spans="6:8">
      <c r="F8501" s="68" t="s">
        <v>129</v>
      </c>
      <c r="G8501" s="67" t="s">
        <v>459</v>
      </c>
      <c r="H8501" s="69">
        <v>-0.25</v>
      </c>
    </row>
    <row r="8502" spans="6:8">
      <c r="F8502" s="68" t="s">
        <v>128</v>
      </c>
      <c r="G8502" s="67" t="s">
        <v>459</v>
      </c>
      <c r="H8502" s="69">
        <v>-0.35</v>
      </c>
    </row>
    <row r="8503" spans="6:8">
      <c r="F8503" s="68" t="s">
        <v>315</v>
      </c>
      <c r="G8503" s="67" t="s">
        <v>459</v>
      </c>
      <c r="H8503" s="69">
        <v>-0.05</v>
      </c>
    </row>
    <row r="8504" spans="6:8">
      <c r="F8504" s="68" t="s">
        <v>253</v>
      </c>
      <c r="G8504" s="67" t="s">
        <v>459</v>
      </c>
      <c r="H8504" s="69">
        <v>0.48</v>
      </c>
    </row>
    <row r="8505" spans="6:8">
      <c r="F8505" s="68" t="s">
        <v>127</v>
      </c>
      <c r="G8505" s="67" t="s">
        <v>459</v>
      </c>
      <c r="H8505" s="69">
        <v>-0.15</v>
      </c>
    </row>
    <row r="8506" spans="6:8">
      <c r="F8506" s="68" t="s">
        <v>126</v>
      </c>
      <c r="G8506" s="67" t="s">
        <v>459</v>
      </c>
      <c r="H8506" s="69">
        <v>-0.4</v>
      </c>
    </row>
    <row r="8507" spans="6:8">
      <c r="F8507" s="68" t="s">
        <v>125</v>
      </c>
      <c r="G8507" s="67" t="s">
        <v>459</v>
      </c>
      <c r="H8507" s="69">
        <v>-0.15</v>
      </c>
    </row>
    <row r="8508" spans="6:8">
      <c r="F8508" s="68" t="s">
        <v>314</v>
      </c>
      <c r="G8508" s="67" t="s">
        <v>459</v>
      </c>
      <c r="H8508" s="69">
        <v>-0.1</v>
      </c>
    </row>
    <row r="8509" spans="6:8">
      <c r="F8509" s="68" t="s">
        <v>252</v>
      </c>
      <c r="G8509" s="67" t="s">
        <v>459</v>
      </c>
      <c r="H8509" s="69">
        <v>0.36</v>
      </c>
    </row>
    <row r="8510" spans="6:8">
      <c r="F8510" s="68" t="s">
        <v>124</v>
      </c>
      <c r="G8510" s="67" t="s">
        <v>459</v>
      </c>
      <c r="H8510" s="69">
        <v>-0.1</v>
      </c>
    </row>
    <row r="8511" spans="6:8">
      <c r="F8511" s="68" t="s">
        <v>123</v>
      </c>
      <c r="G8511" s="67" t="s">
        <v>459</v>
      </c>
      <c r="H8511" s="69">
        <v>-0.5</v>
      </c>
    </row>
    <row r="8512" spans="6:8">
      <c r="F8512" s="68" t="s">
        <v>122</v>
      </c>
      <c r="G8512" s="67" t="s">
        <v>459</v>
      </c>
      <c r="H8512" s="69">
        <v>-0.3</v>
      </c>
    </row>
    <row r="8513" spans="6:8">
      <c r="F8513" s="68" t="s">
        <v>420</v>
      </c>
      <c r="G8513" s="67" t="s">
        <v>459</v>
      </c>
      <c r="H8513" s="69">
        <v>3.7212376856688767</v>
      </c>
    </row>
    <row r="8514" spans="6:8">
      <c r="F8514" s="68" t="s">
        <v>251</v>
      </c>
      <c r="G8514" s="67" t="s">
        <v>459</v>
      </c>
      <c r="H8514" s="69">
        <v>0.26</v>
      </c>
    </row>
    <row r="8515" spans="6:8">
      <c r="F8515" s="68" t="s">
        <v>121</v>
      </c>
      <c r="G8515" s="67" t="s">
        <v>459</v>
      </c>
      <c r="H8515" s="69">
        <v>-0.25</v>
      </c>
    </row>
    <row r="8516" spans="6:8">
      <c r="F8516" s="68" t="s">
        <v>120</v>
      </c>
      <c r="G8516" s="67" t="s">
        <v>459</v>
      </c>
      <c r="H8516" s="69">
        <v>-0.4</v>
      </c>
    </row>
    <row r="8517" spans="6:8">
      <c r="F8517" s="68" t="s">
        <v>119</v>
      </c>
      <c r="G8517" s="67" t="s">
        <v>459</v>
      </c>
      <c r="H8517" s="69">
        <v>-0.3</v>
      </c>
    </row>
    <row r="8518" spans="6:8">
      <c r="F8518" s="68" t="s">
        <v>119</v>
      </c>
      <c r="G8518" s="67" t="s">
        <v>460</v>
      </c>
      <c r="H8518" s="69">
        <v>-0.3</v>
      </c>
    </row>
    <row r="8519" spans="6:8">
      <c r="F8519" s="68" t="s">
        <v>120</v>
      </c>
      <c r="G8519" s="67" t="s">
        <v>460</v>
      </c>
      <c r="H8519" s="69">
        <v>-0.4</v>
      </c>
    </row>
    <row r="8520" spans="6:8">
      <c r="F8520" s="68" t="s">
        <v>121</v>
      </c>
      <c r="G8520" s="67" t="s">
        <v>460</v>
      </c>
      <c r="H8520" s="69">
        <v>-0.25</v>
      </c>
    </row>
    <row r="8521" spans="6:8">
      <c r="F8521" s="68" t="s">
        <v>251</v>
      </c>
      <c r="G8521" s="67" t="s">
        <v>460</v>
      </c>
      <c r="H8521" s="69">
        <v>0.26</v>
      </c>
    </row>
    <row r="8522" spans="6:8">
      <c r="F8522" s="68" t="s">
        <v>420</v>
      </c>
      <c r="G8522" s="67" t="s">
        <v>460</v>
      </c>
      <c r="H8522" s="69">
        <v>3.6494917316156616</v>
      </c>
    </row>
    <row r="8523" spans="6:8">
      <c r="F8523" s="68" t="s">
        <v>122</v>
      </c>
      <c r="G8523" s="67" t="s">
        <v>460</v>
      </c>
      <c r="H8523" s="69">
        <v>-0.3</v>
      </c>
    </row>
    <row r="8524" spans="6:8">
      <c r="F8524" s="68" t="s">
        <v>123</v>
      </c>
      <c r="G8524" s="67" t="s">
        <v>460</v>
      </c>
      <c r="H8524" s="69">
        <v>-0.5</v>
      </c>
    </row>
    <row r="8525" spans="6:8">
      <c r="F8525" s="68" t="s">
        <v>124</v>
      </c>
      <c r="G8525" s="67" t="s">
        <v>460</v>
      </c>
      <c r="H8525" s="69">
        <v>-0.1</v>
      </c>
    </row>
    <row r="8526" spans="6:8">
      <c r="F8526" s="68" t="s">
        <v>252</v>
      </c>
      <c r="G8526" s="67" t="s">
        <v>460</v>
      </c>
      <c r="H8526" s="69">
        <v>0.36</v>
      </c>
    </row>
    <row r="8527" spans="6:8">
      <c r="F8527" s="68" t="s">
        <v>314</v>
      </c>
      <c r="G8527" s="67" t="s">
        <v>460</v>
      </c>
      <c r="H8527" s="69">
        <v>-0.1</v>
      </c>
    </row>
    <row r="8528" spans="6:8">
      <c r="F8528" s="68" t="s">
        <v>125</v>
      </c>
      <c r="G8528" s="67" t="s">
        <v>460</v>
      </c>
      <c r="H8528" s="69">
        <v>-0.15</v>
      </c>
    </row>
    <row r="8529" spans="6:8">
      <c r="F8529" s="68" t="s">
        <v>126</v>
      </c>
      <c r="G8529" s="67" t="s">
        <v>460</v>
      </c>
      <c r="H8529" s="69">
        <v>-0.4</v>
      </c>
    </row>
    <row r="8530" spans="6:8">
      <c r="F8530" s="68" t="s">
        <v>127</v>
      </c>
      <c r="G8530" s="67" t="s">
        <v>460</v>
      </c>
      <c r="H8530" s="69">
        <v>-0.15</v>
      </c>
    </row>
    <row r="8531" spans="6:8">
      <c r="F8531" s="68" t="s">
        <v>253</v>
      </c>
      <c r="G8531" s="67" t="s">
        <v>460</v>
      </c>
      <c r="H8531" s="69">
        <v>0.48</v>
      </c>
    </row>
    <row r="8532" spans="6:8">
      <c r="F8532" s="68" t="s">
        <v>315</v>
      </c>
      <c r="G8532" s="67" t="s">
        <v>460</v>
      </c>
      <c r="H8532" s="69">
        <v>-0.05</v>
      </c>
    </row>
    <row r="8533" spans="6:8">
      <c r="F8533" s="68" t="s">
        <v>128</v>
      </c>
      <c r="G8533" s="67" t="s">
        <v>460</v>
      </c>
      <c r="H8533" s="69">
        <v>-0.35</v>
      </c>
    </row>
    <row r="8534" spans="6:8">
      <c r="F8534" s="68" t="s">
        <v>129</v>
      </c>
      <c r="G8534" s="67" t="s">
        <v>460</v>
      </c>
      <c r="H8534" s="69">
        <v>-0.25</v>
      </c>
    </row>
    <row r="8535" spans="6:8">
      <c r="F8535" s="68" t="s">
        <v>254</v>
      </c>
      <c r="G8535" s="67" t="s">
        <v>460</v>
      </c>
      <c r="H8535" s="69">
        <v>0.67</v>
      </c>
    </row>
    <row r="8536" spans="6:8">
      <c r="F8536" s="68" t="s">
        <v>304</v>
      </c>
      <c r="G8536" s="67" t="s">
        <v>460</v>
      </c>
      <c r="H8536" s="69">
        <v>17.125</v>
      </c>
    </row>
    <row r="8537" spans="6:8">
      <c r="F8537" s="68" t="s">
        <v>421</v>
      </c>
      <c r="G8537" s="67" t="s">
        <v>460</v>
      </c>
      <c r="H8537" s="69">
        <v>2.7003482864087047</v>
      </c>
    </row>
    <row r="8538" spans="6:8">
      <c r="F8538" s="68" t="s">
        <v>130</v>
      </c>
      <c r="G8538" s="67" t="s">
        <v>460</v>
      </c>
      <c r="H8538" s="69">
        <v>-0.4</v>
      </c>
    </row>
    <row r="8539" spans="6:8">
      <c r="F8539" s="68" t="s">
        <v>131</v>
      </c>
      <c r="G8539" s="67" t="s">
        <v>460</v>
      </c>
      <c r="H8539" s="69">
        <v>-0.3</v>
      </c>
    </row>
    <row r="8540" spans="6:8">
      <c r="F8540" s="68" t="s">
        <v>255</v>
      </c>
      <c r="G8540" s="67" t="s">
        <v>460</v>
      </c>
      <c r="H8540" s="69">
        <v>0.89</v>
      </c>
    </row>
    <row r="8541" spans="6:8">
      <c r="F8541" s="68" t="s">
        <v>303</v>
      </c>
      <c r="G8541" s="67" t="s">
        <v>460</v>
      </c>
      <c r="H8541" s="69">
        <v>18.4375</v>
      </c>
    </row>
    <row r="8542" spans="6:8">
      <c r="F8542" s="68" t="s">
        <v>422</v>
      </c>
      <c r="G8542" s="67" t="s">
        <v>460</v>
      </c>
      <c r="H8542" s="69">
        <v>2.7059815028002809</v>
      </c>
    </row>
    <row r="8543" spans="6:8">
      <c r="F8543" s="68" t="s">
        <v>132</v>
      </c>
      <c r="G8543" s="67" t="s">
        <v>460</v>
      </c>
      <c r="H8543" s="69">
        <v>-0.35</v>
      </c>
    </row>
    <row r="8544" spans="6:8">
      <c r="F8544" s="68" t="s">
        <v>133</v>
      </c>
      <c r="G8544" s="67" t="s">
        <v>460</v>
      </c>
      <c r="H8544" s="69">
        <v>-0.35</v>
      </c>
    </row>
    <row r="8545" spans="6:8">
      <c r="F8545" s="68" t="s">
        <v>256</v>
      </c>
      <c r="G8545" s="67" t="s">
        <v>460</v>
      </c>
      <c r="H8545" s="69">
        <v>1.02</v>
      </c>
    </row>
    <row r="8546" spans="6:8">
      <c r="F8546" s="68" t="s">
        <v>423</v>
      </c>
      <c r="G8546" s="67" t="s">
        <v>460</v>
      </c>
      <c r="H8546" s="69">
        <v>2.7877132127898996</v>
      </c>
    </row>
    <row r="8547" spans="6:8">
      <c r="F8547" s="68" t="s">
        <v>134</v>
      </c>
      <c r="G8547" s="67" t="s">
        <v>460</v>
      </c>
      <c r="H8547" s="69">
        <v>-0.35</v>
      </c>
    </row>
    <row r="8548" spans="6:8">
      <c r="F8548" s="68" t="s">
        <v>135</v>
      </c>
      <c r="G8548" s="67" t="s">
        <v>460</v>
      </c>
      <c r="H8548" s="69">
        <v>-0.35</v>
      </c>
    </row>
    <row r="8549" spans="6:8">
      <c r="F8549" s="68" t="s">
        <v>257</v>
      </c>
      <c r="G8549" s="67" t="s">
        <v>460</v>
      </c>
      <c r="H8549" s="69">
        <v>1.0900000000000001</v>
      </c>
    </row>
    <row r="8550" spans="6:8">
      <c r="F8550" s="68" t="s">
        <v>258</v>
      </c>
      <c r="G8550" s="67" t="s">
        <v>460</v>
      </c>
      <c r="H8550" s="69">
        <v>0.14000000000000001</v>
      </c>
    </row>
    <row r="8551" spans="6:8">
      <c r="F8551" s="68" t="s">
        <v>424</v>
      </c>
      <c r="G8551" s="67" t="s">
        <v>460</v>
      </c>
      <c r="H8551" s="69">
        <v>3.5117780435710788</v>
      </c>
    </row>
    <row r="8552" spans="6:8">
      <c r="F8552" s="68" t="s">
        <v>136</v>
      </c>
      <c r="G8552" s="67" t="s">
        <v>460</v>
      </c>
      <c r="H8552" s="69">
        <v>-0.35</v>
      </c>
    </row>
    <row r="8553" spans="6:8">
      <c r="F8553" s="68" t="s">
        <v>137</v>
      </c>
      <c r="G8553" s="67" t="s">
        <v>460</v>
      </c>
      <c r="H8553" s="69">
        <v>-0.45</v>
      </c>
    </row>
    <row r="8554" spans="6:8">
      <c r="F8554" s="68" t="s">
        <v>138</v>
      </c>
      <c r="G8554" s="67" t="s">
        <v>460</v>
      </c>
      <c r="H8554" s="69">
        <v>-0.3</v>
      </c>
    </row>
    <row r="8555" spans="6:8">
      <c r="F8555" s="68" t="s">
        <v>259</v>
      </c>
      <c r="G8555" s="67" t="s">
        <v>460</v>
      </c>
      <c r="H8555" s="69">
        <v>0.17</v>
      </c>
    </row>
    <row r="8556" spans="6:8">
      <c r="F8556" s="68" t="s">
        <v>425</v>
      </c>
      <c r="G8556" s="67" t="s">
        <v>460</v>
      </c>
      <c r="H8556" s="69">
        <v>3.5047353278351512</v>
      </c>
    </row>
    <row r="8557" spans="6:8">
      <c r="F8557" s="68" t="s">
        <v>425</v>
      </c>
      <c r="G8557" s="67" t="s">
        <v>461</v>
      </c>
      <c r="H8557" s="69">
        <v>3.5970883696347045</v>
      </c>
    </row>
    <row r="8558" spans="6:8">
      <c r="F8558" s="68" t="s">
        <v>259</v>
      </c>
      <c r="G8558" s="67" t="s">
        <v>461</v>
      </c>
      <c r="H8558" s="69">
        <v>0.17</v>
      </c>
    </row>
    <row r="8559" spans="6:8">
      <c r="F8559" s="68" t="s">
        <v>138</v>
      </c>
      <c r="G8559" s="67" t="s">
        <v>461</v>
      </c>
      <c r="H8559" s="69">
        <v>-0.3</v>
      </c>
    </row>
    <row r="8560" spans="6:8">
      <c r="F8560" s="68" t="s">
        <v>137</v>
      </c>
      <c r="G8560" s="67" t="s">
        <v>461</v>
      </c>
      <c r="H8560" s="69">
        <v>-0.45</v>
      </c>
    </row>
    <row r="8561" spans="6:8">
      <c r="F8561" s="68" t="s">
        <v>136</v>
      </c>
      <c r="G8561" s="67" t="s">
        <v>461</v>
      </c>
      <c r="H8561" s="69">
        <v>-0.35</v>
      </c>
    </row>
    <row r="8562" spans="6:8">
      <c r="F8562" s="68" t="s">
        <v>424</v>
      </c>
      <c r="G8562" s="67" t="s">
        <v>461</v>
      </c>
      <c r="H8562" s="69">
        <v>3.559510987475667</v>
      </c>
    </row>
    <row r="8563" spans="6:8">
      <c r="F8563" s="68" t="s">
        <v>258</v>
      </c>
      <c r="G8563" s="67" t="s">
        <v>461</v>
      </c>
      <c r="H8563" s="69">
        <v>0.14000000000000001</v>
      </c>
    </row>
    <row r="8564" spans="6:8">
      <c r="F8564" s="68" t="s">
        <v>257</v>
      </c>
      <c r="G8564" s="67" t="s">
        <v>461</v>
      </c>
      <c r="H8564" s="69">
        <v>1.0900000000000001</v>
      </c>
    </row>
    <row r="8565" spans="6:8">
      <c r="F8565" s="68" t="s">
        <v>135</v>
      </c>
      <c r="G8565" s="67" t="s">
        <v>461</v>
      </c>
      <c r="H8565" s="69">
        <v>-0.35</v>
      </c>
    </row>
    <row r="8566" spans="6:8">
      <c r="F8566" s="68" t="s">
        <v>134</v>
      </c>
      <c r="G8566" s="67" t="s">
        <v>461</v>
      </c>
      <c r="H8566" s="69">
        <v>-0.35</v>
      </c>
    </row>
    <row r="8567" spans="6:8">
      <c r="F8567" s="68" t="s">
        <v>423</v>
      </c>
      <c r="G8567" s="67" t="s">
        <v>461</v>
      </c>
      <c r="H8567" s="69">
        <v>2.8401644827279249</v>
      </c>
    </row>
    <row r="8568" spans="6:8">
      <c r="F8568" s="68" t="s">
        <v>256</v>
      </c>
      <c r="G8568" s="67" t="s">
        <v>461</v>
      </c>
      <c r="H8568" s="69">
        <v>1.02</v>
      </c>
    </row>
    <row r="8569" spans="6:8">
      <c r="F8569" s="68" t="s">
        <v>133</v>
      </c>
      <c r="G8569" s="67" t="s">
        <v>461</v>
      </c>
      <c r="H8569" s="69">
        <v>-0.35</v>
      </c>
    </row>
    <row r="8570" spans="6:8">
      <c r="F8570" s="68" t="s">
        <v>132</v>
      </c>
      <c r="G8570" s="67" t="s">
        <v>461</v>
      </c>
      <c r="H8570" s="69">
        <v>-0.35</v>
      </c>
    </row>
    <row r="8571" spans="6:8">
      <c r="F8571" s="68" t="s">
        <v>422</v>
      </c>
      <c r="G8571" s="67" t="s">
        <v>461</v>
      </c>
      <c r="H8571" s="69">
        <v>2.7374093370866603</v>
      </c>
    </row>
    <row r="8572" spans="6:8">
      <c r="F8572" s="68" t="s">
        <v>303</v>
      </c>
      <c r="G8572" s="67" t="s">
        <v>461</v>
      </c>
      <c r="H8572" s="69">
        <v>18.375</v>
      </c>
    </row>
    <row r="8573" spans="6:8">
      <c r="F8573" s="68" t="s">
        <v>255</v>
      </c>
      <c r="G8573" s="67" t="s">
        <v>461</v>
      </c>
      <c r="H8573" s="69">
        <v>0.89</v>
      </c>
    </row>
    <row r="8574" spans="6:8">
      <c r="F8574" s="68" t="s">
        <v>131</v>
      </c>
      <c r="G8574" s="67" t="s">
        <v>461</v>
      </c>
      <c r="H8574" s="69">
        <v>-0.3</v>
      </c>
    </row>
    <row r="8575" spans="6:8">
      <c r="F8575" s="68" t="s">
        <v>130</v>
      </c>
      <c r="G8575" s="67" t="s">
        <v>461</v>
      </c>
      <c r="H8575" s="69">
        <v>-0.4</v>
      </c>
    </row>
    <row r="8576" spans="6:8">
      <c r="F8576" s="68" t="s">
        <v>421</v>
      </c>
      <c r="G8576" s="67" t="s">
        <v>461</v>
      </c>
      <c r="H8576" s="69">
        <v>2.7307846213080911</v>
      </c>
    </row>
    <row r="8577" spans="6:8">
      <c r="F8577" s="68" t="s">
        <v>304</v>
      </c>
      <c r="G8577" s="67" t="s">
        <v>461</v>
      </c>
      <c r="H8577" s="69">
        <v>17.0625</v>
      </c>
    </row>
    <row r="8578" spans="6:8">
      <c r="F8578" s="68" t="s">
        <v>254</v>
      </c>
      <c r="G8578" s="67" t="s">
        <v>461</v>
      </c>
      <c r="H8578" s="69">
        <v>0.67</v>
      </c>
    </row>
    <row r="8579" spans="6:8">
      <c r="F8579" s="68" t="s">
        <v>129</v>
      </c>
      <c r="G8579" s="67" t="s">
        <v>461</v>
      </c>
      <c r="H8579" s="69">
        <v>-0.25</v>
      </c>
    </row>
    <row r="8580" spans="6:8">
      <c r="F8580" s="68" t="s">
        <v>128</v>
      </c>
      <c r="G8580" s="67" t="s">
        <v>461</v>
      </c>
      <c r="H8580" s="69">
        <v>-0.35</v>
      </c>
    </row>
    <row r="8581" spans="6:8">
      <c r="F8581" s="68" t="s">
        <v>315</v>
      </c>
      <c r="G8581" s="67" t="s">
        <v>461</v>
      </c>
      <c r="H8581" s="69">
        <v>-0.05</v>
      </c>
    </row>
    <row r="8582" spans="6:8">
      <c r="F8582" s="68" t="s">
        <v>253</v>
      </c>
      <c r="G8582" s="67" t="s">
        <v>461</v>
      </c>
      <c r="H8582" s="69">
        <v>0.48</v>
      </c>
    </row>
    <row r="8583" spans="6:8">
      <c r="F8583" s="68" t="s">
        <v>127</v>
      </c>
      <c r="G8583" s="67" t="s">
        <v>461</v>
      </c>
      <c r="H8583" s="69">
        <v>-0.15</v>
      </c>
    </row>
    <row r="8584" spans="6:8">
      <c r="F8584" s="68" t="s">
        <v>126</v>
      </c>
      <c r="G8584" s="67" t="s">
        <v>461</v>
      </c>
      <c r="H8584" s="69">
        <v>-0.4</v>
      </c>
    </row>
    <row r="8585" spans="6:8">
      <c r="F8585" s="68" t="s">
        <v>125</v>
      </c>
      <c r="G8585" s="67" t="s">
        <v>461</v>
      </c>
      <c r="H8585" s="69">
        <v>-0.15</v>
      </c>
    </row>
    <row r="8586" spans="6:8">
      <c r="F8586" s="68" t="s">
        <v>314</v>
      </c>
      <c r="G8586" s="67" t="s">
        <v>461</v>
      </c>
      <c r="H8586" s="69">
        <v>-0.1</v>
      </c>
    </row>
    <row r="8587" spans="6:8">
      <c r="F8587" s="68" t="s">
        <v>252</v>
      </c>
      <c r="G8587" s="67" t="s">
        <v>461</v>
      </c>
      <c r="H8587" s="69">
        <v>0.36</v>
      </c>
    </row>
    <row r="8588" spans="6:8">
      <c r="F8588" s="68" t="s">
        <v>124</v>
      </c>
      <c r="G8588" s="67" t="s">
        <v>461</v>
      </c>
      <c r="H8588" s="69">
        <v>-0.1</v>
      </c>
    </row>
    <row r="8589" spans="6:8">
      <c r="F8589" s="68" t="s">
        <v>123</v>
      </c>
      <c r="G8589" s="67" t="s">
        <v>461</v>
      </c>
      <c r="H8589" s="69">
        <v>-0.5</v>
      </c>
    </row>
    <row r="8590" spans="6:8">
      <c r="F8590" s="68" t="s">
        <v>122</v>
      </c>
      <c r="G8590" s="67" t="s">
        <v>461</v>
      </c>
      <c r="H8590" s="69">
        <v>-0.3</v>
      </c>
    </row>
    <row r="8591" spans="6:8">
      <c r="F8591" s="68" t="s">
        <v>420</v>
      </c>
      <c r="G8591" s="67" t="s">
        <v>461</v>
      </c>
      <c r="H8591" s="69">
        <v>3.7025570645842887</v>
      </c>
    </row>
    <row r="8592" spans="6:8">
      <c r="F8592" s="68" t="s">
        <v>251</v>
      </c>
      <c r="G8592" s="67" t="s">
        <v>461</v>
      </c>
      <c r="H8592" s="69">
        <v>0.26</v>
      </c>
    </row>
    <row r="8593" spans="6:8">
      <c r="F8593" s="68" t="s">
        <v>121</v>
      </c>
      <c r="G8593" s="67" t="s">
        <v>461</v>
      </c>
      <c r="H8593" s="69">
        <v>-0.25</v>
      </c>
    </row>
    <row r="8594" spans="6:8">
      <c r="F8594" s="68" t="s">
        <v>120</v>
      </c>
      <c r="G8594" s="67" t="s">
        <v>461</v>
      </c>
      <c r="H8594" s="69">
        <v>-0.4</v>
      </c>
    </row>
    <row r="8595" spans="6:8">
      <c r="F8595" s="68" t="s">
        <v>119</v>
      </c>
      <c r="G8595" s="67" t="s">
        <v>461</v>
      </c>
      <c r="H8595" s="69">
        <v>-0.3</v>
      </c>
    </row>
    <row r="8596" spans="6:8">
      <c r="F8596" s="68" t="s">
        <v>119</v>
      </c>
      <c r="G8596" s="67" t="s">
        <v>462</v>
      </c>
      <c r="H8596" s="69">
        <v>-0.35</v>
      </c>
    </row>
    <row r="8597" spans="6:8">
      <c r="F8597" s="68" t="s">
        <v>120</v>
      </c>
      <c r="G8597" s="67" t="s">
        <v>462</v>
      </c>
      <c r="H8597" s="69">
        <v>-0.4</v>
      </c>
    </row>
    <row r="8598" spans="6:8">
      <c r="F8598" s="68" t="s">
        <v>121</v>
      </c>
      <c r="G8598" s="67" t="s">
        <v>462</v>
      </c>
      <c r="H8598" s="69">
        <v>-0.3</v>
      </c>
    </row>
    <row r="8599" spans="6:8">
      <c r="F8599" s="68" t="s">
        <v>251</v>
      </c>
      <c r="G8599" s="67" t="s">
        <v>462</v>
      </c>
      <c r="H8599" s="69">
        <v>0.26</v>
      </c>
    </row>
    <row r="8600" spans="6:8">
      <c r="F8600" s="68" t="s">
        <v>420</v>
      </c>
      <c r="G8600" s="67" t="s">
        <v>462</v>
      </c>
      <c r="H8600" s="69">
        <v>3.6671792056956587</v>
      </c>
    </row>
    <row r="8601" spans="6:8">
      <c r="F8601" s="68" t="s">
        <v>122</v>
      </c>
      <c r="G8601" s="67" t="s">
        <v>462</v>
      </c>
      <c r="H8601" s="69">
        <v>-0.35</v>
      </c>
    </row>
    <row r="8602" spans="6:8">
      <c r="F8602" s="68" t="s">
        <v>123</v>
      </c>
      <c r="G8602" s="67" t="s">
        <v>462</v>
      </c>
      <c r="H8602" s="69">
        <v>-0.5</v>
      </c>
    </row>
    <row r="8603" spans="6:8">
      <c r="F8603" s="68" t="s">
        <v>124</v>
      </c>
      <c r="G8603" s="67" t="s">
        <v>462</v>
      </c>
      <c r="H8603" s="69">
        <v>-0.15</v>
      </c>
    </row>
    <row r="8604" spans="6:8">
      <c r="F8604" s="68" t="s">
        <v>252</v>
      </c>
      <c r="G8604" s="67" t="s">
        <v>462</v>
      </c>
      <c r="H8604" s="69">
        <v>0.35</v>
      </c>
    </row>
    <row r="8605" spans="6:8">
      <c r="F8605" s="68" t="s">
        <v>314</v>
      </c>
      <c r="G8605" s="67" t="s">
        <v>462</v>
      </c>
      <c r="H8605" s="69">
        <v>-0.15</v>
      </c>
    </row>
    <row r="8606" spans="6:8">
      <c r="F8606" s="68" t="s">
        <v>125</v>
      </c>
      <c r="G8606" s="67" t="s">
        <v>462</v>
      </c>
      <c r="H8606" s="69">
        <v>-0.2</v>
      </c>
    </row>
    <row r="8607" spans="6:8">
      <c r="F8607" s="68" t="s">
        <v>126</v>
      </c>
      <c r="G8607" s="67" t="s">
        <v>462</v>
      </c>
      <c r="H8607" s="69">
        <v>-0.4</v>
      </c>
    </row>
    <row r="8608" spans="6:8">
      <c r="F8608" s="68" t="s">
        <v>127</v>
      </c>
      <c r="G8608" s="67" t="s">
        <v>462</v>
      </c>
      <c r="H8608" s="69">
        <v>-0.15</v>
      </c>
    </row>
    <row r="8609" spans="6:8">
      <c r="F8609" s="68" t="s">
        <v>253</v>
      </c>
      <c r="G8609" s="67" t="s">
        <v>462</v>
      </c>
      <c r="H8609" s="69">
        <v>0.47</v>
      </c>
    </row>
    <row r="8610" spans="6:8">
      <c r="F8610" s="68" t="s">
        <v>315</v>
      </c>
      <c r="G8610" s="67" t="s">
        <v>462</v>
      </c>
      <c r="H8610" s="69">
        <v>-0.1</v>
      </c>
    </row>
    <row r="8611" spans="6:8">
      <c r="F8611" s="68" t="s">
        <v>128</v>
      </c>
      <c r="G8611" s="67" t="s">
        <v>462</v>
      </c>
      <c r="H8611" s="69">
        <v>-0.35</v>
      </c>
    </row>
    <row r="8612" spans="6:8">
      <c r="F8612" s="68" t="s">
        <v>129</v>
      </c>
      <c r="G8612" s="67" t="s">
        <v>462</v>
      </c>
      <c r="H8612" s="69">
        <v>-0.25</v>
      </c>
    </row>
    <row r="8613" spans="6:8">
      <c r="F8613" s="68" t="s">
        <v>254</v>
      </c>
      <c r="G8613" s="67" t="s">
        <v>462</v>
      </c>
      <c r="H8613" s="69">
        <v>0.66</v>
      </c>
    </row>
    <row r="8614" spans="6:8">
      <c r="F8614" s="68" t="s">
        <v>304</v>
      </c>
      <c r="G8614" s="67" t="s">
        <v>462</v>
      </c>
      <c r="H8614" s="69">
        <v>17.125</v>
      </c>
    </row>
    <row r="8615" spans="6:8">
      <c r="F8615" s="68" t="s">
        <v>421</v>
      </c>
      <c r="G8615" s="67" t="s">
        <v>462</v>
      </c>
      <c r="H8615" s="69">
        <v>2.7174954654917816</v>
      </c>
    </row>
    <row r="8616" spans="6:8">
      <c r="F8616" s="68" t="s">
        <v>130</v>
      </c>
      <c r="G8616" s="67" t="s">
        <v>462</v>
      </c>
      <c r="H8616" s="69">
        <v>-0.45</v>
      </c>
    </row>
    <row r="8617" spans="6:8">
      <c r="F8617" s="68" t="s">
        <v>131</v>
      </c>
      <c r="G8617" s="67" t="s">
        <v>462</v>
      </c>
      <c r="H8617" s="69">
        <v>-0.3</v>
      </c>
    </row>
    <row r="8618" spans="6:8">
      <c r="F8618" s="68" t="s">
        <v>255</v>
      </c>
      <c r="G8618" s="67" t="s">
        <v>462</v>
      </c>
      <c r="H8618" s="69">
        <v>0.88</v>
      </c>
    </row>
    <row r="8619" spans="6:8">
      <c r="F8619" s="68" t="s">
        <v>303</v>
      </c>
      <c r="G8619" s="67" t="s">
        <v>462</v>
      </c>
      <c r="H8619" s="69">
        <v>18.4375</v>
      </c>
    </row>
    <row r="8620" spans="6:8">
      <c r="F8620" s="68" t="s">
        <v>422</v>
      </c>
      <c r="G8620" s="67" t="s">
        <v>462</v>
      </c>
      <c r="H8620" s="69">
        <v>2.7236846501606848</v>
      </c>
    </row>
    <row r="8621" spans="6:8">
      <c r="F8621" s="68" t="s">
        <v>132</v>
      </c>
      <c r="G8621" s="67" t="s">
        <v>462</v>
      </c>
      <c r="H8621" s="69">
        <v>-0.4</v>
      </c>
    </row>
    <row r="8622" spans="6:8">
      <c r="F8622" s="68" t="s">
        <v>133</v>
      </c>
      <c r="G8622" s="67" t="s">
        <v>462</v>
      </c>
      <c r="H8622" s="69">
        <v>-0.35</v>
      </c>
    </row>
    <row r="8623" spans="6:8">
      <c r="F8623" s="68" t="s">
        <v>256</v>
      </c>
      <c r="G8623" s="67" t="s">
        <v>462</v>
      </c>
      <c r="H8623" s="69">
        <v>1.01</v>
      </c>
    </row>
    <row r="8624" spans="6:8">
      <c r="F8624" s="68" t="s">
        <v>423</v>
      </c>
      <c r="G8624" s="67" t="s">
        <v>462</v>
      </c>
      <c r="H8624" s="69">
        <v>2.8036530843681629</v>
      </c>
    </row>
    <row r="8625" spans="6:8">
      <c r="F8625" s="68" t="s">
        <v>134</v>
      </c>
      <c r="G8625" s="67" t="s">
        <v>462</v>
      </c>
      <c r="H8625" s="69">
        <v>-0.4</v>
      </c>
    </row>
    <row r="8626" spans="6:8">
      <c r="F8626" s="68" t="s">
        <v>135</v>
      </c>
      <c r="G8626" s="67" t="s">
        <v>462</v>
      </c>
      <c r="H8626" s="69">
        <v>-0.35</v>
      </c>
    </row>
    <row r="8627" spans="6:8">
      <c r="F8627" s="68" t="s">
        <v>257</v>
      </c>
      <c r="G8627" s="67" t="s">
        <v>462</v>
      </c>
      <c r="H8627" s="69">
        <v>1.08</v>
      </c>
    </row>
    <row r="8628" spans="6:8">
      <c r="F8628" s="68" t="s">
        <v>258</v>
      </c>
      <c r="G8628" s="67" t="s">
        <v>462</v>
      </c>
      <c r="H8628" s="69">
        <v>0.14000000000000001</v>
      </c>
    </row>
    <row r="8629" spans="6:8">
      <c r="F8629" s="68" t="s">
        <v>424</v>
      </c>
      <c r="G8629" s="67" t="s">
        <v>462</v>
      </c>
      <c r="H8629" s="69">
        <v>3.5103396029600997</v>
      </c>
    </row>
    <row r="8630" spans="6:8">
      <c r="F8630" s="68" t="s">
        <v>136</v>
      </c>
      <c r="G8630" s="67" t="s">
        <v>462</v>
      </c>
      <c r="H8630" s="69">
        <v>-0.4</v>
      </c>
    </row>
    <row r="8631" spans="6:8">
      <c r="F8631" s="68" t="s">
        <v>137</v>
      </c>
      <c r="G8631" s="67" t="s">
        <v>462</v>
      </c>
      <c r="H8631" s="69">
        <v>-0.45</v>
      </c>
    </row>
    <row r="8632" spans="6:8">
      <c r="F8632" s="68" t="s">
        <v>138</v>
      </c>
      <c r="G8632" s="67" t="s">
        <v>462</v>
      </c>
      <c r="H8632" s="69">
        <v>-0.35</v>
      </c>
    </row>
    <row r="8633" spans="6:8">
      <c r="F8633" s="68" t="s">
        <v>259</v>
      </c>
      <c r="G8633" s="67" t="s">
        <v>462</v>
      </c>
      <c r="H8633" s="69">
        <v>0.17</v>
      </c>
    </row>
    <row r="8634" spans="6:8">
      <c r="F8634" s="68" t="s">
        <v>425</v>
      </c>
      <c r="G8634" s="67" t="s">
        <v>462</v>
      </c>
      <c r="H8634" s="69">
        <v>3.5482925013821109</v>
      </c>
    </row>
    <row r="8635" spans="6:8">
      <c r="F8635" s="68" t="s">
        <v>425</v>
      </c>
      <c r="G8635" s="67" t="s">
        <v>463</v>
      </c>
      <c r="H8635" s="69">
        <v>3.5470048438825064</v>
      </c>
    </row>
    <row r="8636" spans="6:8">
      <c r="F8636" s="68" t="s">
        <v>259</v>
      </c>
      <c r="G8636" s="67" t="s">
        <v>463</v>
      </c>
      <c r="H8636" s="69">
        <v>0.17</v>
      </c>
    </row>
    <row r="8637" spans="6:8">
      <c r="F8637" s="68" t="s">
        <v>138</v>
      </c>
      <c r="G8637" s="67" t="s">
        <v>463</v>
      </c>
      <c r="H8637" s="69">
        <v>-0.35</v>
      </c>
    </row>
    <row r="8638" spans="6:8">
      <c r="F8638" s="68" t="s">
        <v>137</v>
      </c>
      <c r="G8638" s="67" t="s">
        <v>463</v>
      </c>
      <c r="H8638" s="69">
        <v>-0.45</v>
      </c>
    </row>
    <row r="8639" spans="6:8">
      <c r="F8639" s="68" t="s">
        <v>136</v>
      </c>
      <c r="G8639" s="67" t="s">
        <v>463</v>
      </c>
      <c r="H8639" s="69">
        <v>-0.4</v>
      </c>
    </row>
    <row r="8640" spans="6:8">
      <c r="F8640" s="68" t="s">
        <v>424</v>
      </c>
      <c r="G8640" s="67" t="s">
        <v>463</v>
      </c>
      <c r="H8640" s="69">
        <v>3.5095394922080914</v>
      </c>
    </row>
    <row r="8641" spans="6:8">
      <c r="F8641" s="68" t="s">
        <v>258</v>
      </c>
      <c r="G8641" s="67" t="s">
        <v>463</v>
      </c>
      <c r="H8641" s="69">
        <v>0.14000000000000001</v>
      </c>
    </row>
    <row r="8642" spans="6:8">
      <c r="F8642" s="68" t="s">
        <v>257</v>
      </c>
      <c r="G8642" s="67" t="s">
        <v>463</v>
      </c>
      <c r="H8642" s="69">
        <v>1.08</v>
      </c>
    </row>
    <row r="8643" spans="6:8">
      <c r="F8643" s="68" t="s">
        <v>135</v>
      </c>
      <c r="G8643" s="67" t="s">
        <v>463</v>
      </c>
      <c r="H8643" s="69">
        <v>-0.35</v>
      </c>
    </row>
    <row r="8644" spans="6:8">
      <c r="F8644" s="68" t="s">
        <v>134</v>
      </c>
      <c r="G8644" s="67" t="s">
        <v>463</v>
      </c>
      <c r="H8644" s="69">
        <v>-0.4</v>
      </c>
    </row>
    <row r="8645" spans="6:8">
      <c r="F8645" s="68" t="s">
        <v>423</v>
      </c>
      <c r="G8645" s="67" t="s">
        <v>463</v>
      </c>
      <c r="H8645" s="69">
        <v>2.8112498573853006</v>
      </c>
    </row>
    <row r="8646" spans="6:8">
      <c r="F8646" s="68" t="s">
        <v>256</v>
      </c>
      <c r="G8646" s="67" t="s">
        <v>463</v>
      </c>
      <c r="H8646" s="69">
        <v>1.01</v>
      </c>
    </row>
    <row r="8647" spans="6:8">
      <c r="F8647" s="68" t="s">
        <v>133</v>
      </c>
      <c r="G8647" s="67" t="s">
        <v>463</v>
      </c>
      <c r="H8647" s="69">
        <v>-0.35</v>
      </c>
    </row>
    <row r="8648" spans="6:8">
      <c r="F8648" s="68" t="s">
        <v>132</v>
      </c>
      <c r="G8648" s="67" t="s">
        <v>463</v>
      </c>
      <c r="H8648" s="69">
        <v>-0.4</v>
      </c>
    </row>
    <row r="8649" spans="6:8">
      <c r="F8649" s="68" t="s">
        <v>422</v>
      </c>
      <c r="G8649" s="67" t="s">
        <v>463</v>
      </c>
      <c r="H8649" s="69">
        <v>2.7511685120985785</v>
      </c>
    </row>
    <row r="8650" spans="6:8">
      <c r="F8650" s="68" t="s">
        <v>303</v>
      </c>
      <c r="G8650" s="67" t="s">
        <v>463</v>
      </c>
      <c r="H8650" s="69">
        <v>18.4375</v>
      </c>
    </row>
    <row r="8651" spans="6:8">
      <c r="F8651" s="68" t="s">
        <v>255</v>
      </c>
      <c r="G8651" s="67" t="s">
        <v>463</v>
      </c>
      <c r="H8651" s="69">
        <v>0.88</v>
      </c>
    </row>
    <row r="8652" spans="6:8">
      <c r="F8652" s="68" t="s">
        <v>131</v>
      </c>
      <c r="G8652" s="67" t="s">
        <v>463</v>
      </c>
      <c r="H8652" s="69">
        <v>-0.3</v>
      </c>
    </row>
    <row r="8653" spans="6:8">
      <c r="F8653" s="68" t="s">
        <v>130</v>
      </c>
      <c r="G8653" s="67" t="s">
        <v>463</v>
      </c>
      <c r="H8653" s="69">
        <v>-0.45</v>
      </c>
    </row>
    <row r="8654" spans="6:8">
      <c r="F8654" s="68" t="s">
        <v>421</v>
      </c>
      <c r="G8654" s="67" t="s">
        <v>463</v>
      </c>
      <c r="H8654" s="69">
        <v>2.7455710580141179</v>
      </c>
    </row>
    <row r="8655" spans="6:8">
      <c r="F8655" s="68" t="s">
        <v>304</v>
      </c>
      <c r="G8655" s="67" t="s">
        <v>463</v>
      </c>
      <c r="H8655" s="69">
        <v>17.1875</v>
      </c>
    </row>
    <row r="8656" spans="6:8">
      <c r="F8656" s="68" t="s">
        <v>254</v>
      </c>
      <c r="G8656" s="67" t="s">
        <v>463</v>
      </c>
      <c r="H8656" s="69">
        <v>0.66</v>
      </c>
    </row>
    <row r="8657" spans="6:8">
      <c r="F8657" s="68" t="s">
        <v>129</v>
      </c>
      <c r="G8657" s="67" t="s">
        <v>463</v>
      </c>
      <c r="H8657" s="69">
        <v>-0.25</v>
      </c>
    </row>
    <row r="8658" spans="6:8">
      <c r="F8658" s="68" t="s">
        <v>128</v>
      </c>
      <c r="G8658" s="67" t="s">
        <v>463</v>
      </c>
      <c r="H8658" s="69">
        <v>-0.35</v>
      </c>
    </row>
    <row r="8659" spans="6:8">
      <c r="F8659" s="68" t="s">
        <v>315</v>
      </c>
      <c r="G8659" s="67" t="s">
        <v>463</v>
      </c>
      <c r="H8659" s="69">
        <v>-0.1</v>
      </c>
    </row>
    <row r="8660" spans="6:8">
      <c r="F8660" s="68" t="s">
        <v>253</v>
      </c>
      <c r="G8660" s="67" t="s">
        <v>463</v>
      </c>
      <c r="H8660" s="69">
        <v>0.47</v>
      </c>
    </row>
    <row r="8661" spans="6:8">
      <c r="F8661" s="68" t="s">
        <v>127</v>
      </c>
      <c r="G8661" s="67" t="s">
        <v>463</v>
      </c>
      <c r="H8661" s="69">
        <v>-0.15</v>
      </c>
    </row>
    <row r="8662" spans="6:8">
      <c r="F8662" s="68" t="s">
        <v>126</v>
      </c>
      <c r="G8662" s="67" t="s">
        <v>463</v>
      </c>
      <c r="H8662" s="69">
        <v>-0.4</v>
      </c>
    </row>
    <row r="8663" spans="6:8">
      <c r="F8663" s="68" t="s">
        <v>125</v>
      </c>
      <c r="G8663" s="67" t="s">
        <v>463</v>
      </c>
      <c r="H8663" s="69">
        <v>-0.2</v>
      </c>
    </row>
    <row r="8664" spans="6:8">
      <c r="F8664" s="68" t="s">
        <v>314</v>
      </c>
      <c r="G8664" s="67" t="s">
        <v>463</v>
      </c>
      <c r="H8664" s="69">
        <v>-0.15</v>
      </c>
    </row>
    <row r="8665" spans="6:8">
      <c r="F8665" s="68" t="s">
        <v>252</v>
      </c>
      <c r="G8665" s="67" t="s">
        <v>463</v>
      </c>
      <c r="H8665" s="69">
        <v>0.35</v>
      </c>
    </row>
    <row r="8666" spans="6:8">
      <c r="F8666" s="68" t="s">
        <v>124</v>
      </c>
      <c r="G8666" s="67" t="s">
        <v>463</v>
      </c>
      <c r="H8666" s="69">
        <v>-0.15</v>
      </c>
    </row>
    <row r="8667" spans="6:8">
      <c r="F8667" s="68" t="s">
        <v>123</v>
      </c>
      <c r="G8667" s="67" t="s">
        <v>463</v>
      </c>
      <c r="H8667" s="69">
        <v>-0.5</v>
      </c>
    </row>
    <row r="8668" spans="6:8">
      <c r="F8668" s="68" t="s">
        <v>122</v>
      </c>
      <c r="G8668" s="67" t="s">
        <v>463</v>
      </c>
      <c r="H8668" s="69">
        <v>-0.35</v>
      </c>
    </row>
    <row r="8669" spans="6:8">
      <c r="F8669" s="68" t="s">
        <v>420</v>
      </c>
      <c r="G8669" s="67" t="s">
        <v>463</v>
      </c>
      <c r="H8669" s="69">
        <v>3.6662950351399548</v>
      </c>
    </row>
    <row r="8670" spans="6:8">
      <c r="F8670" s="68" t="s">
        <v>251</v>
      </c>
      <c r="G8670" s="67" t="s">
        <v>463</v>
      </c>
      <c r="H8670" s="69">
        <v>0.26</v>
      </c>
    </row>
    <row r="8671" spans="6:8">
      <c r="F8671" s="68" t="s">
        <v>121</v>
      </c>
      <c r="G8671" s="67" t="s">
        <v>463</v>
      </c>
      <c r="H8671" s="69">
        <v>-0.3</v>
      </c>
    </row>
    <row r="8672" spans="6:8">
      <c r="F8672" s="68" t="s">
        <v>120</v>
      </c>
      <c r="G8672" s="67" t="s">
        <v>463</v>
      </c>
      <c r="H8672" s="69">
        <v>-0.4</v>
      </c>
    </row>
    <row r="8673" spans="6:8">
      <c r="F8673" s="68" t="s">
        <v>119</v>
      </c>
      <c r="G8673" s="67" t="s">
        <v>463</v>
      </c>
      <c r="H8673" s="69">
        <v>-0.35</v>
      </c>
    </row>
    <row r="8674" spans="6:8">
      <c r="F8674" s="68" t="s">
        <v>119</v>
      </c>
      <c r="G8674" s="67" t="s">
        <v>464</v>
      </c>
      <c r="H8674" s="69">
        <v>-0.35</v>
      </c>
    </row>
    <row r="8675" spans="6:8">
      <c r="F8675" s="68" t="s">
        <v>120</v>
      </c>
      <c r="G8675" s="67" t="s">
        <v>464</v>
      </c>
      <c r="H8675" s="69">
        <v>-0.4</v>
      </c>
    </row>
    <row r="8676" spans="6:8">
      <c r="F8676" s="68" t="s">
        <v>121</v>
      </c>
      <c r="G8676" s="67" t="s">
        <v>464</v>
      </c>
      <c r="H8676" s="69">
        <v>-0.3</v>
      </c>
    </row>
    <row r="8677" spans="6:8">
      <c r="F8677" s="68" t="s">
        <v>251</v>
      </c>
      <c r="G8677" s="67" t="s">
        <v>464</v>
      </c>
      <c r="H8677" s="69">
        <v>0.26</v>
      </c>
    </row>
    <row r="8678" spans="6:8">
      <c r="F8678" s="68" t="s">
        <v>420</v>
      </c>
      <c r="G8678" s="67" t="s">
        <v>464</v>
      </c>
      <c r="H8678" s="69">
        <v>3.6507335944649277</v>
      </c>
    </row>
    <row r="8679" spans="6:8">
      <c r="F8679" s="68" t="s">
        <v>122</v>
      </c>
      <c r="G8679" s="67" t="s">
        <v>464</v>
      </c>
      <c r="H8679" s="69">
        <v>-0.35</v>
      </c>
    </row>
    <row r="8680" spans="6:8">
      <c r="F8680" s="68" t="s">
        <v>123</v>
      </c>
      <c r="G8680" s="67" t="s">
        <v>464</v>
      </c>
      <c r="H8680" s="69">
        <v>-0.5</v>
      </c>
    </row>
    <row r="8681" spans="6:8">
      <c r="F8681" s="68" t="s">
        <v>124</v>
      </c>
      <c r="G8681" s="67" t="s">
        <v>464</v>
      </c>
      <c r="H8681" s="69">
        <v>-0.15</v>
      </c>
    </row>
    <row r="8682" spans="6:8">
      <c r="F8682" s="68" t="s">
        <v>252</v>
      </c>
      <c r="G8682" s="67" t="s">
        <v>464</v>
      </c>
      <c r="H8682" s="69">
        <v>0.35</v>
      </c>
    </row>
    <row r="8683" spans="6:8">
      <c r="F8683" s="68" t="s">
        <v>314</v>
      </c>
      <c r="G8683" s="67" t="s">
        <v>464</v>
      </c>
      <c r="H8683" s="69">
        <v>-0.15</v>
      </c>
    </row>
    <row r="8684" spans="6:8">
      <c r="F8684" s="68" t="s">
        <v>125</v>
      </c>
      <c r="G8684" s="67" t="s">
        <v>464</v>
      </c>
      <c r="H8684" s="69">
        <v>-0.2</v>
      </c>
    </row>
    <row r="8685" spans="6:8">
      <c r="F8685" s="68" t="s">
        <v>126</v>
      </c>
      <c r="G8685" s="67" t="s">
        <v>464</v>
      </c>
      <c r="H8685" s="69">
        <v>-0.4</v>
      </c>
    </row>
    <row r="8686" spans="6:8">
      <c r="F8686" s="68" t="s">
        <v>127</v>
      </c>
      <c r="G8686" s="67" t="s">
        <v>464</v>
      </c>
      <c r="H8686" s="69">
        <v>-0.15</v>
      </c>
    </row>
    <row r="8687" spans="6:8">
      <c r="F8687" s="68" t="s">
        <v>253</v>
      </c>
      <c r="G8687" s="67" t="s">
        <v>464</v>
      </c>
      <c r="H8687" s="69">
        <v>0.47</v>
      </c>
    </row>
    <row r="8688" spans="6:8">
      <c r="F8688" s="68" t="s">
        <v>315</v>
      </c>
      <c r="G8688" s="67" t="s">
        <v>464</v>
      </c>
      <c r="H8688" s="69">
        <v>-0.1</v>
      </c>
    </row>
    <row r="8689" spans="6:8">
      <c r="F8689" s="68" t="s">
        <v>128</v>
      </c>
      <c r="G8689" s="67" t="s">
        <v>464</v>
      </c>
      <c r="H8689" s="69">
        <v>-0.35</v>
      </c>
    </row>
    <row r="8690" spans="6:8">
      <c r="F8690" s="68" t="s">
        <v>129</v>
      </c>
      <c r="G8690" s="67" t="s">
        <v>464</v>
      </c>
      <c r="H8690" s="69">
        <v>-0.25</v>
      </c>
    </row>
    <row r="8691" spans="6:8">
      <c r="F8691" s="68" t="s">
        <v>254</v>
      </c>
      <c r="G8691" s="67" t="s">
        <v>464</v>
      </c>
      <c r="H8691" s="69">
        <v>0.66</v>
      </c>
    </row>
    <row r="8692" spans="6:8">
      <c r="F8692" s="68" t="s">
        <v>304</v>
      </c>
      <c r="G8692" s="67" t="s">
        <v>464</v>
      </c>
      <c r="H8692" s="69">
        <v>17.25</v>
      </c>
    </row>
    <row r="8693" spans="6:8">
      <c r="F8693" s="68" t="s">
        <v>421</v>
      </c>
      <c r="G8693" s="67" t="s">
        <v>464</v>
      </c>
      <c r="H8693" s="69">
        <v>2.7336220634711861</v>
      </c>
    </row>
    <row r="8694" spans="6:8">
      <c r="F8694" s="68" t="s">
        <v>130</v>
      </c>
      <c r="G8694" s="67" t="s">
        <v>464</v>
      </c>
      <c r="H8694" s="69">
        <v>-0.45</v>
      </c>
    </row>
    <row r="8695" spans="6:8">
      <c r="F8695" s="68" t="s">
        <v>131</v>
      </c>
      <c r="G8695" s="67" t="s">
        <v>464</v>
      </c>
      <c r="H8695" s="69">
        <v>-0.3</v>
      </c>
    </row>
    <row r="8696" spans="6:8">
      <c r="F8696" s="68" t="s">
        <v>255</v>
      </c>
      <c r="G8696" s="67" t="s">
        <v>464</v>
      </c>
      <c r="H8696" s="69">
        <v>0.88</v>
      </c>
    </row>
    <row r="8697" spans="6:8">
      <c r="F8697" s="68" t="s">
        <v>303</v>
      </c>
      <c r="G8697" s="67" t="s">
        <v>464</v>
      </c>
      <c r="H8697" s="69">
        <v>18.4375</v>
      </c>
    </row>
    <row r="8698" spans="6:8">
      <c r="F8698" s="68" t="s">
        <v>422</v>
      </c>
      <c r="G8698" s="67" t="s">
        <v>464</v>
      </c>
      <c r="H8698" s="69">
        <v>2.7392723356900461</v>
      </c>
    </row>
    <row r="8699" spans="6:8">
      <c r="F8699" s="68" t="s">
        <v>132</v>
      </c>
      <c r="G8699" s="67" t="s">
        <v>464</v>
      </c>
      <c r="H8699" s="69">
        <v>-0.4</v>
      </c>
    </row>
    <row r="8700" spans="6:8">
      <c r="F8700" s="68" t="s">
        <v>133</v>
      </c>
      <c r="G8700" s="67" t="s">
        <v>464</v>
      </c>
      <c r="H8700" s="69">
        <v>-0.35</v>
      </c>
    </row>
    <row r="8701" spans="6:8">
      <c r="F8701" s="68" t="s">
        <v>256</v>
      </c>
      <c r="G8701" s="67" t="s">
        <v>464</v>
      </c>
      <c r="H8701" s="69">
        <v>1.01</v>
      </c>
    </row>
    <row r="8702" spans="6:8">
      <c r="F8702" s="68" t="s">
        <v>423</v>
      </c>
      <c r="G8702" s="67" t="s">
        <v>464</v>
      </c>
      <c r="H8702" s="69">
        <v>2.7998270914836976</v>
      </c>
    </row>
    <row r="8703" spans="6:8">
      <c r="F8703" s="68" t="s">
        <v>134</v>
      </c>
      <c r="G8703" s="67" t="s">
        <v>464</v>
      </c>
      <c r="H8703" s="69">
        <v>-0.4</v>
      </c>
    </row>
    <row r="8704" spans="6:8">
      <c r="F8704" s="68" t="s">
        <v>135</v>
      </c>
      <c r="G8704" s="67" t="s">
        <v>464</v>
      </c>
      <c r="H8704" s="69">
        <v>-0.35</v>
      </c>
    </row>
    <row r="8705" spans="6:8">
      <c r="F8705" s="68" t="s">
        <v>257</v>
      </c>
      <c r="G8705" s="67" t="s">
        <v>464</v>
      </c>
      <c r="H8705" s="69">
        <v>1.08</v>
      </c>
    </row>
    <row r="8706" spans="6:8">
      <c r="F8706" s="68" t="s">
        <v>258</v>
      </c>
      <c r="G8706" s="67" t="s">
        <v>464</v>
      </c>
      <c r="H8706" s="69">
        <v>0.14000000000000001</v>
      </c>
    </row>
    <row r="8707" spans="6:8">
      <c r="F8707" s="68" t="s">
        <v>424</v>
      </c>
      <c r="G8707" s="67" t="s">
        <v>464</v>
      </c>
      <c r="H8707" s="69">
        <v>3.4899316387127843</v>
      </c>
    </row>
    <row r="8708" spans="6:8">
      <c r="F8708" s="68" t="s">
        <v>136</v>
      </c>
      <c r="G8708" s="67" t="s">
        <v>464</v>
      </c>
      <c r="H8708" s="69">
        <v>-0.4</v>
      </c>
    </row>
    <row r="8709" spans="6:8">
      <c r="F8709" s="68" t="s">
        <v>137</v>
      </c>
      <c r="G8709" s="67" t="s">
        <v>464</v>
      </c>
      <c r="H8709" s="69">
        <v>-0.45</v>
      </c>
    </row>
    <row r="8710" spans="6:8">
      <c r="F8710" s="68" t="s">
        <v>138</v>
      </c>
      <c r="G8710" s="67" t="s">
        <v>464</v>
      </c>
      <c r="H8710" s="69">
        <v>-0.35</v>
      </c>
    </row>
    <row r="8711" spans="6:8">
      <c r="F8711" s="68" t="s">
        <v>259</v>
      </c>
      <c r="G8711" s="67" t="s">
        <v>464</v>
      </c>
      <c r="H8711" s="69">
        <v>0.17</v>
      </c>
    </row>
    <row r="8712" spans="6:8">
      <c r="F8712" s="68" t="s">
        <v>425</v>
      </c>
      <c r="G8712" s="67" t="s">
        <v>464</v>
      </c>
      <c r="H8712" s="69">
        <v>3.5284727181823072</v>
      </c>
    </row>
    <row r="8713" spans="6:8">
      <c r="F8713" s="68" t="s">
        <v>425</v>
      </c>
      <c r="G8713" s="67" t="s">
        <v>465</v>
      </c>
      <c r="H8713" s="69">
        <v>3.4724558936737093</v>
      </c>
    </row>
    <row r="8714" spans="6:8">
      <c r="F8714" s="68" t="s">
        <v>259</v>
      </c>
      <c r="G8714" s="67" t="s">
        <v>465</v>
      </c>
      <c r="H8714" s="69">
        <v>0.17</v>
      </c>
    </row>
    <row r="8715" spans="6:8">
      <c r="F8715" s="68" t="s">
        <v>138</v>
      </c>
      <c r="G8715" s="67" t="s">
        <v>465</v>
      </c>
      <c r="H8715" s="69">
        <v>-0.35</v>
      </c>
    </row>
    <row r="8716" spans="6:8">
      <c r="F8716" s="68" t="s">
        <v>137</v>
      </c>
      <c r="G8716" s="67" t="s">
        <v>465</v>
      </c>
      <c r="H8716" s="69">
        <v>-0.45</v>
      </c>
    </row>
    <row r="8717" spans="6:8">
      <c r="F8717" s="68" t="s">
        <v>136</v>
      </c>
      <c r="G8717" s="67" t="s">
        <v>465</v>
      </c>
      <c r="H8717" s="69">
        <v>-0.4</v>
      </c>
    </row>
    <row r="8718" spans="6:8">
      <c r="F8718" s="68" t="s">
        <v>424</v>
      </c>
      <c r="G8718" s="67" t="s">
        <v>465</v>
      </c>
      <c r="H8718" s="69">
        <v>3.4381367036326438</v>
      </c>
    </row>
    <row r="8719" spans="6:8">
      <c r="F8719" s="68" t="s">
        <v>258</v>
      </c>
      <c r="G8719" s="67" t="s">
        <v>465</v>
      </c>
      <c r="H8719" s="69">
        <v>0.14000000000000001</v>
      </c>
    </row>
    <row r="8720" spans="6:8">
      <c r="F8720" s="68" t="s">
        <v>257</v>
      </c>
      <c r="G8720" s="67" t="s">
        <v>465</v>
      </c>
      <c r="H8720" s="69">
        <v>1.08</v>
      </c>
    </row>
    <row r="8721" spans="6:8">
      <c r="F8721" s="68" t="s">
        <v>135</v>
      </c>
      <c r="G8721" s="67" t="s">
        <v>465</v>
      </c>
      <c r="H8721" s="69">
        <v>-0.35</v>
      </c>
    </row>
    <row r="8722" spans="6:8">
      <c r="F8722" s="68" t="s">
        <v>134</v>
      </c>
      <c r="G8722" s="67" t="s">
        <v>465</v>
      </c>
      <c r="H8722" s="69">
        <v>-0.4</v>
      </c>
    </row>
    <row r="8723" spans="6:8">
      <c r="F8723" s="68" t="s">
        <v>423</v>
      </c>
      <c r="G8723" s="67" t="s">
        <v>465</v>
      </c>
      <c r="H8723" s="69">
        <v>2.7352222871331655</v>
      </c>
    </row>
    <row r="8724" spans="6:8">
      <c r="F8724" s="68" t="s">
        <v>256</v>
      </c>
      <c r="G8724" s="67" t="s">
        <v>465</v>
      </c>
      <c r="H8724" s="69">
        <v>1.01</v>
      </c>
    </row>
    <row r="8725" spans="6:8">
      <c r="F8725" s="68" t="s">
        <v>133</v>
      </c>
      <c r="G8725" s="67" t="s">
        <v>465</v>
      </c>
      <c r="H8725" s="69">
        <v>-0.35</v>
      </c>
    </row>
    <row r="8726" spans="6:8">
      <c r="F8726" s="68" t="s">
        <v>132</v>
      </c>
      <c r="G8726" s="67" t="s">
        <v>465</v>
      </c>
      <c r="H8726" s="69">
        <v>-0.4</v>
      </c>
    </row>
    <row r="8727" spans="6:8">
      <c r="F8727" s="68" t="s">
        <v>422</v>
      </c>
      <c r="G8727" s="67" t="s">
        <v>465</v>
      </c>
      <c r="H8727" s="69">
        <v>2.704075629448166</v>
      </c>
    </row>
    <row r="8728" spans="6:8">
      <c r="F8728" s="68" t="s">
        <v>303</v>
      </c>
      <c r="G8728" s="67" t="s">
        <v>465</v>
      </c>
      <c r="H8728" s="69">
        <v>18.8125</v>
      </c>
    </row>
    <row r="8729" spans="6:8">
      <c r="F8729" s="68" t="s">
        <v>255</v>
      </c>
      <c r="G8729" s="67" t="s">
        <v>465</v>
      </c>
      <c r="H8729" s="69">
        <v>0.88</v>
      </c>
    </row>
    <row r="8730" spans="6:8">
      <c r="F8730" s="68" t="s">
        <v>131</v>
      </c>
      <c r="G8730" s="67" t="s">
        <v>465</v>
      </c>
      <c r="H8730" s="69">
        <v>-0.3</v>
      </c>
    </row>
    <row r="8731" spans="6:8">
      <c r="F8731" s="68" t="s">
        <v>130</v>
      </c>
      <c r="G8731" s="67" t="s">
        <v>465</v>
      </c>
      <c r="H8731" s="69">
        <v>-0.45</v>
      </c>
    </row>
    <row r="8732" spans="6:8">
      <c r="F8732" s="68" t="s">
        <v>421</v>
      </c>
      <c r="G8732" s="67" t="s">
        <v>465</v>
      </c>
      <c r="H8732" s="69">
        <v>2.697770982426162</v>
      </c>
    </row>
    <row r="8733" spans="6:8">
      <c r="F8733" s="68" t="s">
        <v>304</v>
      </c>
      <c r="G8733" s="67" t="s">
        <v>465</v>
      </c>
      <c r="H8733" s="69">
        <v>17.5</v>
      </c>
    </row>
    <row r="8734" spans="6:8">
      <c r="F8734" s="68" t="s">
        <v>254</v>
      </c>
      <c r="G8734" s="67" t="s">
        <v>465</v>
      </c>
      <c r="H8734" s="69">
        <v>0.66</v>
      </c>
    </row>
    <row r="8735" spans="6:8">
      <c r="F8735" s="68" t="s">
        <v>129</v>
      </c>
      <c r="G8735" s="67" t="s">
        <v>465</v>
      </c>
      <c r="H8735" s="69">
        <v>-0.25</v>
      </c>
    </row>
    <row r="8736" spans="6:8">
      <c r="F8736" s="68" t="s">
        <v>128</v>
      </c>
      <c r="G8736" s="67" t="s">
        <v>465</v>
      </c>
      <c r="H8736" s="69">
        <v>-0.35</v>
      </c>
    </row>
    <row r="8737" spans="6:8">
      <c r="F8737" s="68" t="s">
        <v>315</v>
      </c>
      <c r="G8737" s="67" t="s">
        <v>465</v>
      </c>
      <c r="H8737" s="69">
        <v>-0.1</v>
      </c>
    </row>
    <row r="8738" spans="6:8">
      <c r="F8738" s="68" t="s">
        <v>253</v>
      </c>
      <c r="G8738" s="67" t="s">
        <v>465</v>
      </c>
      <c r="H8738" s="69">
        <v>0.47</v>
      </c>
    </row>
    <row r="8739" spans="6:8">
      <c r="F8739" s="68" t="s">
        <v>127</v>
      </c>
      <c r="G8739" s="67" t="s">
        <v>465</v>
      </c>
      <c r="H8739" s="69">
        <v>-0.15</v>
      </c>
    </row>
    <row r="8740" spans="6:8">
      <c r="F8740" s="68" t="s">
        <v>126</v>
      </c>
      <c r="G8740" s="67" t="s">
        <v>465</v>
      </c>
      <c r="H8740" s="69">
        <v>-0.4</v>
      </c>
    </row>
    <row r="8741" spans="6:8">
      <c r="F8741" s="68" t="s">
        <v>125</v>
      </c>
      <c r="G8741" s="67" t="s">
        <v>465</v>
      </c>
      <c r="H8741" s="69">
        <v>-0.2</v>
      </c>
    </row>
    <row r="8742" spans="6:8">
      <c r="F8742" s="68" t="s">
        <v>314</v>
      </c>
      <c r="G8742" s="67" t="s">
        <v>465</v>
      </c>
      <c r="H8742" s="69">
        <v>-0.15</v>
      </c>
    </row>
    <row r="8743" spans="6:8">
      <c r="F8743" s="68" t="s">
        <v>252</v>
      </c>
      <c r="G8743" s="67" t="s">
        <v>465</v>
      </c>
      <c r="H8743" s="69">
        <v>0.35</v>
      </c>
    </row>
    <row r="8744" spans="6:8">
      <c r="F8744" s="68" t="s">
        <v>124</v>
      </c>
      <c r="G8744" s="67" t="s">
        <v>465</v>
      </c>
      <c r="H8744" s="69">
        <v>-0.15</v>
      </c>
    </row>
    <row r="8745" spans="6:8">
      <c r="F8745" s="68" t="s">
        <v>123</v>
      </c>
      <c r="G8745" s="67" t="s">
        <v>465</v>
      </c>
      <c r="H8745" s="69">
        <v>-0.5</v>
      </c>
    </row>
    <row r="8746" spans="6:8">
      <c r="F8746" s="68" t="s">
        <v>122</v>
      </c>
      <c r="G8746" s="67" t="s">
        <v>465</v>
      </c>
      <c r="H8746" s="69">
        <v>-0.35</v>
      </c>
    </row>
    <row r="8747" spans="6:8">
      <c r="F8747" s="68" t="s">
        <v>420</v>
      </c>
      <c r="G8747" s="67" t="s">
        <v>465</v>
      </c>
      <c r="H8747" s="69">
        <v>3.6050291044242844</v>
      </c>
    </row>
    <row r="8748" spans="6:8">
      <c r="F8748" s="68" t="s">
        <v>251</v>
      </c>
      <c r="G8748" s="67" t="s">
        <v>465</v>
      </c>
      <c r="H8748" s="69">
        <v>0.26</v>
      </c>
    </row>
    <row r="8749" spans="6:8">
      <c r="F8749" s="68" t="s">
        <v>121</v>
      </c>
      <c r="G8749" s="67" t="s">
        <v>465</v>
      </c>
      <c r="H8749" s="69">
        <v>-0.3</v>
      </c>
    </row>
    <row r="8750" spans="6:8">
      <c r="F8750" s="68" t="s">
        <v>120</v>
      </c>
      <c r="G8750" s="67" t="s">
        <v>465</v>
      </c>
      <c r="H8750" s="69">
        <v>-0.4</v>
      </c>
    </row>
    <row r="8751" spans="6:8">
      <c r="F8751" s="68" t="s">
        <v>119</v>
      </c>
      <c r="G8751" s="67" t="s">
        <v>465</v>
      </c>
      <c r="H8751" s="69">
        <v>-0.35</v>
      </c>
    </row>
    <row r="8752" spans="6:8">
      <c r="F8752" s="68" t="s">
        <v>119</v>
      </c>
      <c r="G8752" s="67" t="s">
        <v>466</v>
      </c>
      <c r="H8752" s="69">
        <v>-0.35</v>
      </c>
    </row>
    <row r="8753" spans="6:8">
      <c r="F8753" s="68" t="s">
        <v>120</v>
      </c>
      <c r="G8753" s="67" t="s">
        <v>466</v>
      </c>
      <c r="H8753" s="69">
        <v>-0.4</v>
      </c>
    </row>
    <row r="8754" spans="6:8">
      <c r="F8754" s="68" t="s">
        <v>121</v>
      </c>
      <c r="G8754" s="67" t="s">
        <v>466</v>
      </c>
      <c r="H8754" s="69">
        <v>-0.35</v>
      </c>
    </row>
    <row r="8755" spans="6:8">
      <c r="F8755" s="68" t="s">
        <v>251</v>
      </c>
      <c r="G8755" s="67" t="s">
        <v>466</v>
      </c>
      <c r="H8755" s="69">
        <v>0.26</v>
      </c>
    </row>
    <row r="8756" spans="6:8">
      <c r="F8756" s="68" t="s">
        <v>420</v>
      </c>
      <c r="G8756" s="67" t="s">
        <v>466</v>
      </c>
      <c r="H8756" s="69">
        <v>3.5862960100393693</v>
      </c>
    </row>
    <row r="8757" spans="6:8">
      <c r="F8757" s="68" t="s">
        <v>122</v>
      </c>
      <c r="G8757" s="67" t="s">
        <v>466</v>
      </c>
      <c r="H8757" s="69">
        <v>-0.35</v>
      </c>
    </row>
    <row r="8758" spans="6:8">
      <c r="F8758" s="68" t="s">
        <v>123</v>
      </c>
      <c r="G8758" s="67" t="s">
        <v>466</v>
      </c>
      <c r="H8758" s="69">
        <v>-0.5</v>
      </c>
    </row>
    <row r="8759" spans="6:8">
      <c r="F8759" s="68" t="s">
        <v>124</v>
      </c>
      <c r="G8759" s="67" t="s">
        <v>466</v>
      </c>
      <c r="H8759" s="69">
        <v>-0.2</v>
      </c>
    </row>
    <row r="8760" spans="6:8">
      <c r="F8760" s="68" t="s">
        <v>252</v>
      </c>
      <c r="G8760" s="67" t="s">
        <v>466</v>
      </c>
      <c r="H8760" s="69">
        <v>0.35</v>
      </c>
    </row>
    <row r="8761" spans="6:8">
      <c r="F8761" s="68" t="s">
        <v>314</v>
      </c>
      <c r="G8761" s="67" t="s">
        <v>466</v>
      </c>
      <c r="H8761" s="69">
        <v>-0.2</v>
      </c>
    </row>
    <row r="8762" spans="6:8">
      <c r="F8762" s="68" t="s">
        <v>125</v>
      </c>
      <c r="G8762" s="67" t="s">
        <v>466</v>
      </c>
      <c r="H8762" s="69">
        <v>-0.25</v>
      </c>
    </row>
    <row r="8763" spans="6:8">
      <c r="F8763" s="68" t="s">
        <v>126</v>
      </c>
      <c r="G8763" s="67" t="s">
        <v>466</v>
      </c>
      <c r="H8763" s="69">
        <v>-0.4</v>
      </c>
    </row>
    <row r="8764" spans="6:8">
      <c r="F8764" s="68" t="s">
        <v>127</v>
      </c>
      <c r="G8764" s="67" t="s">
        <v>466</v>
      </c>
      <c r="H8764" s="69">
        <v>-0.15</v>
      </c>
    </row>
    <row r="8765" spans="6:8">
      <c r="F8765" s="68" t="s">
        <v>253</v>
      </c>
      <c r="G8765" s="67" t="s">
        <v>466</v>
      </c>
      <c r="H8765" s="69">
        <v>0.47</v>
      </c>
    </row>
    <row r="8766" spans="6:8">
      <c r="F8766" s="68" t="s">
        <v>315</v>
      </c>
      <c r="G8766" s="67" t="s">
        <v>466</v>
      </c>
      <c r="H8766" s="69">
        <v>-0.1</v>
      </c>
    </row>
    <row r="8767" spans="6:8">
      <c r="F8767" s="68" t="s">
        <v>128</v>
      </c>
      <c r="G8767" s="67" t="s">
        <v>466</v>
      </c>
      <c r="H8767" s="69">
        <v>-0.35</v>
      </c>
    </row>
    <row r="8768" spans="6:8">
      <c r="F8768" s="68" t="s">
        <v>129</v>
      </c>
      <c r="G8768" s="67" t="s">
        <v>466</v>
      </c>
      <c r="H8768" s="69">
        <v>-0.25</v>
      </c>
    </row>
    <row r="8769" spans="6:8">
      <c r="F8769" s="68" t="s">
        <v>254</v>
      </c>
      <c r="G8769" s="67" t="s">
        <v>466</v>
      </c>
      <c r="H8769" s="69">
        <v>0.66</v>
      </c>
    </row>
    <row r="8770" spans="6:8">
      <c r="F8770" s="68" t="s">
        <v>304</v>
      </c>
      <c r="G8770" s="67" t="s">
        <v>466</v>
      </c>
      <c r="H8770" s="69">
        <v>17.5625</v>
      </c>
    </row>
    <row r="8771" spans="6:8">
      <c r="F8771" s="68" t="s">
        <v>421</v>
      </c>
      <c r="G8771" s="67" t="s">
        <v>466</v>
      </c>
      <c r="H8771" s="69">
        <v>2.6955001046694349</v>
      </c>
    </row>
    <row r="8772" spans="6:8">
      <c r="F8772" s="68" t="s">
        <v>130</v>
      </c>
      <c r="G8772" s="67" t="s">
        <v>466</v>
      </c>
      <c r="H8772" s="69">
        <v>-0.45</v>
      </c>
    </row>
    <row r="8773" spans="6:8">
      <c r="F8773" s="68" t="s">
        <v>131</v>
      </c>
      <c r="G8773" s="67" t="s">
        <v>466</v>
      </c>
      <c r="H8773" s="69">
        <v>-0.3</v>
      </c>
    </row>
    <row r="8774" spans="6:8">
      <c r="F8774" s="68" t="s">
        <v>255</v>
      </c>
      <c r="G8774" s="67" t="s">
        <v>466</v>
      </c>
      <c r="H8774" s="69">
        <v>0.88</v>
      </c>
    </row>
    <row r="8775" spans="6:8">
      <c r="F8775" s="68" t="s">
        <v>303</v>
      </c>
      <c r="G8775" s="67" t="s">
        <v>466</v>
      </c>
      <c r="H8775" s="69">
        <v>18.9375</v>
      </c>
    </row>
    <row r="8776" spans="6:8">
      <c r="F8776" s="68" t="s">
        <v>422</v>
      </c>
      <c r="G8776" s="67" t="s">
        <v>466</v>
      </c>
      <c r="H8776" s="69">
        <v>2.7017666476754965</v>
      </c>
    </row>
    <row r="8777" spans="6:8">
      <c r="F8777" s="68" t="s">
        <v>132</v>
      </c>
      <c r="G8777" s="67" t="s">
        <v>466</v>
      </c>
      <c r="H8777" s="69">
        <v>-0.4</v>
      </c>
    </row>
    <row r="8778" spans="6:8">
      <c r="F8778" s="68" t="s">
        <v>133</v>
      </c>
      <c r="G8778" s="67" t="s">
        <v>466</v>
      </c>
      <c r="H8778" s="69">
        <v>-0.35</v>
      </c>
    </row>
    <row r="8779" spans="6:8">
      <c r="F8779" s="68" t="s">
        <v>256</v>
      </c>
      <c r="G8779" s="67" t="s">
        <v>466</v>
      </c>
      <c r="H8779" s="69">
        <v>1.01</v>
      </c>
    </row>
    <row r="8780" spans="6:8">
      <c r="F8780" s="68" t="s">
        <v>423</v>
      </c>
      <c r="G8780" s="67" t="s">
        <v>466</v>
      </c>
      <c r="H8780" s="69">
        <v>2.7393745318464724</v>
      </c>
    </row>
    <row r="8781" spans="6:8">
      <c r="F8781" s="68" t="s">
        <v>134</v>
      </c>
      <c r="G8781" s="67" t="s">
        <v>466</v>
      </c>
      <c r="H8781" s="69">
        <v>-0.4</v>
      </c>
    </row>
    <row r="8782" spans="6:8">
      <c r="F8782" s="68" t="s">
        <v>135</v>
      </c>
      <c r="G8782" s="67" t="s">
        <v>466</v>
      </c>
      <c r="H8782" s="69">
        <v>-0.35</v>
      </c>
    </row>
    <row r="8783" spans="6:8">
      <c r="F8783" s="68" t="s">
        <v>257</v>
      </c>
      <c r="G8783" s="67" t="s">
        <v>466</v>
      </c>
      <c r="H8783" s="69">
        <v>1.08</v>
      </c>
    </row>
    <row r="8784" spans="6:8">
      <c r="F8784" s="68" t="s">
        <v>258</v>
      </c>
      <c r="G8784" s="67" t="s">
        <v>466</v>
      </c>
      <c r="H8784" s="69">
        <v>0.14000000000000001</v>
      </c>
    </row>
    <row r="8785" spans="6:8">
      <c r="F8785" s="68" t="s">
        <v>424</v>
      </c>
      <c r="G8785" s="67" t="s">
        <v>466</v>
      </c>
      <c r="H8785" s="69">
        <v>3.4167076631006932</v>
      </c>
    </row>
    <row r="8786" spans="6:8">
      <c r="F8786" s="68" t="s">
        <v>136</v>
      </c>
      <c r="G8786" s="67" t="s">
        <v>466</v>
      </c>
      <c r="H8786" s="69">
        <v>-0.4</v>
      </c>
    </row>
    <row r="8787" spans="6:8">
      <c r="F8787" s="68" t="s">
        <v>137</v>
      </c>
      <c r="G8787" s="67" t="s">
        <v>466</v>
      </c>
      <c r="H8787" s="69">
        <v>-0.45</v>
      </c>
    </row>
    <row r="8788" spans="6:8">
      <c r="F8788" s="68" t="s">
        <v>138</v>
      </c>
      <c r="G8788" s="67" t="s">
        <v>466</v>
      </c>
      <c r="H8788" s="69">
        <v>-0.4</v>
      </c>
    </row>
    <row r="8789" spans="6:8">
      <c r="F8789" s="68" t="s">
        <v>259</v>
      </c>
      <c r="G8789" s="67" t="s">
        <v>466</v>
      </c>
      <c r="H8789" s="69">
        <v>0.17</v>
      </c>
    </row>
    <row r="8790" spans="6:8">
      <c r="F8790" s="68" t="s">
        <v>425</v>
      </c>
      <c r="G8790" s="67" t="s">
        <v>466</v>
      </c>
      <c r="H8790" s="69">
        <v>3.4512642290886131</v>
      </c>
    </row>
    <row r="8791" spans="6:8">
      <c r="F8791" s="68" t="s">
        <v>425</v>
      </c>
      <c r="G8791" s="67" t="s">
        <v>467</v>
      </c>
      <c r="H8791" s="69">
        <v>3.2973337574287331</v>
      </c>
    </row>
    <row r="8792" spans="6:8">
      <c r="F8792" s="68" t="s">
        <v>259</v>
      </c>
      <c r="G8792" s="67" t="s">
        <v>467</v>
      </c>
      <c r="H8792" s="69">
        <v>0.17</v>
      </c>
    </row>
    <row r="8793" spans="6:8">
      <c r="F8793" s="68" t="s">
        <v>138</v>
      </c>
      <c r="G8793" s="67" t="s">
        <v>467</v>
      </c>
      <c r="H8793" s="69">
        <v>-0.45</v>
      </c>
    </row>
    <row r="8794" spans="6:8">
      <c r="F8794" s="68" t="s">
        <v>137</v>
      </c>
      <c r="G8794" s="67" t="s">
        <v>467</v>
      </c>
      <c r="H8794" s="69">
        <v>-0.5</v>
      </c>
    </row>
    <row r="8795" spans="6:8">
      <c r="F8795" s="68" t="s">
        <v>136</v>
      </c>
      <c r="G8795" s="67" t="s">
        <v>467</v>
      </c>
      <c r="H8795" s="69">
        <v>-0.45</v>
      </c>
    </row>
    <row r="8796" spans="6:8">
      <c r="F8796" s="68" t="s">
        <v>424</v>
      </c>
      <c r="G8796" s="67" t="s">
        <v>467</v>
      </c>
      <c r="H8796" s="69">
        <v>3.2698996243682998</v>
      </c>
    </row>
    <row r="8797" spans="6:8">
      <c r="F8797" s="68" t="s">
        <v>258</v>
      </c>
      <c r="G8797" s="67" t="s">
        <v>467</v>
      </c>
      <c r="H8797" s="69">
        <v>0.14000000000000001</v>
      </c>
    </row>
    <row r="8798" spans="6:8">
      <c r="F8798" s="68" t="s">
        <v>257</v>
      </c>
      <c r="G8798" s="67" t="s">
        <v>467</v>
      </c>
      <c r="H8798" s="69">
        <v>1.06</v>
      </c>
    </row>
    <row r="8799" spans="6:8">
      <c r="F8799" s="68" t="s">
        <v>135</v>
      </c>
      <c r="G8799" s="67" t="s">
        <v>467</v>
      </c>
      <c r="H8799" s="69">
        <v>-0.35</v>
      </c>
    </row>
    <row r="8800" spans="6:8">
      <c r="F8800" s="68" t="s">
        <v>134</v>
      </c>
      <c r="G8800" s="67" t="s">
        <v>467</v>
      </c>
      <c r="H8800" s="69">
        <v>-0.45</v>
      </c>
    </row>
    <row r="8801" spans="6:8">
      <c r="F8801" s="68" t="s">
        <v>423</v>
      </c>
      <c r="G8801" s="67" t="s">
        <v>467</v>
      </c>
      <c r="H8801" s="69">
        <v>2.5340156285965421</v>
      </c>
    </row>
    <row r="8802" spans="6:8">
      <c r="F8802" s="68" t="s">
        <v>256</v>
      </c>
      <c r="G8802" s="67" t="s">
        <v>467</v>
      </c>
      <c r="H8802" s="69">
        <v>0.99</v>
      </c>
    </row>
    <row r="8803" spans="6:8">
      <c r="F8803" s="68" t="s">
        <v>133</v>
      </c>
      <c r="G8803" s="67" t="s">
        <v>467</v>
      </c>
      <c r="H8803" s="69">
        <v>-0.35</v>
      </c>
    </row>
    <row r="8804" spans="6:8">
      <c r="F8804" s="68" t="s">
        <v>132</v>
      </c>
      <c r="G8804" s="67" t="s">
        <v>467</v>
      </c>
      <c r="H8804" s="69">
        <v>-0.45</v>
      </c>
    </row>
    <row r="8805" spans="6:8">
      <c r="F8805" s="68" t="s">
        <v>422</v>
      </c>
      <c r="G8805" s="67" t="s">
        <v>467</v>
      </c>
      <c r="H8805" s="69">
        <v>2.509573175323343</v>
      </c>
    </row>
    <row r="8806" spans="6:8">
      <c r="F8806" s="68" t="s">
        <v>303</v>
      </c>
      <c r="G8806" s="67" t="s">
        <v>467</v>
      </c>
      <c r="H8806" s="69">
        <v>18.875</v>
      </c>
    </row>
    <row r="8807" spans="6:8">
      <c r="F8807" s="68" t="s">
        <v>255</v>
      </c>
      <c r="G8807" s="67" t="s">
        <v>467</v>
      </c>
      <c r="H8807" s="69">
        <v>0.86</v>
      </c>
    </row>
    <row r="8808" spans="6:8">
      <c r="F8808" s="68" t="s">
        <v>131</v>
      </c>
      <c r="G8808" s="67" t="s">
        <v>467</v>
      </c>
      <c r="H8808" s="69">
        <v>-0.3</v>
      </c>
    </row>
    <row r="8809" spans="6:8">
      <c r="F8809" s="68" t="s">
        <v>130</v>
      </c>
      <c r="G8809" s="67" t="s">
        <v>467</v>
      </c>
      <c r="H8809" s="69">
        <v>-0.5</v>
      </c>
    </row>
    <row r="8810" spans="6:8">
      <c r="F8810" s="68" t="s">
        <v>421</v>
      </c>
      <c r="G8810" s="67" t="s">
        <v>467</v>
      </c>
      <c r="H8810" s="69">
        <v>2.5032635265570757</v>
      </c>
    </row>
    <row r="8811" spans="6:8">
      <c r="F8811" s="68" t="s">
        <v>304</v>
      </c>
      <c r="G8811" s="67" t="s">
        <v>467</v>
      </c>
      <c r="H8811" s="69">
        <v>17.5</v>
      </c>
    </row>
    <row r="8812" spans="6:8">
      <c r="F8812" s="68" t="s">
        <v>254</v>
      </c>
      <c r="G8812" s="67" t="s">
        <v>467</v>
      </c>
      <c r="H8812" s="69">
        <v>0.64</v>
      </c>
    </row>
    <row r="8813" spans="6:8">
      <c r="F8813" s="68" t="s">
        <v>129</v>
      </c>
      <c r="G8813" s="67" t="s">
        <v>467</v>
      </c>
      <c r="H8813" s="69">
        <v>-0.25</v>
      </c>
    </row>
    <row r="8814" spans="6:8">
      <c r="F8814" s="68" t="s">
        <v>128</v>
      </c>
      <c r="G8814" s="67" t="s">
        <v>467</v>
      </c>
      <c r="H8814" s="69">
        <v>-0.4</v>
      </c>
    </row>
    <row r="8815" spans="6:8">
      <c r="F8815" s="68" t="s">
        <v>315</v>
      </c>
      <c r="G8815" s="67" t="s">
        <v>467</v>
      </c>
      <c r="H8815" s="69">
        <v>-0.15</v>
      </c>
    </row>
    <row r="8816" spans="6:8">
      <c r="F8816" s="68" t="s">
        <v>253</v>
      </c>
      <c r="G8816" s="67" t="s">
        <v>467</v>
      </c>
      <c r="H8816" s="69">
        <v>0.45</v>
      </c>
    </row>
    <row r="8817" spans="6:8">
      <c r="F8817" s="68" t="s">
        <v>127</v>
      </c>
      <c r="G8817" s="67" t="s">
        <v>467</v>
      </c>
      <c r="H8817" s="69">
        <v>-0.15</v>
      </c>
    </row>
    <row r="8818" spans="6:8">
      <c r="F8818" s="68" t="s">
        <v>126</v>
      </c>
      <c r="G8818" s="67" t="s">
        <v>467</v>
      </c>
      <c r="H8818" s="69">
        <v>-0.45</v>
      </c>
    </row>
    <row r="8819" spans="6:8">
      <c r="F8819" s="68" t="s">
        <v>125</v>
      </c>
      <c r="G8819" s="67" t="s">
        <v>467</v>
      </c>
      <c r="H8819" s="69">
        <v>-0.3</v>
      </c>
    </row>
    <row r="8820" spans="6:8">
      <c r="F8820" s="68" t="s">
        <v>314</v>
      </c>
      <c r="G8820" s="67" t="s">
        <v>467</v>
      </c>
      <c r="H8820" s="69">
        <v>-0.25</v>
      </c>
    </row>
    <row r="8821" spans="6:8">
      <c r="F8821" s="68" t="s">
        <v>252</v>
      </c>
      <c r="G8821" s="67" t="s">
        <v>467</v>
      </c>
      <c r="H8821" s="69">
        <v>0.34</v>
      </c>
    </row>
    <row r="8822" spans="6:8">
      <c r="F8822" s="68" t="s">
        <v>124</v>
      </c>
      <c r="G8822" s="67" t="s">
        <v>467</v>
      </c>
      <c r="H8822" s="69">
        <v>-0.25</v>
      </c>
    </row>
    <row r="8823" spans="6:8">
      <c r="F8823" s="68" t="s">
        <v>123</v>
      </c>
      <c r="G8823" s="67" t="s">
        <v>467</v>
      </c>
      <c r="H8823" s="69">
        <v>-0.55000000000000004</v>
      </c>
    </row>
    <row r="8824" spans="6:8">
      <c r="F8824" s="68" t="s">
        <v>122</v>
      </c>
      <c r="G8824" s="67" t="s">
        <v>467</v>
      </c>
      <c r="H8824" s="69">
        <v>-0.4</v>
      </c>
    </row>
    <row r="8825" spans="6:8">
      <c r="F8825" s="68" t="s">
        <v>420</v>
      </c>
      <c r="G8825" s="67" t="s">
        <v>467</v>
      </c>
      <c r="H8825" s="69">
        <v>3.404107518153987</v>
      </c>
    </row>
    <row r="8826" spans="6:8">
      <c r="F8826" s="68" t="s">
        <v>251</v>
      </c>
      <c r="G8826" s="67" t="s">
        <v>467</v>
      </c>
      <c r="H8826" s="69">
        <v>0.26</v>
      </c>
    </row>
    <row r="8827" spans="6:8">
      <c r="F8827" s="68" t="s">
        <v>121</v>
      </c>
      <c r="G8827" s="67" t="s">
        <v>467</v>
      </c>
      <c r="H8827" s="69">
        <v>-0.4</v>
      </c>
    </row>
    <row r="8828" spans="6:8">
      <c r="F8828" s="68" t="s">
        <v>120</v>
      </c>
      <c r="G8828" s="67" t="s">
        <v>467</v>
      </c>
      <c r="H8828" s="69">
        <v>-0.45</v>
      </c>
    </row>
    <row r="8829" spans="6:8">
      <c r="F8829" s="68" t="s">
        <v>119</v>
      </c>
      <c r="G8829" s="67" t="s">
        <v>467</v>
      </c>
      <c r="H8829" s="69">
        <v>-0.4</v>
      </c>
    </row>
    <row r="8830" spans="6:8">
      <c r="F8830" s="68" t="s">
        <v>119</v>
      </c>
      <c r="G8830" s="67" t="s">
        <v>468</v>
      </c>
      <c r="H8830" s="69">
        <v>-0.4</v>
      </c>
    </row>
    <row r="8831" spans="6:8">
      <c r="F8831" s="68" t="s">
        <v>120</v>
      </c>
      <c r="G8831" s="67" t="s">
        <v>468</v>
      </c>
      <c r="H8831" s="69">
        <v>-0.45</v>
      </c>
    </row>
    <row r="8832" spans="6:8">
      <c r="F8832" s="68" t="s">
        <v>121</v>
      </c>
      <c r="G8832" s="67" t="s">
        <v>468</v>
      </c>
      <c r="H8832" s="69">
        <v>-0.4</v>
      </c>
    </row>
    <row r="8833" spans="6:8">
      <c r="F8833" s="68" t="s">
        <v>251</v>
      </c>
      <c r="G8833" s="67" t="s">
        <v>468</v>
      </c>
      <c r="H8833" s="69">
        <v>0.26</v>
      </c>
    </row>
    <row r="8834" spans="6:8">
      <c r="F8834" s="68" t="s">
        <v>420</v>
      </c>
      <c r="G8834" s="67" t="s">
        <v>468</v>
      </c>
      <c r="H8834" s="69">
        <v>3.4234814698257399</v>
      </c>
    </row>
    <row r="8835" spans="6:8">
      <c r="F8835" s="68" t="s">
        <v>122</v>
      </c>
      <c r="G8835" s="67" t="s">
        <v>468</v>
      </c>
      <c r="H8835" s="69">
        <v>-0.4</v>
      </c>
    </row>
    <row r="8836" spans="6:8">
      <c r="F8836" s="68" t="s">
        <v>123</v>
      </c>
      <c r="G8836" s="67" t="s">
        <v>468</v>
      </c>
      <c r="H8836" s="69">
        <v>-0.55000000000000004</v>
      </c>
    </row>
    <row r="8837" spans="6:8">
      <c r="F8837" s="68" t="s">
        <v>124</v>
      </c>
      <c r="G8837" s="67" t="s">
        <v>468</v>
      </c>
      <c r="H8837" s="69">
        <v>-0.25</v>
      </c>
    </row>
    <row r="8838" spans="6:8">
      <c r="F8838" s="68" t="s">
        <v>252</v>
      </c>
      <c r="G8838" s="67" t="s">
        <v>468</v>
      </c>
      <c r="H8838" s="69">
        <v>0.34</v>
      </c>
    </row>
    <row r="8839" spans="6:8">
      <c r="F8839" s="68" t="s">
        <v>314</v>
      </c>
      <c r="G8839" s="67" t="s">
        <v>468</v>
      </c>
      <c r="H8839" s="69">
        <v>-0.25</v>
      </c>
    </row>
    <row r="8840" spans="6:8">
      <c r="F8840" s="68" t="s">
        <v>125</v>
      </c>
      <c r="G8840" s="67" t="s">
        <v>468</v>
      </c>
      <c r="H8840" s="69">
        <v>-0.3</v>
      </c>
    </row>
    <row r="8841" spans="6:8">
      <c r="F8841" s="68" t="s">
        <v>126</v>
      </c>
      <c r="G8841" s="67" t="s">
        <v>468</v>
      </c>
      <c r="H8841" s="69">
        <v>-0.45</v>
      </c>
    </row>
    <row r="8842" spans="6:8">
      <c r="F8842" s="68" t="s">
        <v>127</v>
      </c>
      <c r="G8842" s="67" t="s">
        <v>468</v>
      </c>
      <c r="H8842" s="69">
        <v>-0.15</v>
      </c>
    </row>
    <row r="8843" spans="6:8">
      <c r="F8843" s="68" t="s">
        <v>253</v>
      </c>
      <c r="G8843" s="67" t="s">
        <v>468</v>
      </c>
      <c r="H8843" s="69">
        <v>0.45</v>
      </c>
    </row>
    <row r="8844" spans="6:8">
      <c r="F8844" s="68" t="s">
        <v>315</v>
      </c>
      <c r="G8844" s="67" t="s">
        <v>468</v>
      </c>
      <c r="H8844" s="69">
        <v>-0.15</v>
      </c>
    </row>
    <row r="8845" spans="6:8">
      <c r="F8845" s="68" t="s">
        <v>128</v>
      </c>
      <c r="G8845" s="67" t="s">
        <v>468</v>
      </c>
      <c r="H8845" s="69">
        <v>-0.4</v>
      </c>
    </row>
    <row r="8846" spans="6:8">
      <c r="F8846" s="68" t="s">
        <v>129</v>
      </c>
      <c r="G8846" s="67" t="s">
        <v>468</v>
      </c>
      <c r="H8846" s="69">
        <v>-0.25</v>
      </c>
    </row>
    <row r="8847" spans="6:8">
      <c r="F8847" s="68" t="s">
        <v>254</v>
      </c>
      <c r="G8847" s="67" t="s">
        <v>468</v>
      </c>
      <c r="H8847" s="69">
        <v>0.64</v>
      </c>
    </row>
    <row r="8848" spans="6:8">
      <c r="F8848" s="68" t="s">
        <v>304</v>
      </c>
      <c r="G8848" s="67" t="s">
        <v>468</v>
      </c>
      <c r="H8848" s="69">
        <v>17.34375</v>
      </c>
    </row>
    <row r="8849" spans="6:8">
      <c r="F8849" s="68" t="s">
        <v>421</v>
      </c>
      <c r="G8849" s="67" t="s">
        <v>468</v>
      </c>
      <c r="H8849" s="69">
        <v>2.5368490234438656</v>
      </c>
    </row>
    <row r="8850" spans="6:8">
      <c r="F8850" s="68" t="s">
        <v>130</v>
      </c>
      <c r="G8850" s="67" t="s">
        <v>468</v>
      </c>
      <c r="H8850" s="69">
        <v>-0.5</v>
      </c>
    </row>
    <row r="8851" spans="6:8">
      <c r="F8851" s="68" t="s">
        <v>131</v>
      </c>
      <c r="G8851" s="67" t="s">
        <v>468</v>
      </c>
      <c r="H8851" s="69">
        <v>-0.3</v>
      </c>
    </row>
    <row r="8852" spans="6:8">
      <c r="F8852" s="68" t="s">
        <v>255</v>
      </c>
      <c r="G8852" s="67" t="s">
        <v>468</v>
      </c>
      <c r="H8852" s="69">
        <v>0.86</v>
      </c>
    </row>
    <row r="8853" spans="6:8">
      <c r="F8853" s="68" t="s">
        <v>303</v>
      </c>
      <c r="G8853" s="67" t="s">
        <v>468</v>
      </c>
      <c r="H8853" s="69">
        <v>18.6875</v>
      </c>
    </row>
    <row r="8854" spans="6:8">
      <c r="F8854" s="68" t="s">
        <v>422</v>
      </c>
      <c r="G8854" s="67" t="s">
        <v>468</v>
      </c>
      <c r="H8854" s="69">
        <v>2.5431026371095733</v>
      </c>
    </row>
    <row r="8855" spans="6:8">
      <c r="F8855" s="68" t="s">
        <v>132</v>
      </c>
      <c r="G8855" s="67" t="s">
        <v>468</v>
      </c>
      <c r="H8855" s="69">
        <v>-0.45</v>
      </c>
    </row>
    <row r="8856" spans="6:8">
      <c r="F8856" s="68" t="s">
        <v>133</v>
      </c>
      <c r="G8856" s="67" t="s">
        <v>468</v>
      </c>
      <c r="H8856" s="69">
        <v>-0.35</v>
      </c>
    </row>
    <row r="8857" spans="6:8">
      <c r="F8857" s="68" t="s">
        <v>256</v>
      </c>
      <c r="G8857" s="67" t="s">
        <v>468</v>
      </c>
      <c r="H8857" s="69">
        <v>0.99</v>
      </c>
    </row>
    <row r="8858" spans="6:8">
      <c r="F8858" s="68" t="s">
        <v>423</v>
      </c>
      <c r="G8858" s="67" t="s">
        <v>468</v>
      </c>
      <c r="H8858" s="69">
        <v>2.5709461393907951</v>
      </c>
    </row>
    <row r="8859" spans="6:8">
      <c r="F8859" s="68" t="s">
        <v>134</v>
      </c>
      <c r="G8859" s="67" t="s">
        <v>468</v>
      </c>
      <c r="H8859" s="69">
        <v>-0.45</v>
      </c>
    </row>
    <row r="8860" spans="6:8">
      <c r="F8860" s="68" t="s">
        <v>135</v>
      </c>
      <c r="G8860" s="67" t="s">
        <v>468</v>
      </c>
      <c r="H8860" s="69">
        <v>-0.35</v>
      </c>
    </row>
    <row r="8861" spans="6:8">
      <c r="F8861" s="68" t="s">
        <v>257</v>
      </c>
      <c r="G8861" s="67" t="s">
        <v>468</v>
      </c>
      <c r="H8861" s="69">
        <v>1.06</v>
      </c>
    </row>
    <row r="8862" spans="6:8">
      <c r="F8862" s="68" t="s">
        <v>258</v>
      </c>
      <c r="G8862" s="67" t="s">
        <v>468</v>
      </c>
      <c r="H8862" s="69">
        <v>0.14000000000000001</v>
      </c>
    </row>
    <row r="8863" spans="6:8">
      <c r="F8863" s="68" t="s">
        <v>424</v>
      </c>
      <c r="G8863" s="67" t="s">
        <v>468</v>
      </c>
      <c r="H8863" s="69">
        <v>3.2705209999879692</v>
      </c>
    </row>
    <row r="8864" spans="6:8">
      <c r="F8864" s="68" t="s">
        <v>136</v>
      </c>
      <c r="G8864" s="67" t="s">
        <v>468</v>
      </c>
      <c r="H8864" s="69">
        <v>-0.45</v>
      </c>
    </row>
    <row r="8865" spans="6:8">
      <c r="F8865" s="68" t="s">
        <v>137</v>
      </c>
      <c r="G8865" s="67" t="s">
        <v>468</v>
      </c>
      <c r="H8865" s="69">
        <v>-0.5</v>
      </c>
    </row>
    <row r="8866" spans="6:8">
      <c r="F8866" s="68" t="s">
        <v>138</v>
      </c>
      <c r="G8866" s="67" t="s">
        <v>468</v>
      </c>
      <c r="H8866" s="69">
        <v>-0.45</v>
      </c>
    </row>
    <row r="8867" spans="6:8">
      <c r="F8867" s="68" t="s">
        <v>259</v>
      </c>
      <c r="G8867" s="67" t="s">
        <v>468</v>
      </c>
      <c r="H8867" s="69">
        <v>0.17</v>
      </c>
    </row>
    <row r="8868" spans="6:8">
      <c r="F8868" s="68" t="s">
        <v>425</v>
      </c>
      <c r="G8868" s="67" t="s">
        <v>468</v>
      </c>
      <c r="H8868" s="69">
        <v>3.3006505572037437</v>
      </c>
    </row>
    <row r="8869" spans="6:8">
      <c r="F8869" s="68" t="s">
        <v>425</v>
      </c>
      <c r="G8869" s="67" t="s">
        <v>469</v>
      </c>
      <c r="H8869" s="69">
        <v>3.3157374270873952</v>
      </c>
    </row>
    <row r="8870" spans="6:8">
      <c r="F8870" s="68" t="s">
        <v>259</v>
      </c>
      <c r="G8870" s="67" t="s">
        <v>469</v>
      </c>
      <c r="H8870" s="69">
        <v>0.17</v>
      </c>
    </row>
    <row r="8871" spans="6:8">
      <c r="F8871" s="68" t="s">
        <v>138</v>
      </c>
      <c r="G8871" s="67" t="s">
        <v>469</v>
      </c>
      <c r="H8871" s="69">
        <v>-0.45</v>
      </c>
    </row>
    <row r="8872" spans="6:8">
      <c r="F8872" s="68" t="s">
        <v>137</v>
      </c>
      <c r="G8872" s="67" t="s">
        <v>469</v>
      </c>
      <c r="H8872" s="69">
        <v>-0.5</v>
      </c>
    </row>
    <row r="8873" spans="6:8">
      <c r="F8873" s="68" t="s">
        <v>136</v>
      </c>
      <c r="G8873" s="67" t="s">
        <v>469</v>
      </c>
      <c r="H8873" s="69">
        <v>-0.45</v>
      </c>
    </row>
    <row r="8874" spans="6:8">
      <c r="F8874" s="68" t="s">
        <v>424</v>
      </c>
      <c r="G8874" s="67" t="s">
        <v>469</v>
      </c>
      <c r="H8874" s="69">
        <v>3.2883451500758998</v>
      </c>
    </row>
    <row r="8875" spans="6:8">
      <c r="F8875" s="68" t="s">
        <v>258</v>
      </c>
      <c r="G8875" s="67" t="s">
        <v>469</v>
      </c>
      <c r="H8875" s="69">
        <v>0.14000000000000001</v>
      </c>
    </row>
    <row r="8876" spans="6:8">
      <c r="F8876" s="68" t="s">
        <v>257</v>
      </c>
      <c r="G8876" s="67" t="s">
        <v>469</v>
      </c>
      <c r="H8876" s="69">
        <v>1.06</v>
      </c>
    </row>
    <row r="8877" spans="6:8">
      <c r="F8877" s="68" t="s">
        <v>135</v>
      </c>
      <c r="G8877" s="67" t="s">
        <v>469</v>
      </c>
      <c r="H8877" s="69">
        <v>-0.35</v>
      </c>
    </row>
    <row r="8878" spans="6:8">
      <c r="F8878" s="68" t="s">
        <v>134</v>
      </c>
      <c r="G8878" s="67" t="s">
        <v>469</v>
      </c>
      <c r="H8878" s="69">
        <v>-0.45</v>
      </c>
    </row>
    <row r="8879" spans="6:8">
      <c r="F8879" s="68" t="s">
        <v>423</v>
      </c>
      <c r="G8879" s="67" t="s">
        <v>469</v>
      </c>
      <c r="H8879" s="69">
        <v>2.5755169356599161</v>
      </c>
    </row>
    <row r="8880" spans="6:8">
      <c r="F8880" s="68" t="s">
        <v>256</v>
      </c>
      <c r="G8880" s="67" t="s">
        <v>469</v>
      </c>
      <c r="H8880" s="69">
        <v>0.99</v>
      </c>
    </row>
    <row r="8881" spans="6:8">
      <c r="F8881" s="68" t="s">
        <v>133</v>
      </c>
      <c r="G8881" s="67" t="s">
        <v>469</v>
      </c>
      <c r="H8881" s="69">
        <v>-0.35</v>
      </c>
    </row>
    <row r="8882" spans="6:8">
      <c r="F8882" s="68" t="s">
        <v>132</v>
      </c>
      <c r="G8882" s="67" t="s">
        <v>469</v>
      </c>
      <c r="H8882" s="69">
        <v>-0.45</v>
      </c>
    </row>
    <row r="8883" spans="6:8">
      <c r="F8883" s="68" t="s">
        <v>422</v>
      </c>
      <c r="G8883" s="67" t="s">
        <v>469</v>
      </c>
      <c r="H8883" s="69">
        <v>2.54625693896533</v>
      </c>
    </row>
    <row r="8884" spans="6:8">
      <c r="F8884" s="68" t="s">
        <v>303</v>
      </c>
      <c r="G8884" s="67" t="s">
        <v>469</v>
      </c>
      <c r="H8884" s="69">
        <v>18.8125</v>
      </c>
    </row>
    <row r="8885" spans="6:8">
      <c r="F8885" s="68" t="s">
        <v>255</v>
      </c>
      <c r="G8885" s="67" t="s">
        <v>469</v>
      </c>
      <c r="H8885" s="69">
        <v>0.86</v>
      </c>
    </row>
    <row r="8886" spans="6:8">
      <c r="F8886" s="68" t="s">
        <v>131</v>
      </c>
      <c r="G8886" s="67" t="s">
        <v>469</v>
      </c>
      <c r="H8886" s="69">
        <v>-0.3</v>
      </c>
    </row>
    <row r="8887" spans="6:8">
      <c r="F8887" s="68" t="s">
        <v>130</v>
      </c>
      <c r="G8887" s="67" t="s">
        <v>469</v>
      </c>
      <c r="H8887" s="69">
        <v>-0.5</v>
      </c>
    </row>
    <row r="8888" spans="6:8">
      <c r="F8888" s="68" t="s">
        <v>421</v>
      </c>
      <c r="G8888" s="67" t="s">
        <v>469</v>
      </c>
      <c r="H8888" s="69">
        <v>2.5399258375098377</v>
      </c>
    </row>
    <row r="8889" spans="6:8">
      <c r="F8889" s="68" t="s">
        <v>304</v>
      </c>
      <c r="G8889" s="67" t="s">
        <v>469</v>
      </c>
      <c r="H8889" s="69">
        <v>17.375</v>
      </c>
    </row>
    <row r="8890" spans="6:8">
      <c r="F8890" s="68" t="s">
        <v>254</v>
      </c>
      <c r="G8890" s="67" t="s">
        <v>469</v>
      </c>
      <c r="H8890" s="69">
        <v>0.64</v>
      </c>
    </row>
    <row r="8891" spans="6:8">
      <c r="F8891" s="68" t="s">
        <v>129</v>
      </c>
      <c r="G8891" s="67" t="s">
        <v>469</v>
      </c>
      <c r="H8891" s="69">
        <v>-0.25</v>
      </c>
    </row>
    <row r="8892" spans="6:8">
      <c r="F8892" s="68" t="s">
        <v>128</v>
      </c>
      <c r="G8892" s="67" t="s">
        <v>469</v>
      </c>
      <c r="H8892" s="69">
        <v>-0.4</v>
      </c>
    </row>
    <row r="8893" spans="6:8">
      <c r="F8893" s="68" t="s">
        <v>315</v>
      </c>
      <c r="G8893" s="67" t="s">
        <v>469</v>
      </c>
      <c r="H8893" s="69">
        <v>-0.15</v>
      </c>
    </row>
    <row r="8894" spans="6:8">
      <c r="F8894" s="68" t="s">
        <v>253</v>
      </c>
      <c r="G8894" s="67" t="s">
        <v>469</v>
      </c>
      <c r="H8894" s="69">
        <v>0.45</v>
      </c>
    </row>
    <row r="8895" spans="6:8">
      <c r="F8895" s="68" t="s">
        <v>127</v>
      </c>
      <c r="G8895" s="67" t="s">
        <v>469</v>
      </c>
      <c r="H8895" s="69">
        <v>-0.15</v>
      </c>
    </row>
    <row r="8896" spans="6:8">
      <c r="F8896" s="68" t="s">
        <v>126</v>
      </c>
      <c r="G8896" s="67" t="s">
        <v>469</v>
      </c>
      <c r="H8896" s="69">
        <v>-0.45</v>
      </c>
    </row>
    <row r="8897" spans="6:8">
      <c r="F8897" s="68" t="s">
        <v>125</v>
      </c>
      <c r="G8897" s="67" t="s">
        <v>469</v>
      </c>
      <c r="H8897" s="69">
        <v>-0.3</v>
      </c>
    </row>
    <row r="8898" spans="6:8">
      <c r="F8898" s="68" t="s">
        <v>314</v>
      </c>
      <c r="G8898" s="67" t="s">
        <v>469</v>
      </c>
      <c r="H8898" s="69">
        <v>-0.25</v>
      </c>
    </row>
    <row r="8899" spans="6:8">
      <c r="F8899" s="68" t="s">
        <v>252</v>
      </c>
      <c r="G8899" s="67" t="s">
        <v>469</v>
      </c>
      <c r="H8899" s="69">
        <v>0.34</v>
      </c>
    </row>
    <row r="8900" spans="6:8">
      <c r="F8900" s="68" t="s">
        <v>124</v>
      </c>
      <c r="G8900" s="67" t="s">
        <v>469</v>
      </c>
      <c r="H8900" s="69">
        <v>-0.25</v>
      </c>
    </row>
    <row r="8901" spans="6:8">
      <c r="F8901" s="68" t="s">
        <v>123</v>
      </c>
      <c r="G8901" s="67" t="s">
        <v>469</v>
      </c>
      <c r="H8901" s="69">
        <v>-0.55000000000000004</v>
      </c>
    </row>
    <row r="8902" spans="6:8">
      <c r="F8902" s="68" t="s">
        <v>122</v>
      </c>
      <c r="G8902" s="67" t="s">
        <v>469</v>
      </c>
      <c r="H8902" s="69">
        <v>-0.4</v>
      </c>
    </row>
    <row r="8903" spans="6:8">
      <c r="F8903" s="68" t="s">
        <v>420</v>
      </c>
      <c r="G8903" s="67" t="s">
        <v>469</v>
      </c>
      <c r="H8903" s="69">
        <v>3.4316077390576627</v>
      </c>
    </row>
    <row r="8904" spans="6:8">
      <c r="F8904" s="68" t="s">
        <v>251</v>
      </c>
      <c r="G8904" s="67" t="s">
        <v>469</v>
      </c>
      <c r="H8904" s="69">
        <v>0.26</v>
      </c>
    </row>
    <row r="8905" spans="6:8">
      <c r="F8905" s="68" t="s">
        <v>121</v>
      </c>
      <c r="G8905" s="67" t="s">
        <v>469</v>
      </c>
      <c r="H8905" s="69">
        <v>-0.4</v>
      </c>
    </row>
    <row r="8906" spans="6:8">
      <c r="F8906" s="68" t="s">
        <v>120</v>
      </c>
      <c r="G8906" s="67" t="s">
        <v>469</v>
      </c>
      <c r="H8906" s="69">
        <v>-0.45</v>
      </c>
    </row>
    <row r="8907" spans="6:8">
      <c r="F8907" s="68" t="s">
        <v>119</v>
      </c>
      <c r="G8907" s="67" t="s">
        <v>469</v>
      </c>
      <c r="H8907" s="69">
        <v>-0.4</v>
      </c>
    </row>
    <row r="8908" spans="6:8">
      <c r="F8908" s="68" t="s">
        <v>119</v>
      </c>
      <c r="G8908" s="67" t="s">
        <v>470</v>
      </c>
      <c r="H8908" s="69">
        <v>-0.4</v>
      </c>
    </row>
    <row r="8909" spans="6:8">
      <c r="F8909" s="68" t="s">
        <v>120</v>
      </c>
      <c r="G8909" s="67" t="s">
        <v>470</v>
      </c>
      <c r="H8909" s="69">
        <v>-0.45</v>
      </c>
    </row>
    <row r="8910" spans="6:8">
      <c r="F8910" s="68" t="s">
        <v>121</v>
      </c>
      <c r="G8910" s="67" t="s">
        <v>470</v>
      </c>
      <c r="H8910" s="69">
        <v>-0.4</v>
      </c>
    </row>
    <row r="8911" spans="6:8">
      <c r="F8911" s="68" t="s">
        <v>251</v>
      </c>
      <c r="G8911" s="67" t="s">
        <v>470</v>
      </c>
      <c r="H8911" s="69">
        <v>0.24</v>
      </c>
    </row>
    <row r="8912" spans="6:8">
      <c r="F8912" s="68" t="s">
        <v>420</v>
      </c>
      <c r="G8912" s="67" t="s">
        <v>470</v>
      </c>
      <c r="H8912" s="69">
        <v>3.402903460099882</v>
      </c>
    </row>
    <row r="8913" spans="6:8">
      <c r="F8913" s="68" t="s">
        <v>122</v>
      </c>
      <c r="G8913" s="67" t="s">
        <v>470</v>
      </c>
      <c r="H8913" s="69">
        <v>-0.4</v>
      </c>
    </row>
    <row r="8914" spans="6:8">
      <c r="F8914" s="68" t="s">
        <v>123</v>
      </c>
      <c r="G8914" s="67" t="s">
        <v>470</v>
      </c>
      <c r="H8914" s="69">
        <v>-0.55000000000000004</v>
      </c>
    </row>
    <row r="8915" spans="6:8">
      <c r="F8915" s="68" t="s">
        <v>124</v>
      </c>
      <c r="G8915" s="67" t="s">
        <v>470</v>
      </c>
      <c r="H8915" s="69">
        <v>-0.25</v>
      </c>
    </row>
    <row r="8916" spans="6:8">
      <c r="F8916" s="68" t="s">
        <v>252</v>
      </c>
      <c r="G8916" s="67" t="s">
        <v>470</v>
      </c>
      <c r="H8916" s="69">
        <v>0.35</v>
      </c>
    </row>
    <row r="8917" spans="6:8">
      <c r="F8917" s="68" t="s">
        <v>314</v>
      </c>
      <c r="G8917" s="67" t="s">
        <v>470</v>
      </c>
      <c r="H8917" s="69">
        <v>-0.25</v>
      </c>
    </row>
    <row r="8918" spans="6:8">
      <c r="F8918" s="68" t="s">
        <v>125</v>
      </c>
      <c r="G8918" s="67" t="s">
        <v>470</v>
      </c>
      <c r="H8918" s="69">
        <v>-0.3</v>
      </c>
    </row>
    <row r="8919" spans="6:8">
      <c r="F8919" s="68" t="s">
        <v>126</v>
      </c>
      <c r="G8919" s="67" t="s">
        <v>470</v>
      </c>
      <c r="H8919" s="69">
        <v>-0.45</v>
      </c>
    </row>
    <row r="8920" spans="6:8">
      <c r="F8920" s="68" t="s">
        <v>127</v>
      </c>
      <c r="G8920" s="67" t="s">
        <v>470</v>
      </c>
      <c r="H8920" s="69">
        <v>-0.15</v>
      </c>
    </row>
    <row r="8921" spans="6:8">
      <c r="F8921" s="68" t="s">
        <v>253</v>
      </c>
      <c r="G8921" s="67" t="s">
        <v>470</v>
      </c>
      <c r="H8921" s="69">
        <v>0.47</v>
      </c>
    </row>
    <row r="8922" spans="6:8">
      <c r="F8922" s="68" t="s">
        <v>315</v>
      </c>
      <c r="G8922" s="67" t="s">
        <v>470</v>
      </c>
      <c r="H8922" s="69">
        <v>-0.15</v>
      </c>
    </row>
    <row r="8923" spans="6:8">
      <c r="F8923" s="68" t="s">
        <v>128</v>
      </c>
      <c r="G8923" s="67" t="s">
        <v>470</v>
      </c>
      <c r="H8923" s="69">
        <v>-0.4</v>
      </c>
    </row>
    <row r="8924" spans="6:8">
      <c r="F8924" s="68" t="s">
        <v>129</v>
      </c>
      <c r="G8924" s="67" t="s">
        <v>470</v>
      </c>
      <c r="H8924" s="69">
        <v>-0.25</v>
      </c>
    </row>
    <row r="8925" spans="6:8">
      <c r="F8925" s="68" t="s">
        <v>254</v>
      </c>
      <c r="G8925" s="67" t="s">
        <v>470</v>
      </c>
      <c r="H8925" s="69">
        <v>0.64</v>
      </c>
    </row>
    <row r="8926" spans="6:8">
      <c r="F8926" s="68" t="s">
        <v>304</v>
      </c>
      <c r="G8926" s="67" t="s">
        <v>470</v>
      </c>
      <c r="H8926" s="69">
        <v>17.375</v>
      </c>
    </row>
    <row r="8927" spans="6:8">
      <c r="F8927" s="68" t="s">
        <v>421</v>
      </c>
      <c r="G8927" s="67" t="s">
        <v>470</v>
      </c>
      <c r="H8927" s="69">
        <v>2.5089500456572544</v>
      </c>
    </row>
    <row r="8928" spans="6:8">
      <c r="F8928" s="68" t="s">
        <v>130</v>
      </c>
      <c r="G8928" s="67" t="s">
        <v>470</v>
      </c>
      <c r="H8928" s="69">
        <v>-0.5</v>
      </c>
    </row>
    <row r="8929" spans="6:8">
      <c r="F8929" s="68" t="s">
        <v>131</v>
      </c>
      <c r="G8929" s="67" t="s">
        <v>470</v>
      </c>
      <c r="H8929" s="69">
        <v>-0.3</v>
      </c>
    </row>
    <row r="8930" spans="6:8">
      <c r="F8930" s="68" t="s">
        <v>255</v>
      </c>
      <c r="G8930" s="67" t="s">
        <v>470</v>
      </c>
      <c r="H8930" s="69">
        <v>0.83</v>
      </c>
    </row>
    <row r="8931" spans="6:8">
      <c r="F8931" s="68" t="s">
        <v>303</v>
      </c>
      <c r="G8931" s="67" t="s">
        <v>470</v>
      </c>
      <c r="H8931" s="69">
        <v>18.8125</v>
      </c>
    </row>
    <row r="8932" spans="6:8">
      <c r="F8932" s="68" t="s">
        <v>422</v>
      </c>
      <c r="G8932" s="67" t="s">
        <v>470</v>
      </c>
      <c r="H8932" s="69">
        <v>2.5152741016869928</v>
      </c>
    </row>
    <row r="8933" spans="6:8">
      <c r="F8933" s="68" t="s">
        <v>132</v>
      </c>
      <c r="G8933" s="67" t="s">
        <v>470</v>
      </c>
      <c r="H8933" s="69">
        <v>-0.45</v>
      </c>
    </row>
    <row r="8934" spans="6:8">
      <c r="F8934" s="68" t="s">
        <v>133</v>
      </c>
      <c r="G8934" s="67" t="s">
        <v>470</v>
      </c>
      <c r="H8934" s="69">
        <v>-0.35</v>
      </c>
    </row>
    <row r="8935" spans="6:8">
      <c r="F8935" s="68" t="s">
        <v>256</v>
      </c>
      <c r="G8935" s="67" t="s">
        <v>470</v>
      </c>
      <c r="H8935" s="69">
        <v>0.97</v>
      </c>
    </row>
    <row r="8936" spans="6:8">
      <c r="F8936" s="68" t="s">
        <v>423</v>
      </c>
      <c r="G8936" s="67" t="s">
        <v>470</v>
      </c>
      <c r="H8936" s="69">
        <v>2.5465266217089777</v>
      </c>
    </row>
    <row r="8937" spans="6:8">
      <c r="F8937" s="68" t="s">
        <v>134</v>
      </c>
      <c r="G8937" s="67" t="s">
        <v>470</v>
      </c>
      <c r="H8937" s="69">
        <v>-0.45</v>
      </c>
    </row>
    <row r="8938" spans="6:8">
      <c r="F8938" s="68" t="s">
        <v>135</v>
      </c>
      <c r="G8938" s="67" t="s">
        <v>470</v>
      </c>
      <c r="H8938" s="69">
        <v>-0.35</v>
      </c>
    </row>
    <row r="8939" spans="6:8">
      <c r="F8939" s="68" t="s">
        <v>257</v>
      </c>
      <c r="G8939" s="67" t="s">
        <v>470</v>
      </c>
      <c r="H8939" s="69">
        <v>1.05</v>
      </c>
    </row>
    <row r="8940" spans="6:8">
      <c r="F8940" s="68" t="s">
        <v>258</v>
      </c>
      <c r="G8940" s="67" t="s">
        <v>470</v>
      </c>
      <c r="H8940" s="69">
        <v>0.14000000000000001</v>
      </c>
    </row>
    <row r="8941" spans="6:8">
      <c r="F8941" s="68" t="s">
        <v>424</v>
      </c>
      <c r="G8941" s="67" t="s">
        <v>470</v>
      </c>
      <c r="H8941" s="69">
        <v>3.2650860711652907</v>
      </c>
    </row>
    <row r="8942" spans="6:8">
      <c r="F8942" s="68" t="s">
        <v>136</v>
      </c>
      <c r="G8942" s="67" t="s">
        <v>470</v>
      </c>
      <c r="H8942" s="69">
        <v>-0.45</v>
      </c>
    </row>
    <row r="8943" spans="6:8">
      <c r="F8943" s="68" t="s">
        <v>137</v>
      </c>
      <c r="G8943" s="67" t="s">
        <v>470</v>
      </c>
      <c r="H8943" s="69">
        <v>-0.5</v>
      </c>
    </row>
    <row r="8944" spans="6:8">
      <c r="F8944" s="68" t="s">
        <v>138</v>
      </c>
      <c r="G8944" s="67" t="s">
        <v>470</v>
      </c>
      <c r="H8944" s="69">
        <v>-0.45</v>
      </c>
    </row>
    <row r="8945" spans="6:8">
      <c r="F8945" s="68" t="s">
        <v>259</v>
      </c>
      <c r="G8945" s="67" t="s">
        <v>470</v>
      </c>
      <c r="H8945" s="69">
        <v>0.17</v>
      </c>
    </row>
    <row r="8946" spans="6:8">
      <c r="F8946" s="68" t="s">
        <v>425</v>
      </c>
      <c r="G8946" s="67" t="s">
        <v>470</v>
      </c>
      <c r="H8946" s="69">
        <v>3.2896950195521413</v>
      </c>
    </row>
    <row r="8947" spans="6:8">
      <c r="F8947" s="68" t="s">
        <v>425</v>
      </c>
      <c r="G8947" s="67" t="s">
        <v>471</v>
      </c>
      <c r="H8947" s="69">
        <v>3.2254804718316876</v>
      </c>
    </row>
    <row r="8948" spans="6:8">
      <c r="F8948" s="68" t="s">
        <v>259</v>
      </c>
      <c r="G8948" s="67" t="s">
        <v>471</v>
      </c>
      <c r="H8948" s="69">
        <v>0.17</v>
      </c>
    </row>
    <row r="8949" spans="6:8">
      <c r="F8949" s="68" t="s">
        <v>138</v>
      </c>
      <c r="G8949" s="67" t="s">
        <v>471</v>
      </c>
      <c r="H8949" s="69">
        <v>-0.5</v>
      </c>
    </row>
    <row r="8950" spans="6:8">
      <c r="F8950" s="68" t="s">
        <v>137</v>
      </c>
      <c r="G8950" s="67" t="s">
        <v>471</v>
      </c>
      <c r="H8950" s="69">
        <v>-0.5</v>
      </c>
    </row>
    <row r="8951" spans="6:8">
      <c r="F8951" s="68" t="s">
        <v>136</v>
      </c>
      <c r="G8951" s="67" t="s">
        <v>471</v>
      </c>
      <c r="H8951" s="69">
        <v>-0.5</v>
      </c>
    </row>
    <row r="8952" spans="6:8">
      <c r="F8952" s="68" t="s">
        <v>424</v>
      </c>
      <c r="G8952" s="67" t="s">
        <v>471</v>
      </c>
      <c r="H8952" s="69">
        <v>3.2025061104893116</v>
      </c>
    </row>
    <row r="8953" spans="6:8">
      <c r="F8953" s="68" t="s">
        <v>258</v>
      </c>
      <c r="G8953" s="67" t="s">
        <v>471</v>
      </c>
      <c r="H8953" s="69">
        <v>0.14000000000000001</v>
      </c>
    </row>
    <row r="8954" spans="6:8">
      <c r="F8954" s="68" t="s">
        <v>257</v>
      </c>
      <c r="G8954" s="67" t="s">
        <v>471</v>
      </c>
      <c r="H8954" s="69">
        <v>1.04</v>
      </c>
    </row>
    <row r="8955" spans="6:8">
      <c r="F8955" s="68" t="s">
        <v>135</v>
      </c>
      <c r="G8955" s="67" t="s">
        <v>471</v>
      </c>
      <c r="H8955" s="69">
        <v>-0.35</v>
      </c>
    </row>
    <row r="8956" spans="6:8">
      <c r="F8956" s="68" t="s">
        <v>134</v>
      </c>
      <c r="G8956" s="67" t="s">
        <v>471</v>
      </c>
      <c r="H8956" s="69">
        <v>-0.5</v>
      </c>
    </row>
    <row r="8957" spans="6:8">
      <c r="F8957" s="68" t="s">
        <v>423</v>
      </c>
      <c r="G8957" s="67" t="s">
        <v>471</v>
      </c>
      <c r="H8957" s="69">
        <v>2.4791855839611632</v>
      </c>
    </row>
    <row r="8958" spans="6:8">
      <c r="F8958" s="68" t="s">
        <v>256</v>
      </c>
      <c r="G8958" s="67" t="s">
        <v>471</v>
      </c>
      <c r="H8958" s="69">
        <v>0.96</v>
      </c>
    </row>
    <row r="8959" spans="6:8">
      <c r="F8959" s="68" t="s">
        <v>133</v>
      </c>
      <c r="G8959" s="67" t="s">
        <v>471</v>
      </c>
      <c r="H8959" s="69">
        <v>-0.35</v>
      </c>
    </row>
    <row r="8960" spans="6:8">
      <c r="F8960" s="68" t="s">
        <v>132</v>
      </c>
      <c r="G8960" s="67" t="s">
        <v>471</v>
      </c>
      <c r="H8960" s="69">
        <v>-0.5</v>
      </c>
    </row>
    <row r="8961" spans="6:8">
      <c r="F8961" s="68" t="s">
        <v>422</v>
      </c>
      <c r="G8961" s="67" t="s">
        <v>471</v>
      </c>
      <c r="H8961" s="69">
        <v>2.4497215224391411</v>
      </c>
    </row>
    <row r="8962" spans="6:8">
      <c r="F8962" s="68" t="s">
        <v>303</v>
      </c>
      <c r="G8962" s="67" t="s">
        <v>471</v>
      </c>
      <c r="H8962" s="69">
        <v>18.75</v>
      </c>
    </row>
    <row r="8963" spans="6:8">
      <c r="F8963" s="68" t="s">
        <v>255</v>
      </c>
      <c r="G8963" s="67" t="s">
        <v>471</v>
      </c>
      <c r="H8963" s="69">
        <v>0.82</v>
      </c>
    </row>
    <row r="8964" spans="6:8">
      <c r="F8964" s="68" t="s">
        <v>131</v>
      </c>
      <c r="G8964" s="67" t="s">
        <v>471</v>
      </c>
      <c r="H8964" s="69">
        <v>-0.3</v>
      </c>
    </row>
    <row r="8965" spans="6:8">
      <c r="F8965" s="68" t="s">
        <v>130</v>
      </c>
      <c r="G8965" s="67" t="s">
        <v>471</v>
      </c>
      <c r="H8965" s="69">
        <v>-0.55000000000000004</v>
      </c>
    </row>
    <row r="8966" spans="6:8">
      <c r="F8966" s="68" t="s">
        <v>421</v>
      </c>
      <c r="G8966" s="67" t="s">
        <v>471</v>
      </c>
      <c r="H8966" s="69">
        <v>2.4435631094338106</v>
      </c>
    </row>
    <row r="8967" spans="6:8">
      <c r="F8967" s="68" t="s">
        <v>304</v>
      </c>
      <c r="G8967" s="67" t="s">
        <v>471</v>
      </c>
      <c r="H8967" s="69">
        <v>17.28125</v>
      </c>
    </row>
    <row r="8968" spans="6:8">
      <c r="F8968" s="68" t="s">
        <v>254</v>
      </c>
      <c r="G8968" s="67" t="s">
        <v>471</v>
      </c>
      <c r="H8968" s="69">
        <v>0.63</v>
      </c>
    </row>
    <row r="8969" spans="6:8">
      <c r="F8969" s="68" t="s">
        <v>129</v>
      </c>
      <c r="G8969" s="67" t="s">
        <v>471</v>
      </c>
      <c r="H8969" s="69">
        <v>-0.25</v>
      </c>
    </row>
    <row r="8970" spans="6:8">
      <c r="F8970" s="68" t="s">
        <v>128</v>
      </c>
      <c r="G8970" s="67" t="s">
        <v>471</v>
      </c>
      <c r="H8970" s="69">
        <v>-0.4</v>
      </c>
    </row>
    <row r="8971" spans="6:8">
      <c r="F8971" s="68" t="s">
        <v>315</v>
      </c>
      <c r="G8971" s="67" t="s">
        <v>471</v>
      </c>
      <c r="H8971" s="69">
        <v>-0.2</v>
      </c>
    </row>
    <row r="8972" spans="6:8">
      <c r="F8972" s="68" t="s">
        <v>253</v>
      </c>
      <c r="G8972" s="67" t="s">
        <v>471</v>
      </c>
      <c r="H8972" s="69">
        <v>0.46</v>
      </c>
    </row>
    <row r="8973" spans="6:8">
      <c r="F8973" s="68" t="s">
        <v>127</v>
      </c>
      <c r="G8973" s="67" t="s">
        <v>471</v>
      </c>
      <c r="H8973" s="69">
        <v>-0.15</v>
      </c>
    </row>
    <row r="8974" spans="6:8">
      <c r="F8974" s="68" t="s">
        <v>126</v>
      </c>
      <c r="G8974" s="67" t="s">
        <v>471</v>
      </c>
      <c r="H8974" s="69">
        <v>-0.45</v>
      </c>
    </row>
    <row r="8975" spans="6:8">
      <c r="F8975" s="68" t="s">
        <v>125</v>
      </c>
      <c r="G8975" s="67" t="s">
        <v>471</v>
      </c>
      <c r="H8975" s="69">
        <v>-0.35</v>
      </c>
    </row>
    <row r="8976" spans="6:8">
      <c r="F8976" s="68" t="s">
        <v>314</v>
      </c>
      <c r="G8976" s="67" t="s">
        <v>471</v>
      </c>
      <c r="H8976" s="69">
        <v>-0.3</v>
      </c>
    </row>
    <row r="8977" spans="6:8">
      <c r="F8977" s="68" t="s">
        <v>252</v>
      </c>
      <c r="G8977" s="67" t="s">
        <v>471</v>
      </c>
      <c r="H8977" s="69">
        <v>0.35</v>
      </c>
    </row>
    <row r="8978" spans="6:8">
      <c r="F8978" s="68" t="s">
        <v>124</v>
      </c>
      <c r="G8978" s="67" t="s">
        <v>471</v>
      </c>
      <c r="H8978" s="69">
        <v>-0.3</v>
      </c>
    </row>
    <row r="8979" spans="6:8">
      <c r="F8979" s="68" t="s">
        <v>123</v>
      </c>
      <c r="G8979" s="67" t="s">
        <v>471</v>
      </c>
      <c r="H8979" s="69">
        <v>-0.55000000000000004</v>
      </c>
    </row>
    <row r="8980" spans="6:8">
      <c r="F8980" s="68" t="s">
        <v>122</v>
      </c>
      <c r="G8980" s="67" t="s">
        <v>471</v>
      </c>
      <c r="H8980" s="69">
        <v>-0.45</v>
      </c>
    </row>
    <row r="8981" spans="6:8">
      <c r="F8981" s="68" t="s">
        <v>420</v>
      </c>
      <c r="G8981" s="67" t="s">
        <v>471</v>
      </c>
      <c r="H8981" s="69">
        <v>3.3406919537413149</v>
      </c>
    </row>
    <row r="8982" spans="6:8">
      <c r="F8982" s="68" t="s">
        <v>251</v>
      </c>
      <c r="G8982" s="67" t="s">
        <v>471</v>
      </c>
      <c r="H8982" s="69">
        <v>0.24</v>
      </c>
    </row>
    <row r="8983" spans="6:8">
      <c r="F8983" s="68" t="s">
        <v>121</v>
      </c>
      <c r="G8983" s="67" t="s">
        <v>471</v>
      </c>
      <c r="H8983" s="69">
        <v>-0.45</v>
      </c>
    </row>
    <row r="8984" spans="6:8">
      <c r="F8984" s="68" t="s">
        <v>120</v>
      </c>
      <c r="G8984" s="67" t="s">
        <v>471</v>
      </c>
      <c r="H8984" s="69">
        <v>-0.45</v>
      </c>
    </row>
    <row r="8985" spans="6:8">
      <c r="F8985" s="68" t="s">
        <v>119</v>
      </c>
      <c r="G8985" s="67" t="s">
        <v>471</v>
      </c>
      <c r="H8985" s="69">
        <v>-0.45</v>
      </c>
    </row>
    <row r="8986" spans="6:8">
      <c r="F8986" s="68" t="s">
        <v>119</v>
      </c>
      <c r="G8986" s="67" t="s">
        <v>472</v>
      </c>
      <c r="H8986" s="69">
        <v>-0.45</v>
      </c>
    </row>
    <row r="8987" spans="6:8">
      <c r="F8987" s="68" t="s">
        <v>120</v>
      </c>
      <c r="G8987" s="67" t="s">
        <v>472</v>
      </c>
      <c r="H8987" s="69">
        <v>-0.45</v>
      </c>
    </row>
    <row r="8988" spans="6:8">
      <c r="F8988" s="68" t="s">
        <v>121</v>
      </c>
      <c r="G8988" s="67" t="s">
        <v>472</v>
      </c>
      <c r="H8988" s="69">
        <v>-0.45</v>
      </c>
    </row>
    <row r="8989" spans="6:8">
      <c r="F8989" s="68" t="s">
        <v>251</v>
      </c>
      <c r="G8989" s="67" t="s">
        <v>472</v>
      </c>
      <c r="H8989" s="69">
        <v>0.23</v>
      </c>
    </row>
    <row r="8990" spans="6:8">
      <c r="F8990" s="68" t="s">
        <v>420</v>
      </c>
      <c r="G8990" s="67" t="s">
        <v>472</v>
      </c>
      <c r="H8990" s="69">
        <v>3.2961562018547941</v>
      </c>
    </row>
    <row r="8991" spans="6:8">
      <c r="F8991" s="68" t="s">
        <v>122</v>
      </c>
      <c r="G8991" s="67" t="s">
        <v>472</v>
      </c>
      <c r="H8991" s="69">
        <v>-0.45</v>
      </c>
    </row>
    <row r="8992" spans="6:8">
      <c r="F8992" s="68" t="s">
        <v>123</v>
      </c>
      <c r="G8992" s="67" t="s">
        <v>472</v>
      </c>
      <c r="H8992" s="69">
        <v>-0.55000000000000004</v>
      </c>
    </row>
    <row r="8993" spans="6:8">
      <c r="F8993" s="68" t="s">
        <v>124</v>
      </c>
      <c r="G8993" s="67" t="s">
        <v>472</v>
      </c>
      <c r="H8993" s="69">
        <v>-0.3</v>
      </c>
    </row>
    <row r="8994" spans="6:8">
      <c r="F8994" s="68" t="s">
        <v>252</v>
      </c>
      <c r="G8994" s="67" t="s">
        <v>472</v>
      </c>
      <c r="H8994" s="69">
        <v>0.34</v>
      </c>
    </row>
    <row r="8995" spans="6:8">
      <c r="F8995" s="68" t="s">
        <v>314</v>
      </c>
      <c r="G8995" s="67" t="s">
        <v>472</v>
      </c>
      <c r="H8995" s="69">
        <v>-0.3</v>
      </c>
    </row>
    <row r="8996" spans="6:8">
      <c r="F8996" s="68" t="s">
        <v>125</v>
      </c>
      <c r="G8996" s="67" t="s">
        <v>472</v>
      </c>
      <c r="H8996" s="69">
        <v>-0.35</v>
      </c>
    </row>
    <row r="8997" spans="6:8">
      <c r="F8997" s="68" t="s">
        <v>126</v>
      </c>
      <c r="G8997" s="67" t="s">
        <v>472</v>
      </c>
      <c r="H8997" s="69">
        <v>-0.45</v>
      </c>
    </row>
    <row r="8998" spans="6:8">
      <c r="F8998" s="68" t="s">
        <v>127</v>
      </c>
      <c r="G8998" s="67" t="s">
        <v>472</v>
      </c>
      <c r="H8998" s="69">
        <v>-0.15</v>
      </c>
    </row>
    <row r="8999" spans="6:8">
      <c r="F8999" s="68" t="s">
        <v>253</v>
      </c>
      <c r="G8999" s="67" t="s">
        <v>472</v>
      </c>
      <c r="H8999" s="69">
        <v>0.45</v>
      </c>
    </row>
    <row r="9000" spans="6:8">
      <c r="F9000" s="68" t="s">
        <v>315</v>
      </c>
      <c r="G9000" s="67" t="s">
        <v>472</v>
      </c>
      <c r="H9000" s="69">
        <v>-0.2</v>
      </c>
    </row>
    <row r="9001" spans="6:8">
      <c r="F9001" s="68" t="s">
        <v>128</v>
      </c>
      <c r="G9001" s="67" t="s">
        <v>472</v>
      </c>
      <c r="H9001" s="69">
        <v>-0.4</v>
      </c>
    </row>
    <row r="9002" spans="6:8">
      <c r="F9002" s="68" t="s">
        <v>129</v>
      </c>
      <c r="G9002" s="67" t="s">
        <v>472</v>
      </c>
      <c r="H9002" s="69">
        <v>-0.25</v>
      </c>
    </row>
    <row r="9003" spans="6:8">
      <c r="F9003" s="68" t="s">
        <v>254</v>
      </c>
      <c r="G9003" s="67" t="s">
        <v>472</v>
      </c>
      <c r="H9003" s="69">
        <v>0.62</v>
      </c>
    </row>
    <row r="9004" spans="6:8">
      <c r="F9004" s="68" t="s">
        <v>304</v>
      </c>
      <c r="G9004" s="67" t="s">
        <v>472</v>
      </c>
      <c r="H9004" s="69">
        <v>17.4375</v>
      </c>
    </row>
    <row r="9005" spans="6:8">
      <c r="F9005" s="68" t="s">
        <v>421</v>
      </c>
      <c r="G9005" s="67" t="s">
        <v>472</v>
      </c>
      <c r="H9005" s="69">
        <v>2.3881875919689044</v>
      </c>
    </row>
    <row r="9006" spans="6:8">
      <c r="F9006" s="68" t="s">
        <v>130</v>
      </c>
      <c r="G9006" s="67" t="s">
        <v>472</v>
      </c>
      <c r="H9006" s="69">
        <v>-0.55000000000000004</v>
      </c>
    </row>
    <row r="9007" spans="6:8">
      <c r="F9007" s="68" t="s">
        <v>131</v>
      </c>
      <c r="G9007" s="67" t="s">
        <v>472</v>
      </c>
      <c r="H9007" s="69">
        <v>-0.3</v>
      </c>
    </row>
    <row r="9008" spans="6:8">
      <c r="F9008" s="68" t="s">
        <v>255</v>
      </c>
      <c r="G9008" s="67" t="s">
        <v>472</v>
      </c>
      <c r="H9008" s="69">
        <v>0.81</v>
      </c>
    </row>
    <row r="9009" spans="6:8">
      <c r="F9009" s="68" t="s">
        <v>303</v>
      </c>
      <c r="G9009" s="67" t="s">
        <v>472</v>
      </c>
      <c r="H9009" s="69">
        <v>18.875</v>
      </c>
    </row>
    <row r="9010" spans="6:8">
      <c r="F9010" s="68" t="s">
        <v>422</v>
      </c>
      <c r="G9010" s="67" t="s">
        <v>472</v>
      </c>
      <c r="H9010" s="69">
        <v>2.3944166231480768</v>
      </c>
    </row>
    <row r="9011" spans="6:8">
      <c r="F9011" s="68" t="s">
        <v>132</v>
      </c>
      <c r="G9011" s="67" t="s">
        <v>472</v>
      </c>
      <c r="H9011" s="69">
        <v>-0.5</v>
      </c>
    </row>
    <row r="9012" spans="6:8">
      <c r="F9012" s="68" t="s">
        <v>133</v>
      </c>
      <c r="G9012" s="67" t="s">
        <v>472</v>
      </c>
      <c r="H9012" s="69">
        <v>-0.35</v>
      </c>
    </row>
    <row r="9013" spans="6:8">
      <c r="F9013" s="68" t="s">
        <v>256</v>
      </c>
      <c r="G9013" s="67" t="s">
        <v>472</v>
      </c>
      <c r="H9013" s="69">
        <v>0.95</v>
      </c>
    </row>
    <row r="9014" spans="6:8">
      <c r="F9014" s="68" t="s">
        <v>423</v>
      </c>
      <c r="G9014" s="67" t="s">
        <v>472</v>
      </c>
      <c r="H9014" s="69">
        <v>2.4318673501337873</v>
      </c>
    </row>
    <row r="9015" spans="6:8">
      <c r="F9015" s="68" t="s">
        <v>134</v>
      </c>
      <c r="G9015" s="67" t="s">
        <v>472</v>
      </c>
      <c r="H9015" s="69">
        <v>-0.5</v>
      </c>
    </row>
    <row r="9016" spans="6:8">
      <c r="F9016" s="68" t="s">
        <v>135</v>
      </c>
      <c r="G9016" s="67" t="s">
        <v>472</v>
      </c>
      <c r="H9016" s="69">
        <v>-0.35</v>
      </c>
    </row>
    <row r="9017" spans="6:8">
      <c r="F9017" s="68" t="s">
        <v>257</v>
      </c>
      <c r="G9017" s="67" t="s">
        <v>472</v>
      </c>
      <c r="H9017" s="69">
        <v>1.03</v>
      </c>
    </row>
    <row r="9018" spans="6:8">
      <c r="F9018" s="68" t="s">
        <v>258</v>
      </c>
      <c r="G9018" s="67" t="s">
        <v>472</v>
      </c>
      <c r="H9018" s="69">
        <v>0.14000000000000001</v>
      </c>
    </row>
    <row r="9019" spans="6:8">
      <c r="F9019" s="68" t="s">
        <v>424</v>
      </c>
      <c r="G9019" s="67" t="s">
        <v>472</v>
      </c>
      <c r="H9019" s="69">
        <v>3.1340147651730987</v>
      </c>
    </row>
    <row r="9020" spans="6:8">
      <c r="F9020" s="68" t="s">
        <v>136</v>
      </c>
      <c r="G9020" s="67" t="s">
        <v>472</v>
      </c>
      <c r="H9020" s="69">
        <v>-0.5</v>
      </c>
    </row>
    <row r="9021" spans="6:8">
      <c r="F9021" s="68" t="s">
        <v>137</v>
      </c>
      <c r="G9021" s="67" t="s">
        <v>472</v>
      </c>
      <c r="H9021" s="69">
        <v>-0.5</v>
      </c>
    </row>
    <row r="9022" spans="6:8">
      <c r="F9022" s="68" t="s">
        <v>138</v>
      </c>
      <c r="G9022" s="67" t="s">
        <v>472</v>
      </c>
      <c r="H9022" s="69">
        <v>-0.5</v>
      </c>
    </row>
    <row r="9023" spans="6:8">
      <c r="F9023" s="68" t="s">
        <v>259</v>
      </c>
      <c r="G9023" s="67" t="s">
        <v>472</v>
      </c>
      <c r="H9023" s="69">
        <v>0.17</v>
      </c>
    </row>
    <row r="9024" spans="6:8">
      <c r="F9024" s="68" t="s">
        <v>425</v>
      </c>
      <c r="G9024" s="67" t="s">
        <v>472</v>
      </c>
      <c r="H9024" s="69">
        <v>3.1635734643403524</v>
      </c>
    </row>
    <row r="9025" spans="6:8">
      <c r="F9025" s="68" t="s">
        <v>425</v>
      </c>
      <c r="G9025" s="67" t="s">
        <v>473</v>
      </c>
      <c r="H9025" s="69">
        <v>3.1912705431899724</v>
      </c>
    </row>
    <row r="9026" spans="6:8">
      <c r="F9026" s="68" t="s">
        <v>259</v>
      </c>
      <c r="G9026" s="67" t="s">
        <v>473</v>
      </c>
      <c r="H9026" s="69">
        <v>0.17</v>
      </c>
    </row>
    <row r="9027" spans="6:8">
      <c r="F9027" s="68" t="s">
        <v>138</v>
      </c>
      <c r="G9027" s="67" t="s">
        <v>473</v>
      </c>
      <c r="H9027" s="69">
        <v>-0.5</v>
      </c>
    </row>
    <row r="9028" spans="6:8">
      <c r="F9028" s="68" t="s">
        <v>137</v>
      </c>
      <c r="G9028" s="67" t="s">
        <v>473</v>
      </c>
      <c r="H9028" s="69">
        <v>-0.5</v>
      </c>
    </row>
    <row r="9029" spans="6:8">
      <c r="F9029" s="68" t="s">
        <v>136</v>
      </c>
      <c r="G9029" s="67" t="s">
        <v>473</v>
      </c>
      <c r="H9029" s="69">
        <v>-0.5</v>
      </c>
    </row>
    <row r="9030" spans="6:8">
      <c r="F9030" s="68" t="s">
        <v>424</v>
      </c>
      <c r="G9030" s="67" t="s">
        <v>473</v>
      </c>
      <c r="H9030" s="69">
        <v>3.1646507926878176</v>
      </c>
    </row>
    <row r="9031" spans="6:8">
      <c r="F9031" s="68" t="s">
        <v>258</v>
      </c>
      <c r="G9031" s="67" t="s">
        <v>473</v>
      </c>
      <c r="H9031" s="69">
        <v>0.14000000000000001</v>
      </c>
    </row>
    <row r="9032" spans="6:8">
      <c r="F9032" s="68" t="s">
        <v>257</v>
      </c>
      <c r="G9032" s="67" t="s">
        <v>473</v>
      </c>
      <c r="H9032" s="69">
        <v>1.03</v>
      </c>
    </row>
    <row r="9033" spans="6:8">
      <c r="F9033" s="68" t="s">
        <v>135</v>
      </c>
      <c r="G9033" s="67" t="s">
        <v>473</v>
      </c>
      <c r="H9033" s="69">
        <v>-0.35</v>
      </c>
    </row>
    <row r="9034" spans="6:8">
      <c r="F9034" s="68" t="s">
        <v>134</v>
      </c>
      <c r="G9034" s="67" t="s">
        <v>473</v>
      </c>
      <c r="H9034" s="69">
        <v>-0.5</v>
      </c>
    </row>
    <row r="9035" spans="6:8">
      <c r="F9035" s="68" t="s">
        <v>423</v>
      </c>
      <c r="G9035" s="67" t="s">
        <v>473</v>
      </c>
      <c r="H9035" s="69">
        <v>2.4554240989475229</v>
      </c>
    </row>
    <row r="9036" spans="6:8">
      <c r="F9036" s="68" t="s">
        <v>256</v>
      </c>
      <c r="G9036" s="67" t="s">
        <v>473</v>
      </c>
      <c r="H9036" s="69">
        <v>0.95</v>
      </c>
    </row>
    <row r="9037" spans="6:8">
      <c r="F9037" s="68" t="s">
        <v>133</v>
      </c>
      <c r="G9037" s="67" t="s">
        <v>473</v>
      </c>
      <c r="H9037" s="69">
        <v>-0.35</v>
      </c>
    </row>
    <row r="9038" spans="6:8">
      <c r="F9038" s="68" t="s">
        <v>132</v>
      </c>
      <c r="G9038" s="67" t="s">
        <v>473</v>
      </c>
      <c r="H9038" s="69">
        <v>-0.5</v>
      </c>
    </row>
    <row r="9039" spans="6:8">
      <c r="F9039" s="68" t="s">
        <v>422</v>
      </c>
      <c r="G9039" s="67" t="s">
        <v>473</v>
      </c>
      <c r="H9039" s="69">
        <v>2.4196451463955881</v>
      </c>
    </row>
    <row r="9040" spans="6:8">
      <c r="F9040" s="68" t="s">
        <v>303</v>
      </c>
      <c r="G9040" s="67" t="s">
        <v>473</v>
      </c>
      <c r="H9040" s="69">
        <v>18.875</v>
      </c>
    </row>
    <row r="9041" spans="6:8">
      <c r="F9041" s="68" t="s">
        <v>255</v>
      </c>
      <c r="G9041" s="67" t="s">
        <v>473</v>
      </c>
      <c r="H9041" s="69">
        <v>0.81</v>
      </c>
    </row>
    <row r="9042" spans="6:8">
      <c r="F9042" s="68" t="s">
        <v>131</v>
      </c>
      <c r="G9042" s="67" t="s">
        <v>473</v>
      </c>
      <c r="H9042" s="69">
        <v>-0.3</v>
      </c>
    </row>
    <row r="9043" spans="6:8">
      <c r="F9043" s="68" t="s">
        <v>130</v>
      </c>
      <c r="G9043" s="67" t="s">
        <v>473</v>
      </c>
      <c r="H9043" s="69">
        <v>-0.55000000000000004</v>
      </c>
    </row>
    <row r="9044" spans="6:8">
      <c r="F9044" s="68" t="s">
        <v>421</v>
      </c>
      <c r="G9044" s="67" t="s">
        <v>473</v>
      </c>
      <c r="H9044" s="69">
        <v>2.4134582632532542</v>
      </c>
    </row>
    <row r="9045" spans="6:8">
      <c r="F9045" s="68" t="s">
        <v>304</v>
      </c>
      <c r="G9045" s="67" t="s">
        <v>473</v>
      </c>
      <c r="H9045" s="69">
        <v>17.5</v>
      </c>
    </row>
    <row r="9046" spans="6:8">
      <c r="F9046" s="68" t="s">
        <v>254</v>
      </c>
      <c r="G9046" s="67" t="s">
        <v>473</v>
      </c>
      <c r="H9046" s="69">
        <v>0.62</v>
      </c>
    </row>
    <row r="9047" spans="6:8">
      <c r="F9047" s="68" t="s">
        <v>129</v>
      </c>
      <c r="G9047" s="67" t="s">
        <v>473</v>
      </c>
      <c r="H9047" s="69">
        <v>-0.25</v>
      </c>
    </row>
    <row r="9048" spans="6:8">
      <c r="F9048" s="68" t="s">
        <v>128</v>
      </c>
      <c r="G9048" s="67" t="s">
        <v>473</v>
      </c>
      <c r="H9048" s="69">
        <v>-0.4</v>
      </c>
    </row>
    <row r="9049" spans="6:8">
      <c r="F9049" s="68" t="s">
        <v>315</v>
      </c>
      <c r="G9049" s="67" t="s">
        <v>473</v>
      </c>
      <c r="H9049" s="69">
        <v>-0.2</v>
      </c>
    </row>
    <row r="9050" spans="6:8">
      <c r="F9050" s="68" t="s">
        <v>253</v>
      </c>
      <c r="G9050" s="67" t="s">
        <v>473</v>
      </c>
      <c r="H9050" s="69">
        <v>0.45</v>
      </c>
    </row>
    <row r="9051" spans="6:8">
      <c r="F9051" s="68" t="s">
        <v>127</v>
      </c>
      <c r="G9051" s="67" t="s">
        <v>473</v>
      </c>
      <c r="H9051" s="69">
        <v>-0.15</v>
      </c>
    </row>
    <row r="9052" spans="6:8">
      <c r="F9052" s="68" t="s">
        <v>126</v>
      </c>
      <c r="G9052" s="67" t="s">
        <v>473</v>
      </c>
      <c r="H9052" s="69">
        <v>-0.45</v>
      </c>
    </row>
    <row r="9053" spans="6:8">
      <c r="F9053" s="68" t="s">
        <v>125</v>
      </c>
      <c r="G9053" s="67" t="s">
        <v>473</v>
      </c>
      <c r="H9053" s="69">
        <v>-0.35</v>
      </c>
    </row>
    <row r="9054" spans="6:8">
      <c r="F9054" s="68" t="s">
        <v>314</v>
      </c>
      <c r="G9054" s="67" t="s">
        <v>473</v>
      </c>
      <c r="H9054" s="69">
        <v>-0.3</v>
      </c>
    </row>
    <row r="9055" spans="6:8">
      <c r="F9055" s="68" t="s">
        <v>252</v>
      </c>
      <c r="G9055" s="67" t="s">
        <v>473</v>
      </c>
      <c r="H9055" s="69">
        <v>0.34</v>
      </c>
    </row>
    <row r="9056" spans="6:8">
      <c r="F9056" s="68" t="s">
        <v>124</v>
      </c>
      <c r="G9056" s="67" t="s">
        <v>473</v>
      </c>
      <c r="H9056" s="69">
        <v>-0.3</v>
      </c>
    </row>
    <row r="9057" spans="6:8">
      <c r="F9057" s="68" t="s">
        <v>123</v>
      </c>
      <c r="G9057" s="67" t="s">
        <v>473</v>
      </c>
      <c r="H9057" s="69">
        <v>-0.55000000000000004</v>
      </c>
    </row>
    <row r="9058" spans="6:8">
      <c r="F9058" s="68" t="s">
        <v>122</v>
      </c>
      <c r="G9058" s="67" t="s">
        <v>473</v>
      </c>
      <c r="H9058" s="69">
        <v>-0.45</v>
      </c>
    </row>
    <row r="9059" spans="6:8">
      <c r="F9059" s="68" t="s">
        <v>420</v>
      </c>
      <c r="G9059" s="67" t="s">
        <v>473</v>
      </c>
      <c r="H9059" s="69">
        <v>3.3233487722912347</v>
      </c>
    </row>
    <row r="9060" spans="6:8">
      <c r="F9060" s="68" t="s">
        <v>251</v>
      </c>
      <c r="G9060" s="67" t="s">
        <v>473</v>
      </c>
      <c r="H9060" s="69">
        <v>0.23</v>
      </c>
    </row>
    <row r="9061" spans="6:8">
      <c r="F9061" s="68" t="s">
        <v>121</v>
      </c>
      <c r="G9061" s="67" t="s">
        <v>473</v>
      </c>
      <c r="H9061" s="69">
        <v>-0.45</v>
      </c>
    </row>
    <row r="9062" spans="6:8">
      <c r="F9062" s="68" t="s">
        <v>120</v>
      </c>
      <c r="G9062" s="67" t="s">
        <v>473</v>
      </c>
      <c r="H9062" s="69">
        <v>-0.45</v>
      </c>
    </row>
    <row r="9063" spans="6:8">
      <c r="F9063" s="68" t="s">
        <v>119</v>
      </c>
      <c r="G9063" s="67" t="s">
        <v>473</v>
      </c>
      <c r="H9063" s="69">
        <v>-0.45</v>
      </c>
    </row>
    <row r="9064" spans="6:8">
      <c r="F9064" s="68" t="s">
        <v>119</v>
      </c>
      <c r="G9064" s="67" t="s">
        <v>474</v>
      </c>
      <c r="H9064" s="69">
        <v>-0.45</v>
      </c>
    </row>
    <row r="9065" spans="6:8">
      <c r="F9065" s="68" t="s">
        <v>120</v>
      </c>
      <c r="G9065" s="67" t="s">
        <v>474</v>
      </c>
      <c r="H9065" s="69">
        <v>-0.45</v>
      </c>
    </row>
    <row r="9066" spans="6:8">
      <c r="F9066" s="68" t="s">
        <v>121</v>
      </c>
      <c r="G9066" s="67" t="s">
        <v>474</v>
      </c>
      <c r="H9066" s="69">
        <v>-0.45</v>
      </c>
    </row>
    <row r="9067" spans="6:8">
      <c r="F9067" s="68" t="s">
        <v>251</v>
      </c>
      <c r="G9067" s="67" t="s">
        <v>474</v>
      </c>
      <c r="H9067" s="69">
        <v>0.23</v>
      </c>
    </row>
    <row r="9068" spans="6:8">
      <c r="F9068" s="68" t="s">
        <v>420</v>
      </c>
      <c r="G9068" s="67" t="s">
        <v>474</v>
      </c>
      <c r="H9068" s="69">
        <v>3.2948871217977072</v>
      </c>
    </row>
    <row r="9069" spans="6:8">
      <c r="F9069" s="68" t="s">
        <v>122</v>
      </c>
      <c r="G9069" s="67" t="s">
        <v>474</v>
      </c>
      <c r="H9069" s="69">
        <v>-0.45</v>
      </c>
    </row>
    <row r="9070" spans="6:8">
      <c r="F9070" s="68" t="s">
        <v>123</v>
      </c>
      <c r="G9070" s="67" t="s">
        <v>474</v>
      </c>
      <c r="H9070" s="69">
        <v>-0.55000000000000004</v>
      </c>
    </row>
    <row r="9071" spans="6:8">
      <c r="F9071" s="68" t="s">
        <v>124</v>
      </c>
      <c r="G9071" s="67" t="s">
        <v>474</v>
      </c>
      <c r="H9071" s="69">
        <v>-0.3</v>
      </c>
    </row>
    <row r="9072" spans="6:8">
      <c r="F9072" s="68" t="s">
        <v>252</v>
      </c>
      <c r="G9072" s="67" t="s">
        <v>474</v>
      </c>
      <c r="H9072" s="69">
        <v>0.34</v>
      </c>
    </row>
    <row r="9073" spans="6:8">
      <c r="F9073" s="68" t="s">
        <v>314</v>
      </c>
      <c r="G9073" s="67" t="s">
        <v>474</v>
      </c>
      <c r="H9073" s="69">
        <v>-0.3</v>
      </c>
    </row>
    <row r="9074" spans="6:8">
      <c r="F9074" s="68" t="s">
        <v>125</v>
      </c>
      <c r="G9074" s="67" t="s">
        <v>474</v>
      </c>
      <c r="H9074" s="69">
        <v>-0.35</v>
      </c>
    </row>
    <row r="9075" spans="6:8">
      <c r="F9075" s="68" t="s">
        <v>126</v>
      </c>
      <c r="G9075" s="67" t="s">
        <v>474</v>
      </c>
      <c r="H9075" s="69">
        <v>-0.45</v>
      </c>
    </row>
    <row r="9076" spans="6:8">
      <c r="F9076" s="68" t="s">
        <v>127</v>
      </c>
      <c r="G9076" s="67" t="s">
        <v>474</v>
      </c>
      <c r="H9076" s="69">
        <v>-0.15</v>
      </c>
    </row>
    <row r="9077" spans="6:8">
      <c r="F9077" s="68" t="s">
        <v>253</v>
      </c>
      <c r="G9077" s="67" t="s">
        <v>474</v>
      </c>
      <c r="H9077" s="69">
        <v>0.45</v>
      </c>
    </row>
    <row r="9078" spans="6:8">
      <c r="F9078" s="68" t="s">
        <v>315</v>
      </c>
      <c r="G9078" s="67" t="s">
        <v>474</v>
      </c>
      <c r="H9078" s="69">
        <v>-0.2</v>
      </c>
    </row>
    <row r="9079" spans="6:8">
      <c r="F9079" s="68" t="s">
        <v>128</v>
      </c>
      <c r="G9079" s="67" t="s">
        <v>474</v>
      </c>
      <c r="H9079" s="69">
        <v>-0.4</v>
      </c>
    </row>
    <row r="9080" spans="6:8">
      <c r="F9080" s="68" t="s">
        <v>129</v>
      </c>
      <c r="G9080" s="67" t="s">
        <v>474</v>
      </c>
      <c r="H9080" s="69">
        <v>-0.25</v>
      </c>
    </row>
    <row r="9081" spans="6:8">
      <c r="F9081" s="68" t="s">
        <v>254</v>
      </c>
      <c r="G9081" s="67" t="s">
        <v>474</v>
      </c>
      <c r="H9081" s="69">
        <v>0.62</v>
      </c>
    </row>
    <row r="9082" spans="6:8">
      <c r="F9082" s="68" t="s">
        <v>304</v>
      </c>
      <c r="G9082" s="67" t="s">
        <v>474</v>
      </c>
      <c r="H9082" s="69">
        <v>17.625</v>
      </c>
    </row>
    <row r="9083" spans="6:8">
      <c r="F9083" s="68" t="s">
        <v>421</v>
      </c>
      <c r="G9083" s="67" t="s">
        <v>474</v>
      </c>
      <c r="H9083" s="69">
        <v>2.3539841673935413</v>
      </c>
    </row>
    <row r="9084" spans="6:8">
      <c r="F9084" s="68" t="s">
        <v>130</v>
      </c>
      <c r="G9084" s="67" t="s">
        <v>474</v>
      </c>
      <c r="H9084" s="69">
        <v>-0.55000000000000004</v>
      </c>
    </row>
    <row r="9085" spans="6:8">
      <c r="F9085" s="68" t="s">
        <v>131</v>
      </c>
      <c r="G9085" s="67" t="s">
        <v>474</v>
      </c>
      <c r="H9085" s="69">
        <v>-0.3</v>
      </c>
    </row>
    <row r="9086" spans="6:8">
      <c r="F9086" s="68" t="s">
        <v>255</v>
      </c>
      <c r="G9086" s="67" t="s">
        <v>474</v>
      </c>
      <c r="H9086" s="69">
        <v>0.81</v>
      </c>
    </row>
    <row r="9087" spans="6:8">
      <c r="F9087" s="68" t="s">
        <v>303</v>
      </c>
      <c r="G9087" s="67" t="s">
        <v>474</v>
      </c>
      <c r="H9087" s="69">
        <v>18.875</v>
      </c>
    </row>
    <row r="9088" spans="6:8">
      <c r="F9088" s="68" t="s">
        <v>422</v>
      </c>
      <c r="G9088" s="67" t="s">
        <v>474</v>
      </c>
      <c r="H9088" s="69">
        <v>2.3601961058679954</v>
      </c>
    </row>
    <row r="9089" spans="6:8">
      <c r="F9089" s="68" t="s">
        <v>132</v>
      </c>
      <c r="G9089" s="67" t="s">
        <v>474</v>
      </c>
      <c r="H9089" s="69">
        <v>-0.5</v>
      </c>
    </row>
    <row r="9090" spans="6:8">
      <c r="F9090" s="68" t="s">
        <v>133</v>
      </c>
      <c r="G9090" s="67" t="s">
        <v>474</v>
      </c>
      <c r="H9090" s="69">
        <v>-0.35</v>
      </c>
    </row>
    <row r="9091" spans="6:8">
      <c r="F9091" s="68" t="s">
        <v>256</v>
      </c>
      <c r="G9091" s="67" t="s">
        <v>474</v>
      </c>
      <c r="H9091" s="69">
        <v>0.95</v>
      </c>
    </row>
    <row r="9092" spans="6:8">
      <c r="F9092" s="68" t="s">
        <v>423</v>
      </c>
      <c r="G9092" s="67" t="s">
        <v>474</v>
      </c>
      <c r="H9092" s="69">
        <v>2.4061547721907939</v>
      </c>
    </row>
    <row r="9093" spans="6:8">
      <c r="F9093" s="68" t="s">
        <v>134</v>
      </c>
      <c r="G9093" s="67" t="s">
        <v>474</v>
      </c>
      <c r="H9093" s="69">
        <v>-0.5</v>
      </c>
    </row>
    <row r="9094" spans="6:8">
      <c r="F9094" s="68" t="s">
        <v>135</v>
      </c>
      <c r="G9094" s="67" t="s">
        <v>474</v>
      </c>
      <c r="H9094" s="69">
        <v>-0.35</v>
      </c>
    </row>
    <row r="9095" spans="6:8">
      <c r="F9095" s="68" t="s">
        <v>257</v>
      </c>
      <c r="G9095" s="67" t="s">
        <v>474</v>
      </c>
      <c r="H9095" s="69">
        <v>1.03</v>
      </c>
    </row>
    <row r="9096" spans="6:8">
      <c r="F9096" s="68" t="s">
        <v>258</v>
      </c>
      <c r="G9096" s="67" t="s">
        <v>474</v>
      </c>
      <c r="H9096" s="69">
        <v>0.14000000000000001</v>
      </c>
    </row>
    <row r="9097" spans="6:8">
      <c r="F9097" s="68" t="s">
        <v>424</v>
      </c>
      <c r="G9097" s="67" t="s">
        <v>474</v>
      </c>
      <c r="H9097" s="69">
        <v>3.1405519439544172</v>
      </c>
    </row>
    <row r="9098" spans="6:8">
      <c r="F9098" s="68" t="s">
        <v>136</v>
      </c>
      <c r="G9098" s="67" t="s">
        <v>474</v>
      </c>
      <c r="H9098" s="69">
        <v>-0.5</v>
      </c>
    </row>
    <row r="9099" spans="6:8">
      <c r="F9099" s="68" t="s">
        <v>137</v>
      </c>
      <c r="G9099" s="67" t="s">
        <v>474</v>
      </c>
      <c r="H9099" s="69">
        <v>-0.5</v>
      </c>
    </row>
    <row r="9100" spans="6:8">
      <c r="F9100" s="68" t="s">
        <v>138</v>
      </c>
      <c r="G9100" s="67" t="s">
        <v>474</v>
      </c>
      <c r="H9100" s="69">
        <v>-0.5</v>
      </c>
    </row>
    <row r="9101" spans="6:8">
      <c r="F9101" s="68" t="s">
        <v>259</v>
      </c>
      <c r="G9101" s="67" t="s">
        <v>474</v>
      </c>
      <c r="H9101" s="69">
        <v>0.17</v>
      </c>
    </row>
    <row r="9102" spans="6:8">
      <c r="F9102" s="68" t="s">
        <v>425</v>
      </c>
      <c r="G9102" s="67" t="s">
        <v>474</v>
      </c>
      <c r="H9102" s="69">
        <v>3.1643778016500423</v>
      </c>
    </row>
    <row r="9103" spans="6:8">
      <c r="F9103" s="68" t="s">
        <v>425</v>
      </c>
      <c r="G9103" s="67" t="s">
        <v>475</v>
      </c>
      <c r="H9103" s="69">
        <v>3.1734023477760775</v>
      </c>
    </row>
    <row r="9104" spans="6:8">
      <c r="F9104" s="68" t="s">
        <v>259</v>
      </c>
      <c r="G9104" s="67" t="s">
        <v>475</v>
      </c>
      <c r="H9104" s="69">
        <v>0.17</v>
      </c>
    </row>
    <row r="9105" spans="6:8">
      <c r="F9105" s="68" t="s">
        <v>138</v>
      </c>
      <c r="G9105" s="67" t="s">
        <v>475</v>
      </c>
      <c r="H9105" s="69">
        <v>-0.5</v>
      </c>
    </row>
    <row r="9106" spans="6:8">
      <c r="F9106" s="68" t="s">
        <v>137</v>
      </c>
      <c r="G9106" s="67" t="s">
        <v>475</v>
      </c>
      <c r="H9106" s="69">
        <v>-0.5</v>
      </c>
    </row>
    <row r="9107" spans="6:8">
      <c r="F9107" s="68" t="s">
        <v>136</v>
      </c>
      <c r="G9107" s="67" t="s">
        <v>475</v>
      </c>
      <c r="H9107" s="69">
        <v>-0.5</v>
      </c>
    </row>
    <row r="9108" spans="6:8">
      <c r="F9108" s="68" t="s">
        <v>424</v>
      </c>
      <c r="G9108" s="67" t="s">
        <v>475</v>
      </c>
      <c r="H9108" s="69">
        <v>3.1451720610858214</v>
      </c>
    </row>
    <row r="9109" spans="6:8">
      <c r="F9109" s="68" t="s">
        <v>258</v>
      </c>
      <c r="G9109" s="67" t="s">
        <v>475</v>
      </c>
      <c r="H9109" s="69">
        <v>0.14000000000000001</v>
      </c>
    </row>
    <row r="9110" spans="6:8">
      <c r="F9110" s="68" t="s">
        <v>257</v>
      </c>
      <c r="G9110" s="67" t="s">
        <v>475</v>
      </c>
      <c r="H9110" s="69">
        <v>1.03</v>
      </c>
    </row>
    <row r="9111" spans="6:8">
      <c r="F9111" s="68" t="s">
        <v>135</v>
      </c>
      <c r="G9111" s="67" t="s">
        <v>475</v>
      </c>
      <c r="H9111" s="69">
        <v>-0.35</v>
      </c>
    </row>
    <row r="9112" spans="6:8">
      <c r="F9112" s="68" t="s">
        <v>134</v>
      </c>
      <c r="G9112" s="67" t="s">
        <v>475</v>
      </c>
      <c r="H9112" s="69">
        <v>-0.5</v>
      </c>
    </row>
    <row r="9113" spans="6:8">
      <c r="F9113" s="68" t="s">
        <v>423</v>
      </c>
      <c r="G9113" s="67" t="s">
        <v>475</v>
      </c>
      <c r="H9113" s="69">
        <v>2.3990864781610721</v>
      </c>
    </row>
    <row r="9114" spans="6:8">
      <c r="F9114" s="68" t="s">
        <v>256</v>
      </c>
      <c r="G9114" s="67" t="s">
        <v>475</v>
      </c>
      <c r="H9114" s="69">
        <v>0.95</v>
      </c>
    </row>
    <row r="9115" spans="6:8">
      <c r="F9115" s="68" t="s">
        <v>133</v>
      </c>
      <c r="G9115" s="67" t="s">
        <v>475</v>
      </c>
      <c r="H9115" s="69">
        <v>-0.35</v>
      </c>
    </row>
    <row r="9116" spans="6:8">
      <c r="F9116" s="68" t="s">
        <v>132</v>
      </c>
      <c r="G9116" s="67" t="s">
        <v>475</v>
      </c>
      <c r="H9116" s="69">
        <v>-0.5</v>
      </c>
    </row>
    <row r="9117" spans="6:8">
      <c r="F9117" s="68" t="s">
        <v>422</v>
      </c>
      <c r="G9117" s="67" t="s">
        <v>475</v>
      </c>
      <c r="H9117" s="69">
        <v>2.3536791281105529</v>
      </c>
    </row>
    <row r="9118" spans="6:8">
      <c r="F9118" s="68" t="s">
        <v>303</v>
      </c>
      <c r="G9118" s="67" t="s">
        <v>475</v>
      </c>
      <c r="H9118" s="69">
        <v>18.84375</v>
      </c>
    </row>
    <row r="9119" spans="6:8">
      <c r="F9119" s="68" t="s">
        <v>255</v>
      </c>
      <c r="G9119" s="67" t="s">
        <v>475</v>
      </c>
      <c r="H9119" s="69">
        <v>0.81</v>
      </c>
    </row>
    <row r="9120" spans="6:8">
      <c r="F9120" s="68" t="s">
        <v>131</v>
      </c>
      <c r="G9120" s="67" t="s">
        <v>475</v>
      </c>
      <c r="H9120" s="69">
        <v>-0.3</v>
      </c>
    </row>
    <row r="9121" spans="6:8">
      <c r="F9121" s="68" t="s">
        <v>130</v>
      </c>
      <c r="G9121" s="67" t="s">
        <v>475</v>
      </c>
      <c r="H9121" s="69">
        <v>-0.55000000000000004</v>
      </c>
    </row>
    <row r="9122" spans="6:8">
      <c r="F9122" s="68" t="s">
        <v>421</v>
      </c>
      <c r="G9122" s="67" t="s">
        <v>475</v>
      </c>
      <c r="H9122" s="69">
        <v>2.3475207143666132</v>
      </c>
    </row>
    <row r="9123" spans="6:8">
      <c r="F9123" s="68" t="s">
        <v>304</v>
      </c>
      <c r="G9123" s="67" t="s">
        <v>475</v>
      </c>
      <c r="H9123" s="69">
        <v>17.59375</v>
      </c>
    </row>
    <row r="9124" spans="6:8">
      <c r="F9124" s="68" t="s">
        <v>254</v>
      </c>
      <c r="G9124" s="67" t="s">
        <v>475</v>
      </c>
      <c r="H9124" s="69">
        <v>0.62</v>
      </c>
    </row>
    <row r="9125" spans="6:8">
      <c r="F9125" s="68" t="s">
        <v>129</v>
      </c>
      <c r="G9125" s="67" t="s">
        <v>475</v>
      </c>
      <c r="H9125" s="69">
        <v>-0.25</v>
      </c>
    </row>
    <row r="9126" spans="6:8">
      <c r="F9126" s="68" t="s">
        <v>128</v>
      </c>
      <c r="G9126" s="67" t="s">
        <v>475</v>
      </c>
      <c r="H9126" s="69">
        <v>-0.4</v>
      </c>
    </row>
    <row r="9127" spans="6:8">
      <c r="F9127" s="68" t="s">
        <v>315</v>
      </c>
      <c r="G9127" s="67" t="s">
        <v>475</v>
      </c>
      <c r="H9127" s="69">
        <v>-0.2</v>
      </c>
    </row>
    <row r="9128" spans="6:8">
      <c r="F9128" s="68" t="s">
        <v>253</v>
      </c>
      <c r="G9128" s="67" t="s">
        <v>475</v>
      </c>
      <c r="H9128" s="69">
        <v>0.45</v>
      </c>
    </row>
    <row r="9129" spans="6:8">
      <c r="F9129" s="68" t="s">
        <v>127</v>
      </c>
      <c r="G9129" s="67" t="s">
        <v>475</v>
      </c>
      <c r="H9129" s="69">
        <v>-0.15</v>
      </c>
    </row>
    <row r="9130" spans="6:8">
      <c r="F9130" s="68" t="s">
        <v>126</v>
      </c>
      <c r="G9130" s="67" t="s">
        <v>475</v>
      </c>
      <c r="H9130" s="69">
        <v>-0.45</v>
      </c>
    </row>
    <row r="9131" spans="6:8">
      <c r="F9131" s="68" t="s">
        <v>125</v>
      </c>
      <c r="G9131" s="67" t="s">
        <v>475</v>
      </c>
      <c r="H9131" s="69">
        <v>-0.35</v>
      </c>
    </row>
    <row r="9132" spans="6:8">
      <c r="F9132" s="68" t="s">
        <v>314</v>
      </c>
      <c r="G9132" s="67" t="s">
        <v>475</v>
      </c>
      <c r="H9132" s="69">
        <v>-0.3</v>
      </c>
    </row>
    <row r="9133" spans="6:8">
      <c r="F9133" s="68" t="s">
        <v>252</v>
      </c>
      <c r="G9133" s="67" t="s">
        <v>475</v>
      </c>
      <c r="H9133" s="69">
        <v>0.34</v>
      </c>
    </row>
    <row r="9134" spans="6:8">
      <c r="F9134" s="68" t="s">
        <v>124</v>
      </c>
      <c r="G9134" s="67" t="s">
        <v>475</v>
      </c>
      <c r="H9134" s="69">
        <v>-0.3</v>
      </c>
    </row>
    <row r="9135" spans="6:8">
      <c r="F9135" s="68" t="s">
        <v>123</v>
      </c>
      <c r="G9135" s="67" t="s">
        <v>475</v>
      </c>
      <c r="H9135" s="69">
        <v>-0.55000000000000004</v>
      </c>
    </row>
    <row r="9136" spans="6:8">
      <c r="F9136" s="68" t="s">
        <v>122</v>
      </c>
      <c r="G9136" s="67" t="s">
        <v>475</v>
      </c>
      <c r="H9136" s="69">
        <v>-0.45</v>
      </c>
    </row>
    <row r="9137" spans="6:8">
      <c r="F9137" s="68" t="s">
        <v>420</v>
      </c>
      <c r="G9137" s="67" t="s">
        <v>475</v>
      </c>
      <c r="H9137" s="69">
        <v>3.2952489842634325</v>
      </c>
    </row>
    <row r="9138" spans="6:8">
      <c r="F9138" s="68" t="s">
        <v>251</v>
      </c>
      <c r="G9138" s="67" t="s">
        <v>475</v>
      </c>
      <c r="H9138" s="69">
        <v>0.23</v>
      </c>
    </row>
    <row r="9139" spans="6:8">
      <c r="F9139" s="68" t="s">
        <v>121</v>
      </c>
      <c r="G9139" s="67" t="s">
        <v>475</v>
      </c>
      <c r="H9139" s="69">
        <v>-0.45</v>
      </c>
    </row>
    <row r="9140" spans="6:8">
      <c r="F9140" s="68" t="s">
        <v>120</v>
      </c>
      <c r="G9140" s="67" t="s">
        <v>475</v>
      </c>
      <c r="H9140" s="69">
        <v>-0.45</v>
      </c>
    </row>
    <row r="9141" spans="6:8">
      <c r="F9141" s="68" t="s">
        <v>119</v>
      </c>
      <c r="G9141" s="67" t="s">
        <v>475</v>
      </c>
      <c r="H9141" s="69">
        <v>-0.45</v>
      </c>
    </row>
    <row r="9142" spans="6:8">
      <c r="F9142" s="68" t="s">
        <v>119</v>
      </c>
      <c r="G9142" s="67" t="s">
        <v>476</v>
      </c>
      <c r="H9142" s="69">
        <v>-0.45</v>
      </c>
    </row>
    <row r="9143" spans="6:8">
      <c r="F9143" s="68" t="s">
        <v>120</v>
      </c>
      <c r="G9143" s="67" t="s">
        <v>476</v>
      </c>
      <c r="H9143" s="69">
        <v>-0.45</v>
      </c>
    </row>
    <row r="9144" spans="6:8">
      <c r="F9144" s="68" t="s">
        <v>121</v>
      </c>
      <c r="G9144" s="67" t="s">
        <v>476</v>
      </c>
      <c r="H9144" s="69">
        <v>-0.45</v>
      </c>
    </row>
    <row r="9145" spans="6:8">
      <c r="F9145" s="68" t="s">
        <v>251</v>
      </c>
      <c r="G9145" s="67" t="s">
        <v>476</v>
      </c>
      <c r="H9145" s="69">
        <v>0.23</v>
      </c>
    </row>
    <row r="9146" spans="6:8">
      <c r="F9146" s="68" t="s">
        <v>420</v>
      </c>
      <c r="G9146" s="67" t="s">
        <v>476</v>
      </c>
      <c r="H9146" s="69">
        <v>3.3154421326895722</v>
      </c>
    </row>
    <row r="9147" spans="6:8">
      <c r="F9147" s="68" t="s">
        <v>122</v>
      </c>
      <c r="G9147" s="67" t="s">
        <v>476</v>
      </c>
      <c r="H9147" s="69">
        <v>-0.45</v>
      </c>
    </row>
    <row r="9148" spans="6:8">
      <c r="F9148" s="68" t="s">
        <v>123</v>
      </c>
      <c r="G9148" s="67" t="s">
        <v>476</v>
      </c>
      <c r="H9148" s="69">
        <v>-0.55000000000000004</v>
      </c>
    </row>
    <row r="9149" spans="6:8">
      <c r="F9149" s="68" t="s">
        <v>124</v>
      </c>
      <c r="G9149" s="67" t="s">
        <v>476</v>
      </c>
      <c r="H9149" s="69">
        <v>-0.3</v>
      </c>
    </row>
    <row r="9150" spans="6:8">
      <c r="F9150" s="68" t="s">
        <v>252</v>
      </c>
      <c r="G9150" s="67" t="s">
        <v>476</v>
      </c>
      <c r="H9150" s="69">
        <v>0.34</v>
      </c>
    </row>
    <row r="9151" spans="6:8">
      <c r="F9151" s="68" t="s">
        <v>314</v>
      </c>
      <c r="G9151" s="67" t="s">
        <v>476</v>
      </c>
      <c r="H9151" s="69">
        <v>-0.3</v>
      </c>
    </row>
    <row r="9152" spans="6:8">
      <c r="F9152" s="68" t="s">
        <v>125</v>
      </c>
      <c r="G9152" s="67" t="s">
        <v>476</v>
      </c>
      <c r="H9152" s="69">
        <v>-0.35</v>
      </c>
    </row>
    <row r="9153" spans="6:8">
      <c r="F9153" s="68" t="s">
        <v>126</v>
      </c>
      <c r="G9153" s="67" t="s">
        <v>476</v>
      </c>
      <c r="H9153" s="69">
        <v>-0.45</v>
      </c>
    </row>
    <row r="9154" spans="6:8">
      <c r="F9154" s="68" t="s">
        <v>127</v>
      </c>
      <c r="G9154" s="67" t="s">
        <v>476</v>
      </c>
      <c r="H9154" s="69">
        <v>-0.15</v>
      </c>
    </row>
    <row r="9155" spans="6:8">
      <c r="F9155" s="68" t="s">
        <v>253</v>
      </c>
      <c r="G9155" s="67" t="s">
        <v>476</v>
      </c>
      <c r="H9155" s="69">
        <v>0.45</v>
      </c>
    </row>
    <row r="9156" spans="6:8">
      <c r="F9156" s="68" t="s">
        <v>315</v>
      </c>
      <c r="G9156" s="67" t="s">
        <v>476</v>
      </c>
      <c r="H9156" s="69">
        <v>-0.2</v>
      </c>
    </row>
    <row r="9157" spans="6:8">
      <c r="F9157" s="68" t="s">
        <v>128</v>
      </c>
      <c r="G9157" s="67" t="s">
        <v>476</v>
      </c>
      <c r="H9157" s="69">
        <v>-0.4</v>
      </c>
    </row>
    <row r="9158" spans="6:8">
      <c r="F9158" s="68" t="s">
        <v>129</v>
      </c>
      <c r="G9158" s="67" t="s">
        <v>476</v>
      </c>
      <c r="H9158" s="69">
        <v>-0.25</v>
      </c>
    </row>
    <row r="9159" spans="6:8">
      <c r="F9159" s="68" t="s">
        <v>254</v>
      </c>
      <c r="G9159" s="67" t="s">
        <v>476</v>
      </c>
      <c r="H9159" s="69">
        <v>0.62</v>
      </c>
    </row>
    <row r="9160" spans="6:8">
      <c r="F9160" s="68" t="s">
        <v>304</v>
      </c>
      <c r="G9160" s="67" t="s">
        <v>476</v>
      </c>
      <c r="H9160" s="69">
        <v>17.65625</v>
      </c>
    </row>
    <row r="9161" spans="6:8">
      <c r="F9161" s="68" t="s">
        <v>421</v>
      </c>
      <c r="G9161" s="67" t="s">
        <v>476</v>
      </c>
      <c r="H9161" s="69">
        <v>2.3774988402065045</v>
      </c>
    </row>
    <row r="9162" spans="6:8">
      <c r="F9162" s="68" t="s">
        <v>130</v>
      </c>
      <c r="G9162" s="67" t="s">
        <v>476</v>
      </c>
      <c r="H9162" s="69">
        <v>-0.55000000000000004</v>
      </c>
    </row>
    <row r="9163" spans="6:8">
      <c r="F9163" s="68" t="s">
        <v>131</v>
      </c>
      <c r="G9163" s="67" t="s">
        <v>476</v>
      </c>
      <c r="H9163" s="69">
        <v>-0.3</v>
      </c>
    </row>
    <row r="9164" spans="6:8">
      <c r="F9164" s="68" t="s">
        <v>255</v>
      </c>
      <c r="G9164" s="67" t="s">
        <v>476</v>
      </c>
      <c r="H9164" s="69">
        <v>0.81</v>
      </c>
    </row>
    <row r="9165" spans="6:8">
      <c r="F9165" s="68" t="s">
        <v>303</v>
      </c>
      <c r="G9165" s="67" t="s">
        <v>476</v>
      </c>
      <c r="H9165" s="69">
        <v>18.78125</v>
      </c>
    </row>
    <row r="9166" spans="6:8">
      <c r="F9166" s="68" t="s">
        <v>422</v>
      </c>
      <c r="G9166" s="67" t="s">
        <v>476</v>
      </c>
      <c r="H9166" s="69">
        <v>2.3837180159255844</v>
      </c>
    </row>
    <row r="9167" spans="6:8">
      <c r="F9167" s="68" t="s">
        <v>132</v>
      </c>
      <c r="G9167" s="67" t="s">
        <v>476</v>
      </c>
      <c r="H9167" s="69">
        <v>-0.5</v>
      </c>
    </row>
    <row r="9168" spans="6:8">
      <c r="F9168" s="68" t="s">
        <v>133</v>
      </c>
      <c r="G9168" s="67" t="s">
        <v>476</v>
      </c>
      <c r="H9168" s="69">
        <v>-0.35</v>
      </c>
    </row>
    <row r="9169" spans="6:8">
      <c r="F9169" s="68" t="s">
        <v>256</v>
      </c>
      <c r="G9169" s="67" t="s">
        <v>476</v>
      </c>
      <c r="H9169" s="69">
        <v>0.95</v>
      </c>
    </row>
    <row r="9170" spans="6:8">
      <c r="F9170" s="68" t="s">
        <v>423</v>
      </c>
      <c r="G9170" s="67" t="s">
        <v>476</v>
      </c>
      <c r="H9170" s="69">
        <v>2.4310107405626891</v>
      </c>
    </row>
    <row r="9171" spans="6:8">
      <c r="F9171" s="68" t="s">
        <v>134</v>
      </c>
      <c r="G9171" s="67" t="s">
        <v>476</v>
      </c>
      <c r="H9171" s="69">
        <v>-0.5</v>
      </c>
    </row>
    <row r="9172" spans="6:8">
      <c r="F9172" s="68" t="s">
        <v>135</v>
      </c>
      <c r="G9172" s="67" t="s">
        <v>476</v>
      </c>
      <c r="H9172" s="69">
        <v>-0.35</v>
      </c>
    </row>
    <row r="9173" spans="6:8">
      <c r="F9173" s="68" t="s">
        <v>257</v>
      </c>
      <c r="G9173" s="67" t="s">
        <v>476</v>
      </c>
      <c r="H9173" s="69">
        <v>1.03</v>
      </c>
    </row>
    <row r="9174" spans="6:8">
      <c r="F9174" s="68" t="s">
        <v>258</v>
      </c>
      <c r="G9174" s="67" t="s">
        <v>476</v>
      </c>
      <c r="H9174" s="69">
        <v>0.14000000000000001</v>
      </c>
    </row>
    <row r="9175" spans="6:8">
      <c r="F9175" s="68" t="s">
        <v>424</v>
      </c>
      <c r="G9175" s="67" t="s">
        <v>476</v>
      </c>
      <c r="H9175" s="69">
        <v>3.1720048363338194</v>
      </c>
    </row>
    <row r="9176" spans="6:8">
      <c r="F9176" s="68" t="s">
        <v>136</v>
      </c>
      <c r="G9176" s="67" t="s">
        <v>476</v>
      </c>
      <c r="H9176" s="69">
        <v>-0.5</v>
      </c>
    </row>
    <row r="9177" spans="6:8">
      <c r="F9177" s="68" t="s">
        <v>137</v>
      </c>
      <c r="G9177" s="67" t="s">
        <v>476</v>
      </c>
      <c r="H9177" s="69">
        <v>-0.5</v>
      </c>
    </row>
    <row r="9178" spans="6:8">
      <c r="F9178" s="68" t="s">
        <v>138</v>
      </c>
      <c r="G9178" s="67" t="s">
        <v>476</v>
      </c>
      <c r="H9178" s="69">
        <v>-0.5</v>
      </c>
    </row>
    <row r="9179" spans="6:8">
      <c r="F9179" s="68" t="s">
        <v>259</v>
      </c>
      <c r="G9179" s="67" t="s">
        <v>476</v>
      </c>
      <c r="H9179" s="69">
        <v>0.17</v>
      </c>
    </row>
    <row r="9180" spans="6:8">
      <c r="F9180" s="68" t="s">
        <v>425</v>
      </c>
      <c r="G9180" s="67" t="s">
        <v>476</v>
      </c>
      <c r="H9180" s="69">
        <v>3.2060448135489583</v>
      </c>
    </row>
    <row r="9181" spans="6:8">
      <c r="F9181" s="68" t="s">
        <v>425</v>
      </c>
      <c r="G9181" s="67" t="s">
        <v>477</v>
      </c>
      <c r="H9181" s="69">
        <v>3.1963061667082737</v>
      </c>
    </row>
    <row r="9182" spans="6:8">
      <c r="F9182" s="68" t="s">
        <v>259</v>
      </c>
      <c r="G9182" s="67" t="s">
        <v>477</v>
      </c>
      <c r="H9182" s="69">
        <v>0.17</v>
      </c>
    </row>
    <row r="9183" spans="6:8">
      <c r="F9183" s="68" t="s">
        <v>138</v>
      </c>
      <c r="G9183" s="67" t="s">
        <v>477</v>
      </c>
      <c r="H9183" s="69">
        <v>-0.5</v>
      </c>
    </row>
    <row r="9184" spans="6:8">
      <c r="F9184" s="68" t="s">
        <v>137</v>
      </c>
      <c r="G9184" s="67" t="s">
        <v>477</v>
      </c>
      <c r="H9184" s="69">
        <v>-0.5</v>
      </c>
    </row>
    <row r="9185" spans="6:8">
      <c r="F9185" s="68" t="s">
        <v>136</v>
      </c>
      <c r="G9185" s="67" t="s">
        <v>477</v>
      </c>
      <c r="H9185" s="69">
        <v>-0.5</v>
      </c>
    </row>
    <row r="9186" spans="6:8">
      <c r="F9186" s="68" t="s">
        <v>424</v>
      </c>
      <c r="G9186" s="67" t="s">
        <v>477</v>
      </c>
      <c r="H9186" s="69">
        <v>3.1622317341166717</v>
      </c>
    </row>
    <row r="9187" spans="6:8">
      <c r="F9187" s="68" t="s">
        <v>258</v>
      </c>
      <c r="G9187" s="67" t="s">
        <v>477</v>
      </c>
      <c r="H9187" s="69">
        <v>0.14000000000000001</v>
      </c>
    </row>
    <row r="9188" spans="6:8">
      <c r="F9188" s="68" t="s">
        <v>257</v>
      </c>
      <c r="G9188" s="67" t="s">
        <v>477</v>
      </c>
      <c r="H9188" s="69">
        <v>1.03</v>
      </c>
    </row>
    <row r="9189" spans="6:8">
      <c r="F9189" s="68" t="s">
        <v>135</v>
      </c>
      <c r="G9189" s="67" t="s">
        <v>477</v>
      </c>
      <c r="H9189" s="69">
        <v>-0.35</v>
      </c>
    </row>
    <row r="9190" spans="6:8">
      <c r="F9190" s="68" t="s">
        <v>134</v>
      </c>
      <c r="G9190" s="67" t="s">
        <v>477</v>
      </c>
      <c r="H9190" s="69">
        <v>-0.5</v>
      </c>
    </row>
    <row r="9191" spans="6:8">
      <c r="F9191" s="68" t="s">
        <v>423</v>
      </c>
      <c r="G9191" s="67" t="s">
        <v>477</v>
      </c>
      <c r="H9191" s="69">
        <v>2.4247327319590894</v>
      </c>
    </row>
    <row r="9192" spans="6:8">
      <c r="F9192" s="68" t="s">
        <v>256</v>
      </c>
      <c r="G9192" s="67" t="s">
        <v>477</v>
      </c>
      <c r="H9192" s="69">
        <v>0.95</v>
      </c>
    </row>
    <row r="9193" spans="6:8">
      <c r="F9193" s="68" t="s">
        <v>133</v>
      </c>
      <c r="G9193" s="67" t="s">
        <v>477</v>
      </c>
      <c r="H9193" s="69">
        <v>-0.35</v>
      </c>
    </row>
    <row r="9194" spans="6:8">
      <c r="F9194" s="68" t="s">
        <v>132</v>
      </c>
      <c r="G9194" s="67" t="s">
        <v>477</v>
      </c>
      <c r="H9194" s="69">
        <v>-0.5</v>
      </c>
    </row>
    <row r="9195" spans="6:8">
      <c r="F9195" s="68" t="s">
        <v>422</v>
      </c>
      <c r="G9195" s="67" t="s">
        <v>477</v>
      </c>
      <c r="H9195" s="69">
        <v>2.3751132209170134</v>
      </c>
    </row>
    <row r="9196" spans="6:8">
      <c r="F9196" s="68" t="s">
        <v>303</v>
      </c>
      <c r="G9196" s="67" t="s">
        <v>477</v>
      </c>
      <c r="H9196" s="69">
        <v>18.71875</v>
      </c>
    </row>
    <row r="9197" spans="6:8">
      <c r="F9197" s="68" t="s">
        <v>255</v>
      </c>
      <c r="G9197" s="67" t="s">
        <v>477</v>
      </c>
      <c r="H9197" s="69">
        <v>0.81</v>
      </c>
    </row>
    <row r="9198" spans="6:8">
      <c r="F9198" s="68" t="s">
        <v>131</v>
      </c>
      <c r="G9198" s="67" t="s">
        <v>477</v>
      </c>
      <c r="H9198" s="69">
        <v>-0.3</v>
      </c>
    </row>
    <row r="9199" spans="6:8">
      <c r="F9199" s="68" t="s">
        <v>130</v>
      </c>
      <c r="G9199" s="67" t="s">
        <v>477</v>
      </c>
      <c r="H9199" s="69">
        <v>-0.55000000000000004</v>
      </c>
    </row>
    <row r="9200" spans="6:8">
      <c r="F9200" s="68" t="s">
        <v>421</v>
      </c>
      <c r="G9200" s="67" t="s">
        <v>477</v>
      </c>
      <c r="H9200" s="69">
        <v>2.3688618301533904</v>
      </c>
    </row>
    <row r="9201" spans="6:8">
      <c r="F9201" s="68" t="s">
        <v>304</v>
      </c>
      <c r="G9201" s="67" t="s">
        <v>477</v>
      </c>
      <c r="H9201" s="69">
        <v>17.625</v>
      </c>
    </row>
    <row r="9202" spans="6:8">
      <c r="F9202" s="68" t="s">
        <v>254</v>
      </c>
      <c r="G9202" s="67" t="s">
        <v>477</v>
      </c>
      <c r="H9202" s="69">
        <v>0.62</v>
      </c>
    </row>
    <row r="9203" spans="6:8">
      <c r="F9203" s="68" t="s">
        <v>129</v>
      </c>
      <c r="G9203" s="67" t="s">
        <v>477</v>
      </c>
      <c r="H9203" s="69">
        <v>-0.25</v>
      </c>
    </row>
    <row r="9204" spans="6:8">
      <c r="F9204" s="68" t="s">
        <v>128</v>
      </c>
      <c r="G9204" s="67" t="s">
        <v>477</v>
      </c>
      <c r="H9204" s="69">
        <v>-0.4</v>
      </c>
    </row>
    <row r="9205" spans="6:8">
      <c r="F9205" s="68" t="s">
        <v>315</v>
      </c>
      <c r="G9205" s="67" t="s">
        <v>477</v>
      </c>
      <c r="H9205" s="69">
        <v>-0.2</v>
      </c>
    </row>
    <row r="9206" spans="6:8">
      <c r="F9206" s="68" t="s">
        <v>253</v>
      </c>
      <c r="G9206" s="67" t="s">
        <v>477</v>
      </c>
      <c r="H9206" s="69">
        <v>0.45</v>
      </c>
    </row>
    <row r="9207" spans="6:8">
      <c r="F9207" s="68" t="s">
        <v>127</v>
      </c>
      <c r="G9207" s="67" t="s">
        <v>477</v>
      </c>
      <c r="H9207" s="69">
        <v>-0.15</v>
      </c>
    </row>
    <row r="9208" spans="6:8">
      <c r="F9208" s="68" t="s">
        <v>126</v>
      </c>
      <c r="G9208" s="67" t="s">
        <v>477</v>
      </c>
      <c r="H9208" s="69">
        <v>-0.45</v>
      </c>
    </row>
    <row r="9209" spans="6:8">
      <c r="F9209" s="68" t="s">
        <v>125</v>
      </c>
      <c r="G9209" s="67" t="s">
        <v>477</v>
      </c>
      <c r="H9209" s="69">
        <v>-0.35</v>
      </c>
    </row>
    <row r="9210" spans="6:8">
      <c r="F9210" s="68" t="s">
        <v>314</v>
      </c>
      <c r="G9210" s="67" t="s">
        <v>477</v>
      </c>
      <c r="H9210" s="69">
        <v>-0.3</v>
      </c>
    </row>
    <row r="9211" spans="6:8">
      <c r="F9211" s="68" t="s">
        <v>252</v>
      </c>
      <c r="G9211" s="67" t="s">
        <v>477</v>
      </c>
      <c r="H9211" s="69">
        <v>0.34</v>
      </c>
    </row>
    <row r="9212" spans="6:8">
      <c r="F9212" s="68" t="s">
        <v>124</v>
      </c>
      <c r="G9212" s="67" t="s">
        <v>477</v>
      </c>
      <c r="H9212" s="69">
        <v>-0.3</v>
      </c>
    </row>
    <row r="9213" spans="6:8">
      <c r="F9213" s="68" t="s">
        <v>123</v>
      </c>
      <c r="G9213" s="67" t="s">
        <v>477</v>
      </c>
      <c r="H9213" s="69">
        <v>-0.55000000000000004</v>
      </c>
    </row>
    <row r="9214" spans="6:8">
      <c r="F9214" s="68" t="s">
        <v>122</v>
      </c>
      <c r="G9214" s="67" t="s">
        <v>477</v>
      </c>
      <c r="H9214" s="69">
        <v>-0.45</v>
      </c>
    </row>
    <row r="9215" spans="6:8">
      <c r="F9215" s="68" t="s">
        <v>420</v>
      </c>
      <c r="G9215" s="67" t="s">
        <v>477</v>
      </c>
      <c r="H9215" s="69">
        <v>3.3078730296866699</v>
      </c>
    </row>
    <row r="9216" spans="6:8">
      <c r="F9216" s="68" t="s">
        <v>251</v>
      </c>
      <c r="G9216" s="67" t="s">
        <v>477</v>
      </c>
      <c r="H9216" s="69">
        <v>0.23</v>
      </c>
    </row>
    <row r="9217" spans="6:8">
      <c r="F9217" s="68" t="s">
        <v>121</v>
      </c>
      <c r="G9217" s="67" t="s">
        <v>477</v>
      </c>
      <c r="H9217" s="69">
        <v>-0.45</v>
      </c>
    </row>
    <row r="9218" spans="6:8">
      <c r="F9218" s="68" t="s">
        <v>120</v>
      </c>
      <c r="G9218" s="67" t="s">
        <v>477</v>
      </c>
      <c r="H9218" s="69">
        <v>-0.45</v>
      </c>
    </row>
    <row r="9219" spans="6:8">
      <c r="F9219" s="68" t="s">
        <v>119</v>
      </c>
      <c r="G9219" s="67" t="s">
        <v>477</v>
      </c>
      <c r="H9219" s="69">
        <v>-0.45</v>
      </c>
    </row>
    <row r="9220" spans="6:8">
      <c r="F9220" s="68" t="s">
        <v>119</v>
      </c>
      <c r="G9220" s="67" t="s">
        <v>478</v>
      </c>
      <c r="H9220" s="69">
        <v>-0.45</v>
      </c>
    </row>
    <row r="9221" spans="6:8">
      <c r="F9221" s="68" t="s">
        <v>120</v>
      </c>
      <c r="G9221" s="67" t="s">
        <v>478</v>
      </c>
      <c r="H9221" s="69">
        <v>-0.45</v>
      </c>
    </row>
    <row r="9222" spans="6:8">
      <c r="F9222" s="68" t="s">
        <v>121</v>
      </c>
      <c r="G9222" s="67" t="s">
        <v>478</v>
      </c>
      <c r="H9222" s="69">
        <v>-0.45</v>
      </c>
    </row>
    <row r="9223" spans="6:8">
      <c r="F9223" s="68" t="s">
        <v>251</v>
      </c>
      <c r="G9223" s="67" t="s">
        <v>478</v>
      </c>
      <c r="H9223" s="69">
        <v>0.23</v>
      </c>
    </row>
    <row r="9224" spans="6:8">
      <c r="F9224" s="68" t="s">
        <v>420</v>
      </c>
      <c r="G9224" s="67" t="s">
        <v>478</v>
      </c>
      <c r="H9224" s="69">
        <v>3.2850779326666579</v>
      </c>
    </row>
    <row r="9225" spans="6:8">
      <c r="F9225" s="68" t="s">
        <v>122</v>
      </c>
      <c r="G9225" s="67" t="s">
        <v>478</v>
      </c>
      <c r="H9225" s="69">
        <v>-0.45</v>
      </c>
    </row>
    <row r="9226" spans="6:8">
      <c r="F9226" s="68" t="s">
        <v>123</v>
      </c>
      <c r="G9226" s="67" t="s">
        <v>478</v>
      </c>
      <c r="H9226" s="69">
        <v>-0.55000000000000004</v>
      </c>
    </row>
    <row r="9227" spans="6:8">
      <c r="F9227" s="68" t="s">
        <v>124</v>
      </c>
      <c r="G9227" s="67" t="s">
        <v>478</v>
      </c>
      <c r="H9227" s="69">
        <v>-0.3</v>
      </c>
    </row>
    <row r="9228" spans="6:8">
      <c r="F9228" s="68" t="s">
        <v>252</v>
      </c>
      <c r="G9228" s="67" t="s">
        <v>478</v>
      </c>
      <c r="H9228" s="69">
        <v>0.34</v>
      </c>
    </row>
    <row r="9229" spans="6:8">
      <c r="F9229" s="68" t="s">
        <v>314</v>
      </c>
      <c r="G9229" s="67" t="s">
        <v>478</v>
      </c>
      <c r="H9229" s="69">
        <v>-0.3</v>
      </c>
    </row>
    <row r="9230" spans="6:8">
      <c r="F9230" s="68" t="s">
        <v>125</v>
      </c>
      <c r="G9230" s="67" t="s">
        <v>478</v>
      </c>
      <c r="H9230" s="69">
        <v>-0.35</v>
      </c>
    </row>
    <row r="9231" spans="6:8">
      <c r="F9231" s="68" t="s">
        <v>126</v>
      </c>
      <c r="G9231" s="67" t="s">
        <v>478</v>
      </c>
      <c r="H9231" s="69">
        <v>-0.45</v>
      </c>
    </row>
    <row r="9232" spans="6:8">
      <c r="F9232" s="68" t="s">
        <v>127</v>
      </c>
      <c r="G9232" s="67" t="s">
        <v>478</v>
      </c>
      <c r="H9232" s="69">
        <v>-0.15</v>
      </c>
    </row>
    <row r="9233" spans="6:8">
      <c r="F9233" s="68" t="s">
        <v>253</v>
      </c>
      <c r="G9233" s="67" t="s">
        <v>478</v>
      </c>
      <c r="H9233" s="69">
        <v>0.45</v>
      </c>
    </row>
    <row r="9234" spans="6:8">
      <c r="F9234" s="68" t="s">
        <v>315</v>
      </c>
      <c r="G9234" s="67" t="s">
        <v>478</v>
      </c>
      <c r="H9234" s="69">
        <v>-0.2</v>
      </c>
    </row>
    <row r="9235" spans="6:8">
      <c r="F9235" s="68" t="s">
        <v>128</v>
      </c>
      <c r="G9235" s="67" t="s">
        <v>478</v>
      </c>
      <c r="H9235" s="69">
        <v>-0.4</v>
      </c>
    </row>
    <row r="9236" spans="6:8">
      <c r="F9236" s="68" t="s">
        <v>129</v>
      </c>
      <c r="G9236" s="67" t="s">
        <v>478</v>
      </c>
      <c r="H9236" s="69">
        <v>-0.25</v>
      </c>
    </row>
    <row r="9237" spans="6:8">
      <c r="F9237" s="68" t="s">
        <v>254</v>
      </c>
      <c r="G9237" s="67" t="s">
        <v>478</v>
      </c>
      <c r="H9237" s="69">
        <v>0.62</v>
      </c>
    </row>
    <row r="9238" spans="6:8">
      <c r="F9238" s="68" t="s">
        <v>304</v>
      </c>
      <c r="G9238" s="67" t="s">
        <v>478</v>
      </c>
      <c r="H9238" s="69">
        <v>17.5</v>
      </c>
    </row>
    <row r="9239" spans="6:8">
      <c r="F9239" s="68" t="s">
        <v>421</v>
      </c>
      <c r="G9239" s="67" t="s">
        <v>478</v>
      </c>
      <c r="H9239" s="69">
        <v>2.3490766707759736</v>
      </c>
    </row>
    <row r="9240" spans="6:8">
      <c r="F9240" s="68" t="s">
        <v>130</v>
      </c>
      <c r="G9240" s="67" t="s">
        <v>478</v>
      </c>
      <c r="H9240" s="69">
        <v>-0.55000000000000004</v>
      </c>
    </row>
    <row r="9241" spans="6:8">
      <c r="F9241" s="68" t="s">
        <v>131</v>
      </c>
      <c r="G9241" s="67" t="s">
        <v>478</v>
      </c>
      <c r="H9241" s="69">
        <v>-0.3</v>
      </c>
    </row>
    <row r="9242" spans="6:8">
      <c r="F9242" s="68" t="s">
        <v>255</v>
      </c>
      <c r="G9242" s="67" t="s">
        <v>478</v>
      </c>
      <c r="H9242" s="69">
        <v>0.81</v>
      </c>
    </row>
    <row r="9243" spans="6:8">
      <c r="F9243" s="68" t="s">
        <v>303</v>
      </c>
      <c r="G9243" s="67" t="s">
        <v>478</v>
      </c>
      <c r="H9243" s="69">
        <v>18.59375</v>
      </c>
    </row>
    <row r="9244" spans="6:8">
      <c r="F9244" s="68" t="s">
        <v>422</v>
      </c>
      <c r="G9244" s="67" t="s">
        <v>478</v>
      </c>
      <c r="H9244" s="69">
        <v>2.3553497272526425</v>
      </c>
    </row>
    <row r="9245" spans="6:8">
      <c r="F9245" s="68" t="s">
        <v>132</v>
      </c>
      <c r="G9245" s="67" t="s">
        <v>478</v>
      </c>
      <c r="H9245" s="69">
        <v>-0.5</v>
      </c>
    </row>
    <row r="9246" spans="6:8">
      <c r="F9246" s="68" t="s">
        <v>133</v>
      </c>
      <c r="G9246" s="67" t="s">
        <v>478</v>
      </c>
      <c r="H9246" s="69">
        <v>-0.35</v>
      </c>
    </row>
    <row r="9247" spans="6:8">
      <c r="F9247" s="68" t="s">
        <v>256</v>
      </c>
      <c r="G9247" s="67" t="s">
        <v>478</v>
      </c>
      <c r="H9247" s="69">
        <v>0.95</v>
      </c>
    </row>
    <row r="9248" spans="6:8">
      <c r="F9248" s="68" t="s">
        <v>423</v>
      </c>
      <c r="G9248" s="67" t="s">
        <v>478</v>
      </c>
      <c r="H9248" s="69">
        <v>2.4070034097920079</v>
      </c>
    </row>
    <row r="9249" spans="6:8">
      <c r="F9249" s="68" t="s">
        <v>134</v>
      </c>
      <c r="G9249" s="67" t="s">
        <v>478</v>
      </c>
      <c r="H9249" s="69">
        <v>-0.5</v>
      </c>
    </row>
    <row r="9250" spans="6:8">
      <c r="F9250" s="68" t="s">
        <v>135</v>
      </c>
      <c r="G9250" s="67" t="s">
        <v>478</v>
      </c>
      <c r="H9250" s="69">
        <v>-0.35</v>
      </c>
    </row>
    <row r="9251" spans="6:8">
      <c r="F9251" s="68" t="s">
        <v>257</v>
      </c>
      <c r="G9251" s="67" t="s">
        <v>478</v>
      </c>
      <c r="H9251" s="69">
        <v>1.03</v>
      </c>
    </row>
    <row r="9252" spans="6:8">
      <c r="F9252" s="68" t="s">
        <v>258</v>
      </c>
      <c r="G9252" s="67" t="s">
        <v>478</v>
      </c>
      <c r="H9252" s="69">
        <v>0.14000000000000001</v>
      </c>
    </row>
    <row r="9253" spans="6:8">
      <c r="F9253" s="68" t="s">
        <v>424</v>
      </c>
      <c r="G9253" s="67" t="s">
        <v>478</v>
      </c>
      <c r="H9253" s="69">
        <v>3.1396004161373003</v>
      </c>
    </row>
    <row r="9254" spans="6:8">
      <c r="F9254" s="68" t="s">
        <v>136</v>
      </c>
      <c r="G9254" s="67" t="s">
        <v>478</v>
      </c>
      <c r="H9254" s="69">
        <v>-0.5</v>
      </c>
    </row>
    <row r="9255" spans="6:8">
      <c r="F9255" s="68" t="s">
        <v>137</v>
      </c>
      <c r="G9255" s="67" t="s">
        <v>478</v>
      </c>
      <c r="H9255" s="69">
        <v>-0.5</v>
      </c>
    </row>
    <row r="9256" spans="6:8">
      <c r="F9256" s="68" t="s">
        <v>138</v>
      </c>
      <c r="G9256" s="67" t="s">
        <v>478</v>
      </c>
      <c r="H9256" s="69">
        <v>-0.5</v>
      </c>
    </row>
    <row r="9257" spans="6:8">
      <c r="F9257" s="68" t="s">
        <v>259</v>
      </c>
      <c r="G9257" s="67" t="s">
        <v>478</v>
      </c>
      <c r="H9257" s="69">
        <v>0.17</v>
      </c>
    </row>
    <row r="9258" spans="6:8">
      <c r="F9258" s="68" t="s">
        <v>425</v>
      </c>
      <c r="G9258" s="67" t="s">
        <v>478</v>
      </c>
      <c r="H9258" s="69">
        <v>3.1746348438986161</v>
      </c>
    </row>
    <row r="9259" spans="6:8">
      <c r="F9259" s="68" t="s">
        <v>425</v>
      </c>
      <c r="G9259" s="67" t="s">
        <v>479</v>
      </c>
      <c r="H9259" s="69">
        <v>3.2050614387451937</v>
      </c>
    </row>
    <row r="9260" spans="6:8">
      <c r="F9260" s="68" t="s">
        <v>259</v>
      </c>
      <c r="G9260" s="67" t="s">
        <v>479</v>
      </c>
      <c r="H9260" s="69">
        <v>0.17</v>
      </c>
    </row>
    <row r="9261" spans="6:8">
      <c r="F9261" s="68" t="s">
        <v>138</v>
      </c>
      <c r="G9261" s="67" t="s">
        <v>479</v>
      </c>
      <c r="H9261" s="69">
        <v>-0.5</v>
      </c>
    </row>
    <row r="9262" spans="6:8">
      <c r="F9262" s="68" t="s">
        <v>137</v>
      </c>
      <c r="G9262" s="67" t="s">
        <v>479</v>
      </c>
      <c r="H9262" s="69">
        <v>-0.5</v>
      </c>
    </row>
    <row r="9263" spans="6:8">
      <c r="F9263" s="68" t="s">
        <v>136</v>
      </c>
      <c r="G9263" s="67" t="s">
        <v>479</v>
      </c>
      <c r="H9263" s="69">
        <v>-0.5</v>
      </c>
    </row>
    <row r="9264" spans="6:8">
      <c r="F9264" s="68" t="s">
        <v>424</v>
      </c>
      <c r="G9264" s="67" t="s">
        <v>479</v>
      </c>
      <c r="H9264" s="69">
        <v>3.1748809561770397</v>
      </c>
    </row>
    <row r="9265" spans="6:8">
      <c r="F9265" s="68" t="s">
        <v>258</v>
      </c>
      <c r="G9265" s="67" t="s">
        <v>479</v>
      </c>
      <c r="H9265" s="69">
        <v>0.14000000000000001</v>
      </c>
    </row>
    <row r="9266" spans="6:8">
      <c r="F9266" s="68" t="s">
        <v>257</v>
      </c>
      <c r="G9266" s="67" t="s">
        <v>479</v>
      </c>
      <c r="H9266" s="69">
        <v>1.01</v>
      </c>
    </row>
    <row r="9267" spans="6:8">
      <c r="F9267" s="68" t="s">
        <v>135</v>
      </c>
      <c r="G9267" s="67" t="s">
        <v>479</v>
      </c>
      <c r="H9267" s="69">
        <v>-0.35</v>
      </c>
    </row>
    <row r="9268" spans="6:8">
      <c r="F9268" s="68" t="s">
        <v>134</v>
      </c>
      <c r="G9268" s="67" t="s">
        <v>479</v>
      </c>
      <c r="H9268" s="69">
        <v>-0.5</v>
      </c>
    </row>
    <row r="9269" spans="6:8">
      <c r="F9269" s="68" t="s">
        <v>423</v>
      </c>
      <c r="G9269" s="67" t="s">
        <v>479</v>
      </c>
      <c r="H9269" s="69">
        <v>2.4351369982663407</v>
      </c>
    </row>
    <row r="9270" spans="6:8">
      <c r="F9270" s="68" t="s">
        <v>256</v>
      </c>
      <c r="G9270" s="67" t="s">
        <v>479</v>
      </c>
      <c r="H9270" s="69">
        <v>0.93</v>
      </c>
    </row>
    <row r="9271" spans="6:8">
      <c r="F9271" s="68" t="s">
        <v>133</v>
      </c>
      <c r="G9271" s="67" t="s">
        <v>479</v>
      </c>
      <c r="H9271" s="69">
        <v>-0.35</v>
      </c>
    </row>
    <row r="9272" spans="6:8">
      <c r="F9272" s="68" t="s">
        <v>132</v>
      </c>
      <c r="G9272" s="67" t="s">
        <v>479</v>
      </c>
      <c r="H9272" s="69">
        <v>-0.5</v>
      </c>
    </row>
    <row r="9273" spans="6:8">
      <c r="F9273" s="68" t="s">
        <v>422</v>
      </c>
      <c r="G9273" s="67" t="s">
        <v>479</v>
      </c>
      <c r="H9273" s="69">
        <v>2.3888573163247884</v>
      </c>
    </row>
    <row r="9274" spans="6:8">
      <c r="F9274" s="68" t="s">
        <v>303</v>
      </c>
      <c r="G9274" s="67" t="s">
        <v>479</v>
      </c>
      <c r="H9274" s="69">
        <v>18.59375</v>
      </c>
    </row>
    <row r="9275" spans="6:8">
      <c r="F9275" s="68" t="s">
        <v>255</v>
      </c>
      <c r="G9275" s="67" t="s">
        <v>479</v>
      </c>
      <c r="H9275" s="69">
        <v>0.79</v>
      </c>
    </row>
    <row r="9276" spans="6:8">
      <c r="F9276" s="68" t="s">
        <v>131</v>
      </c>
      <c r="G9276" s="67" t="s">
        <v>479</v>
      </c>
      <c r="H9276" s="69">
        <v>-0.3</v>
      </c>
    </row>
    <row r="9277" spans="6:8">
      <c r="F9277" s="68" t="s">
        <v>130</v>
      </c>
      <c r="G9277" s="67" t="s">
        <v>479</v>
      </c>
      <c r="H9277" s="69">
        <v>-0.55000000000000004</v>
      </c>
    </row>
    <row r="9278" spans="6:8">
      <c r="F9278" s="68" t="s">
        <v>421</v>
      </c>
      <c r="G9278" s="67" t="s">
        <v>479</v>
      </c>
      <c r="H9278" s="69">
        <v>2.3827320102990157</v>
      </c>
    </row>
    <row r="9279" spans="6:8">
      <c r="F9279" s="68" t="s">
        <v>304</v>
      </c>
      <c r="G9279" s="67" t="s">
        <v>479</v>
      </c>
      <c r="H9279" s="69">
        <v>17.53125</v>
      </c>
    </row>
    <row r="9280" spans="6:8">
      <c r="F9280" s="68" t="s">
        <v>254</v>
      </c>
      <c r="G9280" s="67" t="s">
        <v>479</v>
      </c>
      <c r="H9280" s="69">
        <v>0.59</v>
      </c>
    </row>
    <row r="9281" spans="6:8">
      <c r="F9281" s="68" t="s">
        <v>129</v>
      </c>
      <c r="G9281" s="67" t="s">
        <v>479</v>
      </c>
      <c r="H9281" s="69">
        <v>-0.25</v>
      </c>
    </row>
    <row r="9282" spans="6:8">
      <c r="F9282" s="68" t="s">
        <v>128</v>
      </c>
      <c r="G9282" s="67" t="s">
        <v>479</v>
      </c>
      <c r="H9282" s="69">
        <v>-0.4</v>
      </c>
    </row>
    <row r="9283" spans="6:8">
      <c r="F9283" s="68" t="s">
        <v>315</v>
      </c>
      <c r="G9283" s="67" t="s">
        <v>479</v>
      </c>
      <c r="H9283" s="69">
        <v>-0.2</v>
      </c>
    </row>
    <row r="9284" spans="6:8">
      <c r="F9284" s="68" t="s">
        <v>253</v>
      </c>
      <c r="G9284" s="67" t="s">
        <v>479</v>
      </c>
      <c r="H9284" s="69">
        <v>0.44</v>
      </c>
    </row>
    <row r="9285" spans="6:8">
      <c r="F9285" s="68" t="s">
        <v>127</v>
      </c>
      <c r="G9285" s="67" t="s">
        <v>479</v>
      </c>
      <c r="H9285" s="69">
        <v>-0.15</v>
      </c>
    </row>
    <row r="9286" spans="6:8">
      <c r="F9286" s="68" t="s">
        <v>126</v>
      </c>
      <c r="G9286" s="67" t="s">
        <v>479</v>
      </c>
      <c r="H9286" s="69">
        <v>-0.45</v>
      </c>
    </row>
    <row r="9287" spans="6:8">
      <c r="F9287" s="68" t="s">
        <v>125</v>
      </c>
      <c r="G9287" s="67" t="s">
        <v>479</v>
      </c>
      <c r="H9287" s="69">
        <v>-0.35</v>
      </c>
    </row>
    <row r="9288" spans="6:8">
      <c r="F9288" s="68" t="s">
        <v>314</v>
      </c>
      <c r="G9288" s="67" t="s">
        <v>479</v>
      </c>
      <c r="H9288" s="69">
        <v>-0.3</v>
      </c>
    </row>
    <row r="9289" spans="6:8">
      <c r="F9289" s="68" t="s">
        <v>252</v>
      </c>
      <c r="G9289" s="67" t="s">
        <v>479</v>
      </c>
      <c r="H9289" s="69">
        <v>0.33</v>
      </c>
    </row>
    <row r="9290" spans="6:8">
      <c r="F9290" s="68" t="s">
        <v>124</v>
      </c>
      <c r="G9290" s="67" t="s">
        <v>479</v>
      </c>
      <c r="H9290" s="69">
        <v>-0.3</v>
      </c>
    </row>
    <row r="9291" spans="6:8">
      <c r="F9291" s="68" t="s">
        <v>123</v>
      </c>
      <c r="G9291" s="67" t="s">
        <v>479</v>
      </c>
      <c r="H9291" s="69">
        <v>-0.55000000000000004</v>
      </c>
    </row>
    <row r="9292" spans="6:8">
      <c r="F9292" s="68" t="s">
        <v>122</v>
      </c>
      <c r="G9292" s="67" t="s">
        <v>479</v>
      </c>
      <c r="H9292" s="69">
        <v>-0.45</v>
      </c>
    </row>
    <row r="9293" spans="6:8">
      <c r="F9293" s="68" t="s">
        <v>420</v>
      </c>
      <c r="G9293" s="67" t="s">
        <v>479</v>
      </c>
      <c r="H9293" s="69">
        <v>3.3143904621736553</v>
      </c>
    </row>
    <row r="9294" spans="6:8">
      <c r="F9294" s="68" t="s">
        <v>251</v>
      </c>
      <c r="G9294" s="67" t="s">
        <v>479</v>
      </c>
      <c r="H9294" s="69">
        <v>0.23</v>
      </c>
    </row>
    <row r="9295" spans="6:8">
      <c r="F9295" s="68" t="s">
        <v>121</v>
      </c>
      <c r="G9295" s="67" t="s">
        <v>479</v>
      </c>
      <c r="H9295" s="69">
        <v>-0.45</v>
      </c>
    </row>
    <row r="9296" spans="6:8">
      <c r="F9296" s="68" t="s">
        <v>120</v>
      </c>
      <c r="G9296" s="67" t="s">
        <v>479</v>
      </c>
      <c r="H9296" s="69">
        <v>-0.45</v>
      </c>
    </row>
    <row r="9297" spans="6:8">
      <c r="F9297" s="68" t="s">
        <v>119</v>
      </c>
      <c r="G9297" s="67" t="s">
        <v>479</v>
      </c>
      <c r="H9297" s="69">
        <v>-0.45</v>
      </c>
    </row>
    <row r="9298" spans="6:8">
      <c r="F9298" s="68" t="s">
        <v>119</v>
      </c>
      <c r="G9298" s="67" t="s">
        <v>480</v>
      </c>
      <c r="H9298" s="69">
        <v>-0.45</v>
      </c>
    </row>
    <row r="9299" spans="6:8">
      <c r="F9299" s="68" t="s">
        <v>120</v>
      </c>
      <c r="G9299" s="67" t="s">
        <v>480</v>
      </c>
      <c r="H9299" s="69">
        <v>-0.55000000000000004</v>
      </c>
    </row>
    <row r="9300" spans="6:8">
      <c r="F9300" s="68" t="s">
        <v>121</v>
      </c>
      <c r="G9300" s="67" t="s">
        <v>480</v>
      </c>
      <c r="H9300" s="69">
        <v>-0.45</v>
      </c>
    </row>
    <row r="9301" spans="6:8">
      <c r="F9301" s="68" t="s">
        <v>251</v>
      </c>
      <c r="G9301" s="67" t="s">
        <v>480</v>
      </c>
      <c r="H9301" s="69">
        <v>0.23</v>
      </c>
    </row>
    <row r="9302" spans="6:8">
      <c r="F9302" s="68" t="s">
        <v>420</v>
      </c>
      <c r="G9302" s="67" t="s">
        <v>480</v>
      </c>
      <c r="H9302" s="69">
        <v>3.3152163432269344</v>
      </c>
    </row>
    <row r="9303" spans="6:8">
      <c r="F9303" s="68" t="s">
        <v>122</v>
      </c>
      <c r="G9303" s="67" t="s">
        <v>480</v>
      </c>
      <c r="H9303" s="69">
        <v>-0.45</v>
      </c>
    </row>
    <row r="9304" spans="6:8">
      <c r="F9304" s="68" t="s">
        <v>123</v>
      </c>
      <c r="G9304" s="67" t="s">
        <v>480</v>
      </c>
      <c r="H9304" s="69">
        <v>-0.6</v>
      </c>
    </row>
    <row r="9305" spans="6:8">
      <c r="F9305" s="68" t="s">
        <v>124</v>
      </c>
      <c r="G9305" s="67" t="s">
        <v>480</v>
      </c>
      <c r="H9305" s="69">
        <v>-0.3</v>
      </c>
    </row>
    <row r="9306" spans="6:8">
      <c r="F9306" s="68" t="s">
        <v>252</v>
      </c>
      <c r="G9306" s="67" t="s">
        <v>480</v>
      </c>
      <c r="H9306" s="69">
        <v>0.33</v>
      </c>
    </row>
    <row r="9307" spans="6:8">
      <c r="F9307" s="68" t="s">
        <v>314</v>
      </c>
      <c r="G9307" s="67" t="s">
        <v>480</v>
      </c>
      <c r="H9307" s="69">
        <v>-0.3</v>
      </c>
    </row>
    <row r="9308" spans="6:8">
      <c r="F9308" s="68" t="s">
        <v>125</v>
      </c>
      <c r="G9308" s="67" t="s">
        <v>480</v>
      </c>
      <c r="H9308" s="69">
        <v>-0.35</v>
      </c>
    </row>
    <row r="9309" spans="6:8">
      <c r="F9309" s="68" t="s">
        <v>126</v>
      </c>
      <c r="G9309" s="67" t="s">
        <v>480</v>
      </c>
      <c r="H9309" s="69">
        <v>-0.55000000000000004</v>
      </c>
    </row>
    <row r="9310" spans="6:8">
      <c r="F9310" s="68" t="s">
        <v>127</v>
      </c>
      <c r="G9310" s="67" t="s">
        <v>480</v>
      </c>
      <c r="H9310" s="69">
        <v>-0.15</v>
      </c>
    </row>
    <row r="9311" spans="6:8">
      <c r="F9311" s="68" t="s">
        <v>253</v>
      </c>
      <c r="G9311" s="67" t="s">
        <v>480</v>
      </c>
      <c r="H9311" s="69">
        <v>0.45</v>
      </c>
    </row>
    <row r="9312" spans="6:8">
      <c r="F9312" s="68" t="s">
        <v>315</v>
      </c>
      <c r="G9312" s="67" t="s">
        <v>480</v>
      </c>
      <c r="H9312" s="69">
        <v>-0.2</v>
      </c>
    </row>
    <row r="9313" spans="6:8">
      <c r="F9313" s="68" t="s">
        <v>128</v>
      </c>
      <c r="G9313" s="67" t="s">
        <v>480</v>
      </c>
      <c r="H9313" s="69">
        <v>-0.5</v>
      </c>
    </row>
    <row r="9314" spans="6:8">
      <c r="F9314" s="68" t="s">
        <v>129</v>
      </c>
      <c r="G9314" s="67" t="s">
        <v>480</v>
      </c>
      <c r="H9314" s="69">
        <v>-0.25</v>
      </c>
    </row>
    <row r="9315" spans="6:8">
      <c r="F9315" s="68" t="s">
        <v>254</v>
      </c>
      <c r="G9315" s="67" t="s">
        <v>480</v>
      </c>
      <c r="H9315" s="69">
        <v>0.61</v>
      </c>
    </row>
    <row r="9316" spans="6:8">
      <c r="F9316" s="68" t="s">
        <v>304</v>
      </c>
      <c r="G9316" s="67" t="s">
        <v>480</v>
      </c>
      <c r="H9316" s="69">
        <v>17.75</v>
      </c>
    </row>
    <row r="9317" spans="6:8">
      <c r="F9317" s="68" t="s">
        <v>421</v>
      </c>
      <c r="G9317" s="67" t="s">
        <v>480</v>
      </c>
      <c r="H9317" s="69">
        <v>2.3867192060207376</v>
      </c>
    </row>
    <row r="9318" spans="6:8">
      <c r="F9318" s="68" t="s">
        <v>130</v>
      </c>
      <c r="G9318" s="67" t="s">
        <v>480</v>
      </c>
      <c r="H9318" s="69">
        <v>-0.6</v>
      </c>
    </row>
    <row r="9319" spans="6:8">
      <c r="F9319" s="68" t="s">
        <v>131</v>
      </c>
      <c r="G9319" s="67" t="s">
        <v>480</v>
      </c>
      <c r="H9319" s="69">
        <v>-0.3</v>
      </c>
    </row>
    <row r="9320" spans="6:8">
      <c r="F9320" s="68" t="s">
        <v>255</v>
      </c>
      <c r="G9320" s="67" t="s">
        <v>480</v>
      </c>
      <c r="H9320" s="69">
        <v>0.8</v>
      </c>
    </row>
    <row r="9321" spans="6:8">
      <c r="F9321" s="68" t="s">
        <v>303</v>
      </c>
      <c r="G9321" s="67" t="s">
        <v>480</v>
      </c>
      <c r="H9321" s="69">
        <v>19</v>
      </c>
    </row>
    <row r="9322" spans="6:8">
      <c r="F9322" s="68" t="s">
        <v>422</v>
      </c>
      <c r="G9322" s="67" t="s">
        <v>480</v>
      </c>
      <c r="H9322" s="69">
        <v>2.3927336537203026</v>
      </c>
    </row>
    <row r="9323" spans="6:8">
      <c r="F9323" s="68" t="s">
        <v>132</v>
      </c>
      <c r="G9323" s="67" t="s">
        <v>480</v>
      </c>
      <c r="H9323" s="69">
        <v>-0.55000000000000004</v>
      </c>
    </row>
    <row r="9324" spans="6:8">
      <c r="F9324" s="68" t="s">
        <v>133</v>
      </c>
      <c r="G9324" s="67" t="s">
        <v>480</v>
      </c>
      <c r="H9324" s="69">
        <v>-0.35</v>
      </c>
    </row>
    <row r="9325" spans="6:8">
      <c r="F9325" s="68" t="s">
        <v>256</v>
      </c>
      <c r="G9325" s="67" t="s">
        <v>480</v>
      </c>
      <c r="H9325" s="69">
        <v>0.95</v>
      </c>
    </row>
    <row r="9326" spans="6:8">
      <c r="F9326" s="68" t="s">
        <v>423</v>
      </c>
      <c r="G9326" s="67" t="s">
        <v>480</v>
      </c>
      <c r="H9326" s="69">
        <v>2.4398673354288025</v>
      </c>
    </row>
    <row r="9327" spans="6:8">
      <c r="F9327" s="68" t="s">
        <v>134</v>
      </c>
      <c r="G9327" s="67" t="s">
        <v>480</v>
      </c>
      <c r="H9327" s="69">
        <v>-0.55000000000000004</v>
      </c>
    </row>
    <row r="9328" spans="6:8">
      <c r="F9328" s="68" t="s">
        <v>135</v>
      </c>
      <c r="G9328" s="67" t="s">
        <v>480</v>
      </c>
      <c r="H9328" s="69">
        <v>-0.35</v>
      </c>
    </row>
    <row r="9329" spans="6:8">
      <c r="F9329" s="68" t="s">
        <v>257</v>
      </c>
      <c r="G9329" s="67" t="s">
        <v>480</v>
      </c>
      <c r="H9329" s="69">
        <v>1.03</v>
      </c>
    </row>
    <row r="9330" spans="6:8">
      <c r="F9330" s="68" t="s">
        <v>258</v>
      </c>
      <c r="G9330" s="67" t="s">
        <v>480</v>
      </c>
      <c r="H9330" s="69">
        <v>0.14000000000000001</v>
      </c>
    </row>
    <row r="9331" spans="6:8">
      <c r="F9331" s="68" t="s">
        <v>424</v>
      </c>
      <c r="G9331" s="67" t="s">
        <v>480</v>
      </c>
      <c r="H9331" s="69">
        <v>3.1761982615047479</v>
      </c>
    </row>
    <row r="9332" spans="6:8">
      <c r="F9332" s="68" t="s">
        <v>136</v>
      </c>
      <c r="G9332" s="67" t="s">
        <v>480</v>
      </c>
      <c r="H9332" s="69">
        <v>-0.5</v>
      </c>
    </row>
    <row r="9333" spans="6:8">
      <c r="F9333" s="68" t="s">
        <v>137</v>
      </c>
      <c r="G9333" s="67" t="s">
        <v>480</v>
      </c>
      <c r="H9333" s="69">
        <v>-0.55000000000000004</v>
      </c>
    </row>
    <row r="9334" spans="6:8">
      <c r="F9334" s="68" t="s">
        <v>138</v>
      </c>
      <c r="G9334" s="67" t="s">
        <v>480</v>
      </c>
      <c r="H9334" s="69">
        <v>-0.5</v>
      </c>
    </row>
    <row r="9335" spans="6:8">
      <c r="F9335" s="68" t="s">
        <v>259</v>
      </c>
      <c r="G9335" s="67" t="s">
        <v>480</v>
      </c>
      <c r="H9335" s="69">
        <v>0.17</v>
      </c>
    </row>
    <row r="9336" spans="6:8">
      <c r="F9336" s="68" t="s">
        <v>425</v>
      </c>
      <c r="G9336" s="67" t="s">
        <v>480</v>
      </c>
      <c r="H9336" s="69">
        <v>3.2036282587725839</v>
      </c>
    </row>
    <row r="9337" spans="6:8">
      <c r="F9337" s="68" t="s">
        <v>425</v>
      </c>
      <c r="G9337" s="67" t="s">
        <v>481</v>
      </c>
      <c r="H9337" s="69">
        <v>3.2461443408500656</v>
      </c>
    </row>
    <row r="9338" spans="6:8">
      <c r="F9338" s="68" t="s">
        <v>259</v>
      </c>
      <c r="G9338" s="67" t="s">
        <v>481</v>
      </c>
      <c r="H9338" s="69">
        <v>0.17</v>
      </c>
    </row>
    <row r="9339" spans="6:8">
      <c r="F9339" s="68" t="s">
        <v>138</v>
      </c>
      <c r="G9339" s="67" t="s">
        <v>481</v>
      </c>
      <c r="H9339" s="69">
        <v>-0.5</v>
      </c>
    </row>
    <row r="9340" spans="6:8">
      <c r="F9340" s="68" t="s">
        <v>137</v>
      </c>
      <c r="G9340" s="67" t="s">
        <v>481</v>
      </c>
      <c r="H9340" s="69">
        <v>-0.55000000000000004</v>
      </c>
    </row>
    <row r="9341" spans="6:8">
      <c r="F9341" s="68" t="s">
        <v>136</v>
      </c>
      <c r="G9341" s="67" t="s">
        <v>481</v>
      </c>
      <c r="H9341" s="69">
        <v>-0.5</v>
      </c>
    </row>
    <row r="9342" spans="6:8">
      <c r="F9342" s="68" t="s">
        <v>424</v>
      </c>
      <c r="G9342" s="67" t="s">
        <v>481</v>
      </c>
      <c r="H9342" s="69">
        <v>3.1886336048961628</v>
      </c>
    </row>
    <row r="9343" spans="6:8">
      <c r="F9343" s="68" t="s">
        <v>258</v>
      </c>
      <c r="G9343" s="67" t="s">
        <v>481</v>
      </c>
      <c r="H9343" s="69">
        <v>0.14000000000000001</v>
      </c>
    </row>
    <row r="9344" spans="6:8">
      <c r="F9344" s="68" t="s">
        <v>257</v>
      </c>
      <c r="G9344" s="67" t="s">
        <v>481</v>
      </c>
      <c r="H9344" s="69">
        <v>1.03</v>
      </c>
    </row>
    <row r="9345" spans="6:8">
      <c r="F9345" s="68" t="s">
        <v>135</v>
      </c>
      <c r="G9345" s="67" t="s">
        <v>481</v>
      </c>
      <c r="H9345" s="69">
        <v>-0.35</v>
      </c>
    </row>
    <row r="9346" spans="6:8">
      <c r="F9346" s="68" t="s">
        <v>134</v>
      </c>
      <c r="G9346" s="67" t="s">
        <v>481</v>
      </c>
      <c r="H9346" s="69">
        <v>-0.55000000000000004</v>
      </c>
    </row>
    <row r="9347" spans="6:8">
      <c r="F9347" s="68" t="s">
        <v>423</v>
      </c>
      <c r="G9347" s="67" t="s">
        <v>481</v>
      </c>
      <c r="H9347" s="69">
        <v>2.4603673450994901</v>
      </c>
    </row>
    <row r="9348" spans="6:8">
      <c r="F9348" s="68" t="s">
        <v>256</v>
      </c>
      <c r="G9348" s="67" t="s">
        <v>481</v>
      </c>
      <c r="H9348" s="69">
        <v>0.95</v>
      </c>
    </row>
    <row r="9349" spans="6:8">
      <c r="F9349" s="68" t="s">
        <v>133</v>
      </c>
      <c r="G9349" s="67" t="s">
        <v>481</v>
      </c>
      <c r="H9349" s="69">
        <v>-0.35</v>
      </c>
    </row>
    <row r="9350" spans="6:8">
      <c r="F9350" s="68" t="s">
        <v>132</v>
      </c>
      <c r="G9350" s="67" t="s">
        <v>481</v>
      </c>
      <c r="H9350" s="69">
        <v>-0.55000000000000004</v>
      </c>
    </row>
    <row r="9351" spans="6:8">
      <c r="F9351" s="68" t="s">
        <v>422</v>
      </c>
      <c r="G9351" s="67" t="s">
        <v>481</v>
      </c>
      <c r="H9351" s="69">
        <v>2.3747968593917701</v>
      </c>
    </row>
    <row r="9352" spans="6:8">
      <c r="F9352" s="68" t="s">
        <v>303</v>
      </c>
      <c r="G9352" s="67" t="s">
        <v>481</v>
      </c>
      <c r="H9352" s="69">
        <v>19.03125</v>
      </c>
    </row>
    <row r="9353" spans="6:8">
      <c r="F9353" s="68" t="s">
        <v>255</v>
      </c>
      <c r="G9353" s="67" t="s">
        <v>481</v>
      </c>
      <c r="H9353" s="69">
        <v>0.8</v>
      </c>
    </row>
    <row r="9354" spans="6:8">
      <c r="F9354" s="68" t="s">
        <v>131</v>
      </c>
      <c r="G9354" s="67" t="s">
        <v>481</v>
      </c>
      <c r="H9354" s="69">
        <v>-0.3</v>
      </c>
    </row>
    <row r="9355" spans="6:8">
      <c r="F9355" s="68" t="s">
        <v>130</v>
      </c>
      <c r="G9355" s="67" t="s">
        <v>481</v>
      </c>
      <c r="H9355" s="69">
        <v>-0.6</v>
      </c>
    </row>
    <row r="9356" spans="6:8">
      <c r="F9356" s="68" t="s">
        <v>421</v>
      </c>
      <c r="G9356" s="67" t="s">
        <v>481</v>
      </c>
      <c r="H9356" s="69">
        <v>2.3679402050233556</v>
      </c>
    </row>
    <row r="9357" spans="6:8">
      <c r="F9357" s="68" t="s">
        <v>304</v>
      </c>
      <c r="G9357" s="67" t="s">
        <v>481</v>
      </c>
      <c r="H9357" s="69">
        <v>17.75</v>
      </c>
    </row>
    <row r="9358" spans="6:8">
      <c r="F9358" s="68" t="s">
        <v>254</v>
      </c>
      <c r="G9358" s="67" t="s">
        <v>481</v>
      </c>
      <c r="H9358" s="69">
        <v>0.61</v>
      </c>
    </row>
    <row r="9359" spans="6:8">
      <c r="F9359" s="68" t="s">
        <v>129</v>
      </c>
      <c r="G9359" s="67" t="s">
        <v>481</v>
      </c>
      <c r="H9359" s="69">
        <v>-0.25</v>
      </c>
    </row>
    <row r="9360" spans="6:8">
      <c r="F9360" s="68" t="s">
        <v>128</v>
      </c>
      <c r="G9360" s="67" t="s">
        <v>481</v>
      </c>
      <c r="H9360" s="69">
        <v>-0.5</v>
      </c>
    </row>
    <row r="9361" spans="6:8">
      <c r="F9361" s="68" t="s">
        <v>315</v>
      </c>
      <c r="G9361" s="67" t="s">
        <v>481</v>
      </c>
      <c r="H9361" s="69">
        <v>-0.2</v>
      </c>
    </row>
    <row r="9362" spans="6:8">
      <c r="F9362" s="68" t="s">
        <v>253</v>
      </c>
      <c r="G9362" s="67" t="s">
        <v>481</v>
      </c>
      <c r="H9362" s="69">
        <v>0.45</v>
      </c>
    </row>
    <row r="9363" spans="6:8">
      <c r="F9363" s="68" t="s">
        <v>127</v>
      </c>
      <c r="G9363" s="67" t="s">
        <v>481</v>
      </c>
      <c r="H9363" s="69">
        <v>-0.15</v>
      </c>
    </row>
    <row r="9364" spans="6:8">
      <c r="F9364" s="68" t="s">
        <v>126</v>
      </c>
      <c r="G9364" s="67" t="s">
        <v>481</v>
      </c>
      <c r="H9364" s="69">
        <v>-0.55000000000000004</v>
      </c>
    </row>
    <row r="9365" spans="6:8">
      <c r="F9365" s="68" t="s">
        <v>125</v>
      </c>
      <c r="G9365" s="67" t="s">
        <v>481</v>
      </c>
      <c r="H9365" s="69">
        <v>-0.35</v>
      </c>
    </row>
    <row r="9366" spans="6:8">
      <c r="F9366" s="68" t="s">
        <v>314</v>
      </c>
      <c r="G9366" s="67" t="s">
        <v>481</v>
      </c>
      <c r="H9366" s="69">
        <v>-0.3</v>
      </c>
    </row>
    <row r="9367" spans="6:8">
      <c r="F9367" s="68" t="s">
        <v>252</v>
      </c>
      <c r="G9367" s="67" t="s">
        <v>481</v>
      </c>
      <c r="H9367" s="69">
        <v>0.33</v>
      </c>
    </row>
    <row r="9368" spans="6:8">
      <c r="F9368" s="68" t="s">
        <v>124</v>
      </c>
      <c r="G9368" s="67" t="s">
        <v>481</v>
      </c>
      <c r="H9368" s="69">
        <v>-0.3</v>
      </c>
    </row>
    <row r="9369" spans="6:8">
      <c r="F9369" s="68" t="s">
        <v>123</v>
      </c>
      <c r="G9369" s="67" t="s">
        <v>481</v>
      </c>
      <c r="H9369" s="69">
        <v>-0.6</v>
      </c>
    </row>
    <row r="9370" spans="6:8">
      <c r="F9370" s="68" t="s">
        <v>122</v>
      </c>
      <c r="G9370" s="67" t="s">
        <v>481</v>
      </c>
      <c r="H9370" s="69">
        <v>-0.45</v>
      </c>
    </row>
    <row r="9371" spans="6:8">
      <c r="F9371" s="68" t="s">
        <v>420</v>
      </c>
      <c r="G9371" s="67" t="s">
        <v>481</v>
      </c>
      <c r="H9371" s="69">
        <v>3.3288291672576964</v>
      </c>
    </row>
    <row r="9372" spans="6:8">
      <c r="F9372" s="68" t="s">
        <v>251</v>
      </c>
      <c r="G9372" s="67" t="s">
        <v>481</v>
      </c>
      <c r="H9372" s="69">
        <v>0.23</v>
      </c>
    </row>
    <row r="9373" spans="6:8">
      <c r="F9373" s="68" t="s">
        <v>121</v>
      </c>
      <c r="G9373" s="67" t="s">
        <v>481</v>
      </c>
      <c r="H9373" s="69">
        <v>-0.45</v>
      </c>
    </row>
    <row r="9374" spans="6:8">
      <c r="F9374" s="68" t="s">
        <v>120</v>
      </c>
      <c r="G9374" s="67" t="s">
        <v>481</v>
      </c>
      <c r="H9374" s="69">
        <v>-0.55000000000000004</v>
      </c>
    </row>
    <row r="9375" spans="6:8">
      <c r="F9375" s="68" t="s">
        <v>119</v>
      </c>
      <c r="G9375" s="67" t="s">
        <v>481</v>
      </c>
      <c r="H9375" s="69">
        <v>-0.45</v>
      </c>
    </row>
    <row r="9376" spans="6:8">
      <c r="F9376" s="68" t="s">
        <v>119</v>
      </c>
      <c r="G9376" s="67" t="s">
        <v>482</v>
      </c>
      <c r="H9376" s="69">
        <v>-0.45</v>
      </c>
    </row>
    <row r="9377" spans="6:8">
      <c r="F9377" s="68" t="s">
        <v>120</v>
      </c>
      <c r="G9377" s="67" t="s">
        <v>482</v>
      </c>
      <c r="H9377" s="69">
        <v>-0.55000000000000004</v>
      </c>
    </row>
    <row r="9378" spans="6:8">
      <c r="F9378" s="68" t="s">
        <v>121</v>
      </c>
      <c r="G9378" s="67" t="s">
        <v>482</v>
      </c>
      <c r="H9378" s="69">
        <v>-0.45</v>
      </c>
    </row>
    <row r="9379" spans="6:8">
      <c r="F9379" s="68" t="s">
        <v>251</v>
      </c>
      <c r="G9379" s="67" t="s">
        <v>482</v>
      </c>
      <c r="H9379" s="69">
        <v>0.23</v>
      </c>
    </row>
    <row r="9380" spans="6:8">
      <c r="F9380" s="68" t="s">
        <v>420</v>
      </c>
      <c r="G9380" s="67" t="s">
        <v>482</v>
      </c>
      <c r="H9380" s="69">
        <v>3.3309700706020351</v>
      </c>
    </row>
    <row r="9381" spans="6:8">
      <c r="F9381" s="68" t="s">
        <v>122</v>
      </c>
      <c r="G9381" s="67" t="s">
        <v>482</v>
      </c>
      <c r="H9381" s="69">
        <v>-0.45</v>
      </c>
    </row>
    <row r="9382" spans="6:8">
      <c r="F9382" s="68" t="s">
        <v>123</v>
      </c>
      <c r="G9382" s="67" t="s">
        <v>482</v>
      </c>
      <c r="H9382" s="69">
        <v>-0.6</v>
      </c>
    </row>
    <row r="9383" spans="6:8">
      <c r="F9383" s="68" t="s">
        <v>124</v>
      </c>
      <c r="G9383" s="67" t="s">
        <v>482</v>
      </c>
      <c r="H9383" s="69">
        <v>-0.3</v>
      </c>
    </row>
    <row r="9384" spans="6:8">
      <c r="F9384" s="68" t="s">
        <v>252</v>
      </c>
      <c r="G9384" s="67" t="s">
        <v>482</v>
      </c>
      <c r="H9384" s="69">
        <v>0.33</v>
      </c>
    </row>
    <row r="9385" spans="6:8">
      <c r="F9385" s="68" t="s">
        <v>314</v>
      </c>
      <c r="G9385" s="67" t="s">
        <v>482</v>
      </c>
      <c r="H9385" s="69">
        <v>-0.3</v>
      </c>
    </row>
    <row r="9386" spans="6:8">
      <c r="F9386" s="68" t="s">
        <v>125</v>
      </c>
      <c r="G9386" s="67" t="s">
        <v>482</v>
      </c>
      <c r="H9386" s="69">
        <v>-0.35</v>
      </c>
    </row>
    <row r="9387" spans="6:8">
      <c r="F9387" s="68" t="s">
        <v>126</v>
      </c>
      <c r="G9387" s="67" t="s">
        <v>482</v>
      </c>
      <c r="H9387" s="69">
        <v>-0.55000000000000004</v>
      </c>
    </row>
    <row r="9388" spans="6:8">
      <c r="F9388" s="68" t="s">
        <v>127</v>
      </c>
      <c r="G9388" s="67" t="s">
        <v>482</v>
      </c>
      <c r="H9388" s="69">
        <v>-0.15</v>
      </c>
    </row>
    <row r="9389" spans="6:8">
      <c r="F9389" s="68" t="s">
        <v>253</v>
      </c>
      <c r="G9389" s="67" t="s">
        <v>482</v>
      </c>
      <c r="H9389" s="69">
        <v>0.45</v>
      </c>
    </row>
    <row r="9390" spans="6:8">
      <c r="F9390" s="68" t="s">
        <v>315</v>
      </c>
      <c r="G9390" s="67" t="s">
        <v>482</v>
      </c>
      <c r="H9390" s="69">
        <v>-0.2</v>
      </c>
    </row>
    <row r="9391" spans="6:8">
      <c r="F9391" s="68" t="s">
        <v>128</v>
      </c>
      <c r="G9391" s="67" t="s">
        <v>482</v>
      </c>
      <c r="H9391" s="69">
        <v>-0.5</v>
      </c>
    </row>
    <row r="9392" spans="6:8">
      <c r="F9392" s="68" t="s">
        <v>129</v>
      </c>
      <c r="G9392" s="67" t="s">
        <v>482</v>
      </c>
      <c r="H9392" s="69">
        <v>-0.25</v>
      </c>
    </row>
    <row r="9393" spans="6:8">
      <c r="F9393" s="68" t="s">
        <v>254</v>
      </c>
      <c r="G9393" s="67" t="s">
        <v>482</v>
      </c>
      <c r="H9393" s="69">
        <v>0.61</v>
      </c>
    </row>
    <row r="9394" spans="6:8">
      <c r="F9394" s="68" t="s">
        <v>304</v>
      </c>
      <c r="G9394" s="67" t="s">
        <v>482</v>
      </c>
      <c r="H9394" s="69">
        <v>17.75</v>
      </c>
    </row>
    <row r="9395" spans="6:8">
      <c r="F9395" s="68" t="s">
        <v>421</v>
      </c>
      <c r="G9395" s="67" t="s">
        <v>482</v>
      </c>
      <c r="H9395" s="69">
        <v>2.3679402050233556</v>
      </c>
    </row>
    <row r="9396" spans="6:8">
      <c r="F9396" s="68" t="s">
        <v>130</v>
      </c>
      <c r="G9396" s="67" t="s">
        <v>482</v>
      </c>
      <c r="H9396" s="69">
        <v>-0.6</v>
      </c>
    </row>
    <row r="9397" spans="6:8">
      <c r="F9397" s="68" t="s">
        <v>131</v>
      </c>
      <c r="G9397" s="67" t="s">
        <v>482</v>
      </c>
      <c r="H9397" s="69">
        <v>-0.3</v>
      </c>
    </row>
    <row r="9398" spans="6:8">
      <c r="F9398" s="68" t="s">
        <v>255</v>
      </c>
      <c r="G9398" s="67" t="s">
        <v>482</v>
      </c>
      <c r="H9398" s="69">
        <v>0.8</v>
      </c>
    </row>
    <row r="9399" spans="6:8">
      <c r="F9399" s="68" t="s">
        <v>303</v>
      </c>
      <c r="G9399" s="67" t="s">
        <v>482</v>
      </c>
      <c r="H9399" s="69">
        <v>19.03125</v>
      </c>
    </row>
    <row r="9400" spans="6:8">
      <c r="F9400" s="68" t="s">
        <v>422</v>
      </c>
      <c r="G9400" s="67" t="s">
        <v>482</v>
      </c>
      <c r="H9400" s="69">
        <v>2.3747968593917701</v>
      </c>
    </row>
    <row r="9401" spans="6:8">
      <c r="F9401" s="68" t="s">
        <v>132</v>
      </c>
      <c r="G9401" s="67" t="s">
        <v>482</v>
      </c>
      <c r="H9401" s="69">
        <v>-0.55000000000000004</v>
      </c>
    </row>
    <row r="9402" spans="6:8">
      <c r="F9402" s="68" t="s">
        <v>133</v>
      </c>
      <c r="G9402" s="67" t="s">
        <v>482</v>
      </c>
      <c r="H9402" s="69">
        <v>-0.35</v>
      </c>
    </row>
    <row r="9403" spans="6:8">
      <c r="F9403" s="68" t="s">
        <v>256</v>
      </c>
      <c r="G9403" s="67" t="s">
        <v>482</v>
      </c>
      <c r="H9403" s="69">
        <v>0.95</v>
      </c>
    </row>
    <row r="9404" spans="6:8">
      <c r="F9404" s="68" t="s">
        <v>423</v>
      </c>
      <c r="G9404" s="67" t="s">
        <v>482</v>
      </c>
      <c r="H9404" s="69">
        <v>2.4564120309100712</v>
      </c>
    </row>
    <row r="9405" spans="6:8">
      <c r="F9405" s="68" t="s">
        <v>134</v>
      </c>
      <c r="G9405" s="67" t="s">
        <v>482</v>
      </c>
      <c r="H9405" s="69">
        <v>-0.55000000000000004</v>
      </c>
    </row>
    <row r="9406" spans="6:8">
      <c r="F9406" s="68" t="s">
        <v>135</v>
      </c>
      <c r="G9406" s="67" t="s">
        <v>482</v>
      </c>
      <c r="H9406" s="69">
        <v>-0.35</v>
      </c>
    </row>
    <row r="9407" spans="6:8">
      <c r="F9407" s="68" t="s">
        <v>257</v>
      </c>
      <c r="G9407" s="67" t="s">
        <v>482</v>
      </c>
      <c r="H9407" s="69">
        <v>1.03</v>
      </c>
    </row>
    <row r="9408" spans="6:8">
      <c r="F9408" s="68" t="s">
        <v>258</v>
      </c>
      <c r="G9408" s="67" t="s">
        <v>482</v>
      </c>
      <c r="H9408" s="69">
        <v>0.14000000000000001</v>
      </c>
    </row>
    <row r="9409" spans="6:8">
      <c r="F9409" s="68" t="s">
        <v>424</v>
      </c>
      <c r="G9409" s="67" t="s">
        <v>482</v>
      </c>
      <c r="H9409" s="69">
        <v>3.1851832965394955</v>
      </c>
    </row>
    <row r="9410" spans="6:8">
      <c r="F9410" s="68" t="s">
        <v>136</v>
      </c>
      <c r="G9410" s="67" t="s">
        <v>482</v>
      </c>
      <c r="H9410" s="69">
        <v>-0.5</v>
      </c>
    </row>
    <row r="9411" spans="6:8">
      <c r="F9411" s="68" t="s">
        <v>137</v>
      </c>
      <c r="G9411" s="67" t="s">
        <v>482</v>
      </c>
      <c r="H9411" s="69">
        <v>-0.55000000000000004</v>
      </c>
    </row>
    <row r="9412" spans="6:8">
      <c r="F9412" s="68" t="s">
        <v>138</v>
      </c>
      <c r="G9412" s="67" t="s">
        <v>482</v>
      </c>
      <c r="H9412" s="69">
        <v>-0.5</v>
      </c>
    </row>
    <row r="9413" spans="6:8">
      <c r="F9413" s="68" t="s">
        <v>259</v>
      </c>
      <c r="G9413" s="67" t="s">
        <v>482</v>
      </c>
      <c r="H9413" s="69">
        <v>0.17</v>
      </c>
    </row>
    <row r="9414" spans="6:8">
      <c r="F9414" s="68" t="s">
        <v>425</v>
      </c>
      <c r="G9414" s="67" t="s">
        <v>482</v>
      </c>
      <c r="H9414" s="69">
        <v>3.2410249120792489</v>
      </c>
    </row>
    <row r="9415" spans="6:8">
      <c r="F9415" s="68" t="s">
        <v>425</v>
      </c>
      <c r="G9415" s="67" t="s">
        <v>483</v>
      </c>
      <c r="H9415" s="69">
        <v>3.2465582755493827</v>
      </c>
    </row>
    <row r="9416" spans="6:8">
      <c r="F9416" s="68" t="s">
        <v>259</v>
      </c>
      <c r="G9416" s="67" t="s">
        <v>483</v>
      </c>
      <c r="H9416" s="69">
        <v>0.17</v>
      </c>
    </row>
    <row r="9417" spans="6:8">
      <c r="F9417" s="68" t="s">
        <v>138</v>
      </c>
      <c r="G9417" s="67" t="s">
        <v>483</v>
      </c>
      <c r="H9417" s="69">
        <v>-0.5</v>
      </c>
    </row>
    <row r="9418" spans="6:8">
      <c r="F9418" s="68" t="s">
        <v>137</v>
      </c>
      <c r="G9418" s="67" t="s">
        <v>483</v>
      </c>
      <c r="H9418" s="69">
        <v>-0.55000000000000004</v>
      </c>
    </row>
    <row r="9419" spans="6:8">
      <c r="F9419" s="68" t="s">
        <v>136</v>
      </c>
      <c r="G9419" s="67" t="s">
        <v>483</v>
      </c>
      <c r="H9419" s="69">
        <v>-0.5</v>
      </c>
    </row>
    <row r="9420" spans="6:8">
      <c r="F9420" s="68" t="s">
        <v>424</v>
      </c>
      <c r="G9420" s="67" t="s">
        <v>483</v>
      </c>
      <c r="H9420" s="69">
        <v>3.1961095811042117</v>
      </c>
    </row>
    <row r="9421" spans="6:8">
      <c r="F9421" s="68" t="s">
        <v>258</v>
      </c>
      <c r="G9421" s="67" t="s">
        <v>483</v>
      </c>
      <c r="H9421" s="69">
        <v>0.14000000000000001</v>
      </c>
    </row>
    <row r="9422" spans="6:8">
      <c r="F9422" s="68" t="s">
        <v>257</v>
      </c>
      <c r="G9422" s="67" t="s">
        <v>483</v>
      </c>
      <c r="H9422" s="69">
        <v>1.03</v>
      </c>
    </row>
    <row r="9423" spans="6:8">
      <c r="F9423" s="68" t="s">
        <v>135</v>
      </c>
      <c r="G9423" s="67" t="s">
        <v>483</v>
      </c>
      <c r="H9423" s="69">
        <v>-0.35</v>
      </c>
    </row>
    <row r="9424" spans="6:8">
      <c r="F9424" s="68" t="s">
        <v>134</v>
      </c>
      <c r="G9424" s="67" t="s">
        <v>483</v>
      </c>
      <c r="H9424" s="69">
        <v>-0.55000000000000004</v>
      </c>
    </row>
    <row r="9425" spans="6:8">
      <c r="F9425" s="68" t="s">
        <v>423</v>
      </c>
      <c r="G9425" s="67" t="s">
        <v>483</v>
      </c>
      <c r="H9425" s="69">
        <v>2.4742002867985224</v>
      </c>
    </row>
    <row r="9426" spans="6:8">
      <c r="F9426" s="68" t="s">
        <v>256</v>
      </c>
      <c r="G9426" s="67" t="s">
        <v>483</v>
      </c>
      <c r="H9426" s="69">
        <v>0.95</v>
      </c>
    </row>
    <row r="9427" spans="6:8">
      <c r="F9427" s="68" t="s">
        <v>133</v>
      </c>
      <c r="G9427" s="67" t="s">
        <v>483</v>
      </c>
      <c r="H9427" s="69">
        <v>-0.35</v>
      </c>
    </row>
    <row r="9428" spans="6:8">
      <c r="F9428" s="68" t="s">
        <v>132</v>
      </c>
      <c r="G9428" s="67" t="s">
        <v>483</v>
      </c>
      <c r="H9428" s="69">
        <v>-0.55000000000000004</v>
      </c>
    </row>
    <row r="9429" spans="6:8">
      <c r="F9429" s="68" t="s">
        <v>422</v>
      </c>
      <c r="G9429" s="67" t="s">
        <v>483</v>
      </c>
      <c r="H9429" s="69">
        <v>2.373894897808082</v>
      </c>
    </row>
    <row r="9430" spans="6:8">
      <c r="F9430" s="68" t="s">
        <v>303</v>
      </c>
      <c r="G9430" s="67" t="s">
        <v>483</v>
      </c>
      <c r="H9430" s="69">
        <v>19</v>
      </c>
    </row>
    <row r="9431" spans="6:8">
      <c r="F9431" s="68" t="s">
        <v>255</v>
      </c>
      <c r="G9431" s="67" t="s">
        <v>483</v>
      </c>
      <c r="H9431" s="69">
        <v>0.8</v>
      </c>
    </row>
    <row r="9432" spans="6:8">
      <c r="F9432" s="68" t="s">
        <v>131</v>
      </c>
      <c r="G9432" s="67" t="s">
        <v>483</v>
      </c>
      <c r="H9432" s="69">
        <v>-0.3</v>
      </c>
    </row>
    <row r="9433" spans="6:8">
      <c r="F9433" s="68" t="s">
        <v>130</v>
      </c>
      <c r="G9433" s="67" t="s">
        <v>483</v>
      </c>
      <c r="H9433" s="69">
        <v>-0.6</v>
      </c>
    </row>
    <row r="9434" spans="6:8">
      <c r="F9434" s="68" t="s">
        <v>421</v>
      </c>
      <c r="G9434" s="67" t="s">
        <v>483</v>
      </c>
      <c r="H9434" s="69">
        <v>2.3669962641010844</v>
      </c>
    </row>
    <row r="9435" spans="6:8">
      <c r="F9435" s="68" t="s">
        <v>304</v>
      </c>
      <c r="G9435" s="67" t="s">
        <v>483</v>
      </c>
      <c r="H9435" s="69">
        <v>17.875</v>
      </c>
    </row>
    <row r="9436" spans="6:8">
      <c r="F9436" s="68" t="s">
        <v>254</v>
      </c>
      <c r="G9436" s="67" t="s">
        <v>483</v>
      </c>
      <c r="H9436" s="69">
        <v>0.61</v>
      </c>
    </row>
    <row r="9437" spans="6:8">
      <c r="F9437" s="68" t="s">
        <v>129</v>
      </c>
      <c r="G9437" s="67" t="s">
        <v>483</v>
      </c>
      <c r="H9437" s="69">
        <v>-0.25</v>
      </c>
    </row>
    <row r="9438" spans="6:8">
      <c r="F9438" s="68" t="s">
        <v>128</v>
      </c>
      <c r="G9438" s="67" t="s">
        <v>483</v>
      </c>
      <c r="H9438" s="69">
        <v>-0.5</v>
      </c>
    </row>
    <row r="9439" spans="6:8">
      <c r="F9439" s="68" t="s">
        <v>315</v>
      </c>
      <c r="G9439" s="67" t="s">
        <v>483</v>
      </c>
      <c r="H9439" s="69">
        <v>-0.2</v>
      </c>
    </row>
    <row r="9440" spans="6:8">
      <c r="F9440" s="68" t="s">
        <v>253</v>
      </c>
      <c r="G9440" s="67" t="s">
        <v>483</v>
      </c>
      <c r="H9440" s="69">
        <v>0.45</v>
      </c>
    </row>
    <row r="9441" spans="6:8">
      <c r="F9441" s="68" t="s">
        <v>127</v>
      </c>
      <c r="G9441" s="67" t="s">
        <v>483</v>
      </c>
      <c r="H9441" s="69">
        <v>-0.15</v>
      </c>
    </row>
    <row r="9442" spans="6:8">
      <c r="F9442" s="68" t="s">
        <v>126</v>
      </c>
      <c r="G9442" s="67" t="s">
        <v>483</v>
      </c>
      <c r="H9442" s="69">
        <v>-0.55000000000000004</v>
      </c>
    </row>
    <row r="9443" spans="6:8">
      <c r="F9443" s="68" t="s">
        <v>125</v>
      </c>
      <c r="G9443" s="67" t="s">
        <v>483</v>
      </c>
      <c r="H9443" s="69">
        <v>-0.35</v>
      </c>
    </row>
    <row r="9444" spans="6:8">
      <c r="F9444" s="68" t="s">
        <v>314</v>
      </c>
      <c r="G9444" s="67" t="s">
        <v>483</v>
      </c>
      <c r="H9444" s="69">
        <v>-0.3</v>
      </c>
    </row>
    <row r="9445" spans="6:8">
      <c r="F9445" s="68" t="s">
        <v>252</v>
      </c>
      <c r="G9445" s="67" t="s">
        <v>483</v>
      </c>
      <c r="H9445" s="69">
        <v>0.33</v>
      </c>
    </row>
    <row r="9446" spans="6:8">
      <c r="F9446" s="68" t="s">
        <v>124</v>
      </c>
      <c r="G9446" s="67" t="s">
        <v>483</v>
      </c>
      <c r="H9446" s="69">
        <v>-0.3</v>
      </c>
    </row>
    <row r="9447" spans="6:8">
      <c r="F9447" s="68" t="s">
        <v>123</v>
      </c>
      <c r="G9447" s="67" t="s">
        <v>483</v>
      </c>
      <c r="H9447" s="69">
        <v>-0.6</v>
      </c>
    </row>
    <row r="9448" spans="6:8">
      <c r="F9448" s="68" t="s">
        <v>122</v>
      </c>
      <c r="G9448" s="67" t="s">
        <v>483</v>
      </c>
      <c r="H9448" s="69">
        <v>-0.45</v>
      </c>
    </row>
    <row r="9449" spans="6:8">
      <c r="F9449" s="68" t="s">
        <v>420</v>
      </c>
      <c r="G9449" s="67" t="s">
        <v>483</v>
      </c>
      <c r="H9449" s="69">
        <v>3.3456170628936022</v>
      </c>
    </row>
    <row r="9450" spans="6:8">
      <c r="F9450" s="68" t="s">
        <v>251</v>
      </c>
      <c r="G9450" s="67" t="s">
        <v>483</v>
      </c>
      <c r="H9450" s="69">
        <v>0.23</v>
      </c>
    </row>
    <row r="9451" spans="6:8">
      <c r="F9451" s="68" t="s">
        <v>121</v>
      </c>
      <c r="G9451" s="67" t="s">
        <v>483</v>
      </c>
      <c r="H9451" s="69">
        <v>-0.45</v>
      </c>
    </row>
    <row r="9452" spans="6:8">
      <c r="F9452" s="68" t="s">
        <v>120</v>
      </c>
      <c r="G9452" s="67" t="s">
        <v>483</v>
      </c>
      <c r="H9452" s="69">
        <v>-0.55000000000000004</v>
      </c>
    </row>
    <row r="9453" spans="6:8">
      <c r="F9453" s="68" t="s">
        <v>119</v>
      </c>
      <c r="G9453" s="67" t="s">
        <v>483</v>
      </c>
      <c r="H9453" s="69">
        <v>-0.45</v>
      </c>
    </row>
    <row r="9454" spans="6:8">
      <c r="F9454" s="68" t="s">
        <v>119</v>
      </c>
      <c r="G9454" s="67" t="s">
        <v>484</v>
      </c>
      <c r="H9454" s="69">
        <v>-0.45</v>
      </c>
    </row>
    <row r="9455" spans="6:8">
      <c r="F9455" s="68" t="s">
        <v>120</v>
      </c>
      <c r="G9455" s="67" t="s">
        <v>484</v>
      </c>
      <c r="H9455" s="69">
        <v>-0.55000000000000004</v>
      </c>
    </row>
    <row r="9456" spans="6:8">
      <c r="F9456" s="68" t="s">
        <v>121</v>
      </c>
      <c r="G9456" s="67" t="s">
        <v>484</v>
      </c>
      <c r="H9456" s="69">
        <v>-0.45</v>
      </c>
    </row>
    <row r="9457" spans="6:8">
      <c r="F9457" s="68" t="s">
        <v>251</v>
      </c>
      <c r="G9457" s="67" t="s">
        <v>484</v>
      </c>
      <c r="H9457" s="69">
        <v>0.23</v>
      </c>
    </row>
    <row r="9458" spans="6:8">
      <c r="F9458" s="68" t="s">
        <v>420</v>
      </c>
      <c r="G9458" s="67" t="s">
        <v>484</v>
      </c>
      <c r="H9458" s="69">
        <v>3.3482463705319709</v>
      </c>
    </row>
    <row r="9459" spans="6:8">
      <c r="F9459" s="68" t="s">
        <v>122</v>
      </c>
      <c r="G9459" s="67" t="s">
        <v>484</v>
      </c>
      <c r="H9459" s="69">
        <v>-0.45</v>
      </c>
    </row>
    <row r="9460" spans="6:8">
      <c r="F9460" s="68" t="s">
        <v>123</v>
      </c>
      <c r="G9460" s="67" t="s">
        <v>484</v>
      </c>
      <c r="H9460" s="69">
        <v>-0.6</v>
      </c>
    </row>
    <row r="9461" spans="6:8">
      <c r="F9461" s="68" t="s">
        <v>124</v>
      </c>
      <c r="G9461" s="67" t="s">
        <v>484</v>
      </c>
      <c r="H9461" s="69">
        <v>-0.3</v>
      </c>
    </row>
    <row r="9462" spans="6:8">
      <c r="F9462" s="68" t="s">
        <v>252</v>
      </c>
      <c r="G9462" s="67" t="s">
        <v>484</v>
      </c>
      <c r="H9462" s="69">
        <v>0.33</v>
      </c>
    </row>
    <row r="9463" spans="6:8">
      <c r="F9463" s="68" t="s">
        <v>314</v>
      </c>
      <c r="G9463" s="67" t="s">
        <v>484</v>
      </c>
      <c r="H9463" s="69">
        <v>-0.3</v>
      </c>
    </row>
    <row r="9464" spans="6:8">
      <c r="F9464" s="68" t="s">
        <v>125</v>
      </c>
      <c r="G9464" s="67" t="s">
        <v>484</v>
      </c>
      <c r="H9464" s="69">
        <v>-0.35</v>
      </c>
    </row>
    <row r="9465" spans="6:8">
      <c r="F9465" s="68" t="s">
        <v>126</v>
      </c>
      <c r="G9465" s="67" t="s">
        <v>484</v>
      </c>
      <c r="H9465" s="69">
        <v>-0.55000000000000004</v>
      </c>
    </row>
    <row r="9466" spans="6:8">
      <c r="F9466" s="68" t="s">
        <v>127</v>
      </c>
      <c r="G9466" s="67" t="s">
        <v>484</v>
      </c>
      <c r="H9466" s="69">
        <v>-0.15</v>
      </c>
    </row>
    <row r="9467" spans="6:8">
      <c r="F9467" s="68" t="s">
        <v>253</v>
      </c>
      <c r="G9467" s="67" t="s">
        <v>484</v>
      </c>
      <c r="H9467" s="69">
        <v>0.45</v>
      </c>
    </row>
    <row r="9468" spans="6:8">
      <c r="F9468" s="68" t="s">
        <v>315</v>
      </c>
      <c r="G9468" s="67" t="s">
        <v>484</v>
      </c>
      <c r="H9468" s="69">
        <v>-0.2</v>
      </c>
    </row>
    <row r="9469" spans="6:8">
      <c r="F9469" s="68" t="s">
        <v>128</v>
      </c>
      <c r="G9469" s="67" t="s">
        <v>484</v>
      </c>
      <c r="H9469" s="69">
        <v>-0.5</v>
      </c>
    </row>
    <row r="9470" spans="6:8">
      <c r="F9470" s="68" t="s">
        <v>129</v>
      </c>
      <c r="G9470" s="67" t="s">
        <v>484</v>
      </c>
      <c r="H9470" s="69">
        <v>-0.25</v>
      </c>
    </row>
    <row r="9471" spans="6:8">
      <c r="F9471" s="68" t="s">
        <v>254</v>
      </c>
      <c r="G9471" s="67" t="s">
        <v>484</v>
      </c>
      <c r="H9471" s="69">
        <v>0.61</v>
      </c>
    </row>
    <row r="9472" spans="6:8">
      <c r="F9472" s="68" t="s">
        <v>304</v>
      </c>
      <c r="G9472" s="67" t="s">
        <v>484</v>
      </c>
      <c r="H9472" s="69">
        <v>17.875</v>
      </c>
    </row>
    <row r="9473" spans="6:8">
      <c r="F9473" s="68" t="s">
        <v>421</v>
      </c>
      <c r="G9473" s="67" t="s">
        <v>484</v>
      </c>
      <c r="H9473" s="69">
        <v>2.4594990067359213</v>
      </c>
    </row>
    <row r="9474" spans="6:8">
      <c r="F9474" s="68" t="s">
        <v>130</v>
      </c>
      <c r="G9474" s="67" t="s">
        <v>484</v>
      </c>
      <c r="H9474" s="69">
        <v>-0.6</v>
      </c>
    </row>
    <row r="9475" spans="6:8">
      <c r="F9475" s="68" t="s">
        <v>131</v>
      </c>
      <c r="G9475" s="67" t="s">
        <v>484</v>
      </c>
      <c r="H9475" s="69">
        <v>-0.3</v>
      </c>
    </row>
    <row r="9476" spans="6:8">
      <c r="F9476" s="68" t="s">
        <v>255</v>
      </c>
      <c r="G9476" s="67" t="s">
        <v>484</v>
      </c>
      <c r="H9476" s="69">
        <v>0.8</v>
      </c>
    </row>
    <row r="9477" spans="6:8">
      <c r="F9477" s="68" t="s">
        <v>303</v>
      </c>
      <c r="G9477" s="67" t="s">
        <v>484</v>
      </c>
      <c r="H9477" s="69">
        <v>19</v>
      </c>
    </row>
    <row r="9478" spans="6:8">
      <c r="F9478" s="68" t="s">
        <v>422</v>
      </c>
      <c r="G9478" s="67" t="s">
        <v>484</v>
      </c>
      <c r="H9478" s="69">
        <v>2.4656630061703044</v>
      </c>
    </row>
    <row r="9479" spans="6:8">
      <c r="F9479" s="68" t="s">
        <v>132</v>
      </c>
      <c r="G9479" s="67" t="s">
        <v>484</v>
      </c>
      <c r="H9479" s="69">
        <v>-0.55000000000000004</v>
      </c>
    </row>
    <row r="9480" spans="6:8">
      <c r="F9480" s="68" t="s">
        <v>133</v>
      </c>
      <c r="G9480" s="67" t="s">
        <v>484</v>
      </c>
      <c r="H9480" s="69">
        <v>-0.35</v>
      </c>
    </row>
    <row r="9481" spans="6:8">
      <c r="F9481" s="68" t="s">
        <v>256</v>
      </c>
      <c r="G9481" s="67" t="s">
        <v>484</v>
      </c>
      <c r="H9481" s="69">
        <v>0.95</v>
      </c>
    </row>
    <row r="9482" spans="6:8">
      <c r="F9482" s="68" t="s">
        <v>423</v>
      </c>
      <c r="G9482" s="67" t="s">
        <v>484</v>
      </c>
      <c r="H9482" s="69">
        <v>2.4791374825831713</v>
      </c>
    </row>
    <row r="9483" spans="6:8">
      <c r="F9483" s="68" t="s">
        <v>134</v>
      </c>
      <c r="G9483" s="67" t="s">
        <v>484</v>
      </c>
      <c r="H9483" s="69">
        <v>-0.55000000000000004</v>
      </c>
    </row>
    <row r="9484" spans="6:8">
      <c r="F9484" s="68" t="s">
        <v>135</v>
      </c>
      <c r="G9484" s="67" t="s">
        <v>484</v>
      </c>
      <c r="H9484" s="69">
        <v>-0.35</v>
      </c>
    </row>
    <row r="9485" spans="6:8">
      <c r="F9485" s="68" t="s">
        <v>257</v>
      </c>
      <c r="G9485" s="67" t="s">
        <v>484</v>
      </c>
      <c r="H9485" s="69">
        <v>1.03</v>
      </c>
    </row>
    <row r="9486" spans="6:8">
      <c r="F9486" s="68" t="s">
        <v>258</v>
      </c>
      <c r="G9486" s="67" t="s">
        <v>484</v>
      </c>
      <c r="H9486" s="69">
        <v>0.14000000000000001</v>
      </c>
    </row>
    <row r="9487" spans="6:8">
      <c r="F9487" s="68" t="s">
        <v>424</v>
      </c>
      <c r="G9487" s="67" t="s">
        <v>484</v>
      </c>
      <c r="H9487" s="69">
        <v>3.2060209596578737</v>
      </c>
    </row>
    <row r="9488" spans="6:8">
      <c r="F9488" s="68" t="s">
        <v>136</v>
      </c>
      <c r="G9488" s="67" t="s">
        <v>484</v>
      </c>
      <c r="H9488" s="69">
        <v>-0.5</v>
      </c>
    </row>
    <row r="9489" spans="6:8">
      <c r="F9489" s="68" t="s">
        <v>137</v>
      </c>
      <c r="G9489" s="67" t="s">
        <v>484</v>
      </c>
      <c r="H9489" s="69">
        <v>-0.55000000000000004</v>
      </c>
    </row>
    <row r="9490" spans="6:8">
      <c r="F9490" s="68" t="s">
        <v>138</v>
      </c>
      <c r="G9490" s="67" t="s">
        <v>484</v>
      </c>
      <c r="H9490" s="69">
        <v>-0.5</v>
      </c>
    </row>
    <row r="9491" spans="6:8">
      <c r="F9491" s="68" t="s">
        <v>259</v>
      </c>
      <c r="G9491" s="67" t="s">
        <v>484</v>
      </c>
      <c r="H9491" s="69">
        <v>0.17</v>
      </c>
    </row>
    <row r="9492" spans="6:8">
      <c r="F9492" s="68" t="s">
        <v>425</v>
      </c>
      <c r="G9492" s="67" t="s">
        <v>484</v>
      </c>
      <c r="H9492" s="69">
        <v>3.250326416391891</v>
      </c>
    </row>
    <row r="9493" spans="6:8">
      <c r="F9493" s="68" t="s">
        <v>425</v>
      </c>
      <c r="G9493" s="67" t="s">
        <v>485</v>
      </c>
      <c r="H9493" s="69">
        <v>3.2922340418654716</v>
      </c>
    </row>
    <row r="9494" spans="6:8">
      <c r="F9494" s="68" t="s">
        <v>259</v>
      </c>
      <c r="G9494" s="67" t="s">
        <v>485</v>
      </c>
      <c r="H9494" s="69">
        <v>0.17</v>
      </c>
    </row>
    <row r="9495" spans="6:8">
      <c r="F9495" s="68" t="s">
        <v>138</v>
      </c>
      <c r="G9495" s="67" t="s">
        <v>485</v>
      </c>
      <c r="H9495" s="69">
        <v>-0.5</v>
      </c>
    </row>
    <row r="9496" spans="6:8">
      <c r="F9496" s="68" t="s">
        <v>137</v>
      </c>
      <c r="G9496" s="67" t="s">
        <v>485</v>
      </c>
      <c r="H9496" s="69">
        <v>-0.55000000000000004</v>
      </c>
    </row>
    <row r="9497" spans="6:8">
      <c r="F9497" s="68" t="s">
        <v>136</v>
      </c>
      <c r="G9497" s="67" t="s">
        <v>485</v>
      </c>
      <c r="H9497" s="69">
        <v>-0.5</v>
      </c>
    </row>
    <row r="9498" spans="6:8">
      <c r="F9498" s="68" t="s">
        <v>424</v>
      </c>
      <c r="G9498" s="67" t="s">
        <v>485</v>
      </c>
      <c r="H9498" s="69">
        <v>3.2531971627273393</v>
      </c>
    </row>
    <row r="9499" spans="6:8">
      <c r="F9499" s="68" t="s">
        <v>258</v>
      </c>
      <c r="G9499" s="67" t="s">
        <v>485</v>
      </c>
      <c r="H9499" s="69">
        <v>0.14000000000000001</v>
      </c>
    </row>
    <row r="9500" spans="6:8">
      <c r="F9500" s="68" t="s">
        <v>257</v>
      </c>
      <c r="G9500" s="67" t="s">
        <v>485</v>
      </c>
      <c r="H9500" s="69">
        <v>1.03</v>
      </c>
    </row>
    <row r="9501" spans="6:8">
      <c r="F9501" s="68" t="s">
        <v>135</v>
      </c>
      <c r="G9501" s="67" t="s">
        <v>485</v>
      </c>
      <c r="H9501" s="69">
        <v>-0.35</v>
      </c>
    </row>
    <row r="9502" spans="6:8">
      <c r="F9502" s="68" t="s">
        <v>134</v>
      </c>
      <c r="G9502" s="67" t="s">
        <v>485</v>
      </c>
      <c r="H9502" s="69">
        <v>-0.55000000000000004</v>
      </c>
    </row>
    <row r="9503" spans="6:8">
      <c r="F9503" s="68" t="s">
        <v>423</v>
      </c>
      <c r="G9503" s="67" t="s">
        <v>485</v>
      </c>
      <c r="H9503" s="69">
        <v>2.5127309399775921</v>
      </c>
    </row>
    <row r="9504" spans="6:8">
      <c r="F9504" s="68" t="s">
        <v>256</v>
      </c>
      <c r="G9504" s="67" t="s">
        <v>485</v>
      </c>
      <c r="H9504" s="69">
        <v>0.95</v>
      </c>
    </row>
    <row r="9505" spans="6:8">
      <c r="F9505" s="68" t="s">
        <v>133</v>
      </c>
      <c r="G9505" s="67" t="s">
        <v>485</v>
      </c>
      <c r="H9505" s="69">
        <v>-0.35</v>
      </c>
    </row>
    <row r="9506" spans="6:8">
      <c r="F9506" s="68" t="s">
        <v>132</v>
      </c>
      <c r="G9506" s="67" t="s">
        <v>485</v>
      </c>
      <c r="H9506" s="69">
        <v>-0.55000000000000004</v>
      </c>
    </row>
    <row r="9507" spans="6:8">
      <c r="F9507" s="68" t="s">
        <v>422</v>
      </c>
      <c r="G9507" s="67" t="s">
        <v>485</v>
      </c>
      <c r="H9507" s="69">
        <v>2.4957128492021141</v>
      </c>
    </row>
    <row r="9508" spans="6:8">
      <c r="F9508" s="68" t="s">
        <v>303</v>
      </c>
      <c r="G9508" s="67" t="s">
        <v>485</v>
      </c>
      <c r="H9508" s="69">
        <v>19.25</v>
      </c>
    </row>
    <row r="9509" spans="6:8">
      <c r="F9509" s="68" t="s">
        <v>255</v>
      </c>
      <c r="G9509" s="67" t="s">
        <v>485</v>
      </c>
      <c r="H9509" s="69">
        <v>0.8</v>
      </c>
    </row>
    <row r="9510" spans="6:8">
      <c r="F9510" s="68" t="s">
        <v>131</v>
      </c>
      <c r="G9510" s="67" t="s">
        <v>485</v>
      </c>
      <c r="H9510" s="69">
        <v>-0.3</v>
      </c>
    </row>
    <row r="9511" spans="6:8">
      <c r="F9511" s="68" t="s">
        <v>130</v>
      </c>
      <c r="G9511" s="67" t="s">
        <v>485</v>
      </c>
      <c r="H9511" s="69">
        <v>-0.6</v>
      </c>
    </row>
    <row r="9512" spans="6:8">
      <c r="F9512" s="68" t="s">
        <v>421</v>
      </c>
      <c r="G9512" s="67" t="s">
        <v>485</v>
      </c>
      <c r="H9512" s="69">
        <v>2.489576364763213</v>
      </c>
    </row>
    <row r="9513" spans="6:8">
      <c r="F9513" s="68" t="s">
        <v>304</v>
      </c>
      <c r="G9513" s="67" t="s">
        <v>485</v>
      </c>
      <c r="H9513" s="69">
        <v>18.09375</v>
      </c>
    </row>
    <row r="9514" spans="6:8">
      <c r="F9514" s="68" t="s">
        <v>254</v>
      </c>
      <c r="G9514" s="67" t="s">
        <v>485</v>
      </c>
      <c r="H9514" s="69">
        <v>0.61</v>
      </c>
    </row>
    <row r="9515" spans="6:8">
      <c r="F9515" s="68" t="s">
        <v>129</v>
      </c>
      <c r="G9515" s="67" t="s">
        <v>485</v>
      </c>
      <c r="H9515" s="69">
        <v>-0.25</v>
      </c>
    </row>
    <row r="9516" spans="6:8">
      <c r="F9516" s="68" t="s">
        <v>128</v>
      </c>
      <c r="G9516" s="67" t="s">
        <v>485</v>
      </c>
      <c r="H9516" s="69">
        <v>-0.5</v>
      </c>
    </row>
    <row r="9517" spans="6:8">
      <c r="F9517" s="68" t="s">
        <v>315</v>
      </c>
      <c r="G9517" s="67" t="s">
        <v>485</v>
      </c>
      <c r="H9517" s="69">
        <v>-0.2</v>
      </c>
    </row>
    <row r="9518" spans="6:8">
      <c r="F9518" s="68" t="s">
        <v>253</v>
      </c>
      <c r="G9518" s="67" t="s">
        <v>485</v>
      </c>
      <c r="H9518" s="69">
        <v>0.45</v>
      </c>
    </row>
    <row r="9519" spans="6:8">
      <c r="F9519" s="68" t="s">
        <v>127</v>
      </c>
      <c r="G9519" s="67" t="s">
        <v>485</v>
      </c>
      <c r="H9519" s="69">
        <v>-0.15</v>
      </c>
    </row>
    <row r="9520" spans="6:8">
      <c r="F9520" s="68" t="s">
        <v>126</v>
      </c>
      <c r="G9520" s="67" t="s">
        <v>485</v>
      </c>
      <c r="H9520" s="69">
        <v>-0.55000000000000004</v>
      </c>
    </row>
    <row r="9521" spans="6:8">
      <c r="F9521" s="68" t="s">
        <v>125</v>
      </c>
      <c r="G9521" s="67" t="s">
        <v>485</v>
      </c>
      <c r="H9521" s="69">
        <v>-0.35</v>
      </c>
    </row>
    <row r="9522" spans="6:8">
      <c r="F9522" s="68" t="s">
        <v>314</v>
      </c>
      <c r="G9522" s="67" t="s">
        <v>485</v>
      </c>
      <c r="H9522" s="69">
        <v>-0.3</v>
      </c>
    </row>
    <row r="9523" spans="6:8">
      <c r="F9523" s="68" t="s">
        <v>252</v>
      </c>
      <c r="G9523" s="67" t="s">
        <v>485</v>
      </c>
      <c r="H9523" s="69">
        <v>0.33</v>
      </c>
    </row>
    <row r="9524" spans="6:8">
      <c r="F9524" s="68" t="s">
        <v>124</v>
      </c>
      <c r="G9524" s="67" t="s">
        <v>485</v>
      </c>
      <c r="H9524" s="69">
        <v>-0.3</v>
      </c>
    </row>
    <row r="9525" spans="6:8">
      <c r="F9525" s="68" t="s">
        <v>123</v>
      </c>
      <c r="G9525" s="67" t="s">
        <v>485</v>
      </c>
      <c r="H9525" s="69">
        <v>-0.6</v>
      </c>
    </row>
    <row r="9526" spans="6:8">
      <c r="F9526" s="68" t="s">
        <v>122</v>
      </c>
      <c r="G9526" s="67" t="s">
        <v>485</v>
      </c>
      <c r="H9526" s="69">
        <v>-0.45</v>
      </c>
    </row>
    <row r="9527" spans="6:8">
      <c r="F9527" s="68" t="s">
        <v>420</v>
      </c>
      <c r="G9527" s="67" t="s">
        <v>485</v>
      </c>
      <c r="H9527" s="69">
        <v>3.3897329963191059</v>
      </c>
    </row>
    <row r="9528" spans="6:8">
      <c r="F9528" s="68" t="s">
        <v>251</v>
      </c>
      <c r="G9528" s="67" t="s">
        <v>485</v>
      </c>
      <c r="H9528" s="69">
        <v>0.23</v>
      </c>
    </row>
    <row r="9529" spans="6:8">
      <c r="F9529" s="68" t="s">
        <v>121</v>
      </c>
      <c r="G9529" s="67" t="s">
        <v>485</v>
      </c>
      <c r="H9529" s="69">
        <v>-0.45</v>
      </c>
    </row>
    <row r="9530" spans="6:8">
      <c r="F9530" s="68" t="s">
        <v>120</v>
      </c>
      <c r="G9530" s="67" t="s">
        <v>485</v>
      </c>
      <c r="H9530" s="69">
        <v>-0.55000000000000004</v>
      </c>
    </row>
    <row r="9531" spans="6:8">
      <c r="F9531" s="68" t="s">
        <v>119</v>
      </c>
      <c r="G9531" s="67" t="s">
        <v>485</v>
      </c>
      <c r="H9531" s="69">
        <v>-0.45</v>
      </c>
    </row>
    <row r="9532" spans="6:8">
      <c r="F9532" s="68" t="s">
        <v>119</v>
      </c>
      <c r="G9532" s="67" t="s">
        <v>486</v>
      </c>
      <c r="H9532" s="69">
        <v>-0.45</v>
      </c>
    </row>
    <row r="9533" spans="6:8">
      <c r="F9533" s="68" t="s">
        <v>120</v>
      </c>
      <c r="G9533" s="67" t="s">
        <v>486</v>
      </c>
      <c r="H9533" s="69">
        <v>-0.55000000000000004</v>
      </c>
    </row>
    <row r="9534" spans="6:8">
      <c r="F9534" s="68" t="s">
        <v>121</v>
      </c>
      <c r="G9534" s="67" t="s">
        <v>486</v>
      </c>
      <c r="H9534" s="69">
        <v>-0.45</v>
      </c>
    </row>
    <row r="9535" spans="6:8">
      <c r="F9535" s="68" t="s">
        <v>251</v>
      </c>
      <c r="G9535" s="67" t="s">
        <v>486</v>
      </c>
      <c r="H9535" s="69">
        <v>0.23</v>
      </c>
    </row>
    <row r="9536" spans="6:8">
      <c r="F9536" s="68" t="s">
        <v>420</v>
      </c>
      <c r="G9536" s="67" t="s">
        <v>486</v>
      </c>
      <c r="H9536" s="69">
        <v>3.3453303632439368</v>
      </c>
    </row>
    <row r="9537" spans="6:8">
      <c r="F9537" s="68" t="s">
        <v>122</v>
      </c>
      <c r="G9537" s="67" t="s">
        <v>486</v>
      </c>
      <c r="H9537" s="69">
        <v>-0.45</v>
      </c>
    </row>
    <row r="9538" spans="6:8">
      <c r="F9538" s="68" t="s">
        <v>123</v>
      </c>
      <c r="G9538" s="67" t="s">
        <v>486</v>
      </c>
      <c r="H9538" s="69">
        <v>-0.6</v>
      </c>
    </row>
    <row r="9539" spans="6:8">
      <c r="F9539" s="68" t="s">
        <v>124</v>
      </c>
      <c r="G9539" s="67" t="s">
        <v>486</v>
      </c>
      <c r="H9539" s="69">
        <v>-0.3</v>
      </c>
    </row>
    <row r="9540" spans="6:8">
      <c r="F9540" s="68" t="s">
        <v>252</v>
      </c>
      <c r="G9540" s="67" t="s">
        <v>486</v>
      </c>
      <c r="H9540" s="69">
        <v>0.33</v>
      </c>
    </row>
    <row r="9541" spans="6:8">
      <c r="F9541" s="68" t="s">
        <v>314</v>
      </c>
      <c r="G9541" s="67" t="s">
        <v>486</v>
      </c>
      <c r="H9541" s="69">
        <v>-0.3</v>
      </c>
    </row>
    <row r="9542" spans="6:8">
      <c r="F9542" s="68" t="s">
        <v>125</v>
      </c>
      <c r="G9542" s="67" t="s">
        <v>486</v>
      </c>
      <c r="H9542" s="69">
        <v>-0.35</v>
      </c>
    </row>
    <row r="9543" spans="6:8">
      <c r="F9543" s="68" t="s">
        <v>126</v>
      </c>
      <c r="G9543" s="67" t="s">
        <v>486</v>
      </c>
      <c r="H9543" s="69">
        <v>-0.55000000000000004</v>
      </c>
    </row>
    <row r="9544" spans="6:8">
      <c r="F9544" s="68" t="s">
        <v>127</v>
      </c>
      <c r="G9544" s="67" t="s">
        <v>486</v>
      </c>
      <c r="H9544" s="69">
        <v>-0.15</v>
      </c>
    </row>
    <row r="9545" spans="6:8">
      <c r="F9545" s="68" t="s">
        <v>253</v>
      </c>
      <c r="G9545" s="67" t="s">
        <v>486</v>
      </c>
      <c r="H9545" s="69">
        <v>0.45</v>
      </c>
    </row>
    <row r="9546" spans="6:8">
      <c r="F9546" s="68" t="s">
        <v>315</v>
      </c>
      <c r="G9546" s="67" t="s">
        <v>486</v>
      </c>
      <c r="H9546" s="69">
        <v>-0.2</v>
      </c>
    </row>
    <row r="9547" spans="6:8">
      <c r="F9547" s="68" t="s">
        <v>128</v>
      </c>
      <c r="G9547" s="67" t="s">
        <v>486</v>
      </c>
      <c r="H9547" s="69">
        <v>-0.5</v>
      </c>
    </row>
    <row r="9548" spans="6:8">
      <c r="F9548" s="68" t="s">
        <v>129</v>
      </c>
      <c r="G9548" s="67" t="s">
        <v>486</v>
      </c>
      <c r="H9548" s="69">
        <v>-0.25</v>
      </c>
    </row>
    <row r="9549" spans="6:8">
      <c r="F9549" s="68" t="s">
        <v>254</v>
      </c>
      <c r="G9549" s="67" t="s">
        <v>486</v>
      </c>
      <c r="H9549" s="69">
        <v>0.61</v>
      </c>
    </row>
    <row r="9550" spans="6:8">
      <c r="F9550" s="68" t="s">
        <v>304</v>
      </c>
      <c r="G9550" s="67" t="s">
        <v>486</v>
      </c>
      <c r="H9550" s="69">
        <v>17.875</v>
      </c>
    </row>
    <row r="9551" spans="6:8">
      <c r="F9551" s="68" t="s">
        <v>421</v>
      </c>
      <c r="G9551" s="67" t="s">
        <v>486</v>
      </c>
      <c r="H9551" s="69">
        <v>2.4469635086927788</v>
      </c>
    </row>
    <row r="9552" spans="6:8">
      <c r="F9552" s="68" t="s">
        <v>130</v>
      </c>
      <c r="G9552" s="67" t="s">
        <v>486</v>
      </c>
      <c r="H9552" s="69">
        <v>-0.6</v>
      </c>
    </row>
    <row r="9553" spans="6:8">
      <c r="F9553" s="68" t="s">
        <v>131</v>
      </c>
      <c r="G9553" s="67" t="s">
        <v>486</v>
      </c>
      <c r="H9553" s="69">
        <v>-0.3</v>
      </c>
    </row>
    <row r="9554" spans="6:8">
      <c r="F9554" s="68" t="s">
        <v>255</v>
      </c>
      <c r="G9554" s="67" t="s">
        <v>486</v>
      </c>
      <c r="H9554" s="69">
        <v>0.8</v>
      </c>
    </row>
    <row r="9555" spans="6:8">
      <c r="F9555" s="68" t="s">
        <v>303</v>
      </c>
      <c r="G9555" s="67" t="s">
        <v>486</v>
      </c>
      <c r="H9555" s="69">
        <v>19.0625</v>
      </c>
    </row>
    <row r="9556" spans="6:8">
      <c r="F9556" s="68" t="s">
        <v>422</v>
      </c>
      <c r="G9556" s="67" t="s">
        <v>486</v>
      </c>
      <c r="H9556" s="69">
        <v>2.4530787823201283</v>
      </c>
    </row>
    <row r="9557" spans="6:8">
      <c r="F9557" s="68" t="s">
        <v>132</v>
      </c>
      <c r="G9557" s="67" t="s">
        <v>486</v>
      </c>
      <c r="H9557" s="69">
        <v>-0.55000000000000004</v>
      </c>
    </row>
    <row r="9558" spans="6:8">
      <c r="F9558" s="68" t="s">
        <v>133</v>
      </c>
      <c r="G9558" s="67" t="s">
        <v>486</v>
      </c>
      <c r="H9558" s="69">
        <v>-0.35</v>
      </c>
    </row>
    <row r="9559" spans="6:8">
      <c r="F9559" s="68" t="s">
        <v>256</v>
      </c>
      <c r="G9559" s="67" t="s">
        <v>486</v>
      </c>
      <c r="H9559" s="69">
        <v>0.95</v>
      </c>
    </row>
    <row r="9560" spans="6:8">
      <c r="F9560" s="68" t="s">
        <v>423</v>
      </c>
      <c r="G9560" s="67" t="s">
        <v>486</v>
      </c>
      <c r="H9560" s="69">
        <v>2.4713228881463323</v>
      </c>
    </row>
    <row r="9561" spans="6:8">
      <c r="F9561" s="68" t="s">
        <v>134</v>
      </c>
      <c r="G9561" s="67" t="s">
        <v>486</v>
      </c>
      <c r="H9561" s="69">
        <v>-0.55000000000000004</v>
      </c>
    </row>
    <row r="9562" spans="6:8">
      <c r="F9562" s="68" t="s">
        <v>135</v>
      </c>
      <c r="G9562" s="67" t="s">
        <v>486</v>
      </c>
      <c r="H9562" s="69">
        <v>-0.35</v>
      </c>
    </row>
    <row r="9563" spans="6:8">
      <c r="F9563" s="68" t="s">
        <v>257</v>
      </c>
      <c r="G9563" s="67" t="s">
        <v>486</v>
      </c>
      <c r="H9563" s="69">
        <v>1.03</v>
      </c>
    </row>
    <row r="9564" spans="6:8">
      <c r="F9564" s="68" t="s">
        <v>258</v>
      </c>
      <c r="G9564" s="67" t="s">
        <v>486</v>
      </c>
      <c r="H9564" s="69">
        <v>0.14000000000000001</v>
      </c>
    </row>
    <row r="9565" spans="6:8">
      <c r="F9565" s="68" t="s">
        <v>424</v>
      </c>
      <c r="G9565" s="67" t="s">
        <v>486</v>
      </c>
      <c r="H9565" s="69">
        <v>3.2201165198998183</v>
      </c>
    </row>
    <row r="9566" spans="6:8">
      <c r="F9566" s="68" t="s">
        <v>136</v>
      </c>
      <c r="G9566" s="67" t="s">
        <v>486</v>
      </c>
      <c r="H9566" s="69">
        <v>-0.5</v>
      </c>
    </row>
    <row r="9567" spans="6:8">
      <c r="F9567" s="68" t="s">
        <v>137</v>
      </c>
      <c r="G9567" s="67" t="s">
        <v>486</v>
      </c>
      <c r="H9567" s="69">
        <v>-0.55000000000000004</v>
      </c>
    </row>
    <row r="9568" spans="6:8">
      <c r="F9568" s="68" t="s">
        <v>138</v>
      </c>
      <c r="G9568" s="67" t="s">
        <v>486</v>
      </c>
      <c r="H9568" s="69">
        <v>-0.5</v>
      </c>
    </row>
    <row r="9569" spans="6:8">
      <c r="F9569" s="68" t="s">
        <v>259</v>
      </c>
      <c r="G9569" s="67" t="s">
        <v>486</v>
      </c>
      <c r="H9569" s="69">
        <v>0.17</v>
      </c>
    </row>
    <row r="9570" spans="6:8">
      <c r="F9570" s="68" t="s">
        <v>425</v>
      </c>
      <c r="G9570" s="67" t="s">
        <v>486</v>
      </c>
      <c r="H9570" s="69">
        <v>3.2551663623084703</v>
      </c>
    </row>
    <row r="9571" spans="6:8">
      <c r="F9571" s="68" t="s">
        <v>425</v>
      </c>
      <c r="G9571" s="67" t="s">
        <v>487</v>
      </c>
      <c r="H9571" s="69">
        <v>3.1598373787335543</v>
      </c>
    </row>
    <row r="9572" spans="6:8">
      <c r="F9572" s="68" t="s">
        <v>259</v>
      </c>
      <c r="G9572" s="67" t="s">
        <v>487</v>
      </c>
      <c r="H9572" s="69">
        <v>0.17</v>
      </c>
    </row>
    <row r="9573" spans="6:8">
      <c r="F9573" s="68" t="s">
        <v>138</v>
      </c>
      <c r="G9573" s="67" t="s">
        <v>487</v>
      </c>
      <c r="H9573" s="69">
        <v>-0.5</v>
      </c>
    </row>
    <row r="9574" spans="6:8">
      <c r="F9574" s="68" t="s">
        <v>137</v>
      </c>
      <c r="G9574" s="67" t="s">
        <v>487</v>
      </c>
      <c r="H9574" s="69">
        <v>-0.55000000000000004</v>
      </c>
    </row>
    <row r="9575" spans="6:8">
      <c r="F9575" s="68" t="s">
        <v>136</v>
      </c>
      <c r="G9575" s="67" t="s">
        <v>487</v>
      </c>
      <c r="H9575" s="69">
        <v>-0.5</v>
      </c>
    </row>
    <row r="9576" spans="6:8">
      <c r="F9576" s="68" t="s">
        <v>424</v>
      </c>
      <c r="G9576" s="67" t="s">
        <v>487</v>
      </c>
      <c r="H9576" s="69">
        <v>3.131965366585554</v>
      </c>
    </row>
    <row r="9577" spans="6:8">
      <c r="F9577" s="68" t="s">
        <v>258</v>
      </c>
      <c r="G9577" s="67" t="s">
        <v>487</v>
      </c>
      <c r="H9577" s="69">
        <v>0.14000000000000001</v>
      </c>
    </row>
    <row r="9578" spans="6:8">
      <c r="F9578" s="68" t="s">
        <v>257</v>
      </c>
      <c r="G9578" s="67" t="s">
        <v>487</v>
      </c>
      <c r="H9578" s="69">
        <v>1.02</v>
      </c>
    </row>
    <row r="9579" spans="6:8">
      <c r="F9579" s="68" t="s">
        <v>135</v>
      </c>
      <c r="G9579" s="67" t="s">
        <v>487</v>
      </c>
      <c r="H9579" s="69">
        <v>-0.35</v>
      </c>
    </row>
    <row r="9580" spans="6:8">
      <c r="F9580" s="68" t="s">
        <v>134</v>
      </c>
      <c r="G9580" s="67" t="s">
        <v>487</v>
      </c>
      <c r="H9580" s="69">
        <v>-0.55000000000000004</v>
      </c>
    </row>
    <row r="9581" spans="6:8">
      <c r="F9581" s="68" t="s">
        <v>423</v>
      </c>
      <c r="G9581" s="67" t="s">
        <v>487</v>
      </c>
      <c r="H9581" s="69">
        <v>2.377130208165612</v>
      </c>
    </row>
    <row r="9582" spans="6:8">
      <c r="F9582" s="68" t="s">
        <v>256</v>
      </c>
      <c r="G9582" s="67" t="s">
        <v>487</v>
      </c>
      <c r="H9582" s="69">
        <v>0.94</v>
      </c>
    </row>
    <row r="9583" spans="6:8">
      <c r="F9583" s="68" t="s">
        <v>133</v>
      </c>
      <c r="G9583" s="67" t="s">
        <v>487</v>
      </c>
      <c r="H9583" s="69">
        <v>-0.35</v>
      </c>
    </row>
    <row r="9584" spans="6:8">
      <c r="F9584" s="68" t="s">
        <v>132</v>
      </c>
      <c r="G9584" s="67" t="s">
        <v>487</v>
      </c>
      <c r="H9584" s="69">
        <v>-0.55000000000000004</v>
      </c>
    </row>
    <row r="9585" spans="6:8">
      <c r="F9585" s="68" t="s">
        <v>422</v>
      </c>
      <c r="G9585" s="67" t="s">
        <v>487</v>
      </c>
      <c r="H9585" s="69">
        <v>2.3540636302330942</v>
      </c>
    </row>
    <row r="9586" spans="6:8">
      <c r="F9586" s="68" t="s">
        <v>303</v>
      </c>
      <c r="G9586" s="67" t="s">
        <v>487</v>
      </c>
      <c r="H9586" s="69">
        <v>19</v>
      </c>
    </row>
    <row r="9587" spans="6:8">
      <c r="F9587" s="68" t="s">
        <v>255</v>
      </c>
      <c r="G9587" s="67" t="s">
        <v>487</v>
      </c>
      <c r="H9587" s="69">
        <v>0.79</v>
      </c>
    </row>
    <row r="9588" spans="6:8">
      <c r="F9588" s="68" t="s">
        <v>131</v>
      </c>
      <c r="G9588" s="67" t="s">
        <v>487</v>
      </c>
      <c r="H9588" s="69">
        <v>-0.3</v>
      </c>
    </row>
    <row r="9589" spans="6:8">
      <c r="F9589" s="68" t="s">
        <v>130</v>
      </c>
      <c r="G9589" s="67" t="s">
        <v>487</v>
      </c>
      <c r="H9589" s="69">
        <v>-0.6</v>
      </c>
    </row>
    <row r="9590" spans="6:8">
      <c r="F9590" s="68" t="s">
        <v>421</v>
      </c>
      <c r="G9590" s="67" t="s">
        <v>487</v>
      </c>
      <c r="H9590" s="69">
        <v>2.3479755424791637</v>
      </c>
    </row>
    <row r="9591" spans="6:8">
      <c r="F9591" s="68" t="s">
        <v>304</v>
      </c>
      <c r="G9591" s="67" t="s">
        <v>487</v>
      </c>
      <c r="H9591" s="69">
        <v>17.75</v>
      </c>
    </row>
    <row r="9592" spans="6:8">
      <c r="F9592" s="68" t="s">
        <v>254</v>
      </c>
      <c r="G9592" s="67" t="s">
        <v>487</v>
      </c>
      <c r="H9592" s="69">
        <v>0.6</v>
      </c>
    </row>
    <row r="9593" spans="6:8">
      <c r="F9593" s="68" t="s">
        <v>129</v>
      </c>
      <c r="G9593" s="67" t="s">
        <v>487</v>
      </c>
      <c r="H9593" s="69">
        <v>-0.25</v>
      </c>
    </row>
    <row r="9594" spans="6:8">
      <c r="F9594" s="68" t="s">
        <v>128</v>
      </c>
      <c r="G9594" s="67" t="s">
        <v>487</v>
      </c>
      <c r="H9594" s="69">
        <v>-0.5</v>
      </c>
    </row>
    <row r="9595" spans="6:8">
      <c r="F9595" s="68" t="s">
        <v>315</v>
      </c>
      <c r="G9595" s="67" t="s">
        <v>487</v>
      </c>
      <c r="H9595" s="69">
        <v>-0.15</v>
      </c>
    </row>
    <row r="9596" spans="6:8">
      <c r="F9596" s="68" t="s">
        <v>253</v>
      </c>
      <c r="G9596" s="67" t="s">
        <v>487</v>
      </c>
      <c r="H9596" s="69">
        <v>0.43</v>
      </c>
    </row>
    <row r="9597" spans="6:8">
      <c r="F9597" s="68" t="s">
        <v>127</v>
      </c>
      <c r="G9597" s="67" t="s">
        <v>487</v>
      </c>
      <c r="H9597" s="69">
        <v>-0.15</v>
      </c>
    </row>
    <row r="9598" spans="6:8">
      <c r="F9598" s="68" t="s">
        <v>126</v>
      </c>
      <c r="G9598" s="67" t="s">
        <v>487</v>
      </c>
      <c r="H9598" s="69">
        <v>-0.55000000000000004</v>
      </c>
    </row>
    <row r="9599" spans="6:8">
      <c r="F9599" s="68" t="s">
        <v>125</v>
      </c>
      <c r="G9599" s="67" t="s">
        <v>487</v>
      </c>
      <c r="H9599" s="69">
        <v>-0.35</v>
      </c>
    </row>
    <row r="9600" spans="6:8">
      <c r="F9600" s="68" t="s">
        <v>314</v>
      </c>
      <c r="G9600" s="67" t="s">
        <v>487</v>
      </c>
      <c r="H9600" s="69">
        <v>-0.3</v>
      </c>
    </row>
    <row r="9601" spans="6:8">
      <c r="F9601" s="68" t="s">
        <v>252</v>
      </c>
      <c r="G9601" s="67" t="s">
        <v>487</v>
      </c>
      <c r="H9601" s="69">
        <v>0.31</v>
      </c>
    </row>
    <row r="9602" spans="6:8">
      <c r="F9602" s="68" t="s">
        <v>124</v>
      </c>
      <c r="G9602" s="67" t="s">
        <v>487</v>
      </c>
      <c r="H9602" s="69">
        <v>-0.3</v>
      </c>
    </row>
    <row r="9603" spans="6:8">
      <c r="F9603" s="68" t="s">
        <v>123</v>
      </c>
      <c r="G9603" s="67" t="s">
        <v>487</v>
      </c>
      <c r="H9603" s="69">
        <v>-0.6</v>
      </c>
    </row>
    <row r="9604" spans="6:8">
      <c r="F9604" s="68" t="s">
        <v>122</v>
      </c>
      <c r="G9604" s="67" t="s">
        <v>487</v>
      </c>
      <c r="H9604" s="69">
        <v>-0.45</v>
      </c>
    </row>
    <row r="9605" spans="6:8">
      <c r="F9605" s="68" t="s">
        <v>420</v>
      </c>
      <c r="G9605" s="67" t="s">
        <v>487</v>
      </c>
      <c r="H9605" s="69">
        <v>3.2546149111271294</v>
      </c>
    </row>
    <row r="9606" spans="6:8">
      <c r="F9606" s="68" t="s">
        <v>251</v>
      </c>
      <c r="G9606" s="67" t="s">
        <v>487</v>
      </c>
      <c r="H9606" s="69">
        <v>0.23</v>
      </c>
    </row>
    <row r="9607" spans="6:8">
      <c r="F9607" s="68" t="s">
        <v>121</v>
      </c>
      <c r="G9607" s="67" t="s">
        <v>487</v>
      </c>
      <c r="H9607" s="69">
        <v>-0.45</v>
      </c>
    </row>
    <row r="9608" spans="6:8">
      <c r="F9608" s="68" t="s">
        <v>120</v>
      </c>
      <c r="G9608" s="67" t="s">
        <v>487</v>
      </c>
      <c r="H9608" s="69">
        <v>-0.55000000000000004</v>
      </c>
    </row>
    <row r="9609" spans="6:8">
      <c r="F9609" s="68" t="s">
        <v>119</v>
      </c>
      <c r="G9609" s="67" t="s">
        <v>487</v>
      </c>
      <c r="H9609" s="69">
        <v>-0.45</v>
      </c>
    </row>
    <row r="9610" spans="6:8">
      <c r="F9610" s="68" t="s">
        <v>119</v>
      </c>
      <c r="G9610" s="67" t="s">
        <v>488</v>
      </c>
      <c r="H9610" s="69">
        <v>-0.45</v>
      </c>
    </row>
    <row r="9611" spans="6:8">
      <c r="F9611" s="68" t="s">
        <v>120</v>
      </c>
      <c r="G9611" s="67" t="s">
        <v>488</v>
      </c>
      <c r="H9611" s="69">
        <v>-0.55000000000000004</v>
      </c>
    </row>
    <row r="9612" spans="6:8">
      <c r="F9612" s="68" t="s">
        <v>121</v>
      </c>
      <c r="G9612" s="67" t="s">
        <v>488</v>
      </c>
      <c r="H9612" s="69">
        <v>-0.45</v>
      </c>
    </row>
    <row r="9613" spans="6:8">
      <c r="F9613" s="68" t="s">
        <v>251</v>
      </c>
      <c r="G9613" s="67" t="s">
        <v>488</v>
      </c>
      <c r="H9613" s="69">
        <v>0.23</v>
      </c>
    </row>
    <row r="9614" spans="6:8">
      <c r="F9614" s="68" t="s">
        <v>420</v>
      </c>
      <c r="G9614" s="67" t="s">
        <v>488</v>
      </c>
      <c r="H9614" s="69">
        <v>3.258567571660631</v>
      </c>
    </row>
    <row r="9615" spans="6:8">
      <c r="F9615" s="68" t="s">
        <v>122</v>
      </c>
      <c r="G9615" s="67" t="s">
        <v>488</v>
      </c>
      <c r="H9615" s="69">
        <v>-0.45</v>
      </c>
    </row>
    <row r="9616" spans="6:8">
      <c r="F9616" s="68" t="s">
        <v>123</v>
      </c>
      <c r="G9616" s="67" t="s">
        <v>488</v>
      </c>
      <c r="H9616" s="69">
        <v>-0.6</v>
      </c>
    </row>
    <row r="9617" spans="6:8">
      <c r="F9617" s="68" t="s">
        <v>124</v>
      </c>
      <c r="G9617" s="67" t="s">
        <v>488</v>
      </c>
      <c r="H9617" s="69">
        <v>-0.3</v>
      </c>
    </row>
    <row r="9618" spans="6:8">
      <c r="F9618" s="68" t="s">
        <v>252</v>
      </c>
      <c r="G9618" s="67" t="s">
        <v>488</v>
      </c>
      <c r="H9618" s="69">
        <v>0.31</v>
      </c>
    </row>
    <row r="9619" spans="6:8">
      <c r="F9619" s="68" t="s">
        <v>314</v>
      </c>
      <c r="G9619" s="67" t="s">
        <v>488</v>
      </c>
      <c r="H9619" s="69">
        <v>-0.3</v>
      </c>
    </row>
    <row r="9620" spans="6:8">
      <c r="F9620" s="68" t="s">
        <v>125</v>
      </c>
      <c r="G9620" s="67" t="s">
        <v>488</v>
      </c>
      <c r="H9620" s="69">
        <v>-0.35</v>
      </c>
    </row>
    <row r="9621" spans="6:8">
      <c r="F9621" s="68" t="s">
        <v>126</v>
      </c>
      <c r="G9621" s="67" t="s">
        <v>488</v>
      </c>
      <c r="H9621" s="69">
        <v>-0.55000000000000004</v>
      </c>
    </row>
    <row r="9622" spans="6:8">
      <c r="F9622" s="68" t="s">
        <v>127</v>
      </c>
      <c r="G9622" s="67" t="s">
        <v>488</v>
      </c>
      <c r="H9622" s="69">
        <v>-0.15</v>
      </c>
    </row>
    <row r="9623" spans="6:8">
      <c r="F9623" s="68" t="s">
        <v>253</v>
      </c>
      <c r="G9623" s="67" t="s">
        <v>488</v>
      </c>
      <c r="H9623" s="69">
        <v>0.43</v>
      </c>
    </row>
    <row r="9624" spans="6:8">
      <c r="F9624" s="68" t="s">
        <v>315</v>
      </c>
      <c r="G9624" s="67" t="s">
        <v>488</v>
      </c>
      <c r="H9624" s="69">
        <v>-0.15</v>
      </c>
    </row>
    <row r="9625" spans="6:8">
      <c r="F9625" s="68" t="s">
        <v>128</v>
      </c>
      <c r="G9625" s="67" t="s">
        <v>488</v>
      </c>
      <c r="H9625" s="69">
        <v>-0.5</v>
      </c>
    </row>
    <row r="9626" spans="6:8">
      <c r="F9626" s="68" t="s">
        <v>129</v>
      </c>
      <c r="G9626" s="67" t="s">
        <v>488</v>
      </c>
      <c r="H9626" s="69">
        <v>-0.25</v>
      </c>
    </row>
    <row r="9627" spans="6:8">
      <c r="F9627" s="68" t="s">
        <v>254</v>
      </c>
      <c r="G9627" s="67" t="s">
        <v>488</v>
      </c>
      <c r="H9627" s="69">
        <v>0.6</v>
      </c>
    </row>
    <row r="9628" spans="6:8">
      <c r="F9628" s="68" t="s">
        <v>304</v>
      </c>
      <c r="G9628" s="67" t="s">
        <v>488</v>
      </c>
      <c r="H9628" s="69">
        <v>17.71875</v>
      </c>
    </row>
    <row r="9629" spans="6:8">
      <c r="F9629" s="68" t="s">
        <v>421</v>
      </c>
      <c r="G9629" s="67" t="s">
        <v>488</v>
      </c>
      <c r="H9629" s="69">
        <v>2.336132175238248</v>
      </c>
    </row>
    <row r="9630" spans="6:8">
      <c r="F9630" s="68" t="s">
        <v>130</v>
      </c>
      <c r="G9630" s="67" t="s">
        <v>488</v>
      </c>
      <c r="H9630" s="69">
        <v>-0.6</v>
      </c>
    </row>
    <row r="9631" spans="6:8">
      <c r="F9631" s="68" t="s">
        <v>131</v>
      </c>
      <c r="G9631" s="67" t="s">
        <v>488</v>
      </c>
      <c r="H9631" s="69">
        <v>-0.3</v>
      </c>
    </row>
    <row r="9632" spans="6:8">
      <c r="F9632" s="68" t="s">
        <v>255</v>
      </c>
      <c r="G9632" s="67" t="s">
        <v>488</v>
      </c>
      <c r="H9632" s="69">
        <v>0.79</v>
      </c>
    </row>
    <row r="9633" spans="6:8">
      <c r="F9633" s="68" t="s">
        <v>303</v>
      </c>
      <c r="G9633" s="67" t="s">
        <v>488</v>
      </c>
      <c r="H9633" s="69">
        <v>18.9375</v>
      </c>
    </row>
    <row r="9634" spans="6:8">
      <c r="F9634" s="68" t="s">
        <v>422</v>
      </c>
      <c r="G9634" s="67" t="s">
        <v>488</v>
      </c>
      <c r="H9634" s="69">
        <v>2.3422967773186087</v>
      </c>
    </row>
    <row r="9635" spans="6:8">
      <c r="F9635" s="68" t="s">
        <v>132</v>
      </c>
      <c r="G9635" s="67" t="s">
        <v>488</v>
      </c>
      <c r="H9635" s="69">
        <v>-0.55000000000000004</v>
      </c>
    </row>
    <row r="9636" spans="6:8">
      <c r="F9636" s="68" t="s">
        <v>133</v>
      </c>
      <c r="G9636" s="67" t="s">
        <v>488</v>
      </c>
      <c r="H9636" s="69">
        <v>-0.35</v>
      </c>
    </row>
    <row r="9637" spans="6:8">
      <c r="F9637" s="68" t="s">
        <v>256</v>
      </c>
      <c r="G9637" s="67" t="s">
        <v>488</v>
      </c>
      <c r="H9637" s="69">
        <v>0.94</v>
      </c>
    </row>
    <row r="9638" spans="6:8">
      <c r="F9638" s="68" t="s">
        <v>423</v>
      </c>
      <c r="G9638" s="67" t="s">
        <v>488</v>
      </c>
      <c r="H9638" s="69">
        <v>2.3694388307577974</v>
      </c>
    </row>
    <row r="9639" spans="6:8">
      <c r="F9639" s="68" t="s">
        <v>134</v>
      </c>
      <c r="G9639" s="67" t="s">
        <v>488</v>
      </c>
      <c r="H9639" s="69">
        <v>-0.55000000000000004</v>
      </c>
    </row>
    <row r="9640" spans="6:8">
      <c r="F9640" s="68" t="s">
        <v>135</v>
      </c>
      <c r="G9640" s="67" t="s">
        <v>488</v>
      </c>
      <c r="H9640" s="69">
        <v>-0.35</v>
      </c>
    </row>
    <row r="9641" spans="6:8">
      <c r="F9641" s="68" t="s">
        <v>257</v>
      </c>
      <c r="G9641" s="67" t="s">
        <v>488</v>
      </c>
      <c r="H9641" s="69">
        <v>1.02</v>
      </c>
    </row>
    <row r="9642" spans="6:8">
      <c r="F9642" s="68" t="s">
        <v>258</v>
      </c>
      <c r="G9642" s="67" t="s">
        <v>488</v>
      </c>
      <c r="H9642" s="69">
        <v>0.14000000000000001</v>
      </c>
    </row>
    <row r="9643" spans="6:8">
      <c r="F9643" s="68" t="s">
        <v>424</v>
      </c>
      <c r="G9643" s="67" t="s">
        <v>488</v>
      </c>
      <c r="H9643" s="69">
        <v>3.1298062048023656</v>
      </c>
    </row>
    <row r="9644" spans="6:8">
      <c r="F9644" s="68" t="s">
        <v>136</v>
      </c>
      <c r="G9644" s="67" t="s">
        <v>488</v>
      </c>
      <c r="H9644" s="69">
        <v>-0.5</v>
      </c>
    </row>
    <row r="9645" spans="6:8">
      <c r="F9645" s="68" t="s">
        <v>137</v>
      </c>
      <c r="G9645" s="67" t="s">
        <v>488</v>
      </c>
      <c r="H9645" s="69">
        <v>-0.55000000000000004</v>
      </c>
    </row>
    <row r="9646" spans="6:8">
      <c r="F9646" s="68" t="s">
        <v>138</v>
      </c>
      <c r="G9646" s="67" t="s">
        <v>488</v>
      </c>
      <c r="H9646" s="69">
        <v>-0.5</v>
      </c>
    </row>
    <row r="9647" spans="6:8">
      <c r="F9647" s="68" t="s">
        <v>259</v>
      </c>
      <c r="G9647" s="67" t="s">
        <v>488</v>
      </c>
      <c r="H9647" s="69">
        <v>0.17</v>
      </c>
    </row>
    <row r="9648" spans="6:8">
      <c r="F9648" s="68" t="s">
        <v>425</v>
      </c>
      <c r="G9648" s="67" t="s">
        <v>488</v>
      </c>
      <c r="H9648" s="69">
        <v>3.1561022202083233</v>
      </c>
    </row>
    <row r="9649" spans="6:8">
      <c r="F9649" s="68" t="s">
        <v>425</v>
      </c>
      <c r="G9649" s="67" t="s">
        <v>489</v>
      </c>
      <c r="H9649" s="69">
        <v>3.1622338873178446</v>
      </c>
    </row>
    <row r="9650" spans="6:8">
      <c r="F9650" s="68" t="s">
        <v>259</v>
      </c>
      <c r="G9650" s="67" t="s">
        <v>489</v>
      </c>
      <c r="H9650" s="69">
        <v>0.17</v>
      </c>
    </row>
    <row r="9651" spans="6:8">
      <c r="F9651" s="68" t="s">
        <v>138</v>
      </c>
      <c r="G9651" s="67" t="s">
        <v>489</v>
      </c>
      <c r="H9651" s="69">
        <v>-0.5</v>
      </c>
    </row>
    <row r="9652" spans="6:8">
      <c r="F9652" s="68" t="s">
        <v>137</v>
      </c>
      <c r="G9652" s="67" t="s">
        <v>489</v>
      </c>
      <c r="H9652" s="69">
        <v>-0.55000000000000004</v>
      </c>
    </row>
    <row r="9653" spans="6:8">
      <c r="F9653" s="68" t="s">
        <v>136</v>
      </c>
      <c r="G9653" s="67" t="s">
        <v>489</v>
      </c>
      <c r="H9653" s="69">
        <v>-0.5</v>
      </c>
    </row>
    <row r="9654" spans="6:8">
      <c r="F9654" s="68" t="s">
        <v>424</v>
      </c>
      <c r="G9654" s="67" t="s">
        <v>489</v>
      </c>
      <c r="H9654" s="69">
        <v>3.1397380873235292</v>
      </c>
    </row>
    <row r="9655" spans="6:8">
      <c r="F9655" s="68" t="s">
        <v>258</v>
      </c>
      <c r="G9655" s="67" t="s">
        <v>489</v>
      </c>
      <c r="H9655" s="69">
        <v>0.14000000000000001</v>
      </c>
    </row>
    <row r="9656" spans="6:8">
      <c r="F9656" s="68" t="s">
        <v>257</v>
      </c>
      <c r="G9656" s="67" t="s">
        <v>489</v>
      </c>
      <c r="H9656" s="69">
        <v>1.02</v>
      </c>
    </row>
    <row r="9657" spans="6:8">
      <c r="F9657" s="68" t="s">
        <v>135</v>
      </c>
      <c r="G9657" s="67" t="s">
        <v>489</v>
      </c>
      <c r="H9657" s="69">
        <v>-0.35</v>
      </c>
    </row>
    <row r="9658" spans="6:8">
      <c r="F9658" s="68" t="s">
        <v>134</v>
      </c>
      <c r="G9658" s="67" t="s">
        <v>489</v>
      </c>
      <c r="H9658" s="69">
        <v>-0.55000000000000004</v>
      </c>
    </row>
    <row r="9659" spans="6:8">
      <c r="F9659" s="68" t="s">
        <v>423</v>
      </c>
      <c r="G9659" s="67" t="s">
        <v>489</v>
      </c>
      <c r="H9659" s="69">
        <v>2.3866463923233106</v>
      </c>
    </row>
    <row r="9660" spans="6:8">
      <c r="F9660" s="68" t="s">
        <v>256</v>
      </c>
      <c r="G9660" s="67" t="s">
        <v>489</v>
      </c>
      <c r="H9660" s="69">
        <v>0.94</v>
      </c>
    </row>
    <row r="9661" spans="6:8">
      <c r="F9661" s="68" t="s">
        <v>133</v>
      </c>
      <c r="G9661" s="67" t="s">
        <v>489</v>
      </c>
      <c r="H9661" s="69">
        <v>-0.35</v>
      </c>
    </row>
    <row r="9662" spans="6:8">
      <c r="F9662" s="68" t="s">
        <v>132</v>
      </c>
      <c r="G9662" s="67" t="s">
        <v>489</v>
      </c>
      <c r="H9662" s="69">
        <v>-0.55000000000000004</v>
      </c>
    </row>
    <row r="9663" spans="6:8">
      <c r="F9663" s="68" t="s">
        <v>422</v>
      </c>
      <c r="G9663" s="67" t="s">
        <v>489</v>
      </c>
      <c r="H9663" s="69">
        <v>2.3608099167428342</v>
      </c>
    </row>
    <row r="9664" spans="6:8">
      <c r="F9664" s="68" t="s">
        <v>303</v>
      </c>
      <c r="G9664" s="67" t="s">
        <v>489</v>
      </c>
      <c r="H9664" s="69">
        <v>18.9375</v>
      </c>
    </row>
    <row r="9665" spans="6:8">
      <c r="F9665" s="68" t="s">
        <v>255</v>
      </c>
      <c r="G9665" s="67" t="s">
        <v>489</v>
      </c>
      <c r="H9665" s="69">
        <v>0.79</v>
      </c>
    </row>
    <row r="9666" spans="6:8">
      <c r="F9666" s="68" t="s">
        <v>131</v>
      </c>
      <c r="G9666" s="67" t="s">
        <v>489</v>
      </c>
      <c r="H9666" s="69">
        <v>-0.3</v>
      </c>
    </row>
    <row r="9667" spans="6:8">
      <c r="F9667" s="68" t="s">
        <v>130</v>
      </c>
      <c r="G9667" s="67" t="s">
        <v>489</v>
      </c>
      <c r="H9667" s="69">
        <v>-0.6</v>
      </c>
    </row>
    <row r="9668" spans="6:8">
      <c r="F9668" s="68" t="s">
        <v>421</v>
      </c>
      <c r="G9668" s="67" t="s">
        <v>489</v>
      </c>
      <c r="H9668" s="69">
        <v>2.3547394494972007</v>
      </c>
    </row>
    <row r="9669" spans="6:8">
      <c r="F9669" s="68" t="s">
        <v>304</v>
      </c>
      <c r="G9669" s="67" t="s">
        <v>489</v>
      </c>
      <c r="H9669" s="69">
        <v>17.71875</v>
      </c>
    </row>
    <row r="9670" spans="6:8">
      <c r="F9670" s="68" t="s">
        <v>254</v>
      </c>
      <c r="G9670" s="67" t="s">
        <v>489</v>
      </c>
      <c r="H9670" s="69">
        <v>0.6</v>
      </c>
    </row>
    <row r="9671" spans="6:8">
      <c r="F9671" s="68" t="s">
        <v>129</v>
      </c>
      <c r="G9671" s="67" t="s">
        <v>489</v>
      </c>
      <c r="H9671" s="69">
        <v>-0.25</v>
      </c>
    </row>
    <row r="9672" spans="6:8">
      <c r="F9672" s="68" t="s">
        <v>128</v>
      </c>
      <c r="G9672" s="67" t="s">
        <v>489</v>
      </c>
      <c r="H9672" s="69">
        <v>-0.5</v>
      </c>
    </row>
    <row r="9673" spans="6:8">
      <c r="F9673" s="68" t="s">
        <v>315</v>
      </c>
      <c r="G9673" s="67" t="s">
        <v>489</v>
      </c>
      <c r="H9673" s="69">
        <v>-0.15</v>
      </c>
    </row>
    <row r="9674" spans="6:8">
      <c r="F9674" s="68" t="s">
        <v>253</v>
      </c>
      <c r="G9674" s="67" t="s">
        <v>489</v>
      </c>
      <c r="H9674" s="69">
        <v>0.43</v>
      </c>
    </row>
    <row r="9675" spans="6:8">
      <c r="F9675" s="68" t="s">
        <v>127</v>
      </c>
      <c r="G9675" s="67" t="s">
        <v>489</v>
      </c>
      <c r="H9675" s="69">
        <v>-0.15</v>
      </c>
    </row>
    <row r="9676" spans="6:8">
      <c r="F9676" s="68" t="s">
        <v>126</v>
      </c>
      <c r="G9676" s="67" t="s">
        <v>489</v>
      </c>
      <c r="H9676" s="69">
        <v>-0.55000000000000004</v>
      </c>
    </row>
    <row r="9677" spans="6:8">
      <c r="F9677" s="68" t="s">
        <v>125</v>
      </c>
      <c r="G9677" s="67" t="s">
        <v>489</v>
      </c>
      <c r="H9677" s="69">
        <v>-0.35</v>
      </c>
    </row>
    <row r="9678" spans="6:8">
      <c r="F9678" s="68" t="s">
        <v>314</v>
      </c>
      <c r="G9678" s="67" t="s">
        <v>489</v>
      </c>
      <c r="H9678" s="69">
        <v>-0.3</v>
      </c>
    </row>
    <row r="9679" spans="6:8">
      <c r="F9679" s="68" t="s">
        <v>252</v>
      </c>
      <c r="G9679" s="67" t="s">
        <v>489</v>
      </c>
      <c r="H9679" s="69">
        <v>0.31</v>
      </c>
    </row>
    <row r="9680" spans="6:8">
      <c r="F9680" s="68" t="s">
        <v>124</v>
      </c>
      <c r="G9680" s="67" t="s">
        <v>489</v>
      </c>
      <c r="H9680" s="69">
        <v>-0.3</v>
      </c>
    </row>
    <row r="9681" spans="6:8">
      <c r="F9681" s="68" t="s">
        <v>123</v>
      </c>
      <c r="G9681" s="67" t="s">
        <v>489</v>
      </c>
      <c r="H9681" s="69">
        <v>-0.6</v>
      </c>
    </row>
    <row r="9682" spans="6:8">
      <c r="F9682" s="68" t="s">
        <v>122</v>
      </c>
      <c r="G9682" s="67" t="s">
        <v>489</v>
      </c>
      <c r="H9682" s="69">
        <v>-0.45</v>
      </c>
    </row>
    <row r="9683" spans="6:8">
      <c r="F9683" s="68" t="s">
        <v>420</v>
      </c>
      <c r="G9683" s="67" t="s">
        <v>489</v>
      </c>
      <c r="H9683" s="69">
        <v>3.280953351223781</v>
      </c>
    </row>
    <row r="9684" spans="6:8">
      <c r="F9684" s="68" t="s">
        <v>251</v>
      </c>
      <c r="G9684" s="67" t="s">
        <v>489</v>
      </c>
      <c r="H9684" s="69">
        <v>0.23</v>
      </c>
    </row>
    <row r="9685" spans="6:8">
      <c r="F9685" s="68" t="s">
        <v>121</v>
      </c>
      <c r="G9685" s="67" t="s">
        <v>489</v>
      </c>
      <c r="H9685" s="69">
        <v>-0.45</v>
      </c>
    </row>
    <row r="9686" spans="6:8">
      <c r="F9686" s="68" t="s">
        <v>120</v>
      </c>
      <c r="G9686" s="67" t="s">
        <v>489</v>
      </c>
      <c r="H9686" s="69">
        <v>-0.55000000000000004</v>
      </c>
    </row>
    <row r="9687" spans="6:8">
      <c r="F9687" s="68" t="s">
        <v>119</v>
      </c>
      <c r="G9687" s="67" t="s">
        <v>489</v>
      </c>
      <c r="H9687" s="69">
        <v>-0.45</v>
      </c>
    </row>
    <row r="9688" spans="6:8">
      <c r="F9688" s="68" t="s">
        <v>119</v>
      </c>
      <c r="G9688" s="67" t="s">
        <v>490</v>
      </c>
      <c r="H9688" s="69">
        <v>-0.6</v>
      </c>
    </row>
    <row r="9689" spans="6:8">
      <c r="F9689" s="68" t="s">
        <v>120</v>
      </c>
      <c r="G9689" s="67" t="s">
        <v>490</v>
      </c>
      <c r="H9689" s="69">
        <v>-0.55000000000000004</v>
      </c>
    </row>
    <row r="9690" spans="6:8">
      <c r="F9690" s="68" t="s">
        <v>121</v>
      </c>
      <c r="G9690" s="67" t="s">
        <v>490</v>
      </c>
      <c r="H9690" s="69">
        <v>-0.55000000000000004</v>
      </c>
    </row>
    <row r="9691" spans="6:8">
      <c r="F9691" s="68" t="s">
        <v>251</v>
      </c>
      <c r="G9691" s="67" t="s">
        <v>490</v>
      </c>
      <c r="H9691" s="69">
        <v>0.23</v>
      </c>
    </row>
    <row r="9692" spans="6:8">
      <c r="F9692" s="68" t="s">
        <v>420</v>
      </c>
      <c r="G9692" s="67" t="s">
        <v>490</v>
      </c>
      <c r="H9692" s="69">
        <v>3.1836596457666122</v>
      </c>
    </row>
    <row r="9693" spans="6:8">
      <c r="F9693" s="68" t="s">
        <v>122</v>
      </c>
      <c r="G9693" s="67" t="s">
        <v>490</v>
      </c>
      <c r="H9693" s="69">
        <v>-0.6</v>
      </c>
    </row>
    <row r="9694" spans="6:8">
      <c r="F9694" s="68" t="s">
        <v>123</v>
      </c>
      <c r="G9694" s="67" t="s">
        <v>490</v>
      </c>
      <c r="H9694" s="69">
        <v>-0.7</v>
      </c>
    </row>
    <row r="9695" spans="6:8">
      <c r="F9695" s="68" t="s">
        <v>124</v>
      </c>
      <c r="G9695" s="67" t="s">
        <v>490</v>
      </c>
      <c r="H9695" s="69">
        <v>-0.4</v>
      </c>
    </row>
    <row r="9696" spans="6:8">
      <c r="F9696" s="68" t="s">
        <v>252</v>
      </c>
      <c r="G9696" s="67" t="s">
        <v>490</v>
      </c>
      <c r="H9696" s="69">
        <v>0.3</v>
      </c>
    </row>
    <row r="9697" spans="6:8">
      <c r="F9697" s="68" t="s">
        <v>314</v>
      </c>
      <c r="G9697" s="67" t="s">
        <v>490</v>
      </c>
      <c r="H9697" s="69">
        <v>-0.35</v>
      </c>
    </row>
    <row r="9698" spans="6:8">
      <c r="F9698" s="68" t="s">
        <v>125</v>
      </c>
      <c r="G9698" s="67" t="s">
        <v>490</v>
      </c>
      <c r="H9698" s="69">
        <v>-0.4</v>
      </c>
    </row>
    <row r="9699" spans="6:8">
      <c r="F9699" s="68" t="s">
        <v>126</v>
      </c>
      <c r="G9699" s="67" t="s">
        <v>490</v>
      </c>
      <c r="H9699" s="69">
        <v>-0.6</v>
      </c>
    </row>
    <row r="9700" spans="6:8">
      <c r="F9700" s="68" t="s">
        <v>127</v>
      </c>
      <c r="G9700" s="67" t="s">
        <v>490</v>
      </c>
      <c r="H9700" s="69">
        <v>-0.15</v>
      </c>
    </row>
    <row r="9701" spans="6:8">
      <c r="F9701" s="68" t="s">
        <v>253</v>
      </c>
      <c r="G9701" s="67" t="s">
        <v>490</v>
      </c>
      <c r="H9701" s="69">
        <v>0.42</v>
      </c>
    </row>
    <row r="9702" spans="6:8">
      <c r="F9702" s="68" t="s">
        <v>315</v>
      </c>
      <c r="G9702" s="67" t="s">
        <v>490</v>
      </c>
      <c r="H9702" s="69">
        <v>-0.2</v>
      </c>
    </row>
    <row r="9703" spans="6:8">
      <c r="F9703" s="68" t="s">
        <v>128</v>
      </c>
      <c r="G9703" s="67" t="s">
        <v>490</v>
      </c>
      <c r="H9703" s="69">
        <v>-0.55000000000000004</v>
      </c>
    </row>
    <row r="9704" spans="6:8">
      <c r="F9704" s="68" t="s">
        <v>129</v>
      </c>
      <c r="G9704" s="67" t="s">
        <v>490</v>
      </c>
      <c r="H9704" s="69">
        <v>-0.25</v>
      </c>
    </row>
    <row r="9705" spans="6:8">
      <c r="F9705" s="68" t="s">
        <v>254</v>
      </c>
      <c r="G9705" s="67" t="s">
        <v>490</v>
      </c>
      <c r="H9705" s="69">
        <v>0.59</v>
      </c>
    </row>
    <row r="9706" spans="6:8">
      <c r="F9706" s="68" t="s">
        <v>304</v>
      </c>
      <c r="G9706" s="67" t="s">
        <v>490</v>
      </c>
      <c r="H9706" s="69">
        <v>17.5</v>
      </c>
    </row>
    <row r="9707" spans="6:8">
      <c r="F9707" s="68" t="s">
        <v>421</v>
      </c>
      <c r="G9707" s="67" t="s">
        <v>490</v>
      </c>
      <c r="H9707" s="69">
        <v>2.2435157124091276</v>
      </c>
    </row>
    <row r="9708" spans="6:8">
      <c r="F9708" s="68" t="s">
        <v>130</v>
      </c>
      <c r="G9708" s="67" t="s">
        <v>490</v>
      </c>
      <c r="H9708" s="69">
        <v>-0.7</v>
      </c>
    </row>
    <row r="9709" spans="6:8">
      <c r="F9709" s="68" t="s">
        <v>131</v>
      </c>
      <c r="G9709" s="67" t="s">
        <v>490</v>
      </c>
      <c r="H9709" s="69">
        <v>-0.35</v>
      </c>
    </row>
    <row r="9710" spans="6:8">
      <c r="F9710" s="68" t="s">
        <v>255</v>
      </c>
      <c r="G9710" s="67" t="s">
        <v>490</v>
      </c>
      <c r="H9710" s="69">
        <v>0.77</v>
      </c>
    </row>
    <row r="9711" spans="6:8">
      <c r="F9711" s="68" t="s">
        <v>303</v>
      </c>
      <c r="G9711" s="67" t="s">
        <v>490</v>
      </c>
      <c r="H9711" s="69">
        <v>18.75</v>
      </c>
    </row>
    <row r="9712" spans="6:8">
      <c r="F9712" s="68" t="s">
        <v>422</v>
      </c>
      <c r="G9712" s="67" t="s">
        <v>490</v>
      </c>
      <c r="H9712" s="69">
        <v>2.2495780700403145</v>
      </c>
    </row>
    <row r="9713" spans="6:8">
      <c r="F9713" s="68" t="s">
        <v>132</v>
      </c>
      <c r="G9713" s="67" t="s">
        <v>490</v>
      </c>
      <c r="H9713" s="69">
        <v>-0.65</v>
      </c>
    </row>
    <row r="9714" spans="6:8">
      <c r="F9714" s="68" t="s">
        <v>133</v>
      </c>
      <c r="G9714" s="67" t="s">
        <v>490</v>
      </c>
      <c r="H9714" s="69">
        <v>-0.4</v>
      </c>
    </row>
    <row r="9715" spans="6:8">
      <c r="F9715" s="68" t="s">
        <v>256</v>
      </c>
      <c r="G9715" s="67" t="s">
        <v>490</v>
      </c>
      <c r="H9715" s="69">
        <v>0.92</v>
      </c>
    </row>
    <row r="9716" spans="6:8">
      <c r="F9716" s="68" t="s">
        <v>423</v>
      </c>
      <c r="G9716" s="67" t="s">
        <v>490</v>
      </c>
      <c r="H9716" s="69">
        <v>2.2885108646255592</v>
      </c>
    </row>
    <row r="9717" spans="6:8">
      <c r="F9717" s="68" t="s">
        <v>134</v>
      </c>
      <c r="G9717" s="67" t="s">
        <v>490</v>
      </c>
      <c r="H9717" s="69">
        <v>-0.65</v>
      </c>
    </row>
    <row r="9718" spans="6:8">
      <c r="F9718" s="68" t="s">
        <v>135</v>
      </c>
      <c r="G9718" s="67" t="s">
        <v>490</v>
      </c>
      <c r="H9718" s="69">
        <v>-0.4</v>
      </c>
    </row>
    <row r="9719" spans="6:8">
      <c r="F9719" s="68" t="s">
        <v>257</v>
      </c>
      <c r="G9719" s="67" t="s">
        <v>490</v>
      </c>
      <c r="H9719" s="69">
        <v>1.01</v>
      </c>
    </row>
    <row r="9720" spans="6:8">
      <c r="F9720" s="68" t="s">
        <v>258</v>
      </c>
      <c r="G9720" s="67" t="s">
        <v>490</v>
      </c>
      <c r="H9720" s="69">
        <v>0.14000000000000001</v>
      </c>
    </row>
    <row r="9721" spans="6:8">
      <c r="F9721" s="68" t="s">
        <v>424</v>
      </c>
      <c r="G9721" s="67" t="s">
        <v>490</v>
      </c>
      <c r="H9721" s="69">
        <v>3.0297451602108616</v>
      </c>
    </row>
    <row r="9722" spans="6:8">
      <c r="F9722" s="68" t="s">
        <v>136</v>
      </c>
      <c r="G9722" s="67" t="s">
        <v>490</v>
      </c>
      <c r="H9722" s="69">
        <v>-0.65</v>
      </c>
    </row>
    <row r="9723" spans="6:8">
      <c r="F9723" s="68" t="s">
        <v>137</v>
      </c>
      <c r="G9723" s="67" t="s">
        <v>490</v>
      </c>
      <c r="H9723" s="69">
        <v>-0.55000000000000004</v>
      </c>
    </row>
    <row r="9724" spans="6:8">
      <c r="F9724" s="68" t="s">
        <v>138</v>
      </c>
      <c r="G9724" s="67" t="s">
        <v>490</v>
      </c>
      <c r="H9724" s="69">
        <v>-0.6</v>
      </c>
    </row>
    <row r="9725" spans="6:8">
      <c r="F9725" s="68" t="s">
        <v>259</v>
      </c>
      <c r="G9725" s="67" t="s">
        <v>490</v>
      </c>
      <c r="H9725" s="69">
        <v>0.17</v>
      </c>
    </row>
    <row r="9726" spans="6:8">
      <c r="F9726" s="68" t="s">
        <v>425</v>
      </c>
      <c r="G9726" s="67" t="s">
        <v>490</v>
      </c>
      <c r="H9726" s="69">
        <v>3.0488026545765212</v>
      </c>
    </row>
    <row r="9727" spans="6:8">
      <c r="F9727" s="68" t="s">
        <v>425</v>
      </c>
      <c r="G9727" s="67" t="s">
        <v>491</v>
      </c>
      <c r="H9727" s="69">
        <v>3.023857339705005</v>
      </c>
    </row>
    <row r="9728" spans="6:8">
      <c r="F9728" s="68" t="s">
        <v>259</v>
      </c>
      <c r="G9728" s="67" t="s">
        <v>491</v>
      </c>
      <c r="H9728" s="69">
        <v>0.17</v>
      </c>
    </row>
    <row r="9729" spans="6:8">
      <c r="F9729" s="68" t="s">
        <v>138</v>
      </c>
      <c r="G9729" s="67" t="s">
        <v>491</v>
      </c>
      <c r="H9729" s="69">
        <v>-0.6</v>
      </c>
    </row>
    <row r="9730" spans="6:8">
      <c r="F9730" s="68" t="s">
        <v>137</v>
      </c>
      <c r="G9730" s="67" t="s">
        <v>491</v>
      </c>
      <c r="H9730" s="69">
        <v>-0.55000000000000004</v>
      </c>
    </row>
    <row r="9731" spans="6:8">
      <c r="F9731" s="68" t="s">
        <v>136</v>
      </c>
      <c r="G9731" s="67" t="s">
        <v>491</v>
      </c>
      <c r="H9731" s="69">
        <v>-0.65</v>
      </c>
    </row>
    <row r="9732" spans="6:8">
      <c r="F9732" s="68" t="s">
        <v>424</v>
      </c>
      <c r="G9732" s="67" t="s">
        <v>491</v>
      </c>
      <c r="H9732" s="69">
        <v>3.0157676922435428</v>
      </c>
    </row>
    <row r="9733" spans="6:8">
      <c r="F9733" s="68" t="s">
        <v>258</v>
      </c>
      <c r="G9733" s="67" t="s">
        <v>491</v>
      </c>
      <c r="H9733" s="69">
        <v>0.14000000000000001</v>
      </c>
    </row>
    <row r="9734" spans="6:8">
      <c r="F9734" s="68" t="s">
        <v>257</v>
      </c>
      <c r="G9734" s="67" t="s">
        <v>491</v>
      </c>
      <c r="H9734" s="69">
        <v>1.01</v>
      </c>
    </row>
    <row r="9735" spans="6:8">
      <c r="F9735" s="68" t="s">
        <v>135</v>
      </c>
      <c r="G9735" s="67" t="s">
        <v>491</v>
      </c>
      <c r="H9735" s="69">
        <v>-0.4</v>
      </c>
    </row>
    <row r="9736" spans="6:8">
      <c r="F9736" s="68" t="s">
        <v>134</v>
      </c>
      <c r="G9736" s="67" t="s">
        <v>491</v>
      </c>
      <c r="H9736" s="69">
        <v>-0.65</v>
      </c>
    </row>
    <row r="9737" spans="6:8">
      <c r="F9737" s="68" t="s">
        <v>423</v>
      </c>
      <c r="G9737" s="67" t="s">
        <v>491</v>
      </c>
      <c r="H9737" s="69">
        <v>2.2621808040791613</v>
      </c>
    </row>
    <row r="9738" spans="6:8">
      <c r="F9738" s="68" t="s">
        <v>256</v>
      </c>
      <c r="G9738" s="67" t="s">
        <v>491</v>
      </c>
      <c r="H9738" s="69">
        <v>0.93</v>
      </c>
    </row>
    <row r="9739" spans="6:8">
      <c r="F9739" s="68" t="s">
        <v>133</v>
      </c>
      <c r="G9739" s="67" t="s">
        <v>491</v>
      </c>
      <c r="H9739" s="69">
        <v>-0.4</v>
      </c>
    </row>
    <row r="9740" spans="6:8">
      <c r="F9740" s="68" t="s">
        <v>132</v>
      </c>
      <c r="G9740" s="67" t="s">
        <v>491</v>
      </c>
      <c r="H9740" s="69">
        <v>-0.65</v>
      </c>
    </row>
    <row r="9741" spans="6:8">
      <c r="F9741" s="68" t="s">
        <v>422</v>
      </c>
      <c r="G9741" s="67" t="s">
        <v>491</v>
      </c>
      <c r="H9741" s="69">
        <v>2.2264665969102815</v>
      </c>
    </row>
    <row r="9742" spans="6:8">
      <c r="F9742" s="68" t="s">
        <v>303</v>
      </c>
      <c r="G9742" s="67" t="s">
        <v>491</v>
      </c>
      <c r="H9742" s="69">
        <v>18.6875</v>
      </c>
    </row>
    <row r="9743" spans="6:8">
      <c r="F9743" s="68" t="s">
        <v>255</v>
      </c>
      <c r="G9743" s="67" t="s">
        <v>491</v>
      </c>
      <c r="H9743" s="69">
        <v>0.77</v>
      </c>
    </row>
    <row r="9744" spans="6:8">
      <c r="F9744" s="68" t="s">
        <v>131</v>
      </c>
      <c r="G9744" s="67" t="s">
        <v>491</v>
      </c>
      <c r="H9744" s="69">
        <v>-0.35</v>
      </c>
    </row>
    <row r="9745" spans="6:8">
      <c r="F9745" s="68" t="s">
        <v>130</v>
      </c>
      <c r="G9745" s="67" t="s">
        <v>491</v>
      </c>
      <c r="H9745" s="69">
        <v>-0.7</v>
      </c>
    </row>
    <row r="9746" spans="6:8">
      <c r="F9746" s="68" t="s">
        <v>421</v>
      </c>
      <c r="G9746" s="67" t="s">
        <v>491</v>
      </c>
      <c r="H9746" s="69">
        <v>2.2204303757813015</v>
      </c>
    </row>
    <row r="9747" spans="6:8">
      <c r="F9747" s="68" t="s">
        <v>304</v>
      </c>
      <c r="G9747" s="67" t="s">
        <v>491</v>
      </c>
      <c r="H9747" s="69">
        <v>17.53125</v>
      </c>
    </row>
    <row r="9748" spans="6:8">
      <c r="F9748" s="68" t="s">
        <v>254</v>
      </c>
      <c r="G9748" s="67" t="s">
        <v>491</v>
      </c>
      <c r="H9748" s="69">
        <v>0.57999999999999996</v>
      </c>
    </row>
    <row r="9749" spans="6:8">
      <c r="F9749" s="68" t="s">
        <v>129</v>
      </c>
      <c r="G9749" s="67" t="s">
        <v>491</v>
      </c>
      <c r="H9749" s="69">
        <v>-0.25</v>
      </c>
    </row>
    <row r="9750" spans="6:8">
      <c r="F9750" s="68" t="s">
        <v>128</v>
      </c>
      <c r="G9750" s="67" t="s">
        <v>491</v>
      </c>
      <c r="H9750" s="69">
        <v>-0.55000000000000004</v>
      </c>
    </row>
    <row r="9751" spans="6:8">
      <c r="F9751" s="68" t="s">
        <v>315</v>
      </c>
      <c r="G9751" s="67" t="s">
        <v>491</v>
      </c>
      <c r="H9751" s="69">
        <v>-0.2</v>
      </c>
    </row>
    <row r="9752" spans="6:8">
      <c r="F9752" s="68" t="s">
        <v>253</v>
      </c>
      <c r="G9752" s="67" t="s">
        <v>491</v>
      </c>
      <c r="H9752" s="69">
        <v>0.41</v>
      </c>
    </row>
    <row r="9753" spans="6:8">
      <c r="F9753" s="68" t="s">
        <v>127</v>
      </c>
      <c r="G9753" s="67" t="s">
        <v>491</v>
      </c>
      <c r="H9753" s="69">
        <v>-0.15</v>
      </c>
    </row>
    <row r="9754" spans="6:8">
      <c r="F9754" s="68" t="s">
        <v>126</v>
      </c>
      <c r="G9754" s="67" t="s">
        <v>491</v>
      </c>
      <c r="H9754" s="69">
        <v>-0.6</v>
      </c>
    </row>
    <row r="9755" spans="6:8">
      <c r="F9755" s="68" t="s">
        <v>125</v>
      </c>
      <c r="G9755" s="67" t="s">
        <v>491</v>
      </c>
      <c r="H9755" s="69">
        <v>-0.4</v>
      </c>
    </row>
    <row r="9756" spans="6:8">
      <c r="F9756" s="68" t="s">
        <v>314</v>
      </c>
      <c r="G9756" s="67" t="s">
        <v>491</v>
      </c>
      <c r="H9756" s="69">
        <v>-0.35</v>
      </c>
    </row>
    <row r="9757" spans="6:8">
      <c r="F9757" s="68" t="s">
        <v>252</v>
      </c>
      <c r="G9757" s="67" t="s">
        <v>491</v>
      </c>
      <c r="H9757" s="69">
        <v>0.3</v>
      </c>
    </row>
    <row r="9758" spans="6:8">
      <c r="F9758" s="68" t="s">
        <v>124</v>
      </c>
      <c r="G9758" s="67" t="s">
        <v>491</v>
      </c>
      <c r="H9758" s="69">
        <v>-0.4</v>
      </c>
    </row>
    <row r="9759" spans="6:8">
      <c r="F9759" s="68" t="s">
        <v>123</v>
      </c>
      <c r="G9759" s="67" t="s">
        <v>491</v>
      </c>
      <c r="H9759" s="69">
        <v>-0.7</v>
      </c>
    </row>
    <row r="9760" spans="6:8">
      <c r="F9760" s="68" t="s">
        <v>122</v>
      </c>
      <c r="G9760" s="67" t="s">
        <v>491</v>
      </c>
      <c r="H9760" s="69">
        <v>-0.6</v>
      </c>
    </row>
    <row r="9761" spans="6:8">
      <c r="F9761" s="68" t="s">
        <v>420</v>
      </c>
      <c r="G9761" s="67" t="s">
        <v>491</v>
      </c>
      <c r="H9761" s="69">
        <v>3.154171494009228</v>
      </c>
    </row>
    <row r="9762" spans="6:8">
      <c r="F9762" s="68" t="s">
        <v>251</v>
      </c>
      <c r="G9762" s="67" t="s">
        <v>491</v>
      </c>
      <c r="H9762" s="69">
        <v>0.23</v>
      </c>
    </row>
    <row r="9763" spans="6:8">
      <c r="F9763" s="68" t="s">
        <v>121</v>
      </c>
      <c r="G9763" s="67" t="s">
        <v>491</v>
      </c>
      <c r="H9763" s="69">
        <v>-0.55000000000000004</v>
      </c>
    </row>
    <row r="9764" spans="6:8">
      <c r="F9764" s="68" t="s">
        <v>120</v>
      </c>
      <c r="G9764" s="67" t="s">
        <v>491</v>
      </c>
      <c r="H9764" s="69">
        <v>-0.55000000000000004</v>
      </c>
    </row>
    <row r="9765" spans="6:8">
      <c r="F9765" s="68" t="s">
        <v>119</v>
      </c>
      <c r="G9765" s="67" t="s">
        <v>491</v>
      </c>
      <c r="H9765" s="69">
        <v>-0.6</v>
      </c>
    </row>
    <row r="9766" spans="6:8">
      <c r="F9766" s="68" t="s">
        <v>119</v>
      </c>
      <c r="G9766" s="67" t="s">
        <v>492</v>
      </c>
      <c r="H9766" s="69">
        <v>-0.6</v>
      </c>
    </row>
    <row r="9767" spans="6:8">
      <c r="F9767" s="68" t="s">
        <v>120</v>
      </c>
      <c r="G9767" s="67" t="s">
        <v>492</v>
      </c>
      <c r="H9767" s="69">
        <v>-0.55000000000000004</v>
      </c>
    </row>
    <row r="9768" spans="6:8">
      <c r="F9768" s="68" t="s">
        <v>121</v>
      </c>
      <c r="G9768" s="67" t="s">
        <v>492</v>
      </c>
      <c r="H9768" s="69">
        <v>-0.55000000000000004</v>
      </c>
    </row>
    <row r="9769" spans="6:8">
      <c r="F9769" s="68" t="s">
        <v>251</v>
      </c>
      <c r="G9769" s="67" t="s">
        <v>492</v>
      </c>
      <c r="H9769" s="69">
        <v>0.23</v>
      </c>
    </row>
    <row r="9770" spans="6:8">
      <c r="F9770" s="68" t="s">
        <v>420</v>
      </c>
      <c r="G9770" s="67" t="s">
        <v>492</v>
      </c>
      <c r="H9770" s="69">
        <v>3.1772287212477046</v>
      </c>
    </row>
    <row r="9771" spans="6:8">
      <c r="F9771" s="68" t="s">
        <v>122</v>
      </c>
      <c r="G9771" s="67" t="s">
        <v>492</v>
      </c>
      <c r="H9771" s="69">
        <v>-0.6</v>
      </c>
    </row>
    <row r="9772" spans="6:8">
      <c r="F9772" s="68" t="s">
        <v>123</v>
      </c>
      <c r="G9772" s="67" t="s">
        <v>492</v>
      </c>
      <c r="H9772" s="69">
        <v>-0.7</v>
      </c>
    </row>
    <row r="9773" spans="6:8">
      <c r="F9773" s="68" t="s">
        <v>124</v>
      </c>
      <c r="G9773" s="67" t="s">
        <v>492</v>
      </c>
      <c r="H9773" s="69">
        <v>-0.4</v>
      </c>
    </row>
    <row r="9774" spans="6:8">
      <c r="F9774" s="68" t="s">
        <v>252</v>
      </c>
      <c r="G9774" s="67" t="s">
        <v>492</v>
      </c>
      <c r="H9774" s="69">
        <v>0.3</v>
      </c>
    </row>
    <row r="9775" spans="6:8">
      <c r="F9775" s="68" t="s">
        <v>314</v>
      </c>
      <c r="G9775" s="67" t="s">
        <v>492</v>
      </c>
      <c r="H9775" s="69">
        <v>-0.35</v>
      </c>
    </row>
    <row r="9776" spans="6:8">
      <c r="F9776" s="68" t="s">
        <v>125</v>
      </c>
      <c r="G9776" s="67" t="s">
        <v>492</v>
      </c>
      <c r="H9776" s="69">
        <v>-0.4</v>
      </c>
    </row>
    <row r="9777" spans="6:8">
      <c r="F9777" s="68" t="s">
        <v>126</v>
      </c>
      <c r="G9777" s="67" t="s">
        <v>492</v>
      </c>
      <c r="H9777" s="69">
        <v>-0.6</v>
      </c>
    </row>
    <row r="9778" spans="6:8">
      <c r="F9778" s="68" t="s">
        <v>127</v>
      </c>
      <c r="G9778" s="67" t="s">
        <v>492</v>
      </c>
      <c r="H9778" s="69">
        <v>-0.15</v>
      </c>
    </row>
    <row r="9779" spans="6:8">
      <c r="F9779" s="68" t="s">
        <v>253</v>
      </c>
      <c r="G9779" s="67" t="s">
        <v>492</v>
      </c>
      <c r="H9779" s="69">
        <v>0.41</v>
      </c>
    </row>
    <row r="9780" spans="6:8">
      <c r="F9780" s="68" t="s">
        <v>315</v>
      </c>
      <c r="G9780" s="67" t="s">
        <v>492</v>
      </c>
      <c r="H9780" s="69">
        <v>-0.2</v>
      </c>
    </row>
    <row r="9781" spans="6:8">
      <c r="F9781" s="68" t="s">
        <v>128</v>
      </c>
      <c r="G9781" s="67" t="s">
        <v>492</v>
      </c>
      <c r="H9781" s="69">
        <v>-0.55000000000000004</v>
      </c>
    </row>
    <row r="9782" spans="6:8">
      <c r="F9782" s="68" t="s">
        <v>129</v>
      </c>
      <c r="G9782" s="67" t="s">
        <v>492</v>
      </c>
      <c r="H9782" s="69">
        <v>-0.25</v>
      </c>
    </row>
    <row r="9783" spans="6:8">
      <c r="F9783" s="68" t="s">
        <v>254</v>
      </c>
      <c r="G9783" s="67" t="s">
        <v>492</v>
      </c>
      <c r="H9783" s="69">
        <v>0.57999999999999996</v>
      </c>
    </row>
    <row r="9784" spans="6:8">
      <c r="F9784" s="68" t="s">
        <v>304</v>
      </c>
      <c r="G9784" s="67" t="s">
        <v>492</v>
      </c>
      <c r="H9784" s="69">
        <v>17.53125</v>
      </c>
    </row>
    <row r="9785" spans="6:8">
      <c r="F9785" s="68" t="s">
        <v>421</v>
      </c>
      <c r="G9785" s="67" t="s">
        <v>492</v>
      </c>
      <c r="H9785" s="69">
        <v>2.2434119387963136</v>
      </c>
    </row>
    <row r="9786" spans="6:8">
      <c r="F9786" s="68" t="s">
        <v>130</v>
      </c>
      <c r="G9786" s="67" t="s">
        <v>492</v>
      </c>
      <c r="H9786" s="69">
        <v>-0.7</v>
      </c>
    </row>
    <row r="9787" spans="6:8">
      <c r="F9787" s="68" t="s">
        <v>131</v>
      </c>
      <c r="G9787" s="67" t="s">
        <v>492</v>
      </c>
      <c r="H9787" s="69">
        <v>-0.35</v>
      </c>
    </row>
    <row r="9788" spans="6:8">
      <c r="F9788" s="68" t="s">
        <v>255</v>
      </c>
      <c r="G9788" s="67" t="s">
        <v>492</v>
      </c>
      <c r="H9788" s="69">
        <v>0.77</v>
      </c>
    </row>
    <row r="9789" spans="6:8">
      <c r="F9789" s="68" t="s">
        <v>303</v>
      </c>
      <c r="G9789" s="67" t="s">
        <v>492</v>
      </c>
      <c r="H9789" s="69">
        <v>18.6875</v>
      </c>
    </row>
    <row r="9790" spans="6:8">
      <c r="F9790" s="68" t="s">
        <v>422</v>
      </c>
      <c r="G9790" s="67" t="s">
        <v>492</v>
      </c>
      <c r="H9790" s="69">
        <v>2.2495109264217383</v>
      </c>
    </row>
    <row r="9791" spans="6:8">
      <c r="F9791" s="68" t="s">
        <v>132</v>
      </c>
      <c r="G9791" s="67" t="s">
        <v>492</v>
      </c>
      <c r="H9791" s="69">
        <v>-0.65</v>
      </c>
    </row>
    <row r="9792" spans="6:8">
      <c r="F9792" s="68" t="s">
        <v>133</v>
      </c>
      <c r="G9792" s="67" t="s">
        <v>492</v>
      </c>
      <c r="H9792" s="69">
        <v>-0.4</v>
      </c>
    </row>
    <row r="9793" spans="6:8">
      <c r="F9793" s="68" t="s">
        <v>256</v>
      </c>
      <c r="G9793" s="67" t="s">
        <v>492</v>
      </c>
      <c r="H9793" s="69">
        <v>0.93</v>
      </c>
    </row>
    <row r="9794" spans="6:8">
      <c r="F9794" s="68" t="s">
        <v>423</v>
      </c>
      <c r="G9794" s="67" t="s">
        <v>492</v>
      </c>
      <c r="H9794" s="69">
        <v>2.2936219817840886</v>
      </c>
    </row>
    <row r="9795" spans="6:8">
      <c r="F9795" s="68" t="s">
        <v>134</v>
      </c>
      <c r="G9795" s="67" t="s">
        <v>492</v>
      </c>
      <c r="H9795" s="69">
        <v>-0.65</v>
      </c>
    </row>
    <row r="9796" spans="6:8">
      <c r="F9796" s="68" t="s">
        <v>135</v>
      </c>
      <c r="G9796" s="67" t="s">
        <v>492</v>
      </c>
      <c r="H9796" s="69">
        <v>-0.4</v>
      </c>
    </row>
    <row r="9797" spans="6:8">
      <c r="F9797" s="68" t="s">
        <v>257</v>
      </c>
      <c r="G9797" s="67" t="s">
        <v>492</v>
      </c>
      <c r="H9797" s="69">
        <v>1.01</v>
      </c>
    </row>
    <row r="9798" spans="6:8">
      <c r="F9798" s="68" t="s">
        <v>258</v>
      </c>
      <c r="G9798" s="67" t="s">
        <v>492</v>
      </c>
      <c r="H9798" s="69">
        <v>0.14000000000000001</v>
      </c>
    </row>
    <row r="9799" spans="6:8">
      <c r="F9799" s="68" t="s">
        <v>424</v>
      </c>
      <c r="G9799" s="67" t="s">
        <v>492</v>
      </c>
      <c r="H9799" s="69">
        <v>3.0417876829469837</v>
      </c>
    </row>
    <row r="9800" spans="6:8">
      <c r="F9800" s="68" t="s">
        <v>136</v>
      </c>
      <c r="G9800" s="67" t="s">
        <v>492</v>
      </c>
      <c r="H9800" s="69">
        <v>-0.65</v>
      </c>
    </row>
    <row r="9801" spans="6:8">
      <c r="F9801" s="68" t="s">
        <v>137</v>
      </c>
      <c r="G9801" s="67" t="s">
        <v>492</v>
      </c>
      <c r="H9801" s="69">
        <v>-0.55000000000000004</v>
      </c>
    </row>
    <row r="9802" spans="6:8">
      <c r="F9802" s="68" t="s">
        <v>138</v>
      </c>
      <c r="G9802" s="67" t="s">
        <v>492</v>
      </c>
      <c r="H9802" s="69">
        <v>-0.6</v>
      </c>
    </row>
    <row r="9803" spans="6:8">
      <c r="F9803" s="68" t="s">
        <v>259</v>
      </c>
      <c r="G9803" s="67" t="s">
        <v>492</v>
      </c>
      <c r="H9803" s="69">
        <v>0.17</v>
      </c>
    </row>
    <row r="9804" spans="6:8">
      <c r="F9804" s="68" t="s">
        <v>425</v>
      </c>
      <c r="G9804" s="67" t="s">
        <v>492</v>
      </c>
      <c r="H9804" s="69">
        <v>3.0479265866734107</v>
      </c>
    </row>
    <row r="9805" spans="6:8">
      <c r="F9805" s="68" t="s">
        <v>425</v>
      </c>
      <c r="G9805" s="67" t="s">
        <v>493</v>
      </c>
      <c r="H9805" s="69">
        <v>3.0158512701772722</v>
      </c>
    </row>
    <row r="9806" spans="6:8">
      <c r="F9806" s="68" t="s">
        <v>259</v>
      </c>
      <c r="G9806" s="67" t="s">
        <v>493</v>
      </c>
      <c r="H9806" s="69">
        <v>0.17</v>
      </c>
    </row>
    <row r="9807" spans="6:8">
      <c r="F9807" s="68" t="s">
        <v>138</v>
      </c>
      <c r="G9807" s="67" t="s">
        <v>493</v>
      </c>
      <c r="H9807" s="69">
        <v>-0.6</v>
      </c>
    </row>
    <row r="9808" spans="6:8">
      <c r="F9808" s="68" t="s">
        <v>137</v>
      </c>
      <c r="G9808" s="67" t="s">
        <v>493</v>
      </c>
      <c r="H9808" s="69">
        <v>-0.55000000000000004</v>
      </c>
    </row>
    <row r="9809" spans="6:8">
      <c r="F9809" s="68" t="s">
        <v>136</v>
      </c>
      <c r="G9809" s="67" t="s">
        <v>493</v>
      </c>
      <c r="H9809" s="69">
        <v>-0.65</v>
      </c>
    </row>
    <row r="9810" spans="6:8">
      <c r="F9810" s="68" t="s">
        <v>424</v>
      </c>
      <c r="G9810" s="67" t="s">
        <v>493</v>
      </c>
      <c r="H9810" s="69">
        <v>3.0119471341723436</v>
      </c>
    </row>
    <row r="9811" spans="6:8">
      <c r="F9811" s="68" t="s">
        <v>258</v>
      </c>
      <c r="G9811" s="67" t="s">
        <v>493</v>
      </c>
      <c r="H9811" s="69">
        <v>0.14000000000000001</v>
      </c>
    </row>
    <row r="9812" spans="6:8">
      <c r="F9812" s="68" t="s">
        <v>257</v>
      </c>
      <c r="G9812" s="67" t="s">
        <v>493</v>
      </c>
      <c r="H9812" s="69">
        <v>1.01</v>
      </c>
    </row>
    <row r="9813" spans="6:8">
      <c r="F9813" s="68" t="s">
        <v>135</v>
      </c>
      <c r="G9813" s="67" t="s">
        <v>493</v>
      </c>
      <c r="H9813" s="69">
        <v>-0.4</v>
      </c>
    </row>
    <row r="9814" spans="6:8">
      <c r="F9814" s="68" t="s">
        <v>134</v>
      </c>
      <c r="G9814" s="67" t="s">
        <v>493</v>
      </c>
      <c r="H9814" s="69">
        <v>-0.65</v>
      </c>
    </row>
    <row r="9815" spans="6:8">
      <c r="F9815" s="68" t="s">
        <v>423</v>
      </c>
      <c r="G9815" s="67" t="s">
        <v>493</v>
      </c>
      <c r="H9815" s="69">
        <v>2.2724971823576468</v>
      </c>
    </row>
    <row r="9816" spans="6:8">
      <c r="F9816" s="68" t="s">
        <v>256</v>
      </c>
      <c r="G9816" s="67" t="s">
        <v>493</v>
      </c>
      <c r="H9816" s="69">
        <v>0.93</v>
      </c>
    </row>
    <row r="9817" spans="6:8">
      <c r="F9817" s="68" t="s">
        <v>133</v>
      </c>
      <c r="G9817" s="67" t="s">
        <v>493</v>
      </c>
      <c r="H9817" s="69">
        <v>-0.4</v>
      </c>
    </row>
    <row r="9818" spans="6:8">
      <c r="F9818" s="68" t="s">
        <v>132</v>
      </c>
      <c r="G9818" s="67" t="s">
        <v>493</v>
      </c>
      <c r="H9818" s="69">
        <v>-0.65</v>
      </c>
    </row>
    <row r="9819" spans="6:8">
      <c r="F9819" s="68" t="s">
        <v>422</v>
      </c>
      <c r="G9819" s="67" t="s">
        <v>493</v>
      </c>
      <c r="H9819" s="69">
        <v>2.2161680515036863</v>
      </c>
    </row>
    <row r="9820" spans="6:8">
      <c r="F9820" s="68" t="s">
        <v>303</v>
      </c>
      <c r="G9820" s="67" t="s">
        <v>493</v>
      </c>
      <c r="H9820" s="69">
        <v>18.625</v>
      </c>
    </row>
    <row r="9821" spans="6:8">
      <c r="F9821" s="68" t="s">
        <v>255</v>
      </c>
      <c r="G9821" s="67" t="s">
        <v>493</v>
      </c>
      <c r="H9821" s="69">
        <v>0.77</v>
      </c>
    </row>
    <row r="9822" spans="6:8">
      <c r="F9822" s="68" t="s">
        <v>131</v>
      </c>
      <c r="G9822" s="67" t="s">
        <v>493</v>
      </c>
      <c r="H9822" s="69">
        <v>-0.35</v>
      </c>
    </row>
    <row r="9823" spans="6:8">
      <c r="F9823" s="68" t="s">
        <v>130</v>
      </c>
      <c r="G9823" s="67" t="s">
        <v>493</v>
      </c>
      <c r="H9823" s="69">
        <v>-0.7</v>
      </c>
    </row>
    <row r="9824" spans="6:8">
      <c r="F9824" s="68" t="s">
        <v>421</v>
      </c>
      <c r="G9824" s="67" t="s">
        <v>493</v>
      </c>
      <c r="H9824" s="69">
        <v>2.2100103193535503</v>
      </c>
    </row>
    <row r="9825" spans="6:8">
      <c r="F9825" s="68" t="s">
        <v>304</v>
      </c>
      <c r="G9825" s="67" t="s">
        <v>493</v>
      </c>
      <c r="H9825" s="69">
        <v>17.46875</v>
      </c>
    </row>
    <row r="9826" spans="6:8">
      <c r="F9826" s="68" t="s">
        <v>254</v>
      </c>
      <c r="G9826" s="67" t="s">
        <v>493</v>
      </c>
      <c r="H9826" s="69">
        <v>0.57999999999999996</v>
      </c>
    </row>
    <row r="9827" spans="6:8">
      <c r="F9827" s="68" t="s">
        <v>129</v>
      </c>
      <c r="G9827" s="67" t="s">
        <v>493</v>
      </c>
      <c r="H9827" s="69">
        <v>-0.25</v>
      </c>
    </row>
    <row r="9828" spans="6:8">
      <c r="F9828" s="68" t="s">
        <v>128</v>
      </c>
      <c r="G9828" s="67" t="s">
        <v>493</v>
      </c>
      <c r="H9828" s="69">
        <v>-0.55000000000000004</v>
      </c>
    </row>
    <row r="9829" spans="6:8">
      <c r="F9829" s="68" t="s">
        <v>315</v>
      </c>
      <c r="G9829" s="67" t="s">
        <v>493</v>
      </c>
      <c r="H9829" s="69">
        <v>-0.2</v>
      </c>
    </row>
    <row r="9830" spans="6:8">
      <c r="F9830" s="68" t="s">
        <v>253</v>
      </c>
      <c r="G9830" s="67" t="s">
        <v>493</v>
      </c>
      <c r="H9830" s="69">
        <v>0.41</v>
      </c>
    </row>
    <row r="9831" spans="6:8">
      <c r="F9831" s="68" t="s">
        <v>127</v>
      </c>
      <c r="G9831" s="67" t="s">
        <v>493</v>
      </c>
      <c r="H9831" s="69">
        <v>-0.15</v>
      </c>
    </row>
    <row r="9832" spans="6:8">
      <c r="F9832" s="68" t="s">
        <v>126</v>
      </c>
      <c r="G9832" s="67" t="s">
        <v>493</v>
      </c>
      <c r="H9832" s="69">
        <v>-0.6</v>
      </c>
    </row>
    <row r="9833" spans="6:8">
      <c r="F9833" s="68" t="s">
        <v>125</v>
      </c>
      <c r="G9833" s="67" t="s">
        <v>493</v>
      </c>
      <c r="H9833" s="69">
        <v>-0.4</v>
      </c>
    </row>
    <row r="9834" spans="6:8">
      <c r="F9834" s="68" t="s">
        <v>314</v>
      </c>
      <c r="G9834" s="67" t="s">
        <v>493</v>
      </c>
      <c r="H9834" s="69">
        <v>-0.35</v>
      </c>
    </row>
    <row r="9835" spans="6:8">
      <c r="F9835" s="68" t="s">
        <v>252</v>
      </c>
      <c r="G9835" s="67" t="s">
        <v>493</v>
      </c>
      <c r="H9835" s="69">
        <v>0.3</v>
      </c>
    </row>
    <row r="9836" spans="6:8">
      <c r="F9836" s="68" t="s">
        <v>124</v>
      </c>
      <c r="G9836" s="67" t="s">
        <v>493</v>
      </c>
      <c r="H9836" s="69">
        <v>-0.4</v>
      </c>
    </row>
    <row r="9837" spans="6:8">
      <c r="F9837" s="68" t="s">
        <v>123</v>
      </c>
      <c r="G9837" s="67" t="s">
        <v>493</v>
      </c>
      <c r="H9837" s="69">
        <v>-0.7</v>
      </c>
    </row>
    <row r="9838" spans="6:8">
      <c r="F9838" s="68" t="s">
        <v>122</v>
      </c>
      <c r="G9838" s="67" t="s">
        <v>493</v>
      </c>
      <c r="H9838" s="69">
        <v>-0.6</v>
      </c>
    </row>
    <row r="9839" spans="6:8">
      <c r="F9839" s="68" t="s">
        <v>420</v>
      </c>
      <c r="G9839" s="67" t="s">
        <v>493</v>
      </c>
      <c r="H9839" s="69">
        <v>3.1521212861919778</v>
      </c>
    </row>
    <row r="9840" spans="6:8">
      <c r="F9840" s="68" t="s">
        <v>251</v>
      </c>
      <c r="G9840" s="67" t="s">
        <v>493</v>
      </c>
      <c r="H9840" s="69">
        <v>0.23</v>
      </c>
    </row>
    <row r="9841" spans="6:8">
      <c r="F9841" s="68" t="s">
        <v>121</v>
      </c>
      <c r="G9841" s="67" t="s">
        <v>493</v>
      </c>
      <c r="H9841" s="69">
        <v>-0.55000000000000004</v>
      </c>
    </row>
    <row r="9842" spans="6:8">
      <c r="F9842" s="68" t="s">
        <v>120</v>
      </c>
      <c r="G9842" s="67" t="s">
        <v>493</v>
      </c>
      <c r="H9842" s="69">
        <v>-0.55000000000000004</v>
      </c>
    </row>
    <row r="9843" spans="6:8">
      <c r="F9843" s="68" t="s">
        <v>119</v>
      </c>
      <c r="G9843" s="67" t="s">
        <v>493</v>
      </c>
      <c r="H9843" s="69">
        <v>-0.6</v>
      </c>
    </row>
    <row r="9844" spans="6:8">
      <c r="F9844" s="68" t="s">
        <v>119</v>
      </c>
      <c r="G9844" s="67" t="s">
        <v>494</v>
      </c>
      <c r="H9844" s="69">
        <v>-0.6</v>
      </c>
    </row>
    <row r="9845" spans="6:8">
      <c r="F9845" s="68" t="s">
        <v>120</v>
      </c>
      <c r="G9845" s="67" t="s">
        <v>494</v>
      </c>
      <c r="H9845" s="69">
        <v>-0.55000000000000004</v>
      </c>
    </row>
    <row r="9846" spans="6:8">
      <c r="F9846" s="68" t="s">
        <v>121</v>
      </c>
      <c r="G9846" s="67" t="s">
        <v>494</v>
      </c>
      <c r="H9846" s="69">
        <v>-0.55000000000000004</v>
      </c>
    </row>
    <row r="9847" spans="6:8">
      <c r="F9847" s="68" t="s">
        <v>251</v>
      </c>
      <c r="G9847" s="67" t="s">
        <v>494</v>
      </c>
      <c r="H9847" s="69">
        <v>0.23</v>
      </c>
    </row>
    <row r="9848" spans="6:8">
      <c r="F9848" s="68" t="s">
        <v>420</v>
      </c>
      <c r="G9848" s="67" t="s">
        <v>494</v>
      </c>
      <c r="H9848" s="69">
        <v>3.1593236616906495</v>
      </c>
    </row>
    <row r="9849" spans="6:8">
      <c r="F9849" s="68" t="s">
        <v>122</v>
      </c>
      <c r="G9849" s="67" t="s">
        <v>494</v>
      </c>
      <c r="H9849" s="69">
        <v>-0.6</v>
      </c>
    </row>
    <row r="9850" spans="6:8">
      <c r="F9850" s="68" t="s">
        <v>123</v>
      </c>
      <c r="G9850" s="67" t="s">
        <v>494</v>
      </c>
      <c r="H9850" s="69">
        <v>-0.7</v>
      </c>
    </row>
    <row r="9851" spans="6:8">
      <c r="F9851" s="68" t="s">
        <v>124</v>
      </c>
      <c r="G9851" s="67" t="s">
        <v>494</v>
      </c>
      <c r="H9851" s="69">
        <v>-0.4</v>
      </c>
    </row>
    <row r="9852" spans="6:8">
      <c r="F9852" s="68" t="s">
        <v>252</v>
      </c>
      <c r="G9852" s="67" t="s">
        <v>494</v>
      </c>
      <c r="H9852" s="69">
        <v>0.3</v>
      </c>
    </row>
    <row r="9853" spans="6:8">
      <c r="F9853" s="68" t="s">
        <v>314</v>
      </c>
      <c r="G9853" s="67" t="s">
        <v>494</v>
      </c>
      <c r="H9853" s="69">
        <v>-0.35</v>
      </c>
    </row>
    <row r="9854" spans="6:8">
      <c r="F9854" s="68" t="s">
        <v>125</v>
      </c>
      <c r="G9854" s="67" t="s">
        <v>494</v>
      </c>
      <c r="H9854" s="69">
        <v>-0.4</v>
      </c>
    </row>
    <row r="9855" spans="6:8">
      <c r="F9855" s="68" t="s">
        <v>126</v>
      </c>
      <c r="G9855" s="67" t="s">
        <v>494</v>
      </c>
      <c r="H9855" s="69">
        <v>-0.6</v>
      </c>
    </row>
    <row r="9856" spans="6:8">
      <c r="F9856" s="68" t="s">
        <v>127</v>
      </c>
      <c r="G9856" s="67" t="s">
        <v>494</v>
      </c>
      <c r="H9856" s="69">
        <v>-0.15</v>
      </c>
    </row>
    <row r="9857" spans="6:8">
      <c r="F9857" s="68" t="s">
        <v>253</v>
      </c>
      <c r="G9857" s="67" t="s">
        <v>494</v>
      </c>
      <c r="H9857" s="69">
        <v>0.41</v>
      </c>
    </row>
    <row r="9858" spans="6:8">
      <c r="F9858" s="68" t="s">
        <v>315</v>
      </c>
      <c r="G9858" s="67" t="s">
        <v>494</v>
      </c>
      <c r="H9858" s="69">
        <v>-0.2</v>
      </c>
    </row>
    <row r="9859" spans="6:8">
      <c r="F9859" s="68" t="s">
        <v>128</v>
      </c>
      <c r="G9859" s="67" t="s">
        <v>494</v>
      </c>
      <c r="H9859" s="69">
        <v>-0.55000000000000004</v>
      </c>
    </row>
    <row r="9860" spans="6:8">
      <c r="F9860" s="68" t="s">
        <v>129</v>
      </c>
      <c r="G9860" s="67" t="s">
        <v>494</v>
      </c>
      <c r="H9860" s="69">
        <v>-0.25</v>
      </c>
    </row>
    <row r="9861" spans="6:8">
      <c r="F9861" s="68" t="s">
        <v>254</v>
      </c>
      <c r="G9861" s="67" t="s">
        <v>494</v>
      </c>
      <c r="H9861" s="69">
        <v>0.57999999999999996</v>
      </c>
    </row>
    <row r="9862" spans="6:8">
      <c r="F9862" s="68" t="s">
        <v>304</v>
      </c>
      <c r="G9862" s="67" t="s">
        <v>494</v>
      </c>
      <c r="H9862" s="69">
        <v>17.4375</v>
      </c>
    </row>
    <row r="9863" spans="6:8">
      <c r="F9863" s="68" t="s">
        <v>421</v>
      </c>
      <c r="G9863" s="67" t="s">
        <v>494</v>
      </c>
      <c r="H9863" s="69">
        <v>2.2081137785575411</v>
      </c>
    </row>
    <row r="9864" spans="6:8">
      <c r="F9864" s="68" t="s">
        <v>130</v>
      </c>
      <c r="G9864" s="67" t="s">
        <v>494</v>
      </c>
      <c r="H9864" s="69">
        <v>-0.7</v>
      </c>
    </row>
    <row r="9865" spans="6:8">
      <c r="F9865" s="68" t="s">
        <v>131</v>
      </c>
      <c r="G9865" s="67" t="s">
        <v>494</v>
      </c>
      <c r="H9865" s="69">
        <v>-0.35</v>
      </c>
    </row>
    <row r="9866" spans="6:8">
      <c r="F9866" s="68" t="s">
        <v>255</v>
      </c>
      <c r="G9866" s="67" t="s">
        <v>494</v>
      </c>
      <c r="H9866" s="69">
        <v>0.77</v>
      </c>
    </row>
    <row r="9867" spans="6:8">
      <c r="F9867" s="68" t="s">
        <v>303</v>
      </c>
      <c r="G9867" s="67" t="s">
        <v>494</v>
      </c>
      <c r="H9867" s="69">
        <v>18.625</v>
      </c>
    </row>
    <row r="9868" spans="6:8">
      <c r="F9868" s="68" t="s">
        <v>422</v>
      </c>
      <c r="G9868" s="67" t="s">
        <v>494</v>
      </c>
      <c r="H9868" s="69">
        <v>2.214304837919201</v>
      </c>
    </row>
    <row r="9869" spans="6:8">
      <c r="F9869" s="68" t="s">
        <v>132</v>
      </c>
      <c r="G9869" s="67" t="s">
        <v>494</v>
      </c>
      <c r="H9869" s="69">
        <v>-0.65</v>
      </c>
    </row>
    <row r="9870" spans="6:8">
      <c r="F9870" s="68" t="s">
        <v>133</v>
      </c>
      <c r="G9870" s="67" t="s">
        <v>494</v>
      </c>
      <c r="H9870" s="69">
        <v>-0.4</v>
      </c>
    </row>
    <row r="9871" spans="6:8">
      <c r="F9871" s="68" t="s">
        <v>256</v>
      </c>
      <c r="G9871" s="67" t="s">
        <v>494</v>
      </c>
      <c r="H9871" s="69">
        <v>0.93</v>
      </c>
    </row>
    <row r="9872" spans="6:8">
      <c r="F9872" s="68" t="s">
        <v>423</v>
      </c>
      <c r="G9872" s="67" t="s">
        <v>494</v>
      </c>
      <c r="H9872" s="69">
        <v>2.2752153142076459</v>
      </c>
    </row>
    <row r="9873" spans="6:8">
      <c r="F9873" s="68" t="s">
        <v>134</v>
      </c>
      <c r="G9873" s="67" t="s">
        <v>494</v>
      </c>
      <c r="H9873" s="69">
        <v>-0.65</v>
      </c>
    </row>
    <row r="9874" spans="6:8">
      <c r="F9874" s="68" t="s">
        <v>135</v>
      </c>
      <c r="G9874" s="67" t="s">
        <v>494</v>
      </c>
      <c r="H9874" s="69">
        <v>-0.4</v>
      </c>
    </row>
    <row r="9875" spans="6:8">
      <c r="F9875" s="68" t="s">
        <v>257</v>
      </c>
      <c r="G9875" s="67" t="s">
        <v>494</v>
      </c>
      <c r="H9875" s="69">
        <v>1.01</v>
      </c>
    </row>
    <row r="9876" spans="6:8">
      <c r="F9876" s="68" t="s">
        <v>258</v>
      </c>
      <c r="G9876" s="67" t="s">
        <v>494</v>
      </c>
      <c r="H9876" s="69">
        <v>0.14000000000000001</v>
      </c>
    </row>
    <row r="9877" spans="6:8">
      <c r="F9877" s="68" t="s">
        <v>424</v>
      </c>
      <c r="G9877" s="67" t="s">
        <v>494</v>
      </c>
      <c r="H9877" s="69">
        <v>3.0150739020874617</v>
      </c>
    </row>
    <row r="9878" spans="6:8">
      <c r="F9878" s="68" t="s">
        <v>136</v>
      </c>
      <c r="G9878" s="67" t="s">
        <v>494</v>
      </c>
      <c r="H9878" s="69">
        <v>-0.65</v>
      </c>
    </row>
    <row r="9879" spans="6:8">
      <c r="F9879" s="68" t="s">
        <v>137</v>
      </c>
      <c r="G9879" s="67" t="s">
        <v>494</v>
      </c>
      <c r="H9879" s="69">
        <v>-0.55000000000000004</v>
      </c>
    </row>
    <row r="9880" spans="6:8">
      <c r="F9880" s="68" t="s">
        <v>138</v>
      </c>
      <c r="G9880" s="67" t="s">
        <v>494</v>
      </c>
      <c r="H9880" s="69">
        <v>-0.6</v>
      </c>
    </row>
    <row r="9881" spans="6:8">
      <c r="F9881" s="68" t="s">
        <v>259</v>
      </c>
      <c r="G9881" s="67" t="s">
        <v>494</v>
      </c>
      <c r="H9881" s="69">
        <v>0.17</v>
      </c>
    </row>
    <row r="9882" spans="6:8">
      <c r="F9882" s="68" t="s">
        <v>425</v>
      </c>
      <c r="G9882" s="67" t="s">
        <v>494</v>
      </c>
      <c r="H9882" s="69">
        <v>3.0218599967717807</v>
      </c>
    </row>
    <row r="9883" spans="6:8">
      <c r="F9883" s="68" t="s">
        <v>425</v>
      </c>
      <c r="G9883" s="67" t="s">
        <v>495</v>
      </c>
      <c r="H9883" s="69">
        <v>3.0219147959799297</v>
      </c>
    </row>
    <row r="9884" spans="6:8">
      <c r="F9884" s="68" t="s">
        <v>259</v>
      </c>
      <c r="G9884" s="67" t="s">
        <v>495</v>
      </c>
      <c r="H9884" s="69">
        <v>0.17</v>
      </c>
    </row>
    <row r="9885" spans="6:8">
      <c r="F9885" s="68" t="s">
        <v>138</v>
      </c>
      <c r="G9885" s="67" t="s">
        <v>495</v>
      </c>
      <c r="H9885" s="69">
        <v>-0.6</v>
      </c>
    </row>
    <row r="9886" spans="6:8">
      <c r="F9886" s="68" t="s">
        <v>137</v>
      </c>
      <c r="G9886" s="67" t="s">
        <v>495</v>
      </c>
      <c r="H9886" s="69">
        <v>-0.55000000000000004</v>
      </c>
    </row>
    <row r="9887" spans="6:8">
      <c r="F9887" s="68" t="s">
        <v>136</v>
      </c>
      <c r="G9887" s="67" t="s">
        <v>495</v>
      </c>
      <c r="H9887" s="69">
        <v>-0.65</v>
      </c>
    </row>
    <row r="9888" spans="6:8">
      <c r="F9888" s="68" t="s">
        <v>424</v>
      </c>
      <c r="G9888" s="67" t="s">
        <v>495</v>
      </c>
      <c r="H9888" s="69">
        <v>3.0161734144495078</v>
      </c>
    </row>
    <row r="9889" spans="6:8">
      <c r="F9889" s="68" t="s">
        <v>258</v>
      </c>
      <c r="G9889" s="67" t="s">
        <v>495</v>
      </c>
      <c r="H9889" s="69">
        <v>0.14000000000000001</v>
      </c>
    </row>
    <row r="9890" spans="6:8">
      <c r="F9890" s="68" t="s">
        <v>257</v>
      </c>
      <c r="G9890" s="67" t="s">
        <v>495</v>
      </c>
      <c r="H9890" s="69">
        <v>1.01</v>
      </c>
    </row>
    <row r="9891" spans="6:8">
      <c r="F9891" s="68" t="s">
        <v>135</v>
      </c>
      <c r="G9891" s="67" t="s">
        <v>495</v>
      </c>
      <c r="H9891" s="69">
        <v>-0.4</v>
      </c>
    </row>
    <row r="9892" spans="6:8">
      <c r="F9892" s="68" t="s">
        <v>134</v>
      </c>
      <c r="G9892" s="67" t="s">
        <v>495</v>
      </c>
      <c r="H9892" s="69">
        <v>-0.65</v>
      </c>
    </row>
    <row r="9893" spans="6:8">
      <c r="F9893" s="68" t="s">
        <v>423</v>
      </c>
      <c r="G9893" s="67" t="s">
        <v>495</v>
      </c>
      <c r="H9893" s="69">
        <v>2.2710986289010915</v>
      </c>
    </row>
    <row r="9894" spans="6:8">
      <c r="F9894" s="68" t="s">
        <v>256</v>
      </c>
      <c r="G9894" s="67" t="s">
        <v>495</v>
      </c>
      <c r="H9894" s="69">
        <v>0.93</v>
      </c>
    </row>
    <row r="9895" spans="6:8">
      <c r="F9895" s="68" t="s">
        <v>133</v>
      </c>
      <c r="G9895" s="67" t="s">
        <v>495</v>
      </c>
      <c r="H9895" s="69">
        <v>-0.4</v>
      </c>
    </row>
    <row r="9896" spans="6:8">
      <c r="F9896" s="68" t="s">
        <v>132</v>
      </c>
      <c r="G9896" s="67" t="s">
        <v>495</v>
      </c>
      <c r="H9896" s="69">
        <v>-0.65</v>
      </c>
    </row>
    <row r="9897" spans="6:8">
      <c r="F9897" s="68" t="s">
        <v>422</v>
      </c>
      <c r="G9897" s="67" t="s">
        <v>495</v>
      </c>
      <c r="H9897" s="69">
        <v>2.2140122571733922</v>
      </c>
    </row>
    <row r="9898" spans="6:8">
      <c r="F9898" s="68" t="s">
        <v>303</v>
      </c>
      <c r="G9898" s="67" t="s">
        <v>495</v>
      </c>
      <c r="H9898" s="69">
        <v>18.59375</v>
      </c>
    </row>
    <row r="9899" spans="6:8">
      <c r="F9899" s="68" t="s">
        <v>255</v>
      </c>
      <c r="G9899" s="67" t="s">
        <v>495</v>
      </c>
      <c r="H9899" s="69">
        <v>0.77</v>
      </c>
    </row>
    <row r="9900" spans="6:8">
      <c r="F9900" s="68" t="s">
        <v>131</v>
      </c>
      <c r="G9900" s="67" t="s">
        <v>495</v>
      </c>
      <c r="H9900" s="69">
        <v>-0.35</v>
      </c>
    </row>
    <row r="9901" spans="6:8">
      <c r="F9901" s="68" t="s">
        <v>130</v>
      </c>
      <c r="G9901" s="67" t="s">
        <v>495</v>
      </c>
      <c r="H9901" s="69">
        <v>-0.7</v>
      </c>
    </row>
    <row r="9902" spans="6:8">
      <c r="F9902" s="68" t="s">
        <v>421</v>
      </c>
      <c r="G9902" s="67" t="s">
        <v>495</v>
      </c>
      <c r="H9902" s="69">
        <v>2.2077830089124006</v>
      </c>
    </row>
    <row r="9903" spans="6:8">
      <c r="F9903" s="68" t="s">
        <v>304</v>
      </c>
      <c r="G9903" s="67" t="s">
        <v>495</v>
      </c>
      <c r="H9903" s="69">
        <v>17.40625</v>
      </c>
    </row>
    <row r="9904" spans="6:8">
      <c r="F9904" s="68" t="s">
        <v>254</v>
      </c>
      <c r="G9904" s="67" t="s">
        <v>495</v>
      </c>
      <c r="H9904" s="69">
        <v>0.57999999999999996</v>
      </c>
    </row>
    <row r="9905" spans="6:8">
      <c r="F9905" s="68" t="s">
        <v>129</v>
      </c>
      <c r="G9905" s="67" t="s">
        <v>495</v>
      </c>
      <c r="H9905" s="69">
        <v>-0.25</v>
      </c>
    </row>
    <row r="9906" spans="6:8">
      <c r="F9906" s="68" t="s">
        <v>128</v>
      </c>
      <c r="G9906" s="67" t="s">
        <v>495</v>
      </c>
      <c r="H9906" s="69">
        <v>-0.55000000000000004</v>
      </c>
    </row>
    <row r="9907" spans="6:8">
      <c r="F9907" s="68" t="s">
        <v>315</v>
      </c>
      <c r="G9907" s="67" t="s">
        <v>495</v>
      </c>
      <c r="H9907" s="69">
        <v>-0.2</v>
      </c>
    </row>
    <row r="9908" spans="6:8">
      <c r="F9908" s="68" t="s">
        <v>253</v>
      </c>
      <c r="G9908" s="67" t="s">
        <v>495</v>
      </c>
      <c r="H9908" s="69">
        <v>0.41</v>
      </c>
    </row>
    <row r="9909" spans="6:8">
      <c r="F9909" s="68" t="s">
        <v>127</v>
      </c>
      <c r="G9909" s="67" t="s">
        <v>495</v>
      </c>
      <c r="H9909" s="69">
        <v>-0.15</v>
      </c>
    </row>
    <row r="9910" spans="6:8">
      <c r="F9910" s="68" t="s">
        <v>126</v>
      </c>
      <c r="G9910" s="67" t="s">
        <v>495</v>
      </c>
      <c r="H9910" s="69">
        <v>-0.6</v>
      </c>
    </row>
    <row r="9911" spans="6:8">
      <c r="F9911" s="68" t="s">
        <v>125</v>
      </c>
      <c r="G9911" s="67" t="s">
        <v>495</v>
      </c>
      <c r="H9911" s="69">
        <v>-0.4</v>
      </c>
    </row>
    <row r="9912" spans="6:8">
      <c r="F9912" s="68" t="s">
        <v>314</v>
      </c>
      <c r="G9912" s="67" t="s">
        <v>495</v>
      </c>
      <c r="H9912" s="69">
        <v>-0.35</v>
      </c>
    </row>
    <row r="9913" spans="6:8">
      <c r="F9913" s="68" t="s">
        <v>252</v>
      </c>
      <c r="G9913" s="67" t="s">
        <v>495</v>
      </c>
      <c r="H9913" s="69">
        <v>0.3</v>
      </c>
    </row>
    <row r="9914" spans="6:8">
      <c r="F9914" s="68" t="s">
        <v>124</v>
      </c>
      <c r="G9914" s="67" t="s">
        <v>495</v>
      </c>
      <c r="H9914" s="69">
        <v>-0.4</v>
      </c>
    </row>
    <row r="9915" spans="6:8">
      <c r="F9915" s="68" t="s">
        <v>123</v>
      </c>
      <c r="G9915" s="67" t="s">
        <v>495</v>
      </c>
      <c r="H9915" s="69">
        <v>-0.7</v>
      </c>
    </row>
    <row r="9916" spans="6:8">
      <c r="F9916" s="68" t="s">
        <v>122</v>
      </c>
      <c r="G9916" s="67" t="s">
        <v>495</v>
      </c>
      <c r="H9916" s="69">
        <v>-0.6</v>
      </c>
    </row>
    <row r="9917" spans="6:8">
      <c r="F9917" s="68" t="s">
        <v>420</v>
      </c>
      <c r="G9917" s="67" t="s">
        <v>495</v>
      </c>
      <c r="H9917" s="69">
        <v>3.1543237441163718</v>
      </c>
    </row>
    <row r="9918" spans="6:8">
      <c r="F9918" s="68" t="s">
        <v>251</v>
      </c>
      <c r="G9918" s="67" t="s">
        <v>495</v>
      </c>
      <c r="H9918" s="69">
        <v>0.23</v>
      </c>
    </row>
    <row r="9919" spans="6:8">
      <c r="F9919" s="68" t="s">
        <v>121</v>
      </c>
      <c r="G9919" s="67" t="s">
        <v>495</v>
      </c>
      <c r="H9919" s="69">
        <v>-0.55000000000000004</v>
      </c>
    </row>
    <row r="9920" spans="6:8">
      <c r="F9920" s="68" t="s">
        <v>120</v>
      </c>
      <c r="G9920" s="67" t="s">
        <v>495</v>
      </c>
      <c r="H9920" s="69">
        <v>-0.55000000000000004</v>
      </c>
    </row>
    <row r="9921" spans="6:8">
      <c r="F9921" s="68" t="s">
        <v>119</v>
      </c>
      <c r="G9921" s="67" t="s">
        <v>495</v>
      </c>
      <c r="H9921" s="69">
        <v>-0.6</v>
      </c>
    </row>
    <row r="9922" spans="6:8">
      <c r="F9922" s="68" t="s">
        <v>119</v>
      </c>
      <c r="G9922" s="67" t="s">
        <v>496</v>
      </c>
      <c r="H9922" s="69">
        <v>-0.6</v>
      </c>
    </row>
    <row r="9923" spans="6:8">
      <c r="F9923" s="68" t="s">
        <v>120</v>
      </c>
      <c r="G9923" s="67" t="s">
        <v>496</v>
      </c>
      <c r="H9923" s="69">
        <v>-0.55000000000000004</v>
      </c>
    </row>
    <row r="9924" spans="6:8">
      <c r="F9924" s="68" t="s">
        <v>121</v>
      </c>
      <c r="G9924" s="67" t="s">
        <v>496</v>
      </c>
      <c r="H9924" s="69">
        <v>-0.55000000000000004</v>
      </c>
    </row>
    <row r="9925" spans="6:8">
      <c r="F9925" s="68" t="s">
        <v>251</v>
      </c>
      <c r="G9925" s="67" t="s">
        <v>496</v>
      </c>
      <c r="H9925" s="69">
        <v>0.23</v>
      </c>
    </row>
    <row r="9926" spans="6:8">
      <c r="F9926" s="68" t="s">
        <v>420</v>
      </c>
      <c r="G9926" s="67" t="s">
        <v>496</v>
      </c>
      <c r="H9926" s="69">
        <v>3.1611386444386547</v>
      </c>
    </row>
    <row r="9927" spans="6:8">
      <c r="F9927" s="68" t="s">
        <v>122</v>
      </c>
      <c r="G9927" s="67" t="s">
        <v>496</v>
      </c>
      <c r="H9927" s="69">
        <v>-0.6</v>
      </c>
    </row>
    <row r="9928" spans="6:8">
      <c r="F9928" s="68" t="s">
        <v>123</v>
      </c>
      <c r="G9928" s="67" t="s">
        <v>496</v>
      </c>
      <c r="H9928" s="69">
        <v>-0.7</v>
      </c>
    </row>
    <row r="9929" spans="6:8">
      <c r="F9929" s="68" t="s">
        <v>124</v>
      </c>
      <c r="G9929" s="67" t="s">
        <v>496</v>
      </c>
      <c r="H9929" s="69">
        <v>-0.4</v>
      </c>
    </row>
    <row r="9930" spans="6:8">
      <c r="F9930" s="68" t="s">
        <v>252</v>
      </c>
      <c r="G9930" s="67" t="s">
        <v>496</v>
      </c>
      <c r="H9930" s="69">
        <v>0.3</v>
      </c>
    </row>
    <row r="9931" spans="6:8">
      <c r="F9931" s="68" t="s">
        <v>314</v>
      </c>
      <c r="G9931" s="67" t="s">
        <v>496</v>
      </c>
      <c r="H9931" s="69">
        <v>-0.35</v>
      </c>
    </row>
    <row r="9932" spans="6:8">
      <c r="F9932" s="68" t="s">
        <v>125</v>
      </c>
      <c r="G9932" s="67" t="s">
        <v>496</v>
      </c>
      <c r="H9932" s="69">
        <v>-0.4</v>
      </c>
    </row>
    <row r="9933" spans="6:8">
      <c r="F9933" s="68" t="s">
        <v>126</v>
      </c>
      <c r="G9933" s="67" t="s">
        <v>496</v>
      </c>
      <c r="H9933" s="69">
        <v>-0.6</v>
      </c>
    </row>
    <row r="9934" spans="6:8">
      <c r="F9934" s="68" t="s">
        <v>127</v>
      </c>
      <c r="G9934" s="67" t="s">
        <v>496</v>
      </c>
      <c r="H9934" s="69">
        <v>-0.15</v>
      </c>
    </row>
    <row r="9935" spans="6:8">
      <c r="F9935" s="68" t="s">
        <v>253</v>
      </c>
      <c r="G9935" s="67" t="s">
        <v>496</v>
      </c>
      <c r="H9935" s="69">
        <v>0.41</v>
      </c>
    </row>
    <row r="9936" spans="6:8">
      <c r="F9936" s="68" t="s">
        <v>315</v>
      </c>
      <c r="G9936" s="67" t="s">
        <v>496</v>
      </c>
      <c r="H9936" s="69">
        <v>-0.2</v>
      </c>
    </row>
    <row r="9937" spans="6:8">
      <c r="F9937" s="68" t="s">
        <v>128</v>
      </c>
      <c r="G9937" s="67" t="s">
        <v>496</v>
      </c>
      <c r="H9937" s="69">
        <v>-0.55000000000000004</v>
      </c>
    </row>
    <row r="9938" spans="6:8">
      <c r="F9938" s="68" t="s">
        <v>129</v>
      </c>
      <c r="G9938" s="67" t="s">
        <v>496</v>
      </c>
      <c r="H9938" s="69">
        <v>-0.25</v>
      </c>
    </row>
    <row r="9939" spans="6:8">
      <c r="F9939" s="68" t="s">
        <v>254</v>
      </c>
      <c r="G9939" s="67" t="s">
        <v>496</v>
      </c>
      <c r="H9939" s="69">
        <v>0.56999999999999995</v>
      </c>
    </row>
    <row r="9940" spans="6:8">
      <c r="F9940" s="68" t="s">
        <v>304</v>
      </c>
      <c r="G9940" s="67" t="s">
        <v>496</v>
      </c>
      <c r="H9940" s="69">
        <v>17.40625</v>
      </c>
    </row>
    <row r="9941" spans="6:8">
      <c r="F9941" s="68" t="s">
        <v>421</v>
      </c>
      <c r="G9941" s="67" t="s">
        <v>496</v>
      </c>
      <c r="H9941" s="69">
        <v>2.2087196711503942</v>
      </c>
    </row>
    <row r="9942" spans="6:8">
      <c r="F9942" s="68" t="s">
        <v>130</v>
      </c>
      <c r="G9942" s="67" t="s">
        <v>496</v>
      </c>
      <c r="H9942" s="69">
        <v>-0.7</v>
      </c>
    </row>
    <row r="9943" spans="6:8">
      <c r="F9943" s="68" t="s">
        <v>131</v>
      </c>
      <c r="G9943" s="67" t="s">
        <v>496</v>
      </c>
      <c r="H9943" s="69">
        <v>-0.35</v>
      </c>
    </row>
    <row r="9944" spans="6:8">
      <c r="F9944" s="68" t="s">
        <v>255</v>
      </c>
      <c r="G9944" s="67" t="s">
        <v>496</v>
      </c>
      <c r="H9944" s="69">
        <v>0.76</v>
      </c>
    </row>
    <row r="9945" spans="6:8">
      <c r="F9945" s="68" t="s">
        <v>303</v>
      </c>
      <c r="G9945" s="67" t="s">
        <v>496</v>
      </c>
      <c r="H9945" s="69">
        <v>18.59375</v>
      </c>
    </row>
    <row r="9946" spans="6:8">
      <c r="F9946" s="68" t="s">
        <v>422</v>
      </c>
      <c r="G9946" s="67" t="s">
        <v>496</v>
      </c>
      <c r="H9946" s="69">
        <v>2.2150313439155411</v>
      </c>
    </row>
    <row r="9947" spans="6:8">
      <c r="F9947" s="68" t="s">
        <v>132</v>
      </c>
      <c r="G9947" s="67" t="s">
        <v>496</v>
      </c>
      <c r="H9947" s="69">
        <v>-0.65</v>
      </c>
    </row>
    <row r="9948" spans="6:8">
      <c r="F9948" s="68" t="s">
        <v>133</v>
      </c>
      <c r="G9948" s="67" t="s">
        <v>496</v>
      </c>
      <c r="H9948" s="69">
        <v>-0.4</v>
      </c>
    </row>
    <row r="9949" spans="6:8">
      <c r="F9949" s="68" t="s">
        <v>256</v>
      </c>
      <c r="G9949" s="67" t="s">
        <v>496</v>
      </c>
      <c r="H9949" s="69">
        <v>0.92</v>
      </c>
    </row>
    <row r="9950" spans="6:8">
      <c r="F9950" s="68" t="s">
        <v>423</v>
      </c>
      <c r="G9950" s="67" t="s">
        <v>496</v>
      </c>
      <c r="H9950" s="69">
        <v>2.274113383857479</v>
      </c>
    </row>
    <row r="9951" spans="6:8">
      <c r="F9951" s="68" t="s">
        <v>134</v>
      </c>
      <c r="G9951" s="67" t="s">
        <v>496</v>
      </c>
      <c r="H9951" s="69">
        <v>-0.65</v>
      </c>
    </row>
    <row r="9952" spans="6:8">
      <c r="F9952" s="68" t="s">
        <v>135</v>
      </c>
      <c r="G9952" s="67" t="s">
        <v>496</v>
      </c>
      <c r="H9952" s="69">
        <v>-0.4</v>
      </c>
    </row>
    <row r="9953" spans="6:8">
      <c r="F9953" s="68" t="s">
        <v>257</v>
      </c>
      <c r="G9953" s="67" t="s">
        <v>496</v>
      </c>
      <c r="H9953" s="69">
        <v>1</v>
      </c>
    </row>
    <row r="9954" spans="6:8">
      <c r="F9954" s="68" t="s">
        <v>258</v>
      </c>
      <c r="G9954" s="67" t="s">
        <v>496</v>
      </c>
      <c r="H9954" s="69">
        <v>0.14000000000000001</v>
      </c>
    </row>
    <row r="9955" spans="6:8">
      <c r="F9955" s="68" t="s">
        <v>424</v>
      </c>
      <c r="G9955" s="67" t="s">
        <v>496</v>
      </c>
      <c r="H9955" s="69">
        <v>3.0230484813230429</v>
      </c>
    </row>
    <row r="9956" spans="6:8">
      <c r="F9956" s="68" t="s">
        <v>136</v>
      </c>
      <c r="G9956" s="67" t="s">
        <v>496</v>
      </c>
      <c r="H9956" s="69">
        <v>-0.65</v>
      </c>
    </row>
    <row r="9957" spans="6:8">
      <c r="F9957" s="68" t="s">
        <v>137</v>
      </c>
      <c r="G9957" s="67" t="s">
        <v>496</v>
      </c>
      <c r="H9957" s="69">
        <v>-0.55000000000000004</v>
      </c>
    </row>
    <row r="9958" spans="6:8">
      <c r="F9958" s="68" t="s">
        <v>138</v>
      </c>
      <c r="G9958" s="67" t="s">
        <v>496</v>
      </c>
      <c r="H9958" s="69">
        <v>-0.6</v>
      </c>
    </row>
    <row r="9959" spans="6:8">
      <c r="F9959" s="68" t="s">
        <v>259</v>
      </c>
      <c r="G9959" s="67" t="s">
        <v>496</v>
      </c>
      <c r="H9959" s="69">
        <v>0.17</v>
      </c>
    </row>
    <row r="9960" spans="6:8">
      <c r="F9960" s="68" t="s">
        <v>425</v>
      </c>
      <c r="G9960" s="67" t="s">
        <v>496</v>
      </c>
      <c r="H9960" s="69">
        <v>3.0278757370003184</v>
      </c>
    </row>
    <row r="9961" spans="6:8">
      <c r="F9961" s="68" t="s">
        <v>425</v>
      </c>
      <c r="G9961" s="67" t="s">
        <v>497</v>
      </c>
      <c r="H9961" s="69">
        <v>3.0434806481533183</v>
      </c>
    </row>
    <row r="9962" spans="6:8">
      <c r="F9962" s="68" t="s">
        <v>259</v>
      </c>
      <c r="G9962" s="67" t="s">
        <v>497</v>
      </c>
      <c r="H9962" s="69">
        <v>0.17</v>
      </c>
    </row>
    <row r="9963" spans="6:8">
      <c r="F9963" s="68" t="s">
        <v>138</v>
      </c>
      <c r="G9963" s="67" t="s">
        <v>497</v>
      </c>
      <c r="H9963" s="69">
        <v>-0.6</v>
      </c>
    </row>
    <row r="9964" spans="6:8">
      <c r="F9964" s="68" t="s">
        <v>137</v>
      </c>
      <c r="G9964" s="67" t="s">
        <v>497</v>
      </c>
      <c r="H9964" s="69">
        <v>-0.55000000000000004</v>
      </c>
    </row>
    <row r="9965" spans="6:8">
      <c r="F9965" s="68" t="s">
        <v>136</v>
      </c>
      <c r="G9965" s="67" t="s">
        <v>497</v>
      </c>
      <c r="H9965" s="69">
        <v>-0.65</v>
      </c>
    </row>
    <row r="9966" spans="6:8">
      <c r="F9966" s="68" t="s">
        <v>424</v>
      </c>
      <c r="G9966" s="67" t="s">
        <v>497</v>
      </c>
      <c r="H9966" s="69">
        <v>3.0372295751836198</v>
      </c>
    </row>
    <row r="9967" spans="6:8">
      <c r="F9967" s="68" t="s">
        <v>258</v>
      </c>
      <c r="G9967" s="67" t="s">
        <v>497</v>
      </c>
      <c r="H9967" s="69">
        <v>0.14000000000000001</v>
      </c>
    </row>
    <row r="9968" spans="6:8">
      <c r="F9968" s="68" t="s">
        <v>257</v>
      </c>
      <c r="G9968" s="67" t="s">
        <v>497</v>
      </c>
      <c r="H9968" s="69">
        <v>1</v>
      </c>
    </row>
    <row r="9969" spans="6:8">
      <c r="F9969" s="68" t="s">
        <v>135</v>
      </c>
      <c r="G9969" s="67" t="s">
        <v>497</v>
      </c>
      <c r="H9969" s="69">
        <v>-0.4</v>
      </c>
    </row>
    <row r="9970" spans="6:8">
      <c r="F9970" s="68" t="s">
        <v>134</v>
      </c>
      <c r="G9970" s="67" t="s">
        <v>497</v>
      </c>
      <c r="H9970" s="69">
        <v>-0.65</v>
      </c>
    </row>
    <row r="9971" spans="6:8">
      <c r="F9971" s="68" t="s">
        <v>423</v>
      </c>
      <c r="G9971" s="67" t="s">
        <v>497</v>
      </c>
      <c r="H9971" s="69">
        <v>2.294967541038373</v>
      </c>
    </row>
    <row r="9972" spans="6:8">
      <c r="F9972" s="68" t="s">
        <v>256</v>
      </c>
      <c r="G9972" s="67" t="s">
        <v>497</v>
      </c>
      <c r="H9972" s="69">
        <v>0.92</v>
      </c>
    </row>
    <row r="9973" spans="6:8">
      <c r="F9973" s="68" t="s">
        <v>133</v>
      </c>
      <c r="G9973" s="67" t="s">
        <v>497</v>
      </c>
      <c r="H9973" s="69">
        <v>-0.4</v>
      </c>
    </row>
    <row r="9974" spans="6:8">
      <c r="F9974" s="68" t="s">
        <v>132</v>
      </c>
      <c r="G9974" s="67" t="s">
        <v>497</v>
      </c>
      <c r="H9974" s="69">
        <v>-0.65</v>
      </c>
    </row>
    <row r="9975" spans="6:8">
      <c r="F9975" s="68" t="s">
        <v>422</v>
      </c>
      <c r="G9975" s="67" t="s">
        <v>497</v>
      </c>
      <c r="H9975" s="69">
        <v>2.2540407507152249</v>
      </c>
    </row>
    <row r="9976" spans="6:8">
      <c r="F9976" s="68" t="s">
        <v>303</v>
      </c>
      <c r="G9976" s="67" t="s">
        <v>497</v>
      </c>
      <c r="H9976" s="69">
        <v>18.6875</v>
      </c>
    </row>
    <row r="9977" spans="6:8">
      <c r="F9977" s="68" t="s">
        <v>255</v>
      </c>
      <c r="G9977" s="67" t="s">
        <v>497</v>
      </c>
      <c r="H9977" s="69">
        <v>0.76</v>
      </c>
    </row>
    <row r="9978" spans="6:8">
      <c r="F9978" s="68" t="s">
        <v>131</v>
      </c>
      <c r="G9978" s="67" t="s">
        <v>497</v>
      </c>
      <c r="H9978" s="69">
        <v>-0.35</v>
      </c>
    </row>
    <row r="9979" spans="6:8">
      <c r="F9979" s="68" t="s">
        <v>130</v>
      </c>
      <c r="G9979" s="67" t="s">
        <v>497</v>
      </c>
      <c r="H9979" s="69">
        <v>-0.7</v>
      </c>
    </row>
    <row r="9980" spans="6:8">
      <c r="F9980" s="68" t="s">
        <v>421</v>
      </c>
      <c r="G9980" s="67" t="s">
        <v>497</v>
      </c>
      <c r="H9980" s="69">
        <v>2.2478542992208972</v>
      </c>
    </row>
    <row r="9981" spans="6:8">
      <c r="F9981" s="68" t="s">
        <v>304</v>
      </c>
      <c r="G9981" s="67" t="s">
        <v>497</v>
      </c>
      <c r="H9981" s="69">
        <v>17.65625</v>
      </c>
    </row>
    <row r="9982" spans="6:8">
      <c r="F9982" s="68" t="s">
        <v>254</v>
      </c>
      <c r="G9982" s="67" t="s">
        <v>497</v>
      </c>
      <c r="H9982" s="69">
        <v>0.56999999999999995</v>
      </c>
    </row>
    <row r="9983" spans="6:8">
      <c r="F9983" s="68" t="s">
        <v>129</v>
      </c>
      <c r="G9983" s="67" t="s">
        <v>497</v>
      </c>
      <c r="H9983" s="69">
        <v>-0.25</v>
      </c>
    </row>
    <row r="9984" spans="6:8">
      <c r="F9984" s="68" t="s">
        <v>128</v>
      </c>
      <c r="G9984" s="67" t="s">
        <v>497</v>
      </c>
      <c r="H9984" s="69">
        <v>-0.55000000000000004</v>
      </c>
    </row>
    <row r="9985" spans="6:8">
      <c r="F9985" s="68" t="s">
        <v>315</v>
      </c>
      <c r="G9985" s="67" t="s">
        <v>497</v>
      </c>
      <c r="H9985" s="69">
        <v>-0.2</v>
      </c>
    </row>
    <row r="9986" spans="6:8">
      <c r="F9986" s="68" t="s">
        <v>253</v>
      </c>
      <c r="G9986" s="67" t="s">
        <v>497</v>
      </c>
      <c r="H9986" s="69">
        <v>0.41</v>
      </c>
    </row>
    <row r="9987" spans="6:8">
      <c r="F9987" s="68" t="s">
        <v>127</v>
      </c>
      <c r="G9987" s="67" t="s">
        <v>497</v>
      </c>
      <c r="H9987" s="69">
        <v>-0.15</v>
      </c>
    </row>
    <row r="9988" spans="6:8">
      <c r="F9988" s="68" t="s">
        <v>126</v>
      </c>
      <c r="G9988" s="67" t="s">
        <v>497</v>
      </c>
      <c r="H9988" s="69">
        <v>-0.6</v>
      </c>
    </row>
    <row r="9989" spans="6:8">
      <c r="F9989" s="68" t="s">
        <v>125</v>
      </c>
      <c r="G9989" s="67" t="s">
        <v>497</v>
      </c>
      <c r="H9989" s="69">
        <v>-0.4</v>
      </c>
    </row>
    <row r="9990" spans="6:8">
      <c r="F9990" s="68" t="s">
        <v>314</v>
      </c>
      <c r="G9990" s="67" t="s">
        <v>497</v>
      </c>
      <c r="H9990" s="69">
        <v>-0.35</v>
      </c>
    </row>
    <row r="9991" spans="6:8">
      <c r="F9991" s="68" t="s">
        <v>252</v>
      </c>
      <c r="G9991" s="67" t="s">
        <v>497</v>
      </c>
      <c r="H9991" s="69">
        <v>0.3</v>
      </c>
    </row>
    <row r="9992" spans="6:8">
      <c r="F9992" s="68" t="s">
        <v>124</v>
      </c>
      <c r="G9992" s="67" t="s">
        <v>497</v>
      </c>
      <c r="H9992" s="69">
        <v>-0.4</v>
      </c>
    </row>
    <row r="9993" spans="6:8">
      <c r="F9993" s="68" t="s">
        <v>123</v>
      </c>
      <c r="G9993" s="67" t="s">
        <v>497</v>
      </c>
      <c r="H9993" s="69">
        <v>-0.7</v>
      </c>
    </row>
    <row r="9994" spans="6:8">
      <c r="F9994" s="68" t="s">
        <v>122</v>
      </c>
      <c r="G9994" s="67" t="s">
        <v>497</v>
      </c>
      <c r="H9994" s="69">
        <v>-0.6</v>
      </c>
    </row>
    <row r="9995" spans="6:8">
      <c r="F9995" s="68" t="s">
        <v>420</v>
      </c>
      <c r="G9995" s="67" t="s">
        <v>497</v>
      </c>
      <c r="H9995" s="69">
        <v>3.1803565883984142</v>
      </c>
    </row>
    <row r="9996" spans="6:8">
      <c r="F9996" s="68" t="s">
        <v>251</v>
      </c>
      <c r="G9996" s="67" t="s">
        <v>497</v>
      </c>
      <c r="H9996" s="69">
        <v>0.23</v>
      </c>
    </row>
    <row r="9997" spans="6:8">
      <c r="F9997" s="68" t="s">
        <v>121</v>
      </c>
      <c r="G9997" s="67" t="s">
        <v>497</v>
      </c>
      <c r="H9997" s="69">
        <v>-0.55000000000000004</v>
      </c>
    </row>
    <row r="9998" spans="6:8">
      <c r="F9998" s="68" t="s">
        <v>120</v>
      </c>
      <c r="G9998" s="67" t="s">
        <v>497</v>
      </c>
      <c r="H9998" s="69">
        <v>-0.55000000000000004</v>
      </c>
    </row>
    <row r="9999" spans="6:8">
      <c r="F9999" s="68" t="s">
        <v>119</v>
      </c>
      <c r="G9999" s="67" t="s">
        <v>497</v>
      </c>
      <c r="H9999" s="69">
        <v>-0.6</v>
      </c>
    </row>
    <row r="10000" spans="6:8">
      <c r="F10000" s="68" t="s">
        <v>119</v>
      </c>
      <c r="G10000" s="67" t="s">
        <v>498</v>
      </c>
      <c r="H10000" s="69">
        <v>-0.6</v>
      </c>
    </row>
    <row r="10001" spans="6:8">
      <c r="F10001" s="68" t="s">
        <v>120</v>
      </c>
      <c r="G10001" s="67" t="s">
        <v>498</v>
      </c>
      <c r="H10001" s="69">
        <v>-0.55000000000000004</v>
      </c>
    </row>
    <row r="10002" spans="6:8">
      <c r="F10002" s="68" t="s">
        <v>121</v>
      </c>
      <c r="G10002" s="67" t="s">
        <v>498</v>
      </c>
      <c r="H10002" s="69">
        <v>-0.55000000000000004</v>
      </c>
    </row>
    <row r="10003" spans="6:8">
      <c r="F10003" s="68" t="s">
        <v>251</v>
      </c>
      <c r="G10003" s="67" t="s">
        <v>498</v>
      </c>
      <c r="H10003" s="69">
        <v>0.23</v>
      </c>
    </row>
    <row r="10004" spans="6:8">
      <c r="F10004" s="68" t="s">
        <v>420</v>
      </c>
      <c r="G10004" s="67" t="s">
        <v>498</v>
      </c>
      <c r="H10004" s="69">
        <v>3.2592830916483351</v>
      </c>
    </row>
    <row r="10005" spans="6:8">
      <c r="F10005" s="68" t="s">
        <v>122</v>
      </c>
      <c r="G10005" s="67" t="s">
        <v>498</v>
      </c>
      <c r="H10005" s="69">
        <v>-0.6</v>
      </c>
    </row>
    <row r="10006" spans="6:8">
      <c r="F10006" s="68" t="s">
        <v>123</v>
      </c>
      <c r="G10006" s="67" t="s">
        <v>498</v>
      </c>
      <c r="H10006" s="69">
        <v>-0.7</v>
      </c>
    </row>
    <row r="10007" spans="6:8">
      <c r="F10007" s="68" t="s">
        <v>124</v>
      </c>
      <c r="G10007" s="67" t="s">
        <v>498</v>
      </c>
      <c r="H10007" s="69">
        <v>-0.4</v>
      </c>
    </row>
    <row r="10008" spans="6:8">
      <c r="F10008" s="68" t="s">
        <v>252</v>
      </c>
      <c r="G10008" s="67" t="s">
        <v>498</v>
      </c>
      <c r="H10008" s="69">
        <v>0.3</v>
      </c>
    </row>
    <row r="10009" spans="6:8">
      <c r="F10009" s="68" t="s">
        <v>314</v>
      </c>
      <c r="G10009" s="67" t="s">
        <v>498</v>
      </c>
      <c r="H10009" s="69">
        <v>-0.35</v>
      </c>
    </row>
    <row r="10010" spans="6:8">
      <c r="F10010" s="68" t="s">
        <v>125</v>
      </c>
      <c r="G10010" s="67" t="s">
        <v>498</v>
      </c>
      <c r="H10010" s="69">
        <v>-0.4</v>
      </c>
    </row>
    <row r="10011" spans="6:8">
      <c r="F10011" s="68" t="s">
        <v>126</v>
      </c>
      <c r="G10011" s="67" t="s">
        <v>498</v>
      </c>
      <c r="H10011" s="69">
        <v>-0.6</v>
      </c>
    </row>
    <row r="10012" spans="6:8">
      <c r="F10012" s="68" t="s">
        <v>127</v>
      </c>
      <c r="G10012" s="67" t="s">
        <v>498</v>
      </c>
      <c r="H10012" s="69">
        <v>-0.15</v>
      </c>
    </row>
    <row r="10013" spans="6:8">
      <c r="F10013" s="68" t="s">
        <v>253</v>
      </c>
      <c r="G10013" s="67" t="s">
        <v>498</v>
      </c>
      <c r="H10013" s="69">
        <v>0.42</v>
      </c>
    </row>
    <row r="10014" spans="6:8">
      <c r="F10014" s="68" t="s">
        <v>315</v>
      </c>
      <c r="G10014" s="67" t="s">
        <v>498</v>
      </c>
      <c r="H10014" s="69">
        <v>-0.2</v>
      </c>
    </row>
    <row r="10015" spans="6:8">
      <c r="F10015" s="68" t="s">
        <v>128</v>
      </c>
      <c r="G10015" s="67" t="s">
        <v>498</v>
      </c>
      <c r="H10015" s="69">
        <v>-0.55000000000000004</v>
      </c>
    </row>
    <row r="10016" spans="6:8">
      <c r="F10016" s="68" t="s">
        <v>129</v>
      </c>
      <c r="G10016" s="67" t="s">
        <v>498</v>
      </c>
      <c r="H10016" s="69">
        <v>-0.25</v>
      </c>
    </row>
    <row r="10017" spans="6:8">
      <c r="F10017" s="68" t="s">
        <v>254</v>
      </c>
      <c r="G10017" s="67" t="s">
        <v>498</v>
      </c>
      <c r="H10017" s="69">
        <v>0.57999999999999996</v>
      </c>
    </row>
    <row r="10018" spans="6:8">
      <c r="F10018" s="68" t="s">
        <v>304</v>
      </c>
      <c r="G10018" s="67" t="s">
        <v>498</v>
      </c>
      <c r="H10018" s="69">
        <v>17.59375</v>
      </c>
    </row>
    <row r="10019" spans="6:8">
      <c r="F10019" s="68" t="s">
        <v>421</v>
      </c>
      <c r="G10019" s="67" t="s">
        <v>498</v>
      </c>
      <c r="H10019" s="69">
        <v>2.3105344791270799</v>
      </c>
    </row>
    <row r="10020" spans="6:8">
      <c r="F10020" s="68" t="s">
        <v>130</v>
      </c>
      <c r="G10020" s="67" t="s">
        <v>498</v>
      </c>
      <c r="H10020" s="69">
        <v>-0.7</v>
      </c>
    </row>
    <row r="10021" spans="6:8">
      <c r="F10021" s="68" t="s">
        <v>131</v>
      </c>
      <c r="G10021" s="67" t="s">
        <v>498</v>
      </c>
      <c r="H10021" s="69">
        <v>-0.35</v>
      </c>
    </row>
    <row r="10022" spans="6:8">
      <c r="F10022" s="68" t="s">
        <v>255</v>
      </c>
      <c r="G10022" s="67" t="s">
        <v>498</v>
      </c>
      <c r="H10022" s="69">
        <v>0.77</v>
      </c>
    </row>
    <row r="10023" spans="6:8">
      <c r="F10023" s="68" t="s">
        <v>303</v>
      </c>
      <c r="G10023" s="67" t="s">
        <v>498</v>
      </c>
      <c r="H10023" s="69">
        <v>18.65625</v>
      </c>
    </row>
    <row r="10024" spans="6:8">
      <c r="F10024" s="68" t="s">
        <v>422</v>
      </c>
      <c r="G10024" s="67" t="s">
        <v>498</v>
      </c>
      <c r="H10024" s="69">
        <v>2.316778795152441</v>
      </c>
    </row>
    <row r="10025" spans="6:8">
      <c r="F10025" s="68" t="s">
        <v>132</v>
      </c>
      <c r="G10025" s="67" t="s">
        <v>498</v>
      </c>
      <c r="H10025" s="69">
        <v>-0.65</v>
      </c>
    </row>
    <row r="10026" spans="6:8">
      <c r="F10026" s="68" t="s">
        <v>133</v>
      </c>
      <c r="G10026" s="67" t="s">
        <v>498</v>
      </c>
      <c r="H10026" s="69">
        <v>-0.4</v>
      </c>
    </row>
    <row r="10027" spans="6:8">
      <c r="F10027" s="68" t="s">
        <v>256</v>
      </c>
      <c r="G10027" s="67" t="s">
        <v>498</v>
      </c>
      <c r="H10027" s="69">
        <v>0.93</v>
      </c>
    </row>
    <row r="10028" spans="6:8">
      <c r="F10028" s="68" t="s">
        <v>423</v>
      </c>
      <c r="G10028" s="67" t="s">
        <v>498</v>
      </c>
      <c r="H10028" s="69">
        <v>2.3586788400825842</v>
      </c>
    </row>
    <row r="10029" spans="6:8">
      <c r="F10029" s="68" t="s">
        <v>134</v>
      </c>
      <c r="G10029" s="67" t="s">
        <v>498</v>
      </c>
      <c r="H10029" s="69">
        <v>-0.65</v>
      </c>
    </row>
    <row r="10030" spans="6:8">
      <c r="F10030" s="68" t="s">
        <v>135</v>
      </c>
      <c r="G10030" s="67" t="s">
        <v>498</v>
      </c>
      <c r="H10030" s="69">
        <v>-0.4</v>
      </c>
    </row>
    <row r="10031" spans="6:8">
      <c r="F10031" s="68" t="s">
        <v>257</v>
      </c>
      <c r="G10031" s="67" t="s">
        <v>498</v>
      </c>
      <c r="H10031" s="69">
        <v>1.01</v>
      </c>
    </row>
    <row r="10032" spans="6:8">
      <c r="F10032" s="68" t="s">
        <v>258</v>
      </c>
      <c r="G10032" s="67" t="s">
        <v>498</v>
      </c>
      <c r="H10032" s="69">
        <v>0.14000000000000001</v>
      </c>
    </row>
    <row r="10033" spans="6:8">
      <c r="F10033" s="68" t="s">
        <v>424</v>
      </c>
      <c r="G10033" s="67" t="s">
        <v>498</v>
      </c>
      <c r="H10033" s="69">
        <v>3.1122691162438709</v>
      </c>
    </row>
    <row r="10034" spans="6:8">
      <c r="F10034" s="68" t="s">
        <v>136</v>
      </c>
      <c r="G10034" s="67" t="s">
        <v>498</v>
      </c>
      <c r="H10034" s="69">
        <v>-0.65</v>
      </c>
    </row>
    <row r="10035" spans="6:8">
      <c r="F10035" s="68" t="s">
        <v>137</v>
      </c>
      <c r="G10035" s="67" t="s">
        <v>498</v>
      </c>
      <c r="H10035" s="69">
        <v>-0.55000000000000004</v>
      </c>
    </row>
    <row r="10036" spans="6:8">
      <c r="F10036" s="68" t="s">
        <v>138</v>
      </c>
      <c r="G10036" s="67" t="s">
        <v>498</v>
      </c>
      <c r="H10036" s="69">
        <v>-0.6</v>
      </c>
    </row>
    <row r="10037" spans="6:8">
      <c r="F10037" s="68" t="s">
        <v>259</v>
      </c>
      <c r="G10037" s="67" t="s">
        <v>498</v>
      </c>
      <c r="H10037" s="69">
        <v>0.17</v>
      </c>
    </row>
    <row r="10038" spans="6:8">
      <c r="F10038" s="68" t="s">
        <v>425</v>
      </c>
      <c r="G10038" s="67" t="s">
        <v>498</v>
      </c>
      <c r="H10038" s="69">
        <v>3.1198717390044983</v>
      </c>
    </row>
    <row r="10039" spans="6:8">
      <c r="F10039" s="68" t="s">
        <v>425</v>
      </c>
      <c r="G10039" s="67" t="s">
        <v>499</v>
      </c>
      <c r="H10039" s="69">
        <v>3.1005336979579745</v>
      </c>
    </row>
    <row r="10040" spans="6:8">
      <c r="F10040" s="68" t="s">
        <v>259</v>
      </c>
      <c r="G10040" s="67" t="s">
        <v>499</v>
      </c>
      <c r="H10040" s="69">
        <v>0.17</v>
      </c>
    </row>
    <row r="10041" spans="6:8">
      <c r="F10041" s="68" t="s">
        <v>138</v>
      </c>
      <c r="G10041" s="67" t="s">
        <v>499</v>
      </c>
      <c r="H10041" s="69">
        <v>-0.6</v>
      </c>
    </row>
    <row r="10042" spans="6:8">
      <c r="F10042" s="68" t="s">
        <v>137</v>
      </c>
      <c r="G10042" s="67" t="s">
        <v>499</v>
      </c>
      <c r="H10042" s="69">
        <v>-0.55000000000000004</v>
      </c>
    </row>
    <row r="10043" spans="6:8">
      <c r="F10043" s="68" t="s">
        <v>136</v>
      </c>
      <c r="G10043" s="67" t="s">
        <v>499</v>
      </c>
      <c r="H10043" s="69">
        <v>-0.65</v>
      </c>
    </row>
    <row r="10044" spans="6:8">
      <c r="F10044" s="68" t="s">
        <v>424</v>
      </c>
      <c r="G10044" s="67" t="s">
        <v>499</v>
      </c>
      <c r="H10044" s="69">
        <v>3.0965102871981731</v>
      </c>
    </row>
    <row r="10045" spans="6:8">
      <c r="F10045" s="68" t="s">
        <v>258</v>
      </c>
      <c r="G10045" s="67" t="s">
        <v>499</v>
      </c>
      <c r="H10045" s="69">
        <v>0.14000000000000001</v>
      </c>
    </row>
    <row r="10046" spans="6:8">
      <c r="F10046" s="68" t="s">
        <v>257</v>
      </c>
      <c r="G10046" s="67" t="s">
        <v>499</v>
      </c>
      <c r="H10046" s="69">
        <v>1.01</v>
      </c>
    </row>
    <row r="10047" spans="6:8">
      <c r="F10047" s="68" t="s">
        <v>135</v>
      </c>
      <c r="G10047" s="67" t="s">
        <v>499</v>
      </c>
      <c r="H10047" s="69">
        <v>-0.4</v>
      </c>
    </row>
    <row r="10048" spans="6:8">
      <c r="F10048" s="68" t="s">
        <v>134</v>
      </c>
      <c r="G10048" s="67" t="s">
        <v>499</v>
      </c>
      <c r="H10048" s="69">
        <v>-0.65</v>
      </c>
    </row>
    <row r="10049" spans="6:8">
      <c r="F10049" s="68" t="s">
        <v>423</v>
      </c>
      <c r="G10049" s="67" t="s">
        <v>499</v>
      </c>
      <c r="H10049" s="69">
        <v>2.3299151272827334</v>
      </c>
    </row>
    <row r="10050" spans="6:8">
      <c r="F10050" s="68" t="s">
        <v>256</v>
      </c>
      <c r="G10050" s="67" t="s">
        <v>499</v>
      </c>
      <c r="H10050" s="69">
        <v>0.93</v>
      </c>
    </row>
    <row r="10051" spans="6:8">
      <c r="F10051" s="68" t="s">
        <v>133</v>
      </c>
      <c r="G10051" s="67" t="s">
        <v>499</v>
      </c>
      <c r="H10051" s="69">
        <v>-0.4</v>
      </c>
    </row>
    <row r="10052" spans="6:8">
      <c r="F10052" s="68" t="s">
        <v>132</v>
      </c>
      <c r="G10052" s="67" t="s">
        <v>499</v>
      </c>
      <c r="H10052" s="69">
        <v>-0.65</v>
      </c>
    </row>
    <row r="10053" spans="6:8">
      <c r="F10053" s="68" t="s">
        <v>422</v>
      </c>
      <c r="G10053" s="67" t="s">
        <v>499</v>
      </c>
      <c r="H10053" s="69">
        <v>2.2881052613181296</v>
      </c>
    </row>
    <row r="10054" spans="6:8">
      <c r="F10054" s="68" t="s">
        <v>303</v>
      </c>
      <c r="G10054" s="67" t="s">
        <v>499</v>
      </c>
      <c r="H10054" s="69">
        <v>18.59375</v>
      </c>
    </row>
    <row r="10055" spans="6:8">
      <c r="F10055" s="68" t="s">
        <v>255</v>
      </c>
      <c r="G10055" s="67" t="s">
        <v>499</v>
      </c>
      <c r="H10055" s="69">
        <v>0.77</v>
      </c>
    </row>
    <row r="10056" spans="6:8">
      <c r="F10056" s="68" t="s">
        <v>131</v>
      </c>
      <c r="G10056" s="67" t="s">
        <v>499</v>
      </c>
      <c r="H10056" s="69">
        <v>-0.35</v>
      </c>
    </row>
    <row r="10057" spans="6:8">
      <c r="F10057" s="68" t="s">
        <v>130</v>
      </c>
      <c r="G10057" s="67" t="s">
        <v>499</v>
      </c>
      <c r="H10057" s="69">
        <v>-0.7</v>
      </c>
    </row>
    <row r="10058" spans="6:8">
      <c r="F10058" s="68" t="s">
        <v>421</v>
      </c>
      <c r="G10058" s="67" t="s">
        <v>499</v>
      </c>
      <c r="H10058" s="69">
        <v>2.2820302531526337</v>
      </c>
    </row>
    <row r="10059" spans="6:8">
      <c r="F10059" s="68" t="s">
        <v>304</v>
      </c>
      <c r="G10059" s="67" t="s">
        <v>499</v>
      </c>
      <c r="H10059" s="69">
        <v>17.53125</v>
      </c>
    </row>
    <row r="10060" spans="6:8">
      <c r="F10060" s="68" t="s">
        <v>254</v>
      </c>
      <c r="G10060" s="67" t="s">
        <v>499</v>
      </c>
      <c r="H10060" s="69">
        <v>0.57999999999999996</v>
      </c>
    </row>
    <row r="10061" spans="6:8">
      <c r="F10061" s="68" t="s">
        <v>129</v>
      </c>
      <c r="G10061" s="67" t="s">
        <v>499</v>
      </c>
      <c r="H10061" s="69">
        <v>-0.25</v>
      </c>
    </row>
    <row r="10062" spans="6:8">
      <c r="F10062" s="68" t="s">
        <v>128</v>
      </c>
      <c r="G10062" s="67" t="s">
        <v>499</v>
      </c>
      <c r="H10062" s="69">
        <v>-0.55000000000000004</v>
      </c>
    </row>
    <row r="10063" spans="6:8">
      <c r="F10063" s="68" t="s">
        <v>315</v>
      </c>
      <c r="G10063" s="67" t="s">
        <v>499</v>
      </c>
      <c r="H10063" s="69">
        <v>-0.2</v>
      </c>
    </row>
    <row r="10064" spans="6:8">
      <c r="F10064" s="68" t="s">
        <v>253</v>
      </c>
      <c r="G10064" s="67" t="s">
        <v>499</v>
      </c>
      <c r="H10064" s="69">
        <v>0.42</v>
      </c>
    </row>
    <row r="10065" spans="6:8">
      <c r="F10065" s="68" t="s">
        <v>127</v>
      </c>
      <c r="G10065" s="67" t="s">
        <v>499</v>
      </c>
      <c r="H10065" s="69">
        <v>-0.15</v>
      </c>
    </row>
    <row r="10066" spans="6:8">
      <c r="F10066" s="68" t="s">
        <v>126</v>
      </c>
      <c r="G10066" s="67" t="s">
        <v>499</v>
      </c>
      <c r="H10066" s="69">
        <v>-0.6</v>
      </c>
    </row>
    <row r="10067" spans="6:8">
      <c r="F10067" s="68" t="s">
        <v>125</v>
      </c>
      <c r="G10067" s="67" t="s">
        <v>499</v>
      </c>
      <c r="H10067" s="69">
        <v>-0.4</v>
      </c>
    </row>
    <row r="10068" spans="6:8">
      <c r="F10068" s="68" t="s">
        <v>314</v>
      </c>
      <c r="G10068" s="67" t="s">
        <v>499</v>
      </c>
      <c r="H10068" s="69">
        <v>-0.35</v>
      </c>
    </row>
    <row r="10069" spans="6:8">
      <c r="F10069" s="68" t="s">
        <v>252</v>
      </c>
      <c r="G10069" s="67" t="s">
        <v>499</v>
      </c>
      <c r="H10069" s="69">
        <v>0.3</v>
      </c>
    </row>
    <row r="10070" spans="6:8">
      <c r="F10070" s="68" t="s">
        <v>124</v>
      </c>
      <c r="G10070" s="67" t="s">
        <v>499</v>
      </c>
      <c r="H10070" s="69">
        <v>-0.4</v>
      </c>
    </row>
    <row r="10071" spans="6:8">
      <c r="F10071" s="68" t="s">
        <v>123</v>
      </c>
      <c r="G10071" s="67" t="s">
        <v>499</v>
      </c>
      <c r="H10071" s="69">
        <v>-0.7</v>
      </c>
    </row>
    <row r="10072" spans="6:8">
      <c r="F10072" s="68" t="s">
        <v>122</v>
      </c>
      <c r="G10072" s="67" t="s">
        <v>499</v>
      </c>
      <c r="H10072" s="69">
        <v>-0.6</v>
      </c>
    </row>
    <row r="10073" spans="6:8">
      <c r="F10073" s="68" t="s">
        <v>420</v>
      </c>
      <c r="G10073" s="67" t="s">
        <v>499</v>
      </c>
      <c r="H10073" s="69">
        <v>3.238758452443502</v>
      </c>
    </row>
    <row r="10074" spans="6:8">
      <c r="F10074" s="68" t="s">
        <v>251</v>
      </c>
      <c r="G10074" s="67" t="s">
        <v>499</v>
      </c>
      <c r="H10074" s="69">
        <v>0.23</v>
      </c>
    </row>
    <row r="10075" spans="6:8">
      <c r="F10075" s="68" t="s">
        <v>121</v>
      </c>
      <c r="G10075" s="67" t="s">
        <v>499</v>
      </c>
      <c r="H10075" s="69">
        <v>-0.55000000000000004</v>
      </c>
    </row>
    <row r="10076" spans="6:8">
      <c r="F10076" s="68" t="s">
        <v>120</v>
      </c>
      <c r="G10076" s="67" t="s">
        <v>499</v>
      </c>
      <c r="H10076" s="69">
        <v>-0.55000000000000004</v>
      </c>
    </row>
    <row r="10077" spans="6:8">
      <c r="F10077" s="68" t="s">
        <v>119</v>
      </c>
      <c r="G10077" s="67" t="s">
        <v>499</v>
      </c>
      <c r="H10077" s="69">
        <v>-0.6</v>
      </c>
    </row>
    <row r="10078" spans="6:8">
      <c r="F10078" s="68" t="s">
        <v>119</v>
      </c>
      <c r="G10078" s="67" t="s">
        <v>500</v>
      </c>
      <c r="H10078" s="69">
        <v>-0.55000000000000004</v>
      </c>
    </row>
    <row r="10079" spans="6:8">
      <c r="F10079" s="68" t="s">
        <v>120</v>
      </c>
      <c r="G10079" s="67" t="s">
        <v>500</v>
      </c>
      <c r="H10079" s="69">
        <v>-0.5</v>
      </c>
    </row>
    <row r="10080" spans="6:8">
      <c r="F10080" s="68" t="s">
        <v>121</v>
      </c>
      <c r="G10080" s="67" t="s">
        <v>500</v>
      </c>
      <c r="H10080" s="69">
        <v>-0.55000000000000004</v>
      </c>
    </row>
    <row r="10081" spans="6:8">
      <c r="F10081" s="68" t="s">
        <v>251</v>
      </c>
      <c r="G10081" s="67" t="s">
        <v>500</v>
      </c>
      <c r="H10081" s="69">
        <v>0.23</v>
      </c>
    </row>
    <row r="10082" spans="6:8">
      <c r="F10082" s="68" t="s">
        <v>420</v>
      </c>
      <c r="G10082" s="67" t="s">
        <v>500</v>
      </c>
      <c r="H10082" s="69">
        <v>3.3120088077737364</v>
      </c>
    </row>
    <row r="10083" spans="6:8">
      <c r="F10083" s="68" t="s">
        <v>122</v>
      </c>
      <c r="G10083" s="67" t="s">
        <v>500</v>
      </c>
      <c r="H10083" s="69">
        <v>-0.55000000000000004</v>
      </c>
    </row>
    <row r="10084" spans="6:8">
      <c r="F10084" s="68" t="s">
        <v>123</v>
      </c>
      <c r="G10084" s="67" t="s">
        <v>500</v>
      </c>
      <c r="H10084" s="69">
        <v>-0.65</v>
      </c>
    </row>
    <row r="10085" spans="6:8">
      <c r="F10085" s="68" t="s">
        <v>124</v>
      </c>
      <c r="G10085" s="67" t="s">
        <v>500</v>
      </c>
      <c r="H10085" s="69">
        <v>-0.4</v>
      </c>
    </row>
    <row r="10086" spans="6:8">
      <c r="F10086" s="68" t="s">
        <v>252</v>
      </c>
      <c r="G10086" s="67" t="s">
        <v>500</v>
      </c>
      <c r="H10086" s="69">
        <v>0.3</v>
      </c>
    </row>
    <row r="10087" spans="6:8">
      <c r="F10087" s="68" t="s">
        <v>314</v>
      </c>
      <c r="G10087" s="67" t="s">
        <v>500</v>
      </c>
      <c r="H10087" s="69">
        <v>-0.3</v>
      </c>
    </row>
    <row r="10088" spans="6:8">
      <c r="F10088" s="68" t="s">
        <v>125</v>
      </c>
      <c r="G10088" s="67" t="s">
        <v>500</v>
      </c>
      <c r="H10088" s="69">
        <v>-0.35</v>
      </c>
    </row>
    <row r="10089" spans="6:8">
      <c r="F10089" s="68" t="s">
        <v>126</v>
      </c>
      <c r="G10089" s="67" t="s">
        <v>500</v>
      </c>
      <c r="H10089" s="69">
        <v>-0.55000000000000004</v>
      </c>
    </row>
    <row r="10090" spans="6:8">
      <c r="F10090" s="68" t="s">
        <v>127</v>
      </c>
      <c r="G10090" s="67" t="s">
        <v>500</v>
      </c>
      <c r="H10090" s="69">
        <v>-0.15</v>
      </c>
    </row>
    <row r="10091" spans="6:8">
      <c r="F10091" s="68" t="s">
        <v>253</v>
      </c>
      <c r="G10091" s="67" t="s">
        <v>500</v>
      </c>
      <c r="H10091" s="69">
        <v>0.43</v>
      </c>
    </row>
    <row r="10092" spans="6:8">
      <c r="F10092" s="68" t="s">
        <v>315</v>
      </c>
      <c r="G10092" s="67" t="s">
        <v>500</v>
      </c>
      <c r="H10092" s="69">
        <v>-0.15</v>
      </c>
    </row>
    <row r="10093" spans="6:8">
      <c r="F10093" s="68" t="s">
        <v>128</v>
      </c>
      <c r="G10093" s="67" t="s">
        <v>500</v>
      </c>
      <c r="H10093" s="69">
        <v>-0.5</v>
      </c>
    </row>
    <row r="10094" spans="6:8">
      <c r="F10094" s="68" t="s">
        <v>129</v>
      </c>
      <c r="G10094" s="67" t="s">
        <v>500</v>
      </c>
      <c r="H10094" s="69">
        <v>-0.25</v>
      </c>
    </row>
    <row r="10095" spans="6:8">
      <c r="F10095" s="68" t="s">
        <v>254</v>
      </c>
      <c r="G10095" s="67" t="s">
        <v>500</v>
      </c>
      <c r="H10095" s="69">
        <v>0.59</v>
      </c>
    </row>
    <row r="10096" spans="6:8">
      <c r="F10096" s="68" t="s">
        <v>304</v>
      </c>
      <c r="G10096" s="67" t="s">
        <v>500</v>
      </c>
      <c r="H10096" s="69">
        <v>17.53125</v>
      </c>
    </row>
    <row r="10097" spans="6:8">
      <c r="F10097" s="68" t="s">
        <v>421</v>
      </c>
      <c r="G10097" s="67" t="s">
        <v>500</v>
      </c>
      <c r="H10097" s="69">
        <v>2.3594149920278085</v>
      </c>
    </row>
    <row r="10098" spans="6:8">
      <c r="F10098" s="68" t="s">
        <v>130</v>
      </c>
      <c r="G10098" s="67" t="s">
        <v>500</v>
      </c>
      <c r="H10098" s="69">
        <v>-0.65</v>
      </c>
    </row>
    <row r="10099" spans="6:8">
      <c r="F10099" s="68" t="s">
        <v>131</v>
      </c>
      <c r="G10099" s="67" t="s">
        <v>500</v>
      </c>
      <c r="H10099" s="69">
        <v>-0.35</v>
      </c>
    </row>
    <row r="10100" spans="6:8">
      <c r="F10100" s="68" t="s">
        <v>255</v>
      </c>
      <c r="G10100" s="67" t="s">
        <v>500</v>
      </c>
      <c r="H10100" s="69">
        <v>0.78</v>
      </c>
    </row>
    <row r="10101" spans="6:8">
      <c r="F10101" s="68" t="s">
        <v>303</v>
      </c>
      <c r="G10101" s="67" t="s">
        <v>500</v>
      </c>
      <c r="H10101" s="69">
        <v>18.59375</v>
      </c>
    </row>
    <row r="10102" spans="6:8">
      <c r="F10102" s="68" t="s">
        <v>422</v>
      </c>
      <c r="G10102" s="67" t="s">
        <v>500</v>
      </c>
      <c r="H10102" s="69">
        <v>2.3654281522096809</v>
      </c>
    </row>
    <row r="10103" spans="6:8">
      <c r="F10103" s="68" t="s">
        <v>132</v>
      </c>
      <c r="G10103" s="67" t="s">
        <v>500</v>
      </c>
      <c r="H10103" s="69">
        <v>-0.6</v>
      </c>
    </row>
    <row r="10104" spans="6:8">
      <c r="F10104" s="68" t="s">
        <v>133</v>
      </c>
      <c r="G10104" s="67" t="s">
        <v>500</v>
      </c>
      <c r="H10104" s="69">
        <v>-0.4</v>
      </c>
    </row>
    <row r="10105" spans="6:8">
      <c r="F10105" s="68" t="s">
        <v>256</v>
      </c>
      <c r="G10105" s="67" t="s">
        <v>500</v>
      </c>
      <c r="H10105" s="69">
        <v>0.94</v>
      </c>
    </row>
    <row r="10106" spans="6:8">
      <c r="F10106" s="68" t="s">
        <v>423</v>
      </c>
      <c r="G10106" s="67" t="s">
        <v>500</v>
      </c>
      <c r="H10106" s="69">
        <v>2.4060637724304446</v>
      </c>
    </row>
    <row r="10107" spans="6:8">
      <c r="F10107" s="68" t="s">
        <v>134</v>
      </c>
      <c r="G10107" s="67" t="s">
        <v>500</v>
      </c>
      <c r="H10107" s="69">
        <v>-0.6</v>
      </c>
    </row>
    <row r="10108" spans="6:8">
      <c r="F10108" s="68" t="s">
        <v>135</v>
      </c>
      <c r="G10108" s="67" t="s">
        <v>500</v>
      </c>
      <c r="H10108" s="69">
        <v>-0.4</v>
      </c>
    </row>
    <row r="10109" spans="6:8">
      <c r="F10109" s="68" t="s">
        <v>257</v>
      </c>
      <c r="G10109" s="67" t="s">
        <v>500</v>
      </c>
      <c r="H10109" s="69">
        <v>1.02</v>
      </c>
    </row>
    <row r="10110" spans="6:8">
      <c r="F10110" s="68" t="s">
        <v>258</v>
      </c>
      <c r="G10110" s="67" t="s">
        <v>500</v>
      </c>
      <c r="H10110" s="69">
        <v>0.14000000000000001</v>
      </c>
    </row>
    <row r="10111" spans="6:8">
      <c r="F10111" s="68" t="s">
        <v>424</v>
      </c>
      <c r="G10111" s="67" t="s">
        <v>500</v>
      </c>
      <c r="H10111" s="69">
        <v>3.1763921538032758</v>
      </c>
    </row>
    <row r="10112" spans="6:8">
      <c r="F10112" s="68" t="s">
        <v>136</v>
      </c>
      <c r="G10112" s="67" t="s">
        <v>500</v>
      </c>
      <c r="H10112" s="69">
        <v>-0.6</v>
      </c>
    </row>
    <row r="10113" spans="6:8">
      <c r="F10113" s="68" t="s">
        <v>137</v>
      </c>
      <c r="G10113" s="67" t="s">
        <v>500</v>
      </c>
      <c r="H10113" s="69">
        <v>-0.5</v>
      </c>
    </row>
    <row r="10114" spans="6:8">
      <c r="F10114" s="68" t="s">
        <v>138</v>
      </c>
      <c r="G10114" s="67" t="s">
        <v>500</v>
      </c>
      <c r="H10114" s="69">
        <v>-0.6</v>
      </c>
    </row>
    <row r="10115" spans="6:8">
      <c r="F10115" s="68" t="s">
        <v>259</v>
      </c>
      <c r="G10115" s="67" t="s">
        <v>500</v>
      </c>
      <c r="H10115" s="69">
        <v>0.17</v>
      </c>
    </row>
    <row r="10116" spans="6:8">
      <c r="F10116" s="68" t="s">
        <v>425</v>
      </c>
      <c r="G10116" s="67" t="s">
        <v>500</v>
      </c>
      <c r="H10116" s="69">
        <v>3.1826616186844792</v>
      </c>
    </row>
    <row r="10117" spans="6:8">
      <c r="F10117" s="68" t="s">
        <v>425</v>
      </c>
      <c r="G10117" s="67" t="s">
        <v>501</v>
      </c>
      <c r="H10117" s="69">
        <v>3.170120853358549</v>
      </c>
    </row>
    <row r="10118" spans="6:8">
      <c r="F10118" s="68" t="s">
        <v>259</v>
      </c>
      <c r="G10118" s="67" t="s">
        <v>501</v>
      </c>
      <c r="H10118" s="69">
        <v>0.17</v>
      </c>
    </row>
    <row r="10119" spans="6:8">
      <c r="F10119" s="68" t="s">
        <v>138</v>
      </c>
      <c r="G10119" s="67" t="s">
        <v>501</v>
      </c>
      <c r="H10119" s="69">
        <v>-0.6</v>
      </c>
    </row>
    <row r="10120" spans="6:8">
      <c r="F10120" s="68" t="s">
        <v>137</v>
      </c>
      <c r="G10120" s="67" t="s">
        <v>501</v>
      </c>
      <c r="H10120" s="69">
        <v>-0.5</v>
      </c>
    </row>
    <row r="10121" spans="6:8">
      <c r="F10121" s="68" t="s">
        <v>136</v>
      </c>
      <c r="G10121" s="67" t="s">
        <v>501</v>
      </c>
      <c r="H10121" s="69">
        <v>-0.6</v>
      </c>
    </row>
    <row r="10122" spans="6:8">
      <c r="F10122" s="68" t="s">
        <v>424</v>
      </c>
      <c r="G10122" s="67" t="s">
        <v>501</v>
      </c>
      <c r="H10122" s="69">
        <v>3.1667356756518661</v>
      </c>
    </row>
    <row r="10123" spans="6:8">
      <c r="F10123" s="68" t="s">
        <v>258</v>
      </c>
      <c r="G10123" s="67" t="s">
        <v>501</v>
      </c>
      <c r="H10123" s="69">
        <v>0.14000000000000001</v>
      </c>
    </row>
    <row r="10124" spans="6:8">
      <c r="F10124" s="68" t="s">
        <v>257</v>
      </c>
      <c r="G10124" s="67" t="s">
        <v>501</v>
      </c>
      <c r="H10124" s="69">
        <v>1.02</v>
      </c>
    </row>
    <row r="10125" spans="6:8">
      <c r="F10125" s="68" t="s">
        <v>135</v>
      </c>
      <c r="G10125" s="67" t="s">
        <v>501</v>
      </c>
      <c r="H10125" s="69">
        <v>-0.4</v>
      </c>
    </row>
    <row r="10126" spans="6:8">
      <c r="F10126" s="68" t="s">
        <v>134</v>
      </c>
      <c r="G10126" s="67" t="s">
        <v>501</v>
      </c>
      <c r="H10126" s="69">
        <v>-0.6</v>
      </c>
    </row>
    <row r="10127" spans="6:8">
      <c r="F10127" s="68" t="s">
        <v>423</v>
      </c>
      <c r="G10127" s="67" t="s">
        <v>501</v>
      </c>
      <c r="H10127" s="69">
        <v>2.3784353030279703</v>
      </c>
    </row>
    <row r="10128" spans="6:8">
      <c r="F10128" s="68" t="s">
        <v>256</v>
      </c>
      <c r="G10128" s="67" t="s">
        <v>501</v>
      </c>
      <c r="H10128" s="69">
        <v>0.94</v>
      </c>
    </row>
    <row r="10129" spans="6:8">
      <c r="F10129" s="68" t="s">
        <v>133</v>
      </c>
      <c r="G10129" s="67" t="s">
        <v>501</v>
      </c>
      <c r="H10129" s="69">
        <v>-0.4</v>
      </c>
    </row>
    <row r="10130" spans="6:8">
      <c r="F10130" s="68" t="s">
        <v>132</v>
      </c>
      <c r="G10130" s="67" t="s">
        <v>501</v>
      </c>
      <c r="H10130" s="69">
        <v>-0.6</v>
      </c>
    </row>
    <row r="10131" spans="6:8">
      <c r="F10131" s="68" t="s">
        <v>422</v>
      </c>
      <c r="G10131" s="67" t="s">
        <v>501</v>
      </c>
      <c r="H10131" s="69">
        <v>2.3394982823272681</v>
      </c>
    </row>
    <row r="10132" spans="6:8">
      <c r="F10132" s="68" t="s">
        <v>303</v>
      </c>
      <c r="G10132" s="67" t="s">
        <v>501</v>
      </c>
      <c r="H10132" s="69">
        <v>18.71875</v>
      </c>
    </row>
    <row r="10133" spans="6:8">
      <c r="F10133" s="68" t="s">
        <v>255</v>
      </c>
      <c r="G10133" s="67" t="s">
        <v>501</v>
      </c>
      <c r="H10133" s="69">
        <v>0.78</v>
      </c>
    </row>
    <row r="10134" spans="6:8">
      <c r="F10134" s="68" t="s">
        <v>131</v>
      </c>
      <c r="G10134" s="67" t="s">
        <v>501</v>
      </c>
      <c r="H10134" s="69">
        <v>-0.35</v>
      </c>
    </row>
    <row r="10135" spans="6:8">
      <c r="F10135" s="68" t="s">
        <v>130</v>
      </c>
      <c r="G10135" s="67" t="s">
        <v>501</v>
      </c>
      <c r="H10135" s="69">
        <v>-0.65</v>
      </c>
    </row>
    <row r="10136" spans="6:8">
      <c r="F10136" s="68" t="s">
        <v>421</v>
      </c>
      <c r="G10136" s="67" t="s">
        <v>501</v>
      </c>
      <c r="H10136" s="69">
        <v>2.3335513545319042</v>
      </c>
    </row>
    <row r="10137" spans="6:8">
      <c r="F10137" s="68" t="s">
        <v>304</v>
      </c>
      <c r="G10137" s="67" t="s">
        <v>501</v>
      </c>
      <c r="H10137" s="69">
        <v>17.71875</v>
      </c>
    </row>
    <row r="10138" spans="6:8">
      <c r="F10138" s="68" t="s">
        <v>254</v>
      </c>
      <c r="G10138" s="67" t="s">
        <v>501</v>
      </c>
      <c r="H10138" s="69">
        <v>0.59</v>
      </c>
    </row>
    <row r="10139" spans="6:8">
      <c r="F10139" s="68" t="s">
        <v>129</v>
      </c>
      <c r="G10139" s="67" t="s">
        <v>501</v>
      </c>
      <c r="H10139" s="69">
        <v>-0.25</v>
      </c>
    </row>
    <row r="10140" spans="6:8">
      <c r="F10140" s="68" t="s">
        <v>128</v>
      </c>
      <c r="G10140" s="67" t="s">
        <v>501</v>
      </c>
      <c r="H10140" s="69">
        <v>-0.5</v>
      </c>
    </row>
    <row r="10141" spans="6:8">
      <c r="F10141" s="68" t="s">
        <v>315</v>
      </c>
      <c r="G10141" s="67" t="s">
        <v>501</v>
      </c>
      <c r="H10141" s="69">
        <v>-0.15</v>
      </c>
    </row>
    <row r="10142" spans="6:8">
      <c r="F10142" s="68" t="s">
        <v>253</v>
      </c>
      <c r="G10142" s="67" t="s">
        <v>501</v>
      </c>
      <c r="H10142" s="69">
        <v>0.43</v>
      </c>
    </row>
    <row r="10143" spans="6:8">
      <c r="F10143" s="68" t="s">
        <v>127</v>
      </c>
      <c r="G10143" s="67" t="s">
        <v>501</v>
      </c>
      <c r="H10143" s="69">
        <v>-0.15</v>
      </c>
    </row>
    <row r="10144" spans="6:8">
      <c r="F10144" s="68" t="s">
        <v>126</v>
      </c>
      <c r="G10144" s="67" t="s">
        <v>501</v>
      </c>
      <c r="H10144" s="69">
        <v>-0.55000000000000004</v>
      </c>
    </row>
    <row r="10145" spans="6:8">
      <c r="F10145" s="68" t="s">
        <v>125</v>
      </c>
      <c r="G10145" s="67" t="s">
        <v>501</v>
      </c>
      <c r="H10145" s="69">
        <v>-0.35</v>
      </c>
    </row>
    <row r="10146" spans="6:8">
      <c r="F10146" s="68" t="s">
        <v>314</v>
      </c>
      <c r="G10146" s="67" t="s">
        <v>501</v>
      </c>
      <c r="H10146" s="69">
        <v>-0.3</v>
      </c>
    </row>
    <row r="10147" spans="6:8">
      <c r="F10147" s="68" t="s">
        <v>252</v>
      </c>
      <c r="G10147" s="67" t="s">
        <v>501</v>
      </c>
      <c r="H10147" s="69">
        <v>0.3</v>
      </c>
    </row>
    <row r="10148" spans="6:8">
      <c r="F10148" s="68" t="s">
        <v>124</v>
      </c>
      <c r="G10148" s="67" t="s">
        <v>501</v>
      </c>
      <c r="H10148" s="69">
        <v>-0.4</v>
      </c>
    </row>
    <row r="10149" spans="6:8">
      <c r="F10149" s="68" t="s">
        <v>123</v>
      </c>
      <c r="G10149" s="67" t="s">
        <v>501</v>
      </c>
      <c r="H10149" s="69">
        <v>-0.65</v>
      </c>
    </row>
    <row r="10150" spans="6:8">
      <c r="F10150" s="68" t="s">
        <v>122</v>
      </c>
      <c r="G10150" s="67" t="s">
        <v>501</v>
      </c>
      <c r="H10150" s="69">
        <v>-0.55000000000000004</v>
      </c>
    </row>
    <row r="10151" spans="6:8">
      <c r="F10151" s="68" t="s">
        <v>420</v>
      </c>
      <c r="G10151" s="67" t="s">
        <v>501</v>
      </c>
      <c r="H10151" s="69">
        <v>3.2997347907142149</v>
      </c>
    </row>
    <row r="10152" spans="6:8">
      <c r="F10152" s="68" t="s">
        <v>251</v>
      </c>
      <c r="G10152" s="67" t="s">
        <v>501</v>
      </c>
      <c r="H10152" s="69">
        <v>0.23</v>
      </c>
    </row>
    <row r="10153" spans="6:8">
      <c r="F10153" s="68" t="s">
        <v>121</v>
      </c>
      <c r="G10153" s="67" t="s">
        <v>501</v>
      </c>
      <c r="H10153" s="69">
        <v>-0.55000000000000004</v>
      </c>
    </row>
    <row r="10154" spans="6:8">
      <c r="F10154" s="68" t="s">
        <v>120</v>
      </c>
      <c r="G10154" s="67" t="s">
        <v>501</v>
      </c>
      <c r="H10154" s="69">
        <v>-0.5</v>
      </c>
    </row>
    <row r="10155" spans="6:8">
      <c r="F10155" s="68" t="s">
        <v>119</v>
      </c>
      <c r="G10155" s="67" t="s">
        <v>501</v>
      </c>
      <c r="H10155" s="69">
        <v>-0.55000000000000004</v>
      </c>
    </row>
    <row r="10156" spans="6:8">
      <c r="F10156" s="68" t="s">
        <v>119</v>
      </c>
      <c r="G10156" s="67" t="s">
        <v>502</v>
      </c>
      <c r="H10156" s="69">
        <v>-0.55000000000000004</v>
      </c>
    </row>
    <row r="10157" spans="6:8">
      <c r="F10157" s="68" t="s">
        <v>120</v>
      </c>
      <c r="G10157" s="67" t="s">
        <v>502</v>
      </c>
      <c r="H10157" s="69">
        <v>-0.5</v>
      </c>
    </row>
    <row r="10158" spans="6:8">
      <c r="F10158" s="68" t="s">
        <v>121</v>
      </c>
      <c r="G10158" s="67" t="s">
        <v>502</v>
      </c>
      <c r="H10158" s="69">
        <v>-0.55000000000000004</v>
      </c>
    </row>
    <row r="10159" spans="6:8">
      <c r="F10159" s="68" t="s">
        <v>251</v>
      </c>
      <c r="G10159" s="67" t="s">
        <v>502</v>
      </c>
      <c r="H10159" s="69">
        <v>0.23</v>
      </c>
    </row>
    <row r="10160" spans="6:8">
      <c r="F10160" s="68" t="s">
        <v>420</v>
      </c>
      <c r="G10160" s="67" t="s">
        <v>502</v>
      </c>
      <c r="H10160" s="69">
        <v>3.291530573496404</v>
      </c>
    </row>
    <row r="10161" spans="6:8">
      <c r="F10161" s="68" t="s">
        <v>122</v>
      </c>
      <c r="G10161" s="67" t="s">
        <v>502</v>
      </c>
      <c r="H10161" s="69">
        <v>-0.55000000000000004</v>
      </c>
    </row>
    <row r="10162" spans="6:8">
      <c r="F10162" s="68" t="s">
        <v>123</v>
      </c>
      <c r="G10162" s="67" t="s">
        <v>502</v>
      </c>
      <c r="H10162" s="69">
        <v>-0.65</v>
      </c>
    </row>
    <row r="10163" spans="6:8">
      <c r="F10163" s="68" t="s">
        <v>124</v>
      </c>
      <c r="G10163" s="67" t="s">
        <v>502</v>
      </c>
      <c r="H10163" s="69">
        <v>-0.4</v>
      </c>
    </row>
    <row r="10164" spans="6:8">
      <c r="F10164" s="68" t="s">
        <v>252</v>
      </c>
      <c r="G10164" s="67" t="s">
        <v>502</v>
      </c>
      <c r="H10164" s="69">
        <v>0.3</v>
      </c>
    </row>
    <row r="10165" spans="6:8">
      <c r="F10165" s="68" t="s">
        <v>314</v>
      </c>
      <c r="G10165" s="67" t="s">
        <v>502</v>
      </c>
      <c r="H10165" s="69">
        <v>-0.3</v>
      </c>
    </row>
    <row r="10166" spans="6:8">
      <c r="F10166" s="68" t="s">
        <v>125</v>
      </c>
      <c r="G10166" s="67" t="s">
        <v>502</v>
      </c>
      <c r="H10166" s="69">
        <v>-0.35</v>
      </c>
    </row>
    <row r="10167" spans="6:8">
      <c r="F10167" s="68" t="s">
        <v>126</v>
      </c>
      <c r="G10167" s="67" t="s">
        <v>502</v>
      </c>
      <c r="H10167" s="69">
        <v>-0.55000000000000004</v>
      </c>
    </row>
    <row r="10168" spans="6:8">
      <c r="F10168" s="68" t="s">
        <v>127</v>
      </c>
      <c r="G10168" s="67" t="s">
        <v>502</v>
      </c>
      <c r="H10168" s="69">
        <v>-0.15</v>
      </c>
    </row>
    <row r="10169" spans="6:8">
      <c r="F10169" s="68" t="s">
        <v>253</v>
      </c>
      <c r="G10169" s="67" t="s">
        <v>502</v>
      </c>
      <c r="H10169" s="69">
        <v>0.43</v>
      </c>
    </row>
    <row r="10170" spans="6:8">
      <c r="F10170" s="68" t="s">
        <v>315</v>
      </c>
      <c r="G10170" s="67" t="s">
        <v>502</v>
      </c>
      <c r="H10170" s="69">
        <v>-0.15</v>
      </c>
    </row>
    <row r="10171" spans="6:8">
      <c r="F10171" s="68" t="s">
        <v>128</v>
      </c>
      <c r="G10171" s="67" t="s">
        <v>502</v>
      </c>
      <c r="H10171" s="69">
        <v>-0.5</v>
      </c>
    </row>
    <row r="10172" spans="6:8">
      <c r="F10172" s="68" t="s">
        <v>129</v>
      </c>
      <c r="G10172" s="67" t="s">
        <v>502</v>
      </c>
      <c r="H10172" s="69">
        <v>-0.25</v>
      </c>
    </row>
    <row r="10173" spans="6:8">
      <c r="F10173" s="68" t="s">
        <v>254</v>
      </c>
      <c r="G10173" s="67" t="s">
        <v>502</v>
      </c>
      <c r="H10173" s="69">
        <v>0.59</v>
      </c>
    </row>
    <row r="10174" spans="6:8">
      <c r="F10174" s="68" t="s">
        <v>304</v>
      </c>
      <c r="G10174" s="67" t="s">
        <v>502</v>
      </c>
      <c r="H10174" s="69">
        <v>17.625</v>
      </c>
    </row>
    <row r="10175" spans="6:8">
      <c r="F10175" s="68" t="s">
        <v>421</v>
      </c>
      <c r="G10175" s="67" t="s">
        <v>502</v>
      </c>
      <c r="H10175" s="69">
        <v>2.3270474232065741</v>
      </c>
    </row>
    <row r="10176" spans="6:8">
      <c r="F10176" s="68" t="s">
        <v>130</v>
      </c>
      <c r="G10176" s="67" t="s">
        <v>502</v>
      </c>
      <c r="H10176" s="69">
        <v>-0.65</v>
      </c>
    </row>
    <row r="10177" spans="6:8">
      <c r="F10177" s="68" t="s">
        <v>131</v>
      </c>
      <c r="G10177" s="67" t="s">
        <v>502</v>
      </c>
      <c r="H10177" s="69">
        <v>-0.35</v>
      </c>
    </row>
    <row r="10178" spans="6:8">
      <c r="F10178" s="68" t="s">
        <v>255</v>
      </c>
      <c r="G10178" s="67" t="s">
        <v>502</v>
      </c>
      <c r="H10178" s="69">
        <v>0.78</v>
      </c>
    </row>
    <row r="10179" spans="6:8">
      <c r="F10179" s="68" t="s">
        <v>303</v>
      </c>
      <c r="G10179" s="67" t="s">
        <v>502</v>
      </c>
      <c r="H10179" s="69">
        <v>18.78125</v>
      </c>
    </row>
    <row r="10180" spans="6:8">
      <c r="F10180" s="68" t="s">
        <v>422</v>
      </c>
      <c r="G10180" s="67" t="s">
        <v>502</v>
      </c>
      <c r="H10180" s="69">
        <v>2.3329107795044823</v>
      </c>
    </row>
    <row r="10181" spans="6:8">
      <c r="F10181" s="68" t="s">
        <v>132</v>
      </c>
      <c r="G10181" s="67" t="s">
        <v>502</v>
      </c>
      <c r="H10181" s="69">
        <v>-0.6</v>
      </c>
    </row>
    <row r="10182" spans="6:8">
      <c r="F10182" s="68" t="s">
        <v>133</v>
      </c>
      <c r="G10182" s="67" t="s">
        <v>502</v>
      </c>
      <c r="H10182" s="69">
        <v>-0.4</v>
      </c>
    </row>
    <row r="10183" spans="6:8">
      <c r="F10183" s="68" t="s">
        <v>256</v>
      </c>
      <c r="G10183" s="67" t="s">
        <v>502</v>
      </c>
      <c r="H10183" s="69">
        <v>0.94</v>
      </c>
    </row>
    <row r="10184" spans="6:8">
      <c r="F10184" s="68" t="s">
        <v>423</v>
      </c>
      <c r="G10184" s="67" t="s">
        <v>502</v>
      </c>
      <c r="H10184" s="69">
        <v>2.367744926431925</v>
      </c>
    </row>
    <row r="10185" spans="6:8">
      <c r="F10185" s="68" t="s">
        <v>134</v>
      </c>
      <c r="G10185" s="67" t="s">
        <v>502</v>
      </c>
      <c r="H10185" s="69">
        <v>-0.6</v>
      </c>
    </row>
    <row r="10186" spans="6:8">
      <c r="F10186" s="68" t="s">
        <v>135</v>
      </c>
      <c r="G10186" s="67" t="s">
        <v>502</v>
      </c>
      <c r="H10186" s="69">
        <v>-0.4</v>
      </c>
    </row>
    <row r="10187" spans="6:8">
      <c r="F10187" s="68" t="s">
        <v>257</v>
      </c>
      <c r="G10187" s="67" t="s">
        <v>502</v>
      </c>
      <c r="H10187" s="69">
        <v>1.02</v>
      </c>
    </row>
    <row r="10188" spans="6:8">
      <c r="F10188" s="68" t="s">
        <v>258</v>
      </c>
      <c r="G10188" s="67" t="s">
        <v>502</v>
      </c>
      <c r="H10188" s="69">
        <v>0.14000000000000001</v>
      </c>
    </row>
    <row r="10189" spans="6:8">
      <c r="F10189" s="68" t="s">
        <v>424</v>
      </c>
      <c r="G10189" s="67" t="s">
        <v>502</v>
      </c>
      <c r="H10189" s="69">
        <v>3.1642437144681068</v>
      </c>
    </row>
    <row r="10190" spans="6:8">
      <c r="F10190" s="68" t="s">
        <v>136</v>
      </c>
      <c r="G10190" s="67" t="s">
        <v>502</v>
      </c>
      <c r="H10190" s="69">
        <v>-0.6</v>
      </c>
    </row>
    <row r="10191" spans="6:8">
      <c r="F10191" s="68" t="s">
        <v>137</v>
      </c>
      <c r="G10191" s="67" t="s">
        <v>502</v>
      </c>
      <c r="H10191" s="69">
        <v>-0.5</v>
      </c>
    </row>
    <row r="10192" spans="6:8">
      <c r="F10192" s="68" t="s">
        <v>138</v>
      </c>
      <c r="G10192" s="67" t="s">
        <v>502</v>
      </c>
      <c r="H10192" s="69">
        <v>-0.6</v>
      </c>
    </row>
    <row r="10193" spans="6:8">
      <c r="F10193" s="68" t="s">
        <v>259</v>
      </c>
      <c r="G10193" s="67" t="s">
        <v>502</v>
      </c>
      <c r="H10193" s="69">
        <v>0.17</v>
      </c>
    </row>
    <row r="10194" spans="6:8">
      <c r="F10194" s="68" t="s">
        <v>425</v>
      </c>
      <c r="G10194" s="67" t="s">
        <v>502</v>
      </c>
      <c r="H10194" s="69">
        <v>3.1687271596117839</v>
      </c>
    </row>
    <row r="10195" spans="6:8">
      <c r="F10195" s="68" t="s">
        <v>425</v>
      </c>
      <c r="G10195" s="67" t="s">
        <v>503</v>
      </c>
      <c r="H10195" s="69">
        <v>3.3000563832115137</v>
      </c>
    </row>
    <row r="10196" spans="6:8">
      <c r="F10196" s="68" t="s">
        <v>259</v>
      </c>
      <c r="G10196" s="67" t="s">
        <v>503</v>
      </c>
      <c r="H10196" s="69">
        <v>0.17</v>
      </c>
    </row>
    <row r="10197" spans="6:8">
      <c r="F10197" s="68" t="s">
        <v>138</v>
      </c>
      <c r="G10197" s="67" t="s">
        <v>503</v>
      </c>
      <c r="H10197" s="69">
        <v>-0.55000000000000004</v>
      </c>
    </row>
    <row r="10198" spans="6:8">
      <c r="F10198" s="68" t="s">
        <v>137</v>
      </c>
      <c r="G10198" s="67" t="s">
        <v>503</v>
      </c>
      <c r="H10198" s="69">
        <v>-0.5</v>
      </c>
    </row>
    <row r="10199" spans="6:8">
      <c r="F10199" s="68" t="s">
        <v>136</v>
      </c>
      <c r="G10199" s="67" t="s">
        <v>503</v>
      </c>
      <c r="H10199" s="69">
        <v>-0.55000000000000004</v>
      </c>
    </row>
    <row r="10200" spans="6:8">
      <c r="F10200" s="68" t="s">
        <v>424</v>
      </c>
      <c r="G10200" s="67" t="s">
        <v>503</v>
      </c>
      <c r="H10200" s="69">
        <v>3.2906236237733033</v>
      </c>
    </row>
    <row r="10201" spans="6:8">
      <c r="F10201" s="68" t="s">
        <v>258</v>
      </c>
      <c r="G10201" s="67" t="s">
        <v>503</v>
      </c>
      <c r="H10201" s="69">
        <v>0.14000000000000001</v>
      </c>
    </row>
    <row r="10202" spans="6:8">
      <c r="F10202" s="68" t="s">
        <v>257</v>
      </c>
      <c r="G10202" s="67" t="s">
        <v>503</v>
      </c>
      <c r="H10202" s="69">
        <v>1.03</v>
      </c>
    </row>
    <row r="10203" spans="6:8">
      <c r="F10203" s="68" t="s">
        <v>135</v>
      </c>
      <c r="G10203" s="67" t="s">
        <v>503</v>
      </c>
      <c r="H10203" s="69">
        <v>-0.4</v>
      </c>
    </row>
    <row r="10204" spans="6:8">
      <c r="F10204" s="68" t="s">
        <v>134</v>
      </c>
      <c r="G10204" s="67" t="s">
        <v>503</v>
      </c>
      <c r="H10204" s="69">
        <v>-0.55000000000000004</v>
      </c>
    </row>
    <row r="10205" spans="6:8">
      <c r="F10205" s="68" t="s">
        <v>423</v>
      </c>
      <c r="G10205" s="67" t="s">
        <v>503</v>
      </c>
      <c r="H10205" s="69">
        <v>2.5018426927796877</v>
      </c>
    </row>
    <row r="10206" spans="6:8">
      <c r="F10206" s="68" t="s">
        <v>256</v>
      </c>
      <c r="G10206" s="67" t="s">
        <v>503</v>
      </c>
      <c r="H10206" s="69">
        <v>0.95</v>
      </c>
    </row>
    <row r="10207" spans="6:8">
      <c r="F10207" s="68" t="s">
        <v>133</v>
      </c>
      <c r="G10207" s="67" t="s">
        <v>503</v>
      </c>
      <c r="H10207" s="69">
        <v>-0.4</v>
      </c>
    </row>
    <row r="10208" spans="6:8">
      <c r="F10208" s="68" t="s">
        <v>132</v>
      </c>
      <c r="G10208" s="67" t="s">
        <v>503</v>
      </c>
      <c r="H10208" s="69">
        <v>-0.55000000000000004</v>
      </c>
    </row>
    <row r="10209" spans="6:8">
      <c r="F10209" s="68" t="s">
        <v>422</v>
      </c>
      <c r="G10209" s="67" t="s">
        <v>503</v>
      </c>
      <c r="H10209" s="69">
        <v>2.2679360060492648</v>
      </c>
    </row>
    <row r="10210" spans="6:8">
      <c r="F10210" s="68" t="s">
        <v>303</v>
      </c>
      <c r="G10210" s="67" t="s">
        <v>503</v>
      </c>
      <c r="H10210" s="69">
        <v>18.8125</v>
      </c>
    </row>
    <row r="10211" spans="6:8">
      <c r="F10211" s="68" t="s">
        <v>255</v>
      </c>
      <c r="G10211" s="67" t="s">
        <v>503</v>
      </c>
      <c r="H10211" s="69">
        <v>0.79</v>
      </c>
    </row>
    <row r="10212" spans="6:8">
      <c r="F10212" s="68" t="s">
        <v>131</v>
      </c>
      <c r="G10212" s="67" t="s">
        <v>503</v>
      </c>
      <c r="H10212" s="69">
        <v>-0.35</v>
      </c>
    </row>
    <row r="10213" spans="6:8">
      <c r="F10213" s="68" t="s">
        <v>130</v>
      </c>
      <c r="G10213" s="67" t="s">
        <v>503</v>
      </c>
      <c r="H10213" s="69">
        <v>-0.6</v>
      </c>
    </row>
    <row r="10214" spans="6:8">
      <c r="F10214" s="68" t="s">
        <v>421</v>
      </c>
      <c r="G10214" s="67" t="s">
        <v>503</v>
      </c>
      <c r="H10214" s="69">
        <v>2.2601870913679711</v>
      </c>
    </row>
    <row r="10215" spans="6:8">
      <c r="F10215" s="68" t="s">
        <v>304</v>
      </c>
      <c r="G10215" s="67" t="s">
        <v>503</v>
      </c>
      <c r="H10215" s="69">
        <v>17.71875</v>
      </c>
    </row>
    <row r="10216" spans="6:8">
      <c r="F10216" s="68" t="s">
        <v>254</v>
      </c>
      <c r="G10216" s="67" t="s">
        <v>503</v>
      </c>
      <c r="H10216" s="69">
        <v>0.6</v>
      </c>
    </row>
    <row r="10217" spans="6:8">
      <c r="F10217" s="68" t="s">
        <v>129</v>
      </c>
      <c r="G10217" s="67" t="s">
        <v>503</v>
      </c>
      <c r="H10217" s="69">
        <v>-0.25</v>
      </c>
    </row>
    <row r="10218" spans="6:8">
      <c r="F10218" s="68" t="s">
        <v>128</v>
      </c>
      <c r="G10218" s="67" t="s">
        <v>503</v>
      </c>
      <c r="H10218" s="69">
        <v>-0.55000000000000004</v>
      </c>
    </row>
    <row r="10219" spans="6:8">
      <c r="F10219" s="68" t="s">
        <v>315</v>
      </c>
      <c r="G10219" s="67" t="s">
        <v>503</v>
      </c>
      <c r="H10219" s="69">
        <v>-0.15</v>
      </c>
    </row>
    <row r="10220" spans="6:8">
      <c r="F10220" s="68" t="s">
        <v>253</v>
      </c>
      <c r="G10220" s="67" t="s">
        <v>503</v>
      </c>
      <c r="H10220" s="69">
        <v>0.44</v>
      </c>
    </row>
    <row r="10221" spans="6:8">
      <c r="F10221" s="68" t="s">
        <v>127</v>
      </c>
      <c r="G10221" s="67" t="s">
        <v>503</v>
      </c>
      <c r="H10221" s="69">
        <v>-0.15</v>
      </c>
    </row>
    <row r="10222" spans="6:8">
      <c r="F10222" s="68" t="s">
        <v>126</v>
      </c>
      <c r="G10222" s="67" t="s">
        <v>503</v>
      </c>
      <c r="H10222" s="69">
        <v>-0.6</v>
      </c>
    </row>
    <row r="10223" spans="6:8">
      <c r="F10223" s="68" t="s">
        <v>125</v>
      </c>
      <c r="G10223" s="67" t="s">
        <v>503</v>
      </c>
      <c r="H10223" s="69">
        <v>-0.3</v>
      </c>
    </row>
    <row r="10224" spans="6:8">
      <c r="F10224" s="68" t="s">
        <v>314</v>
      </c>
      <c r="G10224" s="67" t="s">
        <v>503</v>
      </c>
      <c r="H10224" s="69">
        <v>-0.25</v>
      </c>
    </row>
    <row r="10225" spans="6:8">
      <c r="F10225" s="68" t="s">
        <v>252</v>
      </c>
      <c r="G10225" s="67" t="s">
        <v>503</v>
      </c>
      <c r="H10225" s="69">
        <v>0.31</v>
      </c>
    </row>
    <row r="10226" spans="6:8">
      <c r="F10226" s="68" t="s">
        <v>124</v>
      </c>
      <c r="G10226" s="67" t="s">
        <v>503</v>
      </c>
      <c r="H10226" s="69">
        <v>-0.35</v>
      </c>
    </row>
    <row r="10227" spans="6:8">
      <c r="F10227" s="68" t="s">
        <v>123</v>
      </c>
      <c r="G10227" s="67" t="s">
        <v>503</v>
      </c>
      <c r="H10227" s="69">
        <v>-0.65</v>
      </c>
    </row>
    <row r="10228" spans="6:8">
      <c r="F10228" s="68" t="s">
        <v>122</v>
      </c>
      <c r="G10228" s="67" t="s">
        <v>503</v>
      </c>
      <c r="H10228" s="69">
        <v>-0.5</v>
      </c>
    </row>
    <row r="10229" spans="6:8">
      <c r="F10229" s="68" t="s">
        <v>420</v>
      </c>
      <c r="G10229" s="67" t="s">
        <v>503</v>
      </c>
      <c r="H10229" s="69">
        <v>3.4185329478981341</v>
      </c>
    </row>
    <row r="10230" spans="6:8">
      <c r="F10230" s="68" t="s">
        <v>251</v>
      </c>
      <c r="G10230" s="67" t="s">
        <v>503</v>
      </c>
      <c r="H10230" s="69">
        <v>0.23</v>
      </c>
    </row>
    <row r="10231" spans="6:8">
      <c r="F10231" s="68" t="s">
        <v>121</v>
      </c>
      <c r="G10231" s="67" t="s">
        <v>503</v>
      </c>
      <c r="H10231" s="69">
        <v>-0.5</v>
      </c>
    </row>
    <row r="10232" spans="6:8">
      <c r="F10232" s="68" t="s">
        <v>120</v>
      </c>
      <c r="G10232" s="67" t="s">
        <v>503</v>
      </c>
      <c r="H10232" s="69">
        <v>-0.5</v>
      </c>
    </row>
    <row r="10233" spans="6:8">
      <c r="F10233" s="68" t="s">
        <v>119</v>
      </c>
      <c r="G10233" s="67" t="s">
        <v>503</v>
      </c>
      <c r="H10233" s="69">
        <v>-0.5</v>
      </c>
    </row>
    <row r="10234" spans="6:8">
      <c r="F10234" s="68" t="s">
        <v>119</v>
      </c>
      <c r="G10234" s="67" t="s">
        <v>504</v>
      </c>
      <c r="H10234" s="69">
        <v>-0.5</v>
      </c>
    </row>
    <row r="10235" spans="6:8">
      <c r="F10235" s="68" t="s">
        <v>120</v>
      </c>
      <c r="G10235" s="67" t="s">
        <v>504</v>
      </c>
      <c r="H10235" s="69">
        <v>-0.5</v>
      </c>
    </row>
    <row r="10236" spans="6:8">
      <c r="F10236" s="68" t="s">
        <v>121</v>
      </c>
      <c r="G10236" s="67" t="s">
        <v>504</v>
      </c>
      <c r="H10236" s="69">
        <v>-0.5</v>
      </c>
    </row>
    <row r="10237" spans="6:8">
      <c r="F10237" s="68" t="s">
        <v>251</v>
      </c>
      <c r="G10237" s="67" t="s">
        <v>504</v>
      </c>
      <c r="H10237" s="69">
        <v>0.23</v>
      </c>
    </row>
    <row r="10238" spans="6:8">
      <c r="F10238" s="68" t="s">
        <v>420</v>
      </c>
      <c r="G10238" s="67" t="s">
        <v>504</v>
      </c>
      <c r="H10238" s="69">
        <v>3.4239423639655264</v>
      </c>
    </row>
    <row r="10239" spans="6:8">
      <c r="F10239" s="68" t="s">
        <v>122</v>
      </c>
      <c r="G10239" s="67" t="s">
        <v>504</v>
      </c>
      <c r="H10239" s="69">
        <v>-0.5</v>
      </c>
    </row>
    <row r="10240" spans="6:8">
      <c r="F10240" s="68" t="s">
        <v>123</v>
      </c>
      <c r="G10240" s="67" t="s">
        <v>504</v>
      </c>
      <c r="H10240" s="69">
        <v>-0.65</v>
      </c>
    </row>
    <row r="10241" spans="6:8">
      <c r="F10241" s="68" t="s">
        <v>124</v>
      </c>
      <c r="G10241" s="67" t="s">
        <v>504</v>
      </c>
      <c r="H10241" s="69">
        <v>-0.35</v>
      </c>
    </row>
    <row r="10242" spans="6:8">
      <c r="F10242" s="68" t="s">
        <v>252</v>
      </c>
      <c r="G10242" s="67" t="s">
        <v>504</v>
      </c>
      <c r="H10242" s="69">
        <v>0.31</v>
      </c>
    </row>
    <row r="10243" spans="6:8">
      <c r="F10243" s="68" t="s">
        <v>314</v>
      </c>
      <c r="G10243" s="67" t="s">
        <v>504</v>
      </c>
      <c r="H10243" s="69">
        <v>-0.25</v>
      </c>
    </row>
    <row r="10244" spans="6:8">
      <c r="F10244" s="68" t="s">
        <v>125</v>
      </c>
      <c r="G10244" s="67" t="s">
        <v>504</v>
      </c>
      <c r="H10244" s="69">
        <v>-0.3</v>
      </c>
    </row>
    <row r="10245" spans="6:8">
      <c r="F10245" s="68" t="s">
        <v>126</v>
      </c>
      <c r="G10245" s="67" t="s">
        <v>504</v>
      </c>
      <c r="H10245" s="69">
        <v>-0.6</v>
      </c>
    </row>
    <row r="10246" spans="6:8">
      <c r="F10246" s="68" t="s">
        <v>127</v>
      </c>
      <c r="G10246" s="67" t="s">
        <v>504</v>
      </c>
      <c r="H10246" s="69">
        <v>-0.15</v>
      </c>
    </row>
    <row r="10247" spans="6:8">
      <c r="F10247" s="68" t="s">
        <v>253</v>
      </c>
      <c r="G10247" s="67" t="s">
        <v>504</v>
      </c>
      <c r="H10247" s="69">
        <v>0.44</v>
      </c>
    </row>
    <row r="10248" spans="6:8">
      <c r="F10248" s="68" t="s">
        <v>315</v>
      </c>
      <c r="G10248" s="67" t="s">
        <v>504</v>
      </c>
      <c r="H10248" s="69">
        <v>-0.15</v>
      </c>
    </row>
    <row r="10249" spans="6:8">
      <c r="F10249" s="68" t="s">
        <v>128</v>
      </c>
      <c r="G10249" s="67" t="s">
        <v>504</v>
      </c>
      <c r="H10249" s="69">
        <v>-0.55000000000000004</v>
      </c>
    </row>
    <row r="10250" spans="6:8">
      <c r="F10250" s="68" t="s">
        <v>129</v>
      </c>
      <c r="G10250" s="67" t="s">
        <v>504</v>
      </c>
      <c r="H10250" s="69">
        <v>-0.25</v>
      </c>
    </row>
    <row r="10251" spans="6:8">
      <c r="F10251" s="68" t="s">
        <v>254</v>
      </c>
      <c r="G10251" s="67" t="s">
        <v>504</v>
      </c>
      <c r="H10251" s="69">
        <v>0.6</v>
      </c>
    </row>
    <row r="10252" spans="6:8">
      <c r="F10252" s="68" t="s">
        <v>304</v>
      </c>
      <c r="G10252" s="67" t="s">
        <v>504</v>
      </c>
      <c r="H10252" s="69">
        <v>17.75</v>
      </c>
    </row>
    <row r="10253" spans="6:8">
      <c r="F10253" s="68" t="s">
        <v>421</v>
      </c>
      <c r="G10253" s="67" t="s">
        <v>504</v>
      </c>
      <c r="H10253" s="69">
        <v>2.258238294295678</v>
      </c>
    </row>
    <row r="10254" spans="6:8">
      <c r="F10254" s="68" t="s">
        <v>130</v>
      </c>
      <c r="G10254" s="67" t="s">
        <v>504</v>
      </c>
      <c r="H10254" s="69">
        <v>-0.6</v>
      </c>
    </row>
    <row r="10255" spans="6:8">
      <c r="F10255" s="68" t="s">
        <v>131</v>
      </c>
      <c r="G10255" s="67" t="s">
        <v>504</v>
      </c>
      <c r="H10255" s="69">
        <v>-0.35</v>
      </c>
    </row>
    <row r="10256" spans="6:8">
      <c r="F10256" s="68" t="s">
        <v>255</v>
      </c>
      <c r="G10256" s="67" t="s">
        <v>504</v>
      </c>
      <c r="H10256" s="69">
        <v>0.79</v>
      </c>
    </row>
    <row r="10257" spans="6:8">
      <c r="F10257" s="68" t="s">
        <v>303</v>
      </c>
      <c r="G10257" s="67" t="s">
        <v>504</v>
      </c>
      <c r="H10257" s="69">
        <v>18.78125</v>
      </c>
    </row>
    <row r="10258" spans="6:8">
      <c r="F10258" s="68" t="s">
        <v>422</v>
      </c>
      <c r="G10258" s="67" t="s">
        <v>504</v>
      </c>
      <c r="H10258" s="69">
        <v>2.2660404010456325</v>
      </c>
    </row>
    <row r="10259" spans="6:8">
      <c r="F10259" s="68" t="s">
        <v>132</v>
      </c>
      <c r="G10259" s="67" t="s">
        <v>504</v>
      </c>
      <c r="H10259" s="69">
        <v>-0.55000000000000004</v>
      </c>
    </row>
    <row r="10260" spans="6:8">
      <c r="F10260" s="68" t="s">
        <v>133</v>
      </c>
      <c r="G10260" s="67" t="s">
        <v>504</v>
      </c>
      <c r="H10260" s="69">
        <v>-0.4</v>
      </c>
    </row>
    <row r="10261" spans="6:8">
      <c r="F10261" s="68" t="s">
        <v>256</v>
      </c>
      <c r="G10261" s="67" t="s">
        <v>504</v>
      </c>
      <c r="H10261" s="69">
        <v>0.95</v>
      </c>
    </row>
    <row r="10262" spans="6:8">
      <c r="F10262" s="68" t="s">
        <v>423</v>
      </c>
      <c r="G10262" s="67" t="s">
        <v>504</v>
      </c>
      <c r="H10262" s="69">
        <v>2.5204189742143779</v>
      </c>
    </row>
    <row r="10263" spans="6:8">
      <c r="F10263" s="68" t="s">
        <v>134</v>
      </c>
      <c r="G10263" s="67" t="s">
        <v>504</v>
      </c>
      <c r="H10263" s="69">
        <v>-0.55000000000000004</v>
      </c>
    </row>
    <row r="10264" spans="6:8">
      <c r="F10264" s="68" t="s">
        <v>135</v>
      </c>
      <c r="G10264" s="67" t="s">
        <v>504</v>
      </c>
      <c r="H10264" s="69">
        <v>-0.4</v>
      </c>
    </row>
    <row r="10265" spans="6:8">
      <c r="F10265" s="68" t="s">
        <v>257</v>
      </c>
      <c r="G10265" s="67" t="s">
        <v>504</v>
      </c>
      <c r="H10265" s="69">
        <v>1.03</v>
      </c>
    </row>
    <row r="10266" spans="6:8">
      <c r="F10266" s="68" t="s">
        <v>258</v>
      </c>
      <c r="G10266" s="67" t="s">
        <v>504</v>
      </c>
      <c r="H10266" s="69">
        <v>0.14000000000000001</v>
      </c>
    </row>
    <row r="10267" spans="6:8">
      <c r="F10267" s="68" t="s">
        <v>424</v>
      </c>
      <c r="G10267" s="67" t="s">
        <v>504</v>
      </c>
      <c r="H10267" s="69">
        <v>3.2916932622248485</v>
      </c>
    </row>
    <row r="10268" spans="6:8">
      <c r="F10268" s="68" t="s">
        <v>136</v>
      </c>
      <c r="G10268" s="67" t="s">
        <v>504</v>
      </c>
      <c r="H10268" s="69">
        <v>-0.55000000000000004</v>
      </c>
    </row>
    <row r="10269" spans="6:8">
      <c r="F10269" s="68" t="s">
        <v>137</v>
      </c>
      <c r="G10269" s="67" t="s">
        <v>504</v>
      </c>
      <c r="H10269" s="69">
        <v>-0.5</v>
      </c>
    </row>
    <row r="10270" spans="6:8">
      <c r="F10270" s="68" t="s">
        <v>138</v>
      </c>
      <c r="G10270" s="67" t="s">
        <v>504</v>
      </c>
      <c r="H10270" s="69">
        <v>-0.55000000000000004</v>
      </c>
    </row>
    <row r="10271" spans="6:8">
      <c r="F10271" s="68" t="s">
        <v>259</v>
      </c>
      <c r="G10271" s="67" t="s">
        <v>504</v>
      </c>
      <c r="H10271" s="69">
        <v>0.17</v>
      </c>
    </row>
    <row r="10272" spans="6:8">
      <c r="F10272" s="68" t="s">
        <v>425</v>
      </c>
      <c r="G10272" s="67" t="s">
        <v>504</v>
      </c>
      <c r="H10272" s="69">
        <v>3.3261098792018551</v>
      </c>
    </row>
    <row r="10273" spans="6:8">
      <c r="F10273" s="68" t="s">
        <v>425</v>
      </c>
      <c r="G10273" s="67" t="s">
        <v>505</v>
      </c>
      <c r="H10273" s="69">
        <v>3.2766233283199053</v>
      </c>
    </row>
    <row r="10274" spans="6:8">
      <c r="F10274" s="68" t="s">
        <v>259</v>
      </c>
      <c r="G10274" s="67" t="s">
        <v>505</v>
      </c>
      <c r="H10274" s="69">
        <v>0.17</v>
      </c>
    </row>
    <row r="10275" spans="6:8">
      <c r="F10275" s="68" t="s">
        <v>138</v>
      </c>
      <c r="G10275" s="67" t="s">
        <v>505</v>
      </c>
      <c r="H10275" s="69">
        <v>-0.55000000000000004</v>
      </c>
    </row>
    <row r="10276" spans="6:8">
      <c r="F10276" s="68" t="s">
        <v>137</v>
      </c>
      <c r="G10276" s="67" t="s">
        <v>505</v>
      </c>
      <c r="H10276" s="69">
        <v>-0.5</v>
      </c>
    </row>
    <row r="10277" spans="6:8">
      <c r="F10277" s="68" t="s">
        <v>136</v>
      </c>
      <c r="G10277" s="67" t="s">
        <v>505</v>
      </c>
      <c r="H10277" s="69">
        <v>-0.55000000000000004</v>
      </c>
    </row>
    <row r="10278" spans="6:8">
      <c r="F10278" s="68" t="s">
        <v>424</v>
      </c>
      <c r="G10278" s="67" t="s">
        <v>505</v>
      </c>
      <c r="H10278" s="69">
        <v>3.2461347179410183</v>
      </c>
    </row>
    <row r="10279" spans="6:8">
      <c r="F10279" s="68" t="s">
        <v>258</v>
      </c>
      <c r="G10279" s="67" t="s">
        <v>505</v>
      </c>
      <c r="H10279" s="69">
        <v>0.14000000000000001</v>
      </c>
    </row>
    <row r="10280" spans="6:8">
      <c r="F10280" s="68" t="s">
        <v>257</v>
      </c>
      <c r="G10280" s="67" t="s">
        <v>505</v>
      </c>
      <c r="H10280" s="69">
        <v>1.03</v>
      </c>
    </row>
    <row r="10281" spans="6:8">
      <c r="F10281" s="68" t="s">
        <v>135</v>
      </c>
      <c r="G10281" s="67" t="s">
        <v>505</v>
      </c>
      <c r="H10281" s="69">
        <v>-0.4</v>
      </c>
    </row>
    <row r="10282" spans="6:8">
      <c r="F10282" s="68" t="s">
        <v>134</v>
      </c>
      <c r="G10282" s="67" t="s">
        <v>505</v>
      </c>
      <c r="H10282" s="69">
        <v>-0.55000000000000004</v>
      </c>
    </row>
    <row r="10283" spans="6:8">
      <c r="F10283" s="68" t="s">
        <v>423</v>
      </c>
      <c r="G10283" s="67" t="s">
        <v>505</v>
      </c>
      <c r="H10283" s="69">
        <v>2.4598333830108565</v>
      </c>
    </row>
    <row r="10284" spans="6:8">
      <c r="F10284" s="68" t="s">
        <v>256</v>
      </c>
      <c r="G10284" s="67" t="s">
        <v>505</v>
      </c>
      <c r="H10284" s="69">
        <v>0.95</v>
      </c>
    </row>
    <row r="10285" spans="6:8">
      <c r="F10285" s="68" t="s">
        <v>133</v>
      </c>
      <c r="G10285" s="67" t="s">
        <v>505</v>
      </c>
      <c r="H10285" s="69">
        <v>-0.4</v>
      </c>
    </row>
    <row r="10286" spans="6:8">
      <c r="F10286" s="68" t="s">
        <v>132</v>
      </c>
      <c r="G10286" s="67" t="s">
        <v>505</v>
      </c>
      <c r="H10286" s="69">
        <v>-0.55000000000000004</v>
      </c>
    </row>
    <row r="10287" spans="6:8">
      <c r="F10287" s="68" t="s">
        <v>422</v>
      </c>
      <c r="G10287" s="67" t="s">
        <v>505</v>
      </c>
      <c r="H10287" s="69">
        <v>2.2854059450512665</v>
      </c>
    </row>
    <row r="10288" spans="6:8">
      <c r="F10288" s="68" t="s">
        <v>303</v>
      </c>
      <c r="G10288" s="67" t="s">
        <v>505</v>
      </c>
      <c r="H10288" s="69">
        <v>18.71875</v>
      </c>
    </row>
    <row r="10289" spans="6:8">
      <c r="F10289" s="68" t="s">
        <v>255</v>
      </c>
      <c r="G10289" s="67" t="s">
        <v>505</v>
      </c>
      <c r="H10289" s="69">
        <v>0.79</v>
      </c>
    </row>
    <row r="10290" spans="6:8">
      <c r="F10290" s="68" t="s">
        <v>131</v>
      </c>
      <c r="G10290" s="67" t="s">
        <v>505</v>
      </c>
      <c r="H10290" s="69">
        <v>-0.35</v>
      </c>
    </row>
    <row r="10291" spans="6:8">
      <c r="F10291" s="68" t="s">
        <v>130</v>
      </c>
      <c r="G10291" s="67" t="s">
        <v>505</v>
      </c>
      <c r="H10291" s="69">
        <v>-0.6</v>
      </c>
    </row>
    <row r="10292" spans="6:8">
      <c r="F10292" s="68" t="s">
        <v>421</v>
      </c>
      <c r="G10292" s="67" t="s">
        <v>505</v>
      </c>
      <c r="H10292" s="69">
        <v>2.2781520989138659</v>
      </c>
    </row>
    <row r="10293" spans="6:8">
      <c r="F10293" s="68" t="s">
        <v>304</v>
      </c>
      <c r="G10293" s="67" t="s">
        <v>505</v>
      </c>
      <c r="H10293" s="69">
        <v>17.6875</v>
      </c>
    </row>
    <row r="10294" spans="6:8">
      <c r="F10294" s="68" t="s">
        <v>254</v>
      </c>
      <c r="G10294" s="67" t="s">
        <v>505</v>
      </c>
      <c r="H10294" s="69">
        <v>0.6</v>
      </c>
    </row>
    <row r="10295" spans="6:8">
      <c r="F10295" s="68" t="s">
        <v>129</v>
      </c>
      <c r="G10295" s="67" t="s">
        <v>505</v>
      </c>
      <c r="H10295" s="69">
        <v>-0.25</v>
      </c>
    </row>
    <row r="10296" spans="6:8">
      <c r="F10296" s="68" t="s">
        <v>128</v>
      </c>
      <c r="G10296" s="67" t="s">
        <v>505</v>
      </c>
      <c r="H10296" s="69">
        <v>-0.55000000000000004</v>
      </c>
    </row>
    <row r="10297" spans="6:8">
      <c r="F10297" s="68" t="s">
        <v>315</v>
      </c>
      <c r="G10297" s="67" t="s">
        <v>505</v>
      </c>
      <c r="H10297" s="69">
        <v>-0.15</v>
      </c>
    </row>
    <row r="10298" spans="6:8">
      <c r="F10298" s="68" t="s">
        <v>253</v>
      </c>
      <c r="G10298" s="67" t="s">
        <v>505</v>
      </c>
      <c r="H10298" s="69">
        <v>0.44</v>
      </c>
    </row>
    <row r="10299" spans="6:8">
      <c r="F10299" s="68" t="s">
        <v>127</v>
      </c>
      <c r="G10299" s="67" t="s">
        <v>505</v>
      </c>
      <c r="H10299" s="69">
        <v>-0.15</v>
      </c>
    </row>
    <row r="10300" spans="6:8">
      <c r="F10300" s="68" t="s">
        <v>126</v>
      </c>
      <c r="G10300" s="67" t="s">
        <v>505</v>
      </c>
      <c r="H10300" s="69">
        <v>-0.6</v>
      </c>
    </row>
    <row r="10301" spans="6:8">
      <c r="F10301" s="68" t="s">
        <v>125</v>
      </c>
      <c r="G10301" s="67" t="s">
        <v>505</v>
      </c>
      <c r="H10301" s="69">
        <v>-0.3</v>
      </c>
    </row>
    <row r="10302" spans="6:8">
      <c r="F10302" s="68" t="s">
        <v>314</v>
      </c>
      <c r="G10302" s="67" t="s">
        <v>505</v>
      </c>
      <c r="H10302" s="69">
        <v>-0.25</v>
      </c>
    </row>
    <row r="10303" spans="6:8">
      <c r="F10303" s="68" t="s">
        <v>252</v>
      </c>
      <c r="G10303" s="67" t="s">
        <v>505</v>
      </c>
      <c r="H10303" s="69">
        <v>0.31</v>
      </c>
    </row>
    <row r="10304" spans="6:8">
      <c r="F10304" s="68" t="s">
        <v>124</v>
      </c>
      <c r="G10304" s="67" t="s">
        <v>505</v>
      </c>
      <c r="H10304" s="69">
        <v>-0.35</v>
      </c>
    </row>
    <row r="10305" spans="6:8">
      <c r="F10305" s="68" t="s">
        <v>123</v>
      </c>
      <c r="G10305" s="67" t="s">
        <v>505</v>
      </c>
      <c r="H10305" s="69">
        <v>-0.65</v>
      </c>
    </row>
    <row r="10306" spans="6:8">
      <c r="F10306" s="68" t="s">
        <v>122</v>
      </c>
      <c r="G10306" s="67" t="s">
        <v>505</v>
      </c>
      <c r="H10306" s="69">
        <v>-0.5</v>
      </c>
    </row>
    <row r="10307" spans="6:8">
      <c r="F10307" s="68" t="s">
        <v>420</v>
      </c>
      <c r="G10307" s="67" t="s">
        <v>505</v>
      </c>
      <c r="H10307" s="69">
        <v>3.3863287913399098</v>
      </c>
    </row>
    <row r="10308" spans="6:8">
      <c r="F10308" s="68" t="s">
        <v>251</v>
      </c>
      <c r="G10308" s="67" t="s">
        <v>505</v>
      </c>
      <c r="H10308" s="69">
        <v>0.23</v>
      </c>
    </row>
    <row r="10309" spans="6:8">
      <c r="F10309" s="68" t="s">
        <v>121</v>
      </c>
      <c r="G10309" s="67" t="s">
        <v>505</v>
      </c>
      <c r="H10309" s="69">
        <v>-0.5</v>
      </c>
    </row>
    <row r="10310" spans="6:8">
      <c r="F10310" s="68" t="s">
        <v>120</v>
      </c>
      <c r="G10310" s="67" t="s">
        <v>505</v>
      </c>
      <c r="H10310" s="69">
        <v>-0.5</v>
      </c>
    </row>
    <row r="10311" spans="6:8">
      <c r="F10311" s="68" t="s">
        <v>119</v>
      </c>
      <c r="G10311" s="67" t="s">
        <v>505</v>
      </c>
      <c r="H10311" s="69">
        <v>-0.5</v>
      </c>
    </row>
    <row r="10312" spans="6:8">
      <c r="F10312" s="68" t="s">
        <v>119</v>
      </c>
      <c r="G10312" s="67" t="s">
        <v>506</v>
      </c>
      <c r="H10312" s="69">
        <v>-0.5</v>
      </c>
    </row>
    <row r="10313" spans="6:8">
      <c r="F10313" s="68" t="s">
        <v>120</v>
      </c>
      <c r="G10313" s="67" t="s">
        <v>506</v>
      </c>
      <c r="H10313" s="69">
        <v>-0.5</v>
      </c>
    </row>
    <row r="10314" spans="6:8">
      <c r="F10314" s="68" t="s">
        <v>121</v>
      </c>
      <c r="G10314" s="67" t="s">
        <v>506</v>
      </c>
      <c r="H10314" s="69">
        <v>-0.5</v>
      </c>
    </row>
    <row r="10315" spans="6:8">
      <c r="F10315" s="68" t="s">
        <v>251</v>
      </c>
      <c r="G10315" s="67" t="s">
        <v>506</v>
      </c>
      <c r="H10315" s="69">
        <v>0.23</v>
      </c>
    </row>
    <row r="10316" spans="6:8">
      <c r="F10316" s="68" t="s">
        <v>420</v>
      </c>
      <c r="G10316" s="67" t="s">
        <v>506</v>
      </c>
      <c r="H10316" s="69">
        <v>3.33440232330382</v>
      </c>
    </row>
    <row r="10317" spans="6:8">
      <c r="F10317" s="68" t="s">
        <v>122</v>
      </c>
      <c r="G10317" s="67" t="s">
        <v>506</v>
      </c>
      <c r="H10317" s="69">
        <v>-0.5</v>
      </c>
    </row>
    <row r="10318" spans="6:8">
      <c r="F10318" s="68" t="s">
        <v>123</v>
      </c>
      <c r="G10318" s="67" t="s">
        <v>506</v>
      </c>
      <c r="H10318" s="69">
        <v>-0.65</v>
      </c>
    </row>
    <row r="10319" spans="6:8">
      <c r="F10319" s="68" t="s">
        <v>124</v>
      </c>
      <c r="G10319" s="67" t="s">
        <v>506</v>
      </c>
      <c r="H10319" s="69">
        <v>-0.35</v>
      </c>
    </row>
    <row r="10320" spans="6:8">
      <c r="F10320" s="68" t="s">
        <v>252</v>
      </c>
      <c r="G10320" s="67" t="s">
        <v>506</v>
      </c>
      <c r="H10320" s="69">
        <v>0.31</v>
      </c>
    </row>
    <row r="10321" spans="6:8">
      <c r="F10321" s="68" t="s">
        <v>314</v>
      </c>
      <c r="G10321" s="67" t="s">
        <v>506</v>
      </c>
      <c r="H10321" s="69">
        <v>-0.25</v>
      </c>
    </row>
    <row r="10322" spans="6:8">
      <c r="F10322" s="68" t="s">
        <v>125</v>
      </c>
      <c r="G10322" s="67" t="s">
        <v>506</v>
      </c>
      <c r="H10322" s="69">
        <v>-0.3</v>
      </c>
    </row>
    <row r="10323" spans="6:8">
      <c r="F10323" s="68" t="s">
        <v>126</v>
      </c>
      <c r="G10323" s="67" t="s">
        <v>506</v>
      </c>
      <c r="H10323" s="69">
        <v>-0.6</v>
      </c>
    </row>
    <row r="10324" spans="6:8">
      <c r="F10324" s="68" t="s">
        <v>127</v>
      </c>
      <c r="G10324" s="67" t="s">
        <v>506</v>
      </c>
      <c r="H10324" s="69">
        <v>-0.15</v>
      </c>
    </row>
    <row r="10325" spans="6:8">
      <c r="F10325" s="68" t="s">
        <v>253</v>
      </c>
      <c r="G10325" s="67" t="s">
        <v>506</v>
      </c>
      <c r="H10325" s="69">
        <v>0.44</v>
      </c>
    </row>
    <row r="10326" spans="6:8">
      <c r="F10326" s="68" t="s">
        <v>315</v>
      </c>
      <c r="G10326" s="67" t="s">
        <v>506</v>
      </c>
      <c r="H10326" s="69">
        <v>-0.15</v>
      </c>
    </row>
    <row r="10327" spans="6:8">
      <c r="F10327" s="68" t="s">
        <v>128</v>
      </c>
      <c r="G10327" s="67" t="s">
        <v>506</v>
      </c>
      <c r="H10327" s="69">
        <v>-0.55000000000000004</v>
      </c>
    </row>
    <row r="10328" spans="6:8">
      <c r="F10328" s="68" t="s">
        <v>129</v>
      </c>
      <c r="G10328" s="67" t="s">
        <v>506</v>
      </c>
      <c r="H10328" s="69">
        <v>-0.25</v>
      </c>
    </row>
    <row r="10329" spans="6:8">
      <c r="F10329" s="68" t="s">
        <v>254</v>
      </c>
      <c r="G10329" s="67" t="s">
        <v>506</v>
      </c>
      <c r="H10329" s="69">
        <v>0.6</v>
      </c>
    </row>
    <row r="10330" spans="6:8">
      <c r="F10330" s="68" t="s">
        <v>304</v>
      </c>
      <c r="G10330" s="67" t="s">
        <v>506</v>
      </c>
      <c r="H10330" s="69">
        <v>18</v>
      </c>
    </row>
    <row r="10331" spans="6:8">
      <c r="F10331" s="68" t="s">
        <v>421</v>
      </c>
      <c r="G10331" s="67" t="s">
        <v>506</v>
      </c>
      <c r="H10331" s="69">
        <v>2.4106466041598829</v>
      </c>
    </row>
    <row r="10332" spans="6:8">
      <c r="F10332" s="68" t="s">
        <v>130</v>
      </c>
      <c r="G10332" s="67" t="s">
        <v>506</v>
      </c>
      <c r="H10332" s="69">
        <v>-0.65</v>
      </c>
    </row>
    <row r="10333" spans="6:8">
      <c r="F10333" s="68" t="s">
        <v>131</v>
      </c>
      <c r="G10333" s="67" t="s">
        <v>506</v>
      </c>
      <c r="H10333" s="69">
        <v>-0.35</v>
      </c>
    </row>
    <row r="10334" spans="6:8">
      <c r="F10334" s="68" t="s">
        <v>255</v>
      </c>
      <c r="G10334" s="67" t="s">
        <v>506</v>
      </c>
      <c r="H10334" s="69">
        <v>0.79</v>
      </c>
    </row>
    <row r="10335" spans="6:8">
      <c r="F10335" s="68" t="s">
        <v>303</v>
      </c>
      <c r="G10335" s="67" t="s">
        <v>506</v>
      </c>
      <c r="H10335" s="69">
        <v>18.96875</v>
      </c>
    </row>
    <row r="10336" spans="6:8">
      <c r="F10336" s="68" t="s">
        <v>422</v>
      </c>
      <c r="G10336" s="67" t="s">
        <v>506</v>
      </c>
      <c r="H10336" s="69">
        <v>2.4164908354264103</v>
      </c>
    </row>
    <row r="10337" spans="6:8">
      <c r="F10337" s="68" t="s">
        <v>132</v>
      </c>
      <c r="G10337" s="67" t="s">
        <v>506</v>
      </c>
      <c r="H10337" s="69">
        <v>-0.6</v>
      </c>
    </row>
    <row r="10338" spans="6:8">
      <c r="F10338" s="68" t="s">
        <v>133</v>
      </c>
      <c r="G10338" s="67" t="s">
        <v>506</v>
      </c>
      <c r="H10338" s="69">
        <v>-0.4</v>
      </c>
    </row>
    <row r="10339" spans="6:8">
      <c r="F10339" s="68" t="s">
        <v>256</v>
      </c>
      <c r="G10339" s="67" t="s">
        <v>506</v>
      </c>
      <c r="H10339" s="69">
        <v>0.95</v>
      </c>
    </row>
    <row r="10340" spans="6:8">
      <c r="F10340" s="68" t="s">
        <v>423</v>
      </c>
      <c r="G10340" s="67" t="s">
        <v>506</v>
      </c>
      <c r="H10340" s="69">
        <v>2.4196656903715752</v>
      </c>
    </row>
    <row r="10341" spans="6:8">
      <c r="F10341" s="68" t="s">
        <v>134</v>
      </c>
      <c r="G10341" s="67" t="s">
        <v>506</v>
      </c>
      <c r="H10341" s="69">
        <v>-0.6</v>
      </c>
    </row>
    <row r="10342" spans="6:8">
      <c r="F10342" s="68" t="s">
        <v>135</v>
      </c>
      <c r="G10342" s="67" t="s">
        <v>506</v>
      </c>
      <c r="H10342" s="69">
        <v>-0.4</v>
      </c>
    </row>
    <row r="10343" spans="6:8">
      <c r="F10343" s="68" t="s">
        <v>257</v>
      </c>
      <c r="G10343" s="67" t="s">
        <v>506</v>
      </c>
      <c r="H10343" s="69">
        <v>1.03</v>
      </c>
    </row>
    <row r="10344" spans="6:8">
      <c r="F10344" s="68" t="s">
        <v>258</v>
      </c>
      <c r="G10344" s="67" t="s">
        <v>506</v>
      </c>
      <c r="H10344" s="69">
        <v>0.14000000000000001</v>
      </c>
    </row>
    <row r="10345" spans="6:8">
      <c r="F10345" s="68" t="s">
        <v>424</v>
      </c>
      <c r="G10345" s="67" t="s">
        <v>506</v>
      </c>
      <c r="H10345" s="69">
        <v>3.1982794915226709</v>
      </c>
    </row>
    <row r="10346" spans="6:8">
      <c r="F10346" s="68" t="s">
        <v>136</v>
      </c>
      <c r="G10346" s="67" t="s">
        <v>506</v>
      </c>
      <c r="H10346" s="69">
        <v>-0.55000000000000004</v>
      </c>
    </row>
    <row r="10347" spans="6:8">
      <c r="F10347" s="68" t="s">
        <v>137</v>
      </c>
      <c r="G10347" s="67" t="s">
        <v>506</v>
      </c>
      <c r="H10347" s="69">
        <v>-0.5</v>
      </c>
    </row>
    <row r="10348" spans="6:8">
      <c r="F10348" s="68" t="s">
        <v>138</v>
      </c>
      <c r="G10348" s="67" t="s">
        <v>506</v>
      </c>
      <c r="H10348" s="69">
        <v>-0.55000000000000004</v>
      </c>
    </row>
    <row r="10349" spans="6:8">
      <c r="F10349" s="68" t="s">
        <v>259</v>
      </c>
      <c r="G10349" s="67" t="s">
        <v>506</v>
      </c>
      <c r="H10349" s="69">
        <v>0.17</v>
      </c>
    </row>
    <row r="10350" spans="6:8">
      <c r="F10350" s="68" t="s">
        <v>425</v>
      </c>
      <c r="G10350" s="67" t="s">
        <v>506</v>
      </c>
      <c r="H10350" s="69">
        <v>3.2226143696530318</v>
      </c>
    </row>
    <row r="10351" spans="6:8">
      <c r="F10351" s="68" t="s">
        <v>425</v>
      </c>
      <c r="G10351" s="67" t="s">
        <v>507</v>
      </c>
      <c r="H10351" s="69">
        <v>3.2100583866462973</v>
      </c>
    </row>
    <row r="10352" spans="6:8">
      <c r="F10352" s="68" t="s">
        <v>259</v>
      </c>
      <c r="G10352" s="67" t="s">
        <v>507</v>
      </c>
      <c r="H10352" s="69">
        <v>0.17</v>
      </c>
    </row>
    <row r="10353" spans="6:8">
      <c r="F10353" s="68" t="s">
        <v>138</v>
      </c>
      <c r="G10353" s="67" t="s">
        <v>507</v>
      </c>
      <c r="H10353" s="69">
        <v>-0.55000000000000004</v>
      </c>
    </row>
    <row r="10354" spans="6:8">
      <c r="F10354" s="68" t="s">
        <v>137</v>
      </c>
      <c r="G10354" s="67" t="s">
        <v>507</v>
      </c>
      <c r="H10354" s="69">
        <v>-0.5</v>
      </c>
    </row>
    <row r="10355" spans="6:8">
      <c r="F10355" s="68" t="s">
        <v>136</v>
      </c>
      <c r="G10355" s="67" t="s">
        <v>507</v>
      </c>
      <c r="H10355" s="69">
        <v>-0.55000000000000004</v>
      </c>
    </row>
    <row r="10356" spans="6:8">
      <c r="F10356" s="68" t="s">
        <v>424</v>
      </c>
      <c r="G10356" s="67" t="s">
        <v>507</v>
      </c>
      <c r="H10356" s="69">
        <v>3.1890122624841588</v>
      </c>
    </row>
    <row r="10357" spans="6:8">
      <c r="F10357" s="68" t="s">
        <v>258</v>
      </c>
      <c r="G10357" s="67" t="s">
        <v>507</v>
      </c>
      <c r="H10357" s="69">
        <v>0.14000000000000001</v>
      </c>
    </row>
    <row r="10358" spans="6:8">
      <c r="F10358" s="68" t="s">
        <v>257</v>
      </c>
      <c r="G10358" s="67" t="s">
        <v>507</v>
      </c>
      <c r="H10358" s="69">
        <v>1.03</v>
      </c>
    </row>
    <row r="10359" spans="6:8">
      <c r="F10359" s="68" t="s">
        <v>135</v>
      </c>
      <c r="G10359" s="67" t="s">
        <v>507</v>
      </c>
      <c r="H10359" s="69">
        <v>-0.4</v>
      </c>
    </row>
    <row r="10360" spans="6:8">
      <c r="F10360" s="68" t="s">
        <v>134</v>
      </c>
      <c r="G10360" s="67" t="s">
        <v>507</v>
      </c>
      <c r="H10360" s="69">
        <v>-0.6</v>
      </c>
    </row>
    <row r="10361" spans="6:8">
      <c r="F10361" s="68" t="s">
        <v>423</v>
      </c>
      <c r="G10361" s="67" t="s">
        <v>507</v>
      </c>
      <c r="H10361" s="69">
        <v>2.4068274565499426</v>
      </c>
    </row>
    <row r="10362" spans="6:8">
      <c r="F10362" s="68" t="s">
        <v>256</v>
      </c>
      <c r="G10362" s="67" t="s">
        <v>507</v>
      </c>
      <c r="H10362" s="69">
        <v>0.95</v>
      </c>
    </row>
    <row r="10363" spans="6:8">
      <c r="F10363" s="68" t="s">
        <v>133</v>
      </c>
      <c r="G10363" s="67" t="s">
        <v>507</v>
      </c>
      <c r="H10363" s="69">
        <v>-0.4</v>
      </c>
    </row>
    <row r="10364" spans="6:8">
      <c r="F10364" s="68" t="s">
        <v>132</v>
      </c>
      <c r="G10364" s="67" t="s">
        <v>507</v>
      </c>
      <c r="H10364" s="69">
        <v>-0.6</v>
      </c>
    </row>
    <row r="10365" spans="6:8">
      <c r="F10365" s="68" t="s">
        <v>422</v>
      </c>
      <c r="G10365" s="67" t="s">
        <v>507</v>
      </c>
      <c r="H10365" s="69">
        <v>2.4015759381681434</v>
      </c>
    </row>
    <row r="10366" spans="6:8">
      <c r="F10366" s="68" t="s">
        <v>303</v>
      </c>
      <c r="G10366" s="67" t="s">
        <v>507</v>
      </c>
      <c r="H10366" s="69">
        <v>19.125</v>
      </c>
    </row>
    <row r="10367" spans="6:8">
      <c r="F10367" s="68" t="s">
        <v>255</v>
      </c>
      <c r="G10367" s="67" t="s">
        <v>507</v>
      </c>
      <c r="H10367" s="69">
        <v>0.79</v>
      </c>
    </row>
    <row r="10368" spans="6:8">
      <c r="F10368" s="68" t="s">
        <v>131</v>
      </c>
      <c r="G10368" s="67" t="s">
        <v>507</v>
      </c>
      <c r="H10368" s="69">
        <v>-0.35</v>
      </c>
    </row>
    <row r="10369" spans="6:8">
      <c r="F10369" s="68" t="s">
        <v>130</v>
      </c>
      <c r="G10369" s="67" t="s">
        <v>507</v>
      </c>
      <c r="H10369" s="69">
        <v>-0.65</v>
      </c>
    </row>
    <row r="10370" spans="6:8">
      <c r="F10370" s="68" t="s">
        <v>421</v>
      </c>
      <c r="G10370" s="67" t="s">
        <v>507</v>
      </c>
      <c r="H10370" s="69">
        <v>2.3957043731969829</v>
      </c>
    </row>
    <row r="10371" spans="6:8">
      <c r="F10371" s="68" t="s">
        <v>304</v>
      </c>
      <c r="G10371" s="67" t="s">
        <v>507</v>
      </c>
      <c r="H10371" s="69">
        <v>17.9375</v>
      </c>
    </row>
    <row r="10372" spans="6:8">
      <c r="F10372" s="68" t="s">
        <v>254</v>
      </c>
      <c r="G10372" s="67" t="s">
        <v>507</v>
      </c>
      <c r="H10372" s="69">
        <v>0.6</v>
      </c>
    </row>
    <row r="10373" spans="6:8">
      <c r="F10373" s="68" t="s">
        <v>129</v>
      </c>
      <c r="G10373" s="67" t="s">
        <v>507</v>
      </c>
      <c r="H10373" s="69">
        <v>-0.25</v>
      </c>
    </row>
    <row r="10374" spans="6:8">
      <c r="F10374" s="68" t="s">
        <v>128</v>
      </c>
      <c r="G10374" s="67" t="s">
        <v>507</v>
      </c>
      <c r="H10374" s="69">
        <v>-0.55000000000000004</v>
      </c>
    </row>
    <row r="10375" spans="6:8">
      <c r="F10375" s="68" t="s">
        <v>315</v>
      </c>
      <c r="G10375" s="67" t="s">
        <v>507</v>
      </c>
      <c r="H10375" s="69">
        <v>-0.15</v>
      </c>
    </row>
    <row r="10376" spans="6:8">
      <c r="F10376" s="68" t="s">
        <v>253</v>
      </c>
      <c r="G10376" s="67" t="s">
        <v>507</v>
      </c>
      <c r="H10376" s="69">
        <v>0.44</v>
      </c>
    </row>
    <row r="10377" spans="6:8">
      <c r="F10377" s="68" t="s">
        <v>127</v>
      </c>
      <c r="G10377" s="67" t="s">
        <v>507</v>
      </c>
      <c r="H10377" s="69">
        <v>-0.15</v>
      </c>
    </row>
    <row r="10378" spans="6:8">
      <c r="F10378" s="68" t="s">
        <v>126</v>
      </c>
      <c r="G10378" s="67" t="s">
        <v>507</v>
      </c>
      <c r="H10378" s="69">
        <v>-0.6</v>
      </c>
    </row>
    <row r="10379" spans="6:8">
      <c r="F10379" s="68" t="s">
        <v>125</v>
      </c>
      <c r="G10379" s="67" t="s">
        <v>507</v>
      </c>
      <c r="H10379" s="69">
        <v>-0.3</v>
      </c>
    </row>
    <row r="10380" spans="6:8">
      <c r="F10380" s="68" t="s">
        <v>314</v>
      </c>
      <c r="G10380" s="67" t="s">
        <v>507</v>
      </c>
      <c r="H10380" s="69">
        <v>-0.25</v>
      </c>
    </row>
    <row r="10381" spans="6:8">
      <c r="F10381" s="68" t="s">
        <v>252</v>
      </c>
      <c r="G10381" s="67" t="s">
        <v>507</v>
      </c>
      <c r="H10381" s="69">
        <v>0.31</v>
      </c>
    </row>
    <row r="10382" spans="6:8">
      <c r="F10382" s="68" t="s">
        <v>124</v>
      </c>
      <c r="G10382" s="67" t="s">
        <v>507</v>
      </c>
      <c r="H10382" s="69">
        <v>-0.35</v>
      </c>
    </row>
    <row r="10383" spans="6:8">
      <c r="F10383" s="68" t="s">
        <v>123</v>
      </c>
      <c r="G10383" s="67" t="s">
        <v>507</v>
      </c>
      <c r="H10383" s="69">
        <v>-0.65</v>
      </c>
    </row>
    <row r="10384" spans="6:8">
      <c r="F10384" s="68" t="s">
        <v>122</v>
      </c>
      <c r="G10384" s="67" t="s">
        <v>507</v>
      </c>
      <c r="H10384" s="69">
        <v>-0.5</v>
      </c>
    </row>
    <row r="10385" spans="6:8">
      <c r="F10385" s="68" t="s">
        <v>420</v>
      </c>
      <c r="G10385" s="67" t="s">
        <v>507</v>
      </c>
      <c r="H10385" s="69">
        <v>3.3274975263328344</v>
      </c>
    </row>
    <row r="10386" spans="6:8">
      <c r="F10386" s="68" t="s">
        <v>251</v>
      </c>
      <c r="G10386" s="67" t="s">
        <v>507</v>
      </c>
      <c r="H10386" s="69">
        <v>0.23</v>
      </c>
    </row>
    <row r="10387" spans="6:8">
      <c r="F10387" s="68" t="s">
        <v>121</v>
      </c>
      <c r="G10387" s="67" t="s">
        <v>507</v>
      </c>
      <c r="H10387" s="69">
        <v>-0.5</v>
      </c>
    </row>
    <row r="10388" spans="6:8">
      <c r="F10388" s="68" t="s">
        <v>120</v>
      </c>
      <c r="G10388" s="67" t="s">
        <v>507</v>
      </c>
      <c r="H10388" s="69">
        <v>-0.5</v>
      </c>
    </row>
    <row r="10389" spans="6:8">
      <c r="F10389" s="68" t="s">
        <v>119</v>
      </c>
      <c r="G10389" s="67" t="s">
        <v>507</v>
      </c>
      <c r="H10389" s="69">
        <v>-0.5</v>
      </c>
    </row>
    <row r="10390" spans="6:8">
      <c r="F10390" s="68" t="s">
        <v>119</v>
      </c>
      <c r="G10390" s="67" t="s">
        <v>508</v>
      </c>
      <c r="H10390" s="69">
        <v>-0.5</v>
      </c>
    </row>
    <row r="10391" spans="6:8">
      <c r="F10391" s="68" t="s">
        <v>120</v>
      </c>
      <c r="G10391" s="67" t="s">
        <v>508</v>
      </c>
      <c r="H10391" s="69">
        <v>-0.5</v>
      </c>
    </row>
    <row r="10392" spans="6:8">
      <c r="F10392" s="68" t="s">
        <v>121</v>
      </c>
      <c r="G10392" s="67" t="s">
        <v>508</v>
      </c>
      <c r="H10392" s="69">
        <v>-0.5</v>
      </c>
    </row>
    <row r="10393" spans="6:8">
      <c r="F10393" s="68" t="s">
        <v>251</v>
      </c>
      <c r="G10393" s="67" t="s">
        <v>508</v>
      </c>
      <c r="H10393" s="69">
        <v>0.23</v>
      </c>
    </row>
    <row r="10394" spans="6:8">
      <c r="F10394" s="68" t="s">
        <v>420</v>
      </c>
      <c r="G10394" s="67" t="s">
        <v>508</v>
      </c>
      <c r="H10394" s="69">
        <v>3.2892170945558519</v>
      </c>
    </row>
    <row r="10395" spans="6:8">
      <c r="F10395" s="68" t="s">
        <v>122</v>
      </c>
      <c r="G10395" s="67" t="s">
        <v>508</v>
      </c>
      <c r="H10395" s="69">
        <v>-0.5</v>
      </c>
    </row>
    <row r="10396" spans="6:8">
      <c r="F10396" s="68" t="s">
        <v>123</v>
      </c>
      <c r="G10396" s="67" t="s">
        <v>508</v>
      </c>
      <c r="H10396" s="69">
        <v>-0.65</v>
      </c>
    </row>
    <row r="10397" spans="6:8">
      <c r="F10397" s="68" t="s">
        <v>124</v>
      </c>
      <c r="G10397" s="67" t="s">
        <v>508</v>
      </c>
      <c r="H10397" s="69">
        <v>-0.35</v>
      </c>
    </row>
    <row r="10398" spans="6:8">
      <c r="F10398" s="68" t="s">
        <v>252</v>
      </c>
      <c r="G10398" s="67" t="s">
        <v>508</v>
      </c>
      <c r="H10398" s="69">
        <v>0.31</v>
      </c>
    </row>
    <row r="10399" spans="6:8">
      <c r="F10399" s="68" t="s">
        <v>314</v>
      </c>
      <c r="G10399" s="67" t="s">
        <v>508</v>
      </c>
      <c r="H10399" s="69">
        <v>-0.25</v>
      </c>
    </row>
    <row r="10400" spans="6:8">
      <c r="F10400" s="68" t="s">
        <v>125</v>
      </c>
      <c r="G10400" s="67" t="s">
        <v>508</v>
      </c>
      <c r="H10400" s="69">
        <v>-0.3</v>
      </c>
    </row>
    <row r="10401" spans="6:8">
      <c r="F10401" s="68" t="s">
        <v>126</v>
      </c>
      <c r="G10401" s="67" t="s">
        <v>508</v>
      </c>
      <c r="H10401" s="69">
        <v>-0.6</v>
      </c>
    </row>
    <row r="10402" spans="6:8">
      <c r="F10402" s="68" t="s">
        <v>127</v>
      </c>
      <c r="G10402" s="67" t="s">
        <v>508</v>
      </c>
      <c r="H10402" s="69">
        <v>-0.15</v>
      </c>
    </row>
    <row r="10403" spans="6:8">
      <c r="F10403" s="68" t="s">
        <v>253</v>
      </c>
      <c r="G10403" s="67" t="s">
        <v>508</v>
      </c>
      <c r="H10403" s="69">
        <v>0.44</v>
      </c>
    </row>
    <row r="10404" spans="6:8">
      <c r="F10404" s="68" t="s">
        <v>315</v>
      </c>
      <c r="G10404" s="67" t="s">
        <v>508</v>
      </c>
      <c r="H10404" s="69">
        <v>-0.15</v>
      </c>
    </row>
    <row r="10405" spans="6:8">
      <c r="F10405" s="68" t="s">
        <v>128</v>
      </c>
      <c r="G10405" s="67" t="s">
        <v>508</v>
      </c>
      <c r="H10405" s="69">
        <v>-0.55000000000000004</v>
      </c>
    </row>
    <row r="10406" spans="6:8">
      <c r="F10406" s="68" t="s">
        <v>129</v>
      </c>
      <c r="G10406" s="67" t="s">
        <v>508</v>
      </c>
      <c r="H10406" s="69">
        <v>-0.25</v>
      </c>
    </row>
    <row r="10407" spans="6:8">
      <c r="F10407" s="68" t="s">
        <v>254</v>
      </c>
      <c r="G10407" s="67" t="s">
        <v>508</v>
      </c>
      <c r="H10407" s="69">
        <v>0.6</v>
      </c>
    </row>
    <row r="10408" spans="6:8">
      <c r="F10408" s="68" t="s">
        <v>304</v>
      </c>
      <c r="G10408" s="67" t="s">
        <v>508</v>
      </c>
      <c r="H10408" s="69">
        <v>17.875</v>
      </c>
    </row>
    <row r="10409" spans="6:8">
      <c r="F10409" s="68" t="s">
        <v>421</v>
      </c>
      <c r="G10409" s="67" t="s">
        <v>508</v>
      </c>
      <c r="H10409" s="69">
        <v>2.3373620563162945</v>
      </c>
    </row>
    <row r="10410" spans="6:8">
      <c r="F10410" s="68" t="s">
        <v>130</v>
      </c>
      <c r="G10410" s="67" t="s">
        <v>508</v>
      </c>
      <c r="H10410" s="69">
        <v>-0.65</v>
      </c>
    </row>
    <row r="10411" spans="6:8">
      <c r="F10411" s="68" t="s">
        <v>131</v>
      </c>
      <c r="G10411" s="67" t="s">
        <v>508</v>
      </c>
      <c r="H10411" s="69">
        <v>-0.35</v>
      </c>
    </row>
    <row r="10412" spans="6:8">
      <c r="F10412" s="68" t="s">
        <v>255</v>
      </c>
      <c r="G10412" s="67" t="s">
        <v>508</v>
      </c>
      <c r="H10412" s="69">
        <v>0.79</v>
      </c>
    </row>
    <row r="10413" spans="6:8">
      <c r="F10413" s="68" t="s">
        <v>303</v>
      </c>
      <c r="G10413" s="67" t="s">
        <v>508</v>
      </c>
      <c r="H10413" s="69">
        <v>19.09375</v>
      </c>
    </row>
    <row r="10414" spans="6:8">
      <c r="F10414" s="68" t="s">
        <v>422</v>
      </c>
      <c r="G10414" s="67" t="s">
        <v>508</v>
      </c>
      <c r="H10414" s="69">
        <v>2.3433357853408499</v>
      </c>
    </row>
    <row r="10415" spans="6:8">
      <c r="F10415" s="68" t="s">
        <v>132</v>
      </c>
      <c r="G10415" s="67" t="s">
        <v>508</v>
      </c>
      <c r="H10415" s="69">
        <v>-0.6</v>
      </c>
    </row>
    <row r="10416" spans="6:8">
      <c r="F10416" s="68" t="s">
        <v>133</v>
      </c>
      <c r="G10416" s="67" t="s">
        <v>508</v>
      </c>
      <c r="H10416" s="69">
        <v>-0.4</v>
      </c>
    </row>
    <row r="10417" spans="6:8">
      <c r="F10417" s="68" t="s">
        <v>256</v>
      </c>
      <c r="G10417" s="67" t="s">
        <v>508</v>
      </c>
      <c r="H10417" s="69">
        <v>0.95</v>
      </c>
    </row>
    <row r="10418" spans="6:8">
      <c r="F10418" s="68" t="s">
        <v>423</v>
      </c>
      <c r="G10418" s="67" t="s">
        <v>508</v>
      </c>
      <c r="H10418" s="69">
        <v>2.351932192856987</v>
      </c>
    </row>
    <row r="10419" spans="6:8">
      <c r="F10419" s="68" t="s">
        <v>134</v>
      </c>
      <c r="G10419" s="67" t="s">
        <v>508</v>
      </c>
      <c r="H10419" s="69">
        <v>-0.6</v>
      </c>
    </row>
    <row r="10420" spans="6:8">
      <c r="F10420" s="68" t="s">
        <v>135</v>
      </c>
      <c r="G10420" s="67" t="s">
        <v>508</v>
      </c>
      <c r="H10420" s="69">
        <v>-0.4</v>
      </c>
    </row>
    <row r="10421" spans="6:8">
      <c r="F10421" s="68" t="s">
        <v>257</v>
      </c>
      <c r="G10421" s="67" t="s">
        <v>508</v>
      </c>
      <c r="H10421" s="69">
        <v>1.03</v>
      </c>
    </row>
    <row r="10422" spans="6:8">
      <c r="F10422" s="68" t="s">
        <v>258</v>
      </c>
      <c r="G10422" s="67" t="s">
        <v>508</v>
      </c>
      <c r="H10422" s="69">
        <v>0.14000000000000001</v>
      </c>
    </row>
    <row r="10423" spans="6:8">
      <c r="F10423" s="68" t="s">
        <v>424</v>
      </c>
      <c r="G10423" s="67" t="s">
        <v>508</v>
      </c>
      <c r="H10423" s="69">
        <v>3.150429850788905</v>
      </c>
    </row>
    <row r="10424" spans="6:8">
      <c r="F10424" s="68" t="s">
        <v>136</v>
      </c>
      <c r="G10424" s="67" t="s">
        <v>508</v>
      </c>
      <c r="H10424" s="69">
        <v>-0.55000000000000004</v>
      </c>
    </row>
    <row r="10425" spans="6:8">
      <c r="F10425" s="68" t="s">
        <v>137</v>
      </c>
      <c r="G10425" s="67" t="s">
        <v>508</v>
      </c>
      <c r="H10425" s="69">
        <v>-0.5</v>
      </c>
    </row>
    <row r="10426" spans="6:8">
      <c r="F10426" s="68" t="s">
        <v>138</v>
      </c>
      <c r="G10426" s="67" t="s">
        <v>508</v>
      </c>
      <c r="H10426" s="69">
        <v>-0.55000000000000004</v>
      </c>
    </row>
    <row r="10427" spans="6:8">
      <c r="F10427" s="68" t="s">
        <v>259</v>
      </c>
      <c r="G10427" s="67" t="s">
        <v>508</v>
      </c>
      <c r="H10427" s="69">
        <v>0.17</v>
      </c>
    </row>
    <row r="10428" spans="6:8">
      <c r="F10428" s="68" t="s">
        <v>425</v>
      </c>
      <c r="G10428" s="67" t="s">
        <v>508</v>
      </c>
      <c r="H10428" s="69">
        <v>3.1696322338266469</v>
      </c>
    </row>
    <row r="10429" spans="6:8">
      <c r="F10429" s="68" t="s">
        <v>425</v>
      </c>
      <c r="G10429" s="67" t="s">
        <v>509</v>
      </c>
      <c r="H10429" s="69">
        <v>3.2008548103085399</v>
      </c>
    </row>
    <row r="10430" spans="6:8">
      <c r="F10430" s="68" t="s">
        <v>259</v>
      </c>
      <c r="G10430" s="67" t="s">
        <v>509</v>
      </c>
      <c r="H10430" s="69">
        <v>0.17</v>
      </c>
    </row>
    <row r="10431" spans="6:8">
      <c r="F10431" s="68" t="s">
        <v>138</v>
      </c>
      <c r="G10431" s="67" t="s">
        <v>509</v>
      </c>
      <c r="H10431" s="69">
        <v>-0.55000000000000004</v>
      </c>
    </row>
    <row r="10432" spans="6:8">
      <c r="F10432" s="68" t="s">
        <v>137</v>
      </c>
      <c r="G10432" s="67" t="s">
        <v>509</v>
      </c>
      <c r="H10432" s="69">
        <v>-0.5</v>
      </c>
    </row>
    <row r="10433" spans="6:8">
      <c r="F10433" s="68" t="s">
        <v>136</v>
      </c>
      <c r="G10433" s="67" t="s">
        <v>509</v>
      </c>
      <c r="H10433" s="69">
        <v>-0.55000000000000004</v>
      </c>
    </row>
    <row r="10434" spans="6:8">
      <c r="F10434" s="68" t="s">
        <v>424</v>
      </c>
      <c r="G10434" s="67" t="s">
        <v>509</v>
      </c>
      <c r="H10434" s="69">
        <v>3.1858087665895152</v>
      </c>
    </row>
    <row r="10435" spans="6:8">
      <c r="F10435" s="68" t="s">
        <v>258</v>
      </c>
      <c r="G10435" s="67" t="s">
        <v>509</v>
      </c>
      <c r="H10435" s="69">
        <v>0.14000000000000001</v>
      </c>
    </row>
    <row r="10436" spans="6:8">
      <c r="F10436" s="68" t="s">
        <v>257</v>
      </c>
      <c r="G10436" s="67" t="s">
        <v>509</v>
      </c>
      <c r="H10436" s="69">
        <v>1.03</v>
      </c>
    </row>
    <row r="10437" spans="6:8">
      <c r="F10437" s="68" t="s">
        <v>135</v>
      </c>
      <c r="G10437" s="67" t="s">
        <v>509</v>
      </c>
      <c r="H10437" s="69">
        <v>-0.4</v>
      </c>
    </row>
    <row r="10438" spans="6:8">
      <c r="F10438" s="68" t="s">
        <v>134</v>
      </c>
      <c r="G10438" s="67" t="s">
        <v>509</v>
      </c>
      <c r="H10438" s="69">
        <v>-0.6</v>
      </c>
    </row>
    <row r="10439" spans="6:8">
      <c r="F10439" s="68" t="s">
        <v>423</v>
      </c>
      <c r="G10439" s="67" t="s">
        <v>509</v>
      </c>
      <c r="H10439" s="69">
        <v>2.4068920556780338</v>
      </c>
    </row>
    <row r="10440" spans="6:8">
      <c r="F10440" s="68" t="s">
        <v>256</v>
      </c>
      <c r="G10440" s="67" t="s">
        <v>509</v>
      </c>
      <c r="H10440" s="69">
        <v>0.95</v>
      </c>
    </row>
    <row r="10441" spans="6:8">
      <c r="F10441" s="68" t="s">
        <v>133</v>
      </c>
      <c r="G10441" s="67" t="s">
        <v>509</v>
      </c>
      <c r="H10441" s="69">
        <v>-0.4</v>
      </c>
    </row>
    <row r="10442" spans="6:8">
      <c r="F10442" s="68" t="s">
        <v>132</v>
      </c>
      <c r="G10442" s="67" t="s">
        <v>509</v>
      </c>
      <c r="H10442" s="69">
        <v>-0.6</v>
      </c>
    </row>
    <row r="10443" spans="6:8">
      <c r="F10443" s="68" t="s">
        <v>422</v>
      </c>
      <c r="G10443" s="67" t="s">
        <v>509</v>
      </c>
      <c r="H10443" s="69">
        <v>2.3947358364815319</v>
      </c>
    </row>
    <row r="10444" spans="6:8">
      <c r="F10444" s="68" t="s">
        <v>303</v>
      </c>
      <c r="G10444" s="67" t="s">
        <v>509</v>
      </c>
      <c r="H10444" s="69">
        <v>19.09375</v>
      </c>
    </row>
    <row r="10445" spans="6:8">
      <c r="F10445" s="68" t="s">
        <v>255</v>
      </c>
      <c r="G10445" s="67" t="s">
        <v>509</v>
      </c>
      <c r="H10445" s="69">
        <v>0.79</v>
      </c>
    </row>
    <row r="10446" spans="6:8">
      <c r="F10446" s="68" t="s">
        <v>131</v>
      </c>
      <c r="G10446" s="67" t="s">
        <v>509</v>
      </c>
      <c r="H10446" s="69">
        <v>-0.35</v>
      </c>
    </row>
    <row r="10447" spans="6:8">
      <c r="F10447" s="68" t="s">
        <v>130</v>
      </c>
      <c r="G10447" s="67" t="s">
        <v>509</v>
      </c>
      <c r="H10447" s="69">
        <v>-0.65</v>
      </c>
    </row>
    <row r="10448" spans="6:8">
      <c r="F10448" s="68" t="s">
        <v>421</v>
      </c>
      <c r="G10448" s="67" t="s">
        <v>509</v>
      </c>
      <c r="H10448" s="69">
        <v>2.3888162727135676</v>
      </c>
    </row>
    <row r="10449" spans="6:8">
      <c r="F10449" s="68" t="s">
        <v>304</v>
      </c>
      <c r="G10449" s="67" t="s">
        <v>509</v>
      </c>
      <c r="H10449" s="69">
        <v>17.96875</v>
      </c>
    </row>
    <row r="10450" spans="6:8">
      <c r="F10450" s="68" t="s">
        <v>254</v>
      </c>
      <c r="G10450" s="67" t="s">
        <v>509</v>
      </c>
      <c r="H10450" s="69">
        <v>0.6</v>
      </c>
    </row>
    <row r="10451" spans="6:8">
      <c r="F10451" s="68" t="s">
        <v>129</v>
      </c>
      <c r="G10451" s="67" t="s">
        <v>509</v>
      </c>
      <c r="H10451" s="69">
        <v>-0.25</v>
      </c>
    </row>
    <row r="10452" spans="6:8">
      <c r="F10452" s="68" t="s">
        <v>128</v>
      </c>
      <c r="G10452" s="67" t="s">
        <v>509</v>
      </c>
      <c r="H10452" s="69">
        <v>-0.55000000000000004</v>
      </c>
    </row>
    <row r="10453" spans="6:8">
      <c r="F10453" s="68" t="s">
        <v>315</v>
      </c>
      <c r="G10453" s="67" t="s">
        <v>509</v>
      </c>
      <c r="H10453" s="69">
        <v>-0.15</v>
      </c>
    </row>
    <row r="10454" spans="6:8">
      <c r="F10454" s="68" t="s">
        <v>253</v>
      </c>
      <c r="G10454" s="67" t="s">
        <v>509</v>
      </c>
      <c r="H10454" s="69">
        <v>0.44</v>
      </c>
    </row>
    <row r="10455" spans="6:8">
      <c r="F10455" s="68" t="s">
        <v>127</v>
      </c>
      <c r="G10455" s="67" t="s">
        <v>509</v>
      </c>
      <c r="H10455" s="69">
        <v>-0.15</v>
      </c>
    </row>
    <row r="10456" spans="6:8">
      <c r="F10456" s="68" t="s">
        <v>126</v>
      </c>
      <c r="G10456" s="67" t="s">
        <v>509</v>
      </c>
      <c r="H10456" s="69">
        <v>-0.6</v>
      </c>
    </row>
    <row r="10457" spans="6:8">
      <c r="F10457" s="68" t="s">
        <v>125</v>
      </c>
      <c r="G10457" s="67" t="s">
        <v>509</v>
      </c>
      <c r="H10457" s="69">
        <v>-0.3</v>
      </c>
    </row>
    <row r="10458" spans="6:8">
      <c r="F10458" s="68" t="s">
        <v>314</v>
      </c>
      <c r="G10458" s="67" t="s">
        <v>509</v>
      </c>
      <c r="H10458" s="69">
        <v>-0.25</v>
      </c>
    </row>
    <row r="10459" spans="6:8">
      <c r="F10459" s="68" t="s">
        <v>252</v>
      </c>
      <c r="G10459" s="67" t="s">
        <v>509</v>
      </c>
      <c r="H10459" s="69">
        <v>0.31</v>
      </c>
    </row>
    <row r="10460" spans="6:8">
      <c r="F10460" s="68" t="s">
        <v>124</v>
      </c>
      <c r="G10460" s="67" t="s">
        <v>509</v>
      </c>
      <c r="H10460" s="69">
        <v>-0.35</v>
      </c>
    </row>
    <row r="10461" spans="6:8">
      <c r="F10461" s="68" t="s">
        <v>123</v>
      </c>
      <c r="G10461" s="67" t="s">
        <v>509</v>
      </c>
      <c r="H10461" s="69">
        <v>-0.65</v>
      </c>
    </row>
    <row r="10462" spans="6:8">
      <c r="F10462" s="68" t="s">
        <v>122</v>
      </c>
      <c r="G10462" s="67" t="s">
        <v>509</v>
      </c>
      <c r="H10462" s="69">
        <v>-0.5</v>
      </c>
    </row>
    <row r="10463" spans="6:8">
      <c r="F10463" s="68" t="s">
        <v>420</v>
      </c>
      <c r="G10463" s="67" t="s">
        <v>509</v>
      </c>
      <c r="H10463" s="69">
        <v>3.3249162804545929</v>
      </c>
    </row>
    <row r="10464" spans="6:8">
      <c r="F10464" s="68" t="s">
        <v>251</v>
      </c>
      <c r="G10464" s="67" t="s">
        <v>509</v>
      </c>
      <c r="H10464" s="69">
        <v>0.23</v>
      </c>
    </row>
    <row r="10465" spans="6:8">
      <c r="F10465" s="68" t="s">
        <v>121</v>
      </c>
      <c r="G10465" s="67" t="s">
        <v>509</v>
      </c>
      <c r="H10465" s="69">
        <v>-0.5</v>
      </c>
    </row>
    <row r="10466" spans="6:8">
      <c r="F10466" s="68" t="s">
        <v>120</v>
      </c>
      <c r="G10466" s="67" t="s">
        <v>509</v>
      </c>
      <c r="H10466" s="69">
        <v>-0.5</v>
      </c>
    </row>
    <row r="10467" spans="6:8">
      <c r="F10467" s="68" t="s">
        <v>119</v>
      </c>
      <c r="G10467" s="67" t="s">
        <v>509</v>
      </c>
      <c r="H10467" s="69">
        <v>-0.5</v>
      </c>
    </row>
    <row r="10468" spans="6:8">
      <c r="F10468" s="68" t="s">
        <v>119</v>
      </c>
      <c r="G10468" s="67" t="s">
        <v>510</v>
      </c>
      <c r="H10468" s="69">
        <v>-0.45</v>
      </c>
    </row>
    <row r="10469" spans="6:8">
      <c r="F10469" s="68" t="s">
        <v>120</v>
      </c>
      <c r="G10469" s="67" t="s">
        <v>510</v>
      </c>
      <c r="H10469" s="69">
        <v>-0.5</v>
      </c>
    </row>
    <row r="10470" spans="6:8">
      <c r="F10470" s="68" t="s">
        <v>121</v>
      </c>
      <c r="G10470" s="67" t="s">
        <v>510</v>
      </c>
      <c r="H10470" s="69">
        <v>-0.45</v>
      </c>
    </row>
    <row r="10471" spans="6:8">
      <c r="F10471" s="68" t="s">
        <v>251</v>
      </c>
      <c r="G10471" s="67" t="s">
        <v>510</v>
      </c>
      <c r="H10471" s="69">
        <v>0.23</v>
      </c>
    </row>
    <row r="10472" spans="6:8">
      <c r="F10472" s="68" t="s">
        <v>420</v>
      </c>
      <c r="G10472" s="67" t="s">
        <v>510</v>
      </c>
      <c r="H10472" s="69">
        <v>3.3953888640544161</v>
      </c>
    </row>
    <row r="10473" spans="6:8">
      <c r="F10473" s="68" t="s">
        <v>122</v>
      </c>
      <c r="G10473" s="67" t="s">
        <v>510</v>
      </c>
      <c r="H10473" s="69">
        <v>-0.45</v>
      </c>
    </row>
    <row r="10474" spans="6:8">
      <c r="F10474" s="68" t="s">
        <v>123</v>
      </c>
      <c r="G10474" s="67" t="s">
        <v>510</v>
      </c>
      <c r="H10474" s="69">
        <v>-0.65</v>
      </c>
    </row>
    <row r="10475" spans="6:8">
      <c r="F10475" s="68" t="s">
        <v>124</v>
      </c>
      <c r="G10475" s="67" t="s">
        <v>510</v>
      </c>
      <c r="H10475" s="69">
        <v>-0.3</v>
      </c>
    </row>
    <row r="10476" spans="6:8">
      <c r="F10476" s="68" t="s">
        <v>252</v>
      </c>
      <c r="G10476" s="67" t="s">
        <v>510</v>
      </c>
      <c r="H10476" s="69">
        <v>0.32</v>
      </c>
    </row>
    <row r="10477" spans="6:8">
      <c r="F10477" s="68" t="s">
        <v>314</v>
      </c>
      <c r="G10477" s="67" t="s">
        <v>510</v>
      </c>
      <c r="H10477" s="69">
        <v>-0.2</v>
      </c>
    </row>
    <row r="10478" spans="6:8">
      <c r="F10478" s="68" t="s">
        <v>125</v>
      </c>
      <c r="G10478" s="67" t="s">
        <v>510</v>
      </c>
      <c r="H10478" s="69">
        <v>-0.25</v>
      </c>
    </row>
    <row r="10479" spans="6:8">
      <c r="F10479" s="68" t="s">
        <v>126</v>
      </c>
      <c r="G10479" s="67" t="s">
        <v>510</v>
      </c>
      <c r="H10479" s="69">
        <v>-0.6</v>
      </c>
    </row>
    <row r="10480" spans="6:8">
      <c r="F10480" s="68" t="s">
        <v>127</v>
      </c>
      <c r="G10480" s="67" t="s">
        <v>510</v>
      </c>
      <c r="H10480" s="69">
        <v>-0.15</v>
      </c>
    </row>
    <row r="10481" spans="6:8">
      <c r="F10481" s="68" t="s">
        <v>253</v>
      </c>
      <c r="G10481" s="67" t="s">
        <v>510</v>
      </c>
      <c r="H10481" s="69">
        <v>0.45</v>
      </c>
    </row>
    <row r="10482" spans="6:8">
      <c r="F10482" s="68" t="s">
        <v>315</v>
      </c>
      <c r="G10482" s="67" t="s">
        <v>510</v>
      </c>
      <c r="H10482" s="69">
        <v>-0.1</v>
      </c>
    </row>
    <row r="10483" spans="6:8">
      <c r="F10483" s="68" t="s">
        <v>128</v>
      </c>
      <c r="G10483" s="67" t="s">
        <v>510</v>
      </c>
      <c r="H10483" s="69">
        <v>-0.55000000000000004</v>
      </c>
    </row>
    <row r="10484" spans="6:8">
      <c r="F10484" s="68" t="s">
        <v>129</v>
      </c>
      <c r="G10484" s="67" t="s">
        <v>510</v>
      </c>
      <c r="H10484" s="69">
        <v>-0.25</v>
      </c>
    </row>
    <row r="10485" spans="6:8">
      <c r="F10485" s="68" t="s">
        <v>254</v>
      </c>
      <c r="G10485" s="67" t="s">
        <v>510</v>
      </c>
      <c r="H10485" s="69">
        <v>0.61</v>
      </c>
    </row>
    <row r="10486" spans="6:8">
      <c r="F10486" s="68" t="s">
        <v>304</v>
      </c>
      <c r="G10486" s="67" t="s">
        <v>510</v>
      </c>
      <c r="H10486" s="69">
        <v>18.0625</v>
      </c>
    </row>
    <row r="10487" spans="6:8">
      <c r="F10487" s="68" t="s">
        <v>421</v>
      </c>
      <c r="G10487" s="67" t="s">
        <v>510</v>
      </c>
      <c r="H10487" s="69">
        <v>2.4521608924872318</v>
      </c>
    </row>
    <row r="10488" spans="6:8">
      <c r="F10488" s="68" t="s">
        <v>130</v>
      </c>
      <c r="G10488" s="67" t="s">
        <v>510</v>
      </c>
      <c r="H10488" s="69">
        <v>-0.6</v>
      </c>
    </row>
    <row r="10489" spans="6:8">
      <c r="F10489" s="68" t="s">
        <v>131</v>
      </c>
      <c r="G10489" s="67" t="s">
        <v>510</v>
      </c>
      <c r="H10489" s="69">
        <v>-0.35</v>
      </c>
    </row>
    <row r="10490" spans="6:8">
      <c r="F10490" s="68" t="s">
        <v>255</v>
      </c>
      <c r="G10490" s="67" t="s">
        <v>510</v>
      </c>
      <c r="H10490" s="69">
        <v>0.8</v>
      </c>
    </row>
    <row r="10491" spans="6:8">
      <c r="F10491" s="68" t="s">
        <v>303</v>
      </c>
      <c r="G10491" s="67" t="s">
        <v>510</v>
      </c>
      <c r="H10491" s="69">
        <v>19.125</v>
      </c>
    </row>
    <row r="10492" spans="6:8">
      <c r="F10492" s="68" t="s">
        <v>422</v>
      </c>
      <c r="G10492" s="67" t="s">
        <v>510</v>
      </c>
      <c r="H10492" s="69">
        <v>2.4580582644335269</v>
      </c>
    </row>
    <row r="10493" spans="6:8">
      <c r="F10493" s="68" t="s">
        <v>132</v>
      </c>
      <c r="G10493" s="67" t="s">
        <v>510</v>
      </c>
      <c r="H10493" s="69">
        <v>-0.55000000000000004</v>
      </c>
    </row>
    <row r="10494" spans="6:8">
      <c r="F10494" s="68" t="s">
        <v>133</v>
      </c>
      <c r="G10494" s="67" t="s">
        <v>510</v>
      </c>
      <c r="H10494" s="69">
        <v>-0.4</v>
      </c>
    </row>
    <row r="10495" spans="6:8">
      <c r="F10495" s="68" t="s">
        <v>256</v>
      </c>
      <c r="G10495" s="67" t="s">
        <v>510</v>
      </c>
      <c r="H10495" s="69">
        <v>0.96</v>
      </c>
    </row>
    <row r="10496" spans="6:8">
      <c r="F10496" s="68" t="s">
        <v>423</v>
      </c>
      <c r="G10496" s="67" t="s">
        <v>510</v>
      </c>
      <c r="H10496" s="69">
        <v>2.4771062331677918</v>
      </c>
    </row>
    <row r="10497" spans="6:8">
      <c r="F10497" s="68" t="s">
        <v>134</v>
      </c>
      <c r="G10497" s="67" t="s">
        <v>510</v>
      </c>
      <c r="H10497" s="69">
        <v>-0.55000000000000004</v>
      </c>
    </row>
    <row r="10498" spans="6:8">
      <c r="F10498" s="68" t="s">
        <v>135</v>
      </c>
      <c r="G10498" s="67" t="s">
        <v>510</v>
      </c>
      <c r="H10498" s="69">
        <v>-0.4</v>
      </c>
    </row>
    <row r="10499" spans="6:8">
      <c r="F10499" s="68" t="s">
        <v>257</v>
      </c>
      <c r="G10499" s="67" t="s">
        <v>510</v>
      </c>
      <c r="H10499" s="69">
        <v>1.04</v>
      </c>
    </row>
    <row r="10500" spans="6:8">
      <c r="F10500" s="68" t="s">
        <v>258</v>
      </c>
      <c r="G10500" s="67" t="s">
        <v>510</v>
      </c>
      <c r="H10500" s="69">
        <v>0.14000000000000001</v>
      </c>
    </row>
    <row r="10501" spans="6:8">
      <c r="F10501" s="68" t="s">
        <v>424</v>
      </c>
      <c r="G10501" s="67" t="s">
        <v>510</v>
      </c>
      <c r="H10501" s="69">
        <v>3.2527639127756025</v>
      </c>
    </row>
    <row r="10502" spans="6:8">
      <c r="F10502" s="68" t="s">
        <v>136</v>
      </c>
      <c r="G10502" s="67" t="s">
        <v>510</v>
      </c>
      <c r="H10502" s="69">
        <v>-0.5</v>
      </c>
    </row>
    <row r="10503" spans="6:8">
      <c r="F10503" s="68" t="s">
        <v>137</v>
      </c>
      <c r="G10503" s="67" t="s">
        <v>510</v>
      </c>
      <c r="H10503" s="69">
        <v>-0.5</v>
      </c>
    </row>
    <row r="10504" spans="6:8">
      <c r="F10504" s="68" t="s">
        <v>138</v>
      </c>
      <c r="G10504" s="67" t="s">
        <v>510</v>
      </c>
      <c r="H10504" s="69">
        <v>-0.5</v>
      </c>
    </row>
    <row r="10505" spans="6:8">
      <c r="F10505" s="68" t="s">
        <v>259</v>
      </c>
      <c r="G10505" s="67" t="s">
        <v>510</v>
      </c>
      <c r="H10505" s="69">
        <v>0.17</v>
      </c>
    </row>
    <row r="10506" spans="6:8">
      <c r="F10506" s="68" t="s">
        <v>425</v>
      </c>
      <c r="G10506" s="67" t="s">
        <v>510</v>
      </c>
      <c r="H10506" s="69">
        <v>3.2660788181132272</v>
      </c>
    </row>
    <row r="10507" spans="6:8">
      <c r="F10507" s="68" t="s">
        <v>425</v>
      </c>
      <c r="G10507" s="67" t="s">
        <v>511</v>
      </c>
      <c r="H10507" s="69">
        <v>3.2609142054851326</v>
      </c>
    </row>
    <row r="10508" spans="6:8">
      <c r="F10508" s="68" t="s">
        <v>259</v>
      </c>
      <c r="G10508" s="67" t="s">
        <v>511</v>
      </c>
      <c r="H10508" s="69">
        <v>0.17</v>
      </c>
    </row>
    <row r="10509" spans="6:8">
      <c r="F10509" s="68" t="s">
        <v>138</v>
      </c>
      <c r="G10509" s="67" t="s">
        <v>511</v>
      </c>
      <c r="H10509" s="69">
        <v>-0.5</v>
      </c>
    </row>
    <row r="10510" spans="6:8">
      <c r="F10510" s="68" t="s">
        <v>137</v>
      </c>
      <c r="G10510" s="67" t="s">
        <v>511</v>
      </c>
      <c r="H10510" s="69">
        <v>-0.5</v>
      </c>
    </row>
    <row r="10511" spans="6:8">
      <c r="F10511" s="68" t="s">
        <v>136</v>
      </c>
      <c r="G10511" s="67" t="s">
        <v>511</v>
      </c>
      <c r="H10511" s="69">
        <v>-0.5</v>
      </c>
    </row>
    <row r="10512" spans="6:8">
      <c r="F10512" s="68" t="s">
        <v>424</v>
      </c>
      <c r="G10512" s="67" t="s">
        <v>511</v>
      </c>
      <c r="H10512" s="69">
        <v>3.2467547968886734</v>
      </c>
    </row>
    <row r="10513" spans="6:8">
      <c r="F10513" s="68" t="s">
        <v>258</v>
      </c>
      <c r="G10513" s="67" t="s">
        <v>511</v>
      </c>
      <c r="H10513" s="69">
        <v>0.14000000000000001</v>
      </c>
    </row>
    <row r="10514" spans="6:8">
      <c r="F10514" s="68" t="s">
        <v>257</v>
      </c>
      <c r="G10514" s="67" t="s">
        <v>511</v>
      </c>
      <c r="H10514" s="69">
        <v>1.04</v>
      </c>
    </row>
    <row r="10515" spans="6:8">
      <c r="F10515" s="68" t="s">
        <v>135</v>
      </c>
      <c r="G10515" s="67" t="s">
        <v>511</v>
      </c>
      <c r="H10515" s="69">
        <v>-0.4</v>
      </c>
    </row>
    <row r="10516" spans="6:8">
      <c r="F10516" s="68" t="s">
        <v>134</v>
      </c>
      <c r="G10516" s="67" t="s">
        <v>511</v>
      </c>
      <c r="H10516" s="69">
        <v>-0.55000000000000004</v>
      </c>
    </row>
    <row r="10517" spans="6:8">
      <c r="F10517" s="68" t="s">
        <v>423</v>
      </c>
      <c r="G10517" s="67" t="s">
        <v>511</v>
      </c>
      <c r="H10517" s="69">
        <v>2.4652268280691558</v>
      </c>
    </row>
    <row r="10518" spans="6:8">
      <c r="F10518" s="68" t="s">
        <v>256</v>
      </c>
      <c r="G10518" s="67" t="s">
        <v>511</v>
      </c>
      <c r="H10518" s="69">
        <v>0.96</v>
      </c>
    </row>
    <row r="10519" spans="6:8">
      <c r="F10519" s="68" t="s">
        <v>133</v>
      </c>
      <c r="G10519" s="67" t="s">
        <v>511</v>
      </c>
      <c r="H10519" s="69">
        <v>-0.4</v>
      </c>
    </row>
    <row r="10520" spans="6:8">
      <c r="F10520" s="68" t="s">
        <v>132</v>
      </c>
      <c r="G10520" s="67" t="s">
        <v>511</v>
      </c>
      <c r="H10520" s="69">
        <v>-0.55000000000000004</v>
      </c>
    </row>
    <row r="10521" spans="6:8">
      <c r="F10521" s="68" t="s">
        <v>422</v>
      </c>
      <c r="G10521" s="67" t="s">
        <v>511</v>
      </c>
      <c r="H10521" s="69">
        <v>2.4459158922423452</v>
      </c>
    </row>
    <row r="10522" spans="6:8">
      <c r="F10522" s="68" t="s">
        <v>303</v>
      </c>
      <c r="G10522" s="67" t="s">
        <v>511</v>
      </c>
      <c r="H10522" s="69">
        <v>18.5625</v>
      </c>
    </row>
    <row r="10523" spans="6:8">
      <c r="F10523" s="68" t="s">
        <v>255</v>
      </c>
      <c r="G10523" s="67" t="s">
        <v>511</v>
      </c>
      <c r="H10523" s="69">
        <v>0.8</v>
      </c>
    </row>
    <row r="10524" spans="6:8">
      <c r="F10524" s="68" t="s">
        <v>131</v>
      </c>
      <c r="G10524" s="67" t="s">
        <v>511</v>
      </c>
      <c r="H10524" s="69">
        <v>-0.35</v>
      </c>
    </row>
    <row r="10525" spans="6:8">
      <c r="F10525" s="68" t="s">
        <v>130</v>
      </c>
      <c r="G10525" s="67" t="s">
        <v>511</v>
      </c>
      <c r="H10525" s="69">
        <v>-0.6</v>
      </c>
    </row>
    <row r="10526" spans="6:8">
      <c r="F10526" s="68" t="s">
        <v>421</v>
      </c>
      <c r="G10526" s="67" t="s">
        <v>511</v>
      </c>
      <c r="H10526" s="69">
        <v>2.4399353781984878</v>
      </c>
    </row>
    <row r="10527" spans="6:8">
      <c r="F10527" s="68" t="s">
        <v>304</v>
      </c>
      <c r="G10527" s="67" t="s">
        <v>511</v>
      </c>
      <c r="H10527" s="69">
        <v>17.125</v>
      </c>
    </row>
    <row r="10528" spans="6:8">
      <c r="F10528" s="68" t="s">
        <v>254</v>
      </c>
      <c r="G10528" s="67" t="s">
        <v>511</v>
      </c>
      <c r="H10528" s="69">
        <v>0.61</v>
      </c>
    </row>
    <row r="10529" spans="6:8">
      <c r="F10529" s="68" t="s">
        <v>129</v>
      </c>
      <c r="G10529" s="67" t="s">
        <v>511</v>
      </c>
      <c r="H10529" s="69">
        <v>-0.25</v>
      </c>
    </row>
    <row r="10530" spans="6:8">
      <c r="F10530" s="68" t="s">
        <v>128</v>
      </c>
      <c r="G10530" s="67" t="s">
        <v>511</v>
      </c>
      <c r="H10530" s="69">
        <v>-0.55000000000000004</v>
      </c>
    </row>
    <row r="10531" spans="6:8">
      <c r="F10531" s="68" t="s">
        <v>315</v>
      </c>
      <c r="G10531" s="67" t="s">
        <v>511</v>
      </c>
      <c r="H10531" s="69">
        <v>-0.1</v>
      </c>
    </row>
    <row r="10532" spans="6:8">
      <c r="F10532" s="68" t="s">
        <v>253</v>
      </c>
      <c r="G10532" s="67" t="s">
        <v>511</v>
      </c>
      <c r="H10532" s="69">
        <v>0.45</v>
      </c>
    </row>
    <row r="10533" spans="6:8">
      <c r="F10533" s="68" t="s">
        <v>127</v>
      </c>
      <c r="G10533" s="67" t="s">
        <v>511</v>
      </c>
      <c r="H10533" s="69">
        <v>-0.15</v>
      </c>
    </row>
    <row r="10534" spans="6:8">
      <c r="F10534" s="68" t="s">
        <v>126</v>
      </c>
      <c r="G10534" s="67" t="s">
        <v>511</v>
      </c>
      <c r="H10534" s="69">
        <v>-0.6</v>
      </c>
    </row>
    <row r="10535" spans="6:8">
      <c r="F10535" s="68" t="s">
        <v>125</v>
      </c>
      <c r="G10535" s="67" t="s">
        <v>511</v>
      </c>
      <c r="H10535" s="69">
        <v>-0.25</v>
      </c>
    </row>
    <row r="10536" spans="6:8">
      <c r="F10536" s="68" t="s">
        <v>314</v>
      </c>
      <c r="G10536" s="67" t="s">
        <v>511</v>
      </c>
      <c r="H10536" s="69">
        <v>-0.2</v>
      </c>
    </row>
    <row r="10537" spans="6:8">
      <c r="F10537" s="68" t="s">
        <v>252</v>
      </c>
      <c r="G10537" s="67" t="s">
        <v>511</v>
      </c>
      <c r="H10537" s="69">
        <v>0.32</v>
      </c>
    </row>
    <row r="10538" spans="6:8">
      <c r="F10538" s="68" t="s">
        <v>124</v>
      </c>
      <c r="G10538" s="67" t="s">
        <v>511</v>
      </c>
      <c r="H10538" s="69">
        <v>-0.3</v>
      </c>
    </row>
    <row r="10539" spans="6:8">
      <c r="F10539" s="68" t="s">
        <v>123</v>
      </c>
      <c r="G10539" s="67" t="s">
        <v>511</v>
      </c>
      <c r="H10539" s="69">
        <v>-0.65</v>
      </c>
    </row>
    <row r="10540" spans="6:8">
      <c r="F10540" s="68" t="s">
        <v>122</v>
      </c>
      <c r="G10540" s="67" t="s">
        <v>511</v>
      </c>
      <c r="H10540" s="69">
        <v>-0.45</v>
      </c>
    </row>
    <row r="10541" spans="6:8">
      <c r="F10541" s="68" t="s">
        <v>420</v>
      </c>
      <c r="G10541" s="67" t="s">
        <v>511</v>
      </c>
      <c r="H10541" s="69">
        <v>3.3902241574747194</v>
      </c>
    </row>
    <row r="10542" spans="6:8">
      <c r="F10542" s="68" t="s">
        <v>251</v>
      </c>
      <c r="G10542" s="67" t="s">
        <v>511</v>
      </c>
      <c r="H10542" s="69">
        <v>0.23</v>
      </c>
    </row>
    <row r="10543" spans="6:8">
      <c r="F10543" s="68" t="s">
        <v>121</v>
      </c>
      <c r="G10543" s="67" t="s">
        <v>511</v>
      </c>
      <c r="H10543" s="69">
        <v>-0.45</v>
      </c>
    </row>
    <row r="10544" spans="6:8">
      <c r="F10544" s="68" t="s">
        <v>120</v>
      </c>
      <c r="G10544" s="67" t="s">
        <v>511</v>
      </c>
      <c r="H10544" s="69">
        <v>-0.5</v>
      </c>
    </row>
    <row r="10545" spans="6:8">
      <c r="F10545" s="68" t="s">
        <v>119</v>
      </c>
      <c r="G10545" s="67" t="s">
        <v>511</v>
      </c>
      <c r="H10545" s="69">
        <v>-0.45</v>
      </c>
    </row>
    <row r="10546" spans="6:8">
      <c r="F10546" s="68" t="s">
        <v>119</v>
      </c>
      <c r="G10546" s="67" t="s">
        <v>512</v>
      </c>
      <c r="H10546" s="69">
        <v>-0.45</v>
      </c>
    </row>
    <row r="10547" spans="6:8">
      <c r="F10547" s="68" t="s">
        <v>120</v>
      </c>
      <c r="G10547" s="67" t="s">
        <v>512</v>
      </c>
      <c r="H10547" s="69">
        <v>-0.5</v>
      </c>
    </row>
    <row r="10548" spans="6:8">
      <c r="F10548" s="68" t="s">
        <v>121</v>
      </c>
      <c r="G10548" s="67" t="s">
        <v>512</v>
      </c>
      <c r="H10548" s="69">
        <v>-0.45</v>
      </c>
    </row>
    <row r="10549" spans="6:8">
      <c r="F10549" s="68" t="s">
        <v>251</v>
      </c>
      <c r="G10549" s="67" t="s">
        <v>512</v>
      </c>
      <c r="H10549" s="69">
        <v>0.23</v>
      </c>
    </row>
    <row r="10550" spans="6:8">
      <c r="F10550" s="68" t="s">
        <v>420</v>
      </c>
      <c r="G10550" s="67" t="s">
        <v>512</v>
      </c>
      <c r="H10550" s="69">
        <v>3.3765717476056167</v>
      </c>
    </row>
    <row r="10551" spans="6:8">
      <c r="F10551" s="68" t="s">
        <v>122</v>
      </c>
      <c r="G10551" s="67" t="s">
        <v>512</v>
      </c>
      <c r="H10551" s="69">
        <v>-0.45</v>
      </c>
    </row>
    <row r="10552" spans="6:8">
      <c r="F10552" s="68" t="s">
        <v>123</v>
      </c>
      <c r="G10552" s="67" t="s">
        <v>512</v>
      </c>
      <c r="H10552" s="69">
        <v>-0.65</v>
      </c>
    </row>
    <row r="10553" spans="6:8">
      <c r="F10553" s="68" t="s">
        <v>124</v>
      </c>
      <c r="G10553" s="67" t="s">
        <v>512</v>
      </c>
      <c r="H10553" s="69">
        <v>-0.3</v>
      </c>
    </row>
    <row r="10554" spans="6:8">
      <c r="F10554" s="68" t="s">
        <v>252</v>
      </c>
      <c r="G10554" s="67" t="s">
        <v>512</v>
      </c>
      <c r="H10554" s="69">
        <v>0.32</v>
      </c>
    </row>
    <row r="10555" spans="6:8">
      <c r="F10555" s="68" t="s">
        <v>314</v>
      </c>
      <c r="G10555" s="67" t="s">
        <v>512</v>
      </c>
      <c r="H10555" s="69">
        <v>-0.2</v>
      </c>
    </row>
    <row r="10556" spans="6:8">
      <c r="F10556" s="68" t="s">
        <v>125</v>
      </c>
      <c r="G10556" s="67" t="s">
        <v>512</v>
      </c>
      <c r="H10556" s="69">
        <v>-0.25</v>
      </c>
    </row>
    <row r="10557" spans="6:8">
      <c r="F10557" s="68" t="s">
        <v>126</v>
      </c>
      <c r="G10557" s="67" t="s">
        <v>512</v>
      </c>
      <c r="H10557" s="69">
        <v>-0.6</v>
      </c>
    </row>
    <row r="10558" spans="6:8">
      <c r="F10558" s="68" t="s">
        <v>127</v>
      </c>
      <c r="G10558" s="67" t="s">
        <v>512</v>
      </c>
      <c r="H10558" s="69">
        <v>-0.15</v>
      </c>
    </row>
    <row r="10559" spans="6:8">
      <c r="F10559" s="68" t="s">
        <v>253</v>
      </c>
      <c r="G10559" s="67" t="s">
        <v>512</v>
      </c>
      <c r="H10559" s="69">
        <v>0.45</v>
      </c>
    </row>
    <row r="10560" spans="6:8">
      <c r="F10560" s="68" t="s">
        <v>315</v>
      </c>
      <c r="G10560" s="67" t="s">
        <v>512</v>
      </c>
      <c r="H10560" s="69">
        <v>-0.1</v>
      </c>
    </row>
    <row r="10561" spans="6:8">
      <c r="F10561" s="68" t="s">
        <v>128</v>
      </c>
      <c r="G10561" s="67" t="s">
        <v>512</v>
      </c>
      <c r="H10561" s="69">
        <v>-0.55000000000000004</v>
      </c>
    </row>
    <row r="10562" spans="6:8">
      <c r="F10562" s="68" t="s">
        <v>129</v>
      </c>
      <c r="G10562" s="67" t="s">
        <v>512</v>
      </c>
      <c r="H10562" s="69">
        <v>-0.25</v>
      </c>
    </row>
    <row r="10563" spans="6:8">
      <c r="F10563" s="68" t="s">
        <v>254</v>
      </c>
      <c r="G10563" s="67" t="s">
        <v>512</v>
      </c>
      <c r="H10563" s="69">
        <v>0.61</v>
      </c>
    </row>
    <row r="10564" spans="6:8">
      <c r="F10564" s="68" t="s">
        <v>304</v>
      </c>
      <c r="G10564" s="67" t="s">
        <v>512</v>
      </c>
      <c r="H10564" s="69">
        <v>16.987500000000001</v>
      </c>
    </row>
    <row r="10565" spans="6:8">
      <c r="F10565" s="68" t="s">
        <v>421</v>
      </c>
      <c r="G10565" s="67" t="s">
        <v>512</v>
      </c>
      <c r="H10565" s="69">
        <v>2.4236662300300083</v>
      </c>
    </row>
    <row r="10566" spans="6:8">
      <c r="F10566" s="68" t="s">
        <v>130</v>
      </c>
      <c r="G10566" s="67" t="s">
        <v>512</v>
      </c>
      <c r="H10566" s="69">
        <v>-0.6</v>
      </c>
    </row>
    <row r="10567" spans="6:8">
      <c r="F10567" s="68" t="s">
        <v>131</v>
      </c>
      <c r="G10567" s="67" t="s">
        <v>512</v>
      </c>
      <c r="H10567" s="69">
        <v>-0.35</v>
      </c>
    </row>
    <row r="10568" spans="6:8">
      <c r="F10568" s="68" t="s">
        <v>255</v>
      </c>
      <c r="G10568" s="67" t="s">
        <v>512</v>
      </c>
      <c r="H10568" s="69">
        <v>0.8</v>
      </c>
    </row>
    <row r="10569" spans="6:8">
      <c r="F10569" s="68" t="s">
        <v>303</v>
      </c>
      <c r="G10569" s="67" t="s">
        <v>512</v>
      </c>
      <c r="H10569" s="69">
        <v>18.1875</v>
      </c>
    </row>
    <row r="10570" spans="6:8">
      <c r="F10570" s="68" t="s">
        <v>422</v>
      </c>
      <c r="G10570" s="67" t="s">
        <v>512</v>
      </c>
      <c r="H10570" s="69">
        <v>2.4297742475493767</v>
      </c>
    </row>
    <row r="10571" spans="6:8">
      <c r="F10571" s="68" t="s">
        <v>132</v>
      </c>
      <c r="G10571" s="67" t="s">
        <v>512</v>
      </c>
      <c r="H10571" s="69">
        <v>-0.55000000000000004</v>
      </c>
    </row>
    <row r="10572" spans="6:8">
      <c r="F10572" s="68" t="s">
        <v>133</v>
      </c>
      <c r="G10572" s="67" t="s">
        <v>512</v>
      </c>
      <c r="H10572" s="69">
        <v>-0.4</v>
      </c>
    </row>
    <row r="10573" spans="6:8">
      <c r="F10573" s="68" t="s">
        <v>256</v>
      </c>
      <c r="G10573" s="67" t="s">
        <v>512</v>
      </c>
      <c r="H10573" s="69">
        <v>0.96</v>
      </c>
    </row>
    <row r="10574" spans="6:8">
      <c r="F10574" s="68" t="s">
        <v>423</v>
      </c>
      <c r="G10574" s="67" t="s">
        <v>512</v>
      </c>
      <c r="H10574" s="69">
        <v>2.4525272819103883</v>
      </c>
    </row>
    <row r="10575" spans="6:8">
      <c r="F10575" s="68" t="s">
        <v>134</v>
      </c>
      <c r="G10575" s="67" t="s">
        <v>512</v>
      </c>
      <c r="H10575" s="69">
        <v>-0.55000000000000004</v>
      </c>
    </row>
    <row r="10576" spans="6:8">
      <c r="F10576" s="68" t="s">
        <v>135</v>
      </c>
      <c r="G10576" s="67" t="s">
        <v>512</v>
      </c>
      <c r="H10576" s="69">
        <v>-0.4</v>
      </c>
    </row>
    <row r="10577" spans="6:8">
      <c r="F10577" s="68" t="s">
        <v>257</v>
      </c>
      <c r="G10577" s="67" t="s">
        <v>512</v>
      </c>
      <c r="H10577" s="69">
        <v>1.04</v>
      </c>
    </row>
    <row r="10578" spans="6:8">
      <c r="F10578" s="68" t="s">
        <v>258</v>
      </c>
      <c r="G10578" s="67" t="s">
        <v>512</v>
      </c>
      <c r="H10578" s="69">
        <v>0.14000000000000001</v>
      </c>
    </row>
    <row r="10579" spans="6:8">
      <c r="F10579" s="68" t="s">
        <v>424</v>
      </c>
      <c r="G10579" s="67" t="s">
        <v>512</v>
      </c>
      <c r="H10579" s="69">
        <v>3.2339716334009339</v>
      </c>
    </row>
    <row r="10580" spans="6:8">
      <c r="F10580" s="68" t="s">
        <v>136</v>
      </c>
      <c r="G10580" s="67" t="s">
        <v>512</v>
      </c>
      <c r="H10580" s="69">
        <v>-0.5</v>
      </c>
    </row>
    <row r="10581" spans="6:8">
      <c r="F10581" s="68" t="s">
        <v>137</v>
      </c>
      <c r="G10581" s="67" t="s">
        <v>512</v>
      </c>
      <c r="H10581" s="69">
        <v>-0.5</v>
      </c>
    </row>
    <row r="10582" spans="6:8">
      <c r="F10582" s="68" t="s">
        <v>138</v>
      </c>
      <c r="G10582" s="67" t="s">
        <v>512</v>
      </c>
      <c r="H10582" s="69">
        <v>-0.5</v>
      </c>
    </row>
    <row r="10583" spans="6:8">
      <c r="F10583" s="68" t="s">
        <v>259</v>
      </c>
      <c r="G10583" s="67" t="s">
        <v>512</v>
      </c>
      <c r="H10583" s="69">
        <v>0.17</v>
      </c>
    </row>
    <row r="10584" spans="6:8">
      <c r="F10584" s="68" t="s">
        <v>425</v>
      </c>
      <c r="G10584" s="67" t="s">
        <v>512</v>
      </c>
      <c r="H10584" s="69">
        <v>3.2465582755493827</v>
      </c>
    </row>
    <row r="10585" spans="6:8">
      <c r="F10585" s="68" t="s">
        <v>425</v>
      </c>
      <c r="G10585" s="67" t="s">
        <v>513</v>
      </c>
      <c r="H10585" s="69">
        <v>3.2459544807934559</v>
      </c>
    </row>
    <row r="10586" spans="6:8">
      <c r="F10586" s="68" t="s">
        <v>259</v>
      </c>
      <c r="G10586" s="67" t="s">
        <v>513</v>
      </c>
      <c r="H10586" s="69">
        <v>0.17</v>
      </c>
    </row>
    <row r="10587" spans="6:8">
      <c r="F10587" s="68" t="s">
        <v>138</v>
      </c>
      <c r="G10587" s="67" t="s">
        <v>513</v>
      </c>
      <c r="H10587" s="69">
        <v>-0.5</v>
      </c>
    </row>
    <row r="10588" spans="6:8">
      <c r="F10588" s="68" t="s">
        <v>137</v>
      </c>
      <c r="G10588" s="67" t="s">
        <v>513</v>
      </c>
      <c r="H10588" s="69">
        <v>-0.5</v>
      </c>
    </row>
    <row r="10589" spans="6:8">
      <c r="F10589" s="68" t="s">
        <v>136</v>
      </c>
      <c r="G10589" s="67" t="s">
        <v>513</v>
      </c>
      <c r="H10589" s="69">
        <v>-0.5</v>
      </c>
    </row>
    <row r="10590" spans="6:8">
      <c r="F10590" s="68" t="s">
        <v>424</v>
      </c>
      <c r="G10590" s="67" t="s">
        <v>513</v>
      </c>
      <c r="H10590" s="69">
        <v>3.2367495798446999</v>
      </c>
    </row>
    <row r="10591" spans="6:8">
      <c r="F10591" s="68" t="s">
        <v>258</v>
      </c>
      <c r="G10591" s="67" t="s">
        <v>513</v>
      </c>
      <c r="H10591" s="69">
        <v>0.14000000000000001</v>
      </c>
    </row>
    <row r="10592" spans="6:8">
      <c r="F10592" s="68" t="s">
        <v>257</v>
      </c>
      <c r="G10592" s="67" t="s">
        <v>513</v>
      </c>
      <c r="H10592" s="69">
        <v>1.04</v>
      </c>
    </row>
    <row r="10593" spans="6:8">
      <c r="F10593" s="68" t="s">
        <v>135</v>
      </c>
      <c r="G10593" s="67" t="s">
        <v>513</v>
      </c>
      <c r="H10593" s="69">
        <v>-0.4</v>
      </c>
    </row>
    <row r="10594" spans="6:8">
      <c r="F10594" s="68" t="s">
        <v>134</v>
      </c>
      <c r="G10594" s="67" t="s">
        <v>513</v>
      </c>
      <c r="H10594" s="69">
        <v>-0.55000000000000004</v>
      </c>
    </row>
    <row r="10595" spans="6:8">
      <c r="F10595" s="68" t="s">
        <v>423</v>
      </c>
      <c r="G10595" s="67" t="s">
        <v>513</v>
      </c>
      <c r="H10595" s="69">
        <v>2.4544345824018876</v>
      </c>
    </row>
    <row r="10596" spans="6:8">
      <c r="F10596" s="68" t="s">
        <v>256</v>
      </c>
      <c r="G10596" s="67" t="s">
        <v>513</v>
      </c>
      <c r="H10596" s="69">
        <v>0.96</v>
      </c>
    </row>
    <row r="10597" spans="6:8">
      <c r="F10597" s="68" t="s">
        <v>133</v>
      </c>
      <c r="G10597" s="67" t="s">
        <v>513</v>
      </c>
      <c r="H10597" s="69">
        <v>-0.4</v>
      </c>
    </row>
    <row r="10598" spans="6:8">
      <c r="F10598" s="68" t="s">
        <v>132</v>
      </c>
      <c r="G10598" s="67" t="s">
        <v>513</v>
      </c>
      <c r="H10598" s="69">
        <v>-0.55000000000000004</v>
      </c>
    </row>
    <row r="10599" spans="6:8">
      <c r="F10599" s="68" t="s">
        <v>422</v>
      </c>
      <c r="G10599" s="67" t="s">
        <v>513</v>
      </c>
      <c r="H10599" s="69">
        <v>2.4382175764006142</v>
      </c>
    </row>
    <row r="10600" spans="6:8">
      <c r="F10600" s="68" t="s">
        <v>303</v>
      </c>
      <c r="G10600" s="67" t="s">
        <v>513</v>
      </c>
      <c r="H10600" s="69">
        <v>18.03125</v>
      </c>
    </row>
    <row r="10601" spans="6:8">
      <c r="F10601" s="68" t="s">
        <v>255</v>
      </c>
      <c r="G10601" s="67" t="s">
        <v>513</v>
      </c>
      <c r="H10601" s="69">
        <v>0.8</v>
      </c>
    </row>
    <row r="10602" spans="6:8">
      <c r="F10602" s="68" t="s">
        <v>131</v>
      </c>
      <c r="G10602" s="67" t="s">
        <v>513</v>
      </c>
      <c r="H10602" s="69">
        <v>-0.35</v>
      </c>
    </row>
    <row r="10603" spans="6:8">
      <c r="F10603" s="68" t="s">
        <v>130</v>
      </c>
      <c r="G10603" s="67" t="s">
        <v>513</v>
      </c>
      <c r="H10603" s="69">
        <v>-0.6</v>
      </c>
    </row>
    <row r="10604" spans="6:8">
      <c r="F10604" s="68" t="s">
        <v>421</v>
      </c>
      <c r="G10604" s="67" t="s">
        <v>513</v>
      </c>
      <c r="H10604" s="69">
        <v>2.4327083212885015</v>
      </c>
    </row>
    <row r="10605" spans="6:8">
      <c r="F10605" s="68" t="s">
        <v>304</v>
      </c>
      <c r="G10605" s="67" t="s">
        <v>513</v>
      </c>
      <c r="H10605" s="69">
        <v>16.90625</v>
      </c>
    </row>
    <row r="10606" spans="6:8">
      <c r="F10606" s="68" t="s">
        <v>254</v>
      </c>
      <c r="G10606" s="67" t="s">
        <v>513</v>
      </c>
      <c r="H10606" s="69">
        <v>0.61</v>
      </c>
    </row>
    <row r="10607" spans="6:8">
      <c r="F10607" s="68" t="s">
        <v>129</v>
      </c>
      <c r="G10607" s="67" t="s">
        <v>513</v>
      </c>
      <c r="H10607" s="69">
        <v>-0.25</v>
      </c>
    </row>
    <row r="10608" spans="6:8">
      <c r="F10608" s="68" t="s">
        <v>128</v>
      </c>
      <c r="G10608" s="67" t="s">
        <v>513</v>
      </c>
      <c r="H10608" s="69">
        <v>-0.55000000000000004</v>
      </c>
    </row>
    <row r="10609" spans="6:8">
      <c r="F10609" s="68" t="s">
        <v>315</v>
      </c>
      <c r="G10609" s="67" t="s">
        <v>513</v>
      </c>
      <c r="H10609" s="69">
        <v>-0.1</v>
      </c>
    </row>
    <row r="10610" spans="6:8">
      <c r="F10610" s="68" t="s">
        <v>253</v>
      </c>
      <c r="G10610" s="67" t="s">
        <v>513</v>
      </c>
      <c r="H10610" s="69">
        <v>0.45</v>
      </c>
    </row>
    <row r="10611" spans="6:8">
      <c r="F10611" s="68" t="s">
        <v>127</v>
      </c>
      <c r="G10611" s="67" t="s">
        <v>513</v>
      </c>
      <c r="H10611" s="69">
        <v>-0.15</v>
      </c>
    </row>
    <row r="10612" spans="6:8">
      <c r="F10612" s="68" t="s">
        <v>126</v>
      </c>
      <c r="G10612" s="67" t="s">
        <v>513</v>
      </c>
      <c r="H10612" s="69">
        <v>-0.6</v>
      </c>
    </row>
    <row r="10613" spans="6:8">
      <c r="F10613" s="68" t="s">
        <v>125</v>
      </c>
      <c r="G10613" s="67" t="s">
        <v>513</v>
      </c>
      <c r="H10613" s="69">
        <v>-0.25</v>
      </c>
    </row>
    <row r="10614" spans="6:8">
      <c r="F10614" s="68" t="s">
        <v>314</v>
      </c>
      <c r="G10614" s="67" t="s">
        <v>513</v>
      </c>
      <c r="H10614" s="69">
        <v>-0.2</v>
      </c>
    </row>
    <row r="10615" spans="6:8">
      <c r="F10615" s="68" t="s">
        <v>252</v>
      </c>
      <c r="G10615" s="67" t="s">
        <v>513</v>
      </c>
      <c r="H10615" s="69">
        <v>0.32</v>
      </c>
    </row>
    <row r="10616" spans="6:8">
      <c r="F10616" s="68" t="s">
        <v>124</v>
      </c>
      <c r="G10616" s="67" t="s">
        <v>513</v>
      </c>
      <c r="H10616" s="69">
        <v>-0.3</v>
      </c>
    </row>
    <row r="10617" spans="6:8">
      <c r="F10617" s="68" t="s">
        <v>123</v>
      </c>
      <c r="G10617" s="67" t="s">
        <v>513</v>
      </c>
      <c r="H10617" s="69">
        <v>-0.65</v>
      </c>
    </row>
    <row r="10618" spans="6:8">
      <c r="F10618" s="68" t="s">
        <v>122</v>
      </c>
      <c r="G10618" s="67" t="s">
        <v>513</v>
      </c>
      <c r="H10618" s="69">
        <v>-0.45</v>
      </c>
    </row>
    <row r="10619" spans="6:8">
      <c r="F10619" s="68" t="s">
        <v>420</v>
      </c>
      <c r="G10619" s="67" t="s">
        <v>513</v>
      </c>
      <c r="H10619" s="69">
        <v>3.378602467316405</v>
      </c>
    </row>
    <row r="10620" spans="6:8">
      <c r="F10620" s="68" t="s">
        <v>251</v>
      </c>
      <c r="G10620" s="67" t="s">
        <v>513</v>
      </c>
      <c r="H10620" s="69">
        <v>0.23</v>
      </c>
    </row>
    <row r="10621" spans="6:8">
      <c r="F10621" s="68" t="s">
        <v>121</v>
      </c>
      <c r="G10621" s="67" t="s">
        <v>513</v>
      </c>
      <c r="H10621" s="69">
        <v>-0.45</v>
      </c>
    </row>
    <row r="10622" spans="6:8">
      <c r="F10622" s="68" t="s">
        <v>120</v>
      </c>
      <c r="G10622" s="67" t="s">
        <v>513</v>
      </c>
      <c r="H10622" s="69">
        <v>-0.5</v>
      </c>
    </row>
    <row r="10623" spans="6:8">
      <c r="F10623" s="68" t="s">
        <v>119</v>
      </c>
      <c r="G10623" s="67" t="s">
        <v>513</v>
      </c>
      <c r="H10623" s="69">
        <v>-0.45</v>
      </c>
    </row>
    <row r="10624" spans="6:8">
      <c r="F10624" s="68" t="s">
        <v>119</v>
      </c>
      <c r="G10624" s="67" t="s">
        <v>514</v>
      </c>
      <c r="H10624" s="69">
        <v>-0.45</v>
      </c>
    </row>
    <row r="10625" spans="6:8">
      <c r="F10625" s="68" t="s">
        <v>120</v>
      </c>
      <c r="G10625" s="67" t="s">
        <v>514</v>
      </c>
      <c r="H10625" s="69">
        <v>-0.5</v>
      </c>
    </row>
    <row r="10626" spans="6:8">
      <c r="F10626" s="68" t="s">
        <v>121</v>
      </c>
      <c r="G10626" s="67" t="s">
        <v>514</v>
      </c>
      <c r="H10626" s="69">
        <v>-0.45</v>
      </c>
    </row>
    <row r="10627" spans="6:8">
      <c r="F10627" s="68" t="s">
        <v>251</v>
      </c>
      <c r="G10627" s="67" t="s">
        <v>514</v>
      </c>
      <c r="H10627" s="69">
        <v>0.23</v>
      </c>
    </row>
    <row r="10628" spans="6:8">
      <c r="F10628" s="68" t="s">
        <v>420</v>
      </c>
      <c r="G10628" s="67" t="s">
        <v>514</v>
      </c>
      <c r="H10628" s="69">
        <v>3.3656755968689556</v>
      </c>
    </row>
    <row r="10629" spans="6:8">
      <c r="F10629" s="68" t="s">
        <v>122</v>
      </c>
      <c r="G10629" s="67" t="s">
        <v>514</v>
      </c>
      <c r="H10629" s="69">
        <v>-0.45</v>
      </c>
    </row>
    <row r="10630" spans="6:8">
      <c r="F10630" s="68" t="s">
        <v>123</v>
      </c>
      <c r="G10630" s="67" t="s">
        <v>514</v>
      </c>
      <c r="H10630" s="69">
        <v>-0.65</v>
      </c>
    </row>
    <row r="10631" spans="6:8">
      <c r="F10631" s="68" t="s">
        <v>124</v>
      </c>
      <c r="G10631" s="67" t="s">
        <v>514</v>
      </c>
      <c r="H10631" s="69">
        <v>-0.3</v>
      </c>
    </row>
    <row r="10632" spans="6:8">
      <c r="F10632" s="68" t="s">
        <v>252</v>
      </c>
      <c r="G10632" s="67" t="s">
        <v>514</v>
      </c>
      <c r="H10632" s="69">
        <v>0.32</v>
      </c>
    </row>
    <row r="10633" spans="6:8">
      <c r="F10633" s="68" t="s">
        <v>314</v>
      </c>
      <c r="G10633" s="67" t="s">
        <v>514</v>
      </c>
      <c r="H10633" s="69">
        <v>-0.2</v>
      </c>
    </row>
    <row r="10634" spans="6:8">
      <c r="F10634" s="68" t="s">
        <v>125</v>
      </c>
      <c r="G10634" s="67" t="s">
        <v>514</v>
      </c>
      <c r="H10634" s="69">
        <v>-0.25</v>
      </c>
    </row>
    <row r="10635" spans="6:8">
      <c r="F10635" s="68" t="s">
        <v>126</v>
      </c>
      <c r="G10635" s="67" t="s">
        <v>514</v>
      </c>
      <c r="H10635" s="69">
        <v>-0.6</v>
      </c>
    </row>
    <row r="10636" spans="6:8">
      <c r="F10636" s="68" t="s">
        <v>127</v>
      </c>
      <c r="G10636" s="67" t="s">
        <v>514</v>
      </c>
      <c r="H10636" s="69">
        <v>-0.15</v>
      </c>
    </row>
    <row r="10637" spans="6:8">
      <c r="F10637" s="68" t="s">
        <v>253</v>
      </c>
      <c r="G10637" s="67" t="s">
        <v>514</v>
      </c>
      <c r="H10637" s="69">
        <v>0.45</v>
      </c>
    </row>
    <row r="10638" spans="6:8">
      <c r="F10638" s="68" t="s">
        <v>315</v>
      </c>
      <c r="G10638" s="67" t="s">
        <v>514</v>
      </c>
      <c r="H10638" s="69">
        <v>-0.1</v>
      </c>
    </row>
    <row r="10639" spans="6:8">
      <c r="F10639" s="68" t="s">
        <v>128</v>
      </c>
      <c r="G10639" s="67" t="s">
        <v>514</v>
      </c>
      <c r="H10639" s="69">
        <v>-0.55000000000000004</v>
      </c>
    </row>
    <row r="10640" spans="6:8">
      <c r="F10640" s="68" t="s">
        <v>129</v>
      </c>
      <c r="G10640" s="67" t="s">
        <v>514</v>
      </c>
      <c r="H10640" s="69">
        <v>-0.25</v>
      </c>
    </row>
    <row r="10641" spans="6:8">
      <c r="F10641" s="68" t="s">
        <v>254</v>
      </c>
      <c r="G10641" s="67" t="s">
        <v>514</v>
      </c>
      <c r="H10641" s="69">
        <v>0.61</v>
      </c>
    </row>
    <row r="10642" spans="6:8">
      <c r="F10642" s="68" t="s">
        <v>304</v>
      </c>
      <c r="G10642" s="67" t="s">
        <v>514</v>
      </c>
      <c r="H10642" s="69">
        <v>16.90625</v>
      </c>
    </row>
    <row r="10643" spans="6:8">
      <c r="F10643" s="68" t="s">
        <v>421</v>
      </c>
      <c r="G10643" s="67" t="s">
        <v>514</v>
      </c>
      <c r="H10643" s="69">
        <v>2.4096246355963746</v>
      </c>
    </row>
    <row r="10644" spans="6:8">
      <c r="F10644" s="68" t="s">
        <v>130</v>
      </c>
      <c r="G10644" s="67" t="s">
        <v>514</v>
      </c>
      <c r="H10644" s="69">
        <v>-0.6</v>
      </c>
    </row>
    <row r="10645" spans="6:8">
      <c r="F10645" s="68" t="s">
        <v>131</v>
      </c>
      <c r="G10645" s="67" t="s">
        <v>514</v>
      </c>
      <c r="H10645" s="69">
        <v>-0.35</v>
      </c>
    </row>
    <row r="10646" spans="6:8">
      <c r="F10646" s="68" t="s">
        <v>255</v>
      </c>
      <c r="G10646" s="67" t="s">
        <v>514</v>
      </c>
      <c r="H10646" s="69">
        <v>0.8</v>
      </c>
    </row>
    <row r="10647" spans="6:8">
      <c r="F10647" s="68" t="s">
        <v>303</v>
      </c>
      <c r="G10647" s="67" t="s">
        <v>514</v>
      </c>
      <c r="H10647" s="69">
        <v>18.03125</v>
      </c>
    </row>
    <row r="10648" spans="6:8">
      <c r="F10648" s="68" t="s">
        <v>422</v>
      </c>
      <c r="G10648" s="67" t="s">
        <v>514</v>
      </c>
      <c r="H10648" s="69">
        <v>2.415297043242548</v>
      </c>
    </row>
    <row r="10649" spans="6:8">
      <c r="F10649" s="68" t="s">
        <v>132</v>
      </c>
      <c r="G10649" s="67" t="s">
        <v>514</v>
      </c>
      <c r="H10649" s="69">
        <v>-0.55000000000000004</v>
      </c>
    </row>
    <row r="10650" spans="6:8">
      <c r="F10650" s="68" t="s">
        <v>133</v>
      </c>
      <c r="G10650" s="67" t="s">
        <v>514</v>
      </c>
      <c r="H10650" s="69">
        <v>-0.4</v>
      </c>
    </row>
    <row r="10651" spans="6:8">
      <c r="F10651" s="68" t="s">
        <v>256</v>
      </c>
      <c r="G10651" s="67" t="s">
        <v>514</v>
      </c>
      <c r="H10651" s="69">
        <v>0.96</v>
      </c>
    </row>
    <row r="10652" spans="6:8">
      <c r="F10652" s="68" t="s">
        <v>423</v>
      </c>
      <c r="G10652" s="67" t="s">
        <v>514</v>
      </c>
      <c r="H10652" s="69">
        <v>2.4363228365197553</v>
      </c>
    </row>
    <row r="10653" spans="6:8">
      <c r="F10653" s="68" t="s">
        <v>134</v>
      </c>
      <c r="G10653" s="67" t="s">
        <v>514</v>
      </c>
      <c r="H10653" s="69">
        <v>-0.55000000000000004</v>
      </c>
    </row>
    <row r="10654" spans="6:8">
      <c r="F10654" s="68" t="s">
        <v>135</v>
      </c>
      <c r="G10654" s="67" t="s">
        <v>514</v>
      </c>
      <c r="H10654" s="69">
        <v>-0.4</v>
      </c>
    </row>
    <row r="10655" spans="6:8">
      <c r="F10655" s="68" t="s">
        <v>257</v>
      </c>
      <c r="G10655" s="67" t="s">
        <v>514</v>
      </c>
      <c r="H10655" s="69">
        <v>1.04</v>
      </c>
    </row>
    <row r="10656" spans="6:8">
      <c r="F10656" s="68" t="s">
        <v>258</v>
      </c>
      <c r="G10656" s="67" t="s">
        <v>514</v>
      </c>
      <c r="H10656" s="69">
        <v>0.14000000000000001</v>
      </c>
    </row>
    <row r="10657" spans="6:8">
      <c r="F10657" s="68" t="s">
        <v>424</v>
      </c>
      <c r="G10657" s="67" t="s">
        <v>514</v>
      </c>
      <c r="H10657" s="69">
        <v>3.2236708037515882</v>
      </c>
    </row>
    <row r="10658" spans="6:8">
      <c r="F10658" s="68" t="s">
        <v>136</v>
      </c>
      <c r="G10658" s="67" t="s">
        <v>514</v>
      </c>
      <c r="H10658" s="69">
        <v>-0.5</v>
      </c>
    </row>
    <row r="10659" spans="6:8">
      <c r="F10659" s="68" t="s">
        <v>137</v>
      </c>
      <c r="G10659" s="67" t="s">
        <v>514</v>
      </c>
      <c r="H10659" s="69">
        <v>-0.5</v>
      </c>
    </row>
    <row r="10660" spans="6:8">
      <c r="F10660" s="68" t="s">
        <v>138</v>
      </c>
      <c r="G10660" s="67" t="s">
        <v>514</v>
      </c>
      <c r="H10660" s="69">
        <v>-0.5</v>
      </c>
    </row>
    <row r="10661" spans="6:8">
      <c r="F10661" s="68" t="s">
        <v>259</v>
      </c>
      <c r="G10661" s="67" t="s">
        <v>514</v>
      </c>
      <c r="H10661" s="69">
        <v>0.17</v>
      </c>
    </row>
    <row r="10662" spans="6:8">
      <c r="F10662" s="68" t="s">
        <v>425</v>
      </c>
      <c r="G10662" s="67" t="s">
        <v>514</v>
      </c>
      <c r="H10662" s="69">
        <v>3.2315076502027029</v>
      </c>
    </row>
    <row r="10663" spans="6:8">
      <c r="F10663" s="68" t="s">
        <v>425</v>
      </c>
      <c r="G10663" s="67" t="s">
        <v>515</v>
      </c>
      <c r="H10663" s="69">
        <v>3.2787654805567445</v>
      </c>
    </row>
    <row r="10664" spans="6:8">
      <c r="F10664" s="68" t="s">
        <v>259</v>
      </c>
      <c r="G10664" s="67" t="s">
        <v>515</v>
      </c>
      <c r="H10664" s="69">
        <v>0.17</v>
      </c>
    </row>
    <row r="10665" spans="6:8">
      <c r="F10665" s="68" t="s">
        <v>138</v>
      </c>
      <c r="G10665" s="67" t="s">
        <v>515</v>
      </c>
      <c r="H10665" s="69">
        <v>-0.5</v>
      </c>
    </row>
    <row r="10666" spans="6:8">
      <c r="F10666" s="68" t="s">
        <v>137</v>
      </c>
      <c r="G10666" s="67" t="s">
        <v>515</v>
      </c>
      <c r="H10666" s="69">
        <v>-0.5</v>
      </c>
    </row>
    <row r="10667" spans="6:8">
      <c r="F10667" s="68" t="s">
        <v>136</v>
      </c>
      <c r="G10667" s="67" t="s">
        <v>515</v>
      </c>
      <c r="H10667" s="69">
        <v>-0.5</v>
      </c>
    </row>
    <row r="10668" spans="6:8">
      <c r="F10668" s="68" t="s">
        <v>424</v>
      </c>
      <c r="G10668" s="67" t="s">
        <v>515</v>
      </c>
      <c r="H10668" s="69">
        <v>3.2701785035355257</v>
      </c>
    </row>
    <row r="10669" spans="6:8">
      <c r="F10669" s="68" t="s">
        <v>258</v>
      </c>
      <c r="G10669" s="67" t="s">
        <v>515</v>
      </c>
      <c r="H10669" s="69">
        <v>0.14000000000000001</v>
      </c>
    </row>
    <row r="10670" spans="6:8">
      <c r="F10670" s="68" t="s">
        <v>257</v>
      </c>
      <c r="G10670" s="67" t="s">
        <v>515</v>
      </c>
      <c r="H10670" s="69">
        <v>1.04</v>
      </c>
    </row>
    <row r="10671" spans="6:8">
      <c r="F10671" s="68" t="s">
        <v>135</v>
      </c>
      <c r="G10671" s="67" t="s">
        <v>515</v>
      </c>
      <c r="H10671" s="69">
        <v>-0.4</v>
      </c>
    </row>
    <row r="10672" spans="6:8">
      <c r="F10672" s="68" t="s">
        <v>134</v>
      </c>
      <c r="G10672" s="67" t="s">
        <v>515</v>
      </c>
      <c r="H10672" s="69">
        <v>-0.55000000000000004</v>
      </c>
    </row>
    <row r="10673" spans="6:8">
      <c r="F10673" s="68" t="s">
        <v>423</v>
      </c>
      <c r="G10673" s="67" t="s">
        <v>515</v>
      </c>
      <c r="H10673" s="69">
        <v>2.4985480436985341</v>
      </c>
    </row>
    <row r="10674" spans="6:8">
      <c r="F10674" s="68" t="s">
        <v>256</v>
      </c>
      <c r="G10674" s="67" t="s">
        <v>515</v>
      </c>
      <c r="H10674" s="69">
        <v>0.96</v>
      </c>
    </row>
    <row r="10675" spans="6:8">
      <c r="F10675" s="68" t="s">
        <v>133</v>
      </c>
      <c r="G10675" s="67" t="s">
        <v>515</v>
      </c>
      <c r="H10675" s="69">
        <v>-0.4</v>
      </c>
    </row>
    <row r="10676" spans="6:8">
      <c r="F10676" s="68" t="s">
        <v>132</v>
      </c>
      <c r="G10676" s="67" t="s">
        <v>515</v>
      </c>
      <c r="H10676" s="69">
        <v>-0.55000000000000004</v>
      </c>
    </row>
    <row r="10677" spans="6:8">
      <c r="F10677" s="68" t="s">
        <v>422</v>
      </c>
      <c r="G10677" s="67" t="s">
        <v>515</v>
      </c>
      <c r="H10677" s="69">
        <v>2.4713896885495412</v>
      </c>
    </row>
    <row r="10678" spans="6:8">
      <c r="F10678" s="68" t="s">
        <v>303</v>
      </c>
      <c r="G10678" s="67" t="s">
        <v>515</v>
      </c>
      <c r="H10678" s="69">
        <v>18.208333333333332</v>
      </c>
    </row>
    <row r="10679" spans="6:8">
      <c r="F10679" s="68" t="s">
        <v>255</v>
      </c>
      <c r="G10679" s="67" t="s">
        <v>515</v>
      </c>
      <c r="H10679" s="69">
        <v>0.8</v>
      </c>
    </row>
    <row r="10680" spans="6:8">
      <c r="F10680" s="68" t="s">
        <v>131</v>
      </c>
      <c r="G10680" s="67" t="s">
        <v>515</v>
      </c>
      <c r="H10680" s="69">
        <v>-0.35</v>
      </c>
    </row>
    <row r="10681" spans="6:8">
      <c r="F10681" s="68" t="s">
        <v>130</v>
      </c>
      <c r="G10681" s="67" t="s">
        <v>515</v>
      </c>
      <c r="H10681" s="69">
        <v>-0.6</v>
      </c>
    </row>
    <row r="10682" spans="6:8">
      <c r="F10682" s="68" t="s">
        <v>421</v>
      </c>
      <c r="G10682" s="67" t="s">
        <v>515</v>
      </c>
      <c r="H10682" s="69">
        <v>2.4659562652542544</v>
      </c>
    </row>
    <row r="10683" spans="6:8">
      <c r="F10683" s="68" t="s">
        <v>304</v>
      </c>
      <c r="G10683" s="67" t="s">
        <v>515</v>
      </c>
      <c r="H10683" s="69">
        <v>16.958333333333332</v>
      </c>
    </row>
    <row r="10684" spans="6:8">
      <c r="F10684" s="68" t="s">
        <v>254</v>
      </c>
      <c r="G10684" s="67" t="s">
        <v>515</v>
      </c>
      <c r="H10684" s="69">
        <v>0.61</v>
      </c>
    </row>
    <row r="10685" spans="6:8">
      <c r="F10685" s="68" t="s">
        <v>129</v>
      </c>
      <c r="G10685" s="67" t="s">
        <v>515</v>
      </c>
      <c r="H10685" s="69">
        <v>-0.25</v>
      </c>
    </row>
    <row r="10686" spans="6:8">
      <c r="F10686" s="68" t="s">
        <v>128</v>
      </c>
      <c r="G10686" s="67" t="s">
        <v>515</v>
      </c>
      <c r="H10686" s="69">
        <v>-0.55000000000000004</v>
      </c>
    </row>
    <row r="10687" spans="6:8">
      <c r="F10687" s="68" t="s">
        <v>315</v>
      </c>
      <c r="G10687" s="67" t="s">
        <v>515</v>
      </c>
      <c r="H10687" s="69">
        <v>-0.1</v>
      </c>
    </row>
    <row r="10688" spans="6:8">
      <c r="F10688" s="68" t="s">
        <v>253</v>
      </c>
      <c r="G10688" s="67" t="s">
        <v>515</v>
      </c>
      <c r="H10688" s="69">
        <v>0.45</v>
      </c>
    </row>
    <row r="10689" spans="6:8">
      <c r="F10689" s="68" t="s">
        <v>127</v>
      </c>
      <c r="G10689" s="67" t="s">
        <v>515</v>
      </c>
      <c r="H10689" s="69">
        <v>-0.15</v>
      </c>
    </row>
    <row r="10690" spans="6:8">
      <c r="F10690" s="68" t="s">
        <v>126</v>
      </c>
      <c r="G10690" s="67" t="s">
        <v>515</v>
      </c>
      <c r="H10690" s="69">
        <v>-0.6</v>
      </c>
    </row>
    <row r="10691" spans="6:8">
      <c r="F10691" s="68" t="s">
        <v>125</v>
      </c>
      <c r="G10691" s="67" t="s">
        <v>515</v>
      </c>
      <c r="H10691" s="69">
        <v>-0.25</v>
      </c>
    </row>
    <row r="10692" spans="6:8">
      <c r="F10692" s="68" t="s">
        <v>314</v>
      </c>
      <c r="G10692" s="67" t="s">
        <v>515</v>
      </c>
      <c r="H10692" s="69">
        <v>-0.2</v>
      </c>
    </row>
    <row r="10693" spans="6:8">
      <c r="F10693" s="68" t="s">
        <v>252</v>
      </c>
      <c r="G10693" s="67" t="s">
        <v>515</v>
      </c>
      <c r="H10693" s="69">
        <v>0.32</v>
      </c>
    </row>
    <row r="10694" spans="6:8">
      <c r="F10694" s="68" t="s">
        <v>124</v>
      </c>
      <c r="G10694" s="67" t="s">
        <v>515</v>
      </c>
      <c r="H10694" s="69">
        <v>-0.3</v>
      </c>
    </row>
    <row r="10695" spans="6:8">
      <c r="F10695" s="68" t="s">
        <v>123</v>
      </c>
      <c r="G10695" s="67" t="s">
        <v>515</v>
      </c>
      <c r="H10695" s="69">
        <v>-0.65</v>
      </c>
    </row>
    <row r="10696" spans="6:8">
      <c r="F10696" s="68" t="s">
        <v>122</v>
      </c>
      <c r="G10696" s="67" t="s">
        <v>515</v>
      </c>
      <c r="H10696" s="69">
        <v>-0.45</v>
      </c>
    </row>
    <row r="10697" spans="6:8">
      <c r="F10697" s="68" t="s">
        <v>420</v>
      </c>
      <c r="G10697" s="67" t="s">
        <v>515</v>
      </c>
      <c r="H10697" s="69">
        <v>3.4118650286120378</v>
      </c>
    </row>
    <row r="10698" spans="6:8">
      <c r="F10698" s="68" t="s">
        <v>251</v>
      </c>
      <c r="G10698" s="67" t="s">
        <v>515</v>
      </c>
      <c r="H10698" s="69">
        <v>0.23</v>
      </c>
    </row>
    <row r="10699" spans="6:8">
      <c r="F10699" s="68" t="s">
        <v>121</v>
      </c>
      <c r="G10699" s="67" t="s">
        <v>515</v>
      </c>
      <c r="H10699" s="69">
        <v>-0.45</v>
      </c>
    </row>
    <row r="10700" spans="6:8">
      <c r="F10700" s="68" t="s">
        <v>120</v>
      </c>
      <c r="G10700" s="67" t="s">
        <v>515</v>
      </c>
      <c r="H10700" s="69">
        <v>-0.5</v>
      </c>
    </row>
    <row r="10701" spans="6:8">
      <c r="F10701" s="68" t="s">
        <v>119</v>
      </c>
      <c r="G10701" s="67" t="s">
        <v>515</v>
      </c>
      <c r="H10701" s="69">
        <v>-0.45</v>
      </c>
    </row>
    <row r="10702" spans="6:8">
      <c r="F10702" s="68" t="s">
        <v>119</v>
      </c>
      <c r="G10702" s="67" t="s">
        <v>516</v>
      </c>
      <c r="H10702" s="69">
        <v>-0.45</v>
      </c>
    </row>
    <row r="10703" spans="6:8">
      <c r="F10703" s="68" t="s">
        <v>120</v>
      </c>
      <c r="G10703" s="67" t="s">
        <v>516</v>
      </c>
      <c r="H10703" s="69">
        <v>-0.5</v>
      </c>
    </row>
    <row r="10704" spans="6:8">
      <c r="F10704" s="68" t="s">
        <v>121</v>
      </c>
      <c r="G10704" s="67" t="s">
        <v>516</v>
      </c>
      <c r="H10704" s="69">
        <v>-0.45</v>
      </c>
    </row>
    <row r="10705" spans="6:8">
      <c r="F10705" s="68" t="s">
        <v>251</v>
      </c>
      <c r="G10705" s="67" t="s">
        <v>516</v>
      </c>
      <c r="H10705" s="69">
        <v>0.23</v>
      </c>
    </row>
    <row r="10706" spans="6:8">
      <c r="F10706" s="68" t="s">
        <v>420</v>
      </c>
      <c r="G10706" s="67" t="s">
        <v>516</v>
      </c>
      <c r="H10706" s="69">
        <v>3.4152065149267052</v>
      </c>
    </row>
    <row r="10707" spans="6:8">
      <c r="F10707" s="68" t="s">
        <v>122</v>
      </c>
      <c r="G10707" s="67" t="s">
        <v>516</v>
      </c>
      <c r="H10707" s="69">
        <v>-0.45</v>
      </c>
    </row>
    <row r="10708" spans="6:8">
      <c r="F10708" s="68" t="s">
        <v>123</v>
      </c>
      <c r="G10708" s="67" t="s">
        <v>516</v>
      </c>
      <c r="H10708" s="69">
        <v>-0.65</v>
      </c>
    </row>
    <row r="10709" spans="6:8">
      <c r="F10709" s="68" t="s">
        <v>124</v>
      </c>
      <c r="G10709" s="67" t="s">
        <v>516</v>
      </c>
      <c r="H10709" s="69">
        <v>-0.3</v>
      </c>
    </row>
    <row r="10710" spans="6:8">
      <c r="F10710" s="68" t="s">
        <v>252</v>
      </c>
      <c r="G10710" s="67" t="s">
        <v>516</v>
      </c>
      <c r="H10710" s="69">
        <v>0.32</v>
      </c>
    </row>
    <row r="10711" spans="6:8">
      <c r="F10711" s="68" t="s">
        <v>314</v>
      </c>
      <c r="G10711" s="67" t="s">
        <v>516</v>
      </c>
      <c r="H10711" s="69">
        <v>-0.2</v>
      </c>
    </row>
    <row r="10712" spans="6:8">
      <c r="F10712" s="68" t="s">
        <v>125</v>
      </c>
      <c r="G10712" s="67" t="s">
        <v>516</v>
      </c>
      <c r="H10712" s="69">
        <v>-0.25</v>
      </c>
    </row>
    <row r="10713" spans="6:8">
      <c r="F10713" s="68" t="s">
        <v>126</v>
      </c>
      <c r="G10713" s="67" t="s">
        <v>516</v>
      </c>
      <c r="H10713" s="69">
        <v>-0.6</v>
      </c>
    </row>
    <row r="10714" spans="6:8">
      <c r="F10714" s="68" t="s">
        <v>127</v>
      </c>
      <c r="G10714" s="67" t="s">
        <v>516</v>
      </c>
      <c r="H10714" s="69">
        <v>-0.15</v>
      </c>
    </row>
    <row r="10715" spans="6:8">
      <c r="F10715" s="68" t="s">
        <v>253</v>
      </c>
      <c r="G10715" s="67" t="s">
        <v>516</v>
      </c>
      <c r="H10715" s="69">
        <v>0.45</v>
      </c>
    </row>
    <row r="10716" spans="6:8">
      <c r="F10716" s="68" t="s">
        <v>315</v>
      </c>
      <c r="G10716" s="67" t="s">
        <v>516</v>
      </c>
      <c r="H10716" s="69">
        <v>-0.1</v>
      </c>
    </row>
    <row r="10717" spans="6:8">
      <c r="F10717" s="68" t="s">
        <v>128</v>
      </c>
      <c r="G10717" s="67" t="s">
        <v>516</v>
      </c>
      <c r="H10717" s="69">
        <v>-0.55000000000000004</v>
      </c>
    </row>
    <row r="10718" spans="6:8">
      <c r="F10718" s="68" t="s">
        <v>129</v>
      </c>
      <c r="G10718" s="67" t="s">
        <v>516</v>
      </c>
      <c r="H10718" s="69">
        <v>-0.25</v>
      </c>
    </row>
    <row r="10719" spans="6:8">
      <c r="F10719" s="68" t="s">
        <v>254</v>
      </c>
      <c r="G10719" s="67" t="s">
        <v>516</v>
      </c>
      <c r="H10719" s="69">
        <v>0.61</v>
      </c>
    </row>
    <row r="10720" spans="6:8">
      <c r="F10720" s="68" t="s">
        <v>304</v>
      </c>
      <c r="G10720" s="67" t="s">
        <v>516</v>
      </c>
      <c r="H10720" s="69">
        <v>16.958333333333332</v>
      </c>
    </row>
    <row r="10721" spans="6:8">
      <c r="F10721" s="68" t="s">
        <v>421</v>
      </c>
      <c r="G10721" s="67" t="s">
        <v>516</v>
      </c>
      <c r="H10721" s="69">
        <v>2.4608558389505486</v>
      </c>
    </row>
    <row r="10722" spans="6:8">
      <c r="F10722" s="68" t="s">
        <v>130</v>
      </c>
      <c r="G10722" s="67" t="s">
        <v>516</v>
      </c>
      <c r="H10722" s="69">
        <v>-0.6</v>
      </c>
    </row>
    <row r="10723" spans="6:8">
      <c r="F10723" s="68" t="s">
        <v>131</v>
      </c>
      <c r="G10723" s="67" t="s">
        <v>516</v>
      </c>
      <c r="H10723" s="69">
        <v>-0.35</v>
      </c>
    </row>
    <row r="10724" spans="6:8">
      <c r="F10724" s="68" t="s">
        <v>255</v>
      </c>
      <c r="G10724" s="67" t="s">
        <v>516</v>
      </c>
      <c r="H10724" s="69">
        <v>0.8</v>
      </c>
    </row>
    <row r="10725" spans="6:8">
      <c r="F10725" s="68" t="s">
        <v>303</v>
      </c>
      <c r="G10725" s="67" t="s">
        <v>516</v>
      </c>
      <c r="H10725" s="69">
        <v>18.208333333333332</v>
      </c>
    </row>
    <row r="10726" spans="6:8">
      <c r="F10726" s="68" t="s">
        <v>422</v>
      </c>
      <c r="G10726" s="67" t="s">
        <v>516</v>
      </c>
      <c r="H10726" s="69">
        <v>2.4662913713734191</v>
      </c>
    </row>
    <row r="10727" spans="6:8">
      <c r="F10727" s="68" t="s">
        <v>132</v>
      </c>
      <c r="G10727" s="67" t="s">
        <v>516</v>
      </c>
      <c r="H10727" s="69">
        <v>-0.55000000000000004</v>
      </c>
    </row>
    <row r="10728" spans="6:8">
      <c r="F10728" s="68" t="s">
        <v>133</v>
      </c>
      <c r="G10728" s="67" t="s">
        <v>516</v>
      </c>
      <c r="H10728" s="69">
        <v>-0.4</v>
      </c>
    </row>
    <row r="10729" spans="6:8">
      <c r="F10729" s="68" t="s">
        <v>256</v>
      </c>
      <c r="G10729" s="67" t="s">
        <v>516</v>
      </c>
      <c r="H10729" s="69">
        <v>0.96</v>
      </c>
    </row>
    <row r="10730" spans="6:8">
      <c r="F10730" s="68" t="s">
        <v>423</v>
      </c>
      <c r="G10730" s="67" t="s">
        <v>516</v>
      </c>
      <c r="H10730" s="69">
        <v>2.4953494427038869</v>
      </c>
    </row>
    <row r="10731" spans="6:8">
      <c r="F10731" s="68" t="s">
        <v>134</v>
      </c>
      <c r="G10731" s="67" t="s">
        <v>516</v>
      </c>
      <c r="H10731" s="69">
        <v>-0.55000000000000004</v>
      </c>
    </row>
    <row r="10732" spans="6:8">
      <c r="F10732" s="68" t="s">
        <v>135</v>
      </c>
      <c r="G10732" s="67" t="s">
        <v>516</v>
      </c>
      <c r="H10732" s="69">
        <v>-0.4</v>
      </c>
    </row>
    <row r="10733" spans="6:8">
      <c r="F10733" s="68" t="s">
        <v>257</v>
      </c>
      <c r="G10733" s="67" t="s">
        <v>516</v>
      </c>
      <c r="H10733" s="69">
        <v>1.04</v>
      </c>
    </row>
    <row r="10734" spans="6:8">
      <c r="F10734" s="68" t="s">
        <v>258</v>
      </c>
      <c r="G10734" s="67" t="s">
        <v>516</v>
      </c>
      <c r="H10734" s="69">
        <v>0.14000000000000001</v>
      </c>
    </row>
    <row r="10735" spans="6:8">
      <c r="F10735" s="68" t="s">
        <v>424</v>
      </c>
      <c r="G10735" s="67" t="s">
        <v>516</v>
      </c>
      <c r="H10735" s="69">
        <v>3.2712337063826702</v>
      </c>
    </row>
    <row r="10736" spans="6:8">
      <c r="F10736" s="68" t="s">
        <v>136</v>
      </c>
      <c r="G10736" s="67" t="s">
        <v>516</v>
      </c>
      <c r="H10736" s="69">
        <v>-0.5</v>
      </c>
    </row>
    <row r="10737" spans="6:8">
      <c r="F10737" s="68" t="s">
        <v>137</v>
      </c>
      <c r="G10737" s="67" t="s">
        <v>516</v>
      </c>
      <c r="H10737" s="69">
        <v>-0.5</v>
      </c>
    </row>
    <row r="10738" spans="6:8">
      <c r="F10738" s="68" t="s">
        <v>138</v>
      </c>
      <c r="G10738" s="67" t="s">
        <v>516</v>
      </c>
      <c r="H10738" s="69">
        <v>-0.5</v>
      </c>
    </row>
    <row r="10739" spans="6:8">
      <c r="F10739" s="68" t="s">
        <v>259</v>
      </c>
      <c r="G10739" s="67" t="s">
        <v>516</v>
      </c>
      <c r="H10739" s="69">
        <v>0.17</v>
      </c>
    </row>
    <row r="10740" spans="6:8">
      <c r="F10740" s="68" t="s">
        <v>425</v>
      </c>
      <c r="G10740" s="67" t="s">
        <v>516</v>
      </c>
      <c r="H10740" s="69">
        <v>3.2769059939668388</v>
      </c>
    </row>
    <row r="10741" spans="6:8">
      <c r="F10741" s="68" t="s">
        <v>425</v>
      </c>
      <c r="G10741" s="67" t="s">
        <v>517</v>
      </c>
      <c r="H10741" s="69">
        <v>3.3417181909856986</v>
      </c>
    </row>
    <row r="10742" spans="6:8">
      <c r="F10742" s="68" t="s">
        <v>259</v>
      </c>
      <c r="G10742" s="67" t="s">
        <v>517</v>
      </c>
      <c r="H10742" s="69">
        <v>0.17</v>
      </c>
    </row>
    <row r="10743" spans="6:8">
      <c r="F10743" s="68" t="s">
        <v>138</v>
      </c>
      <c r="G10743" s="67" t="s">
        <v>517</v>
      </c>
      <c r="H10743" s="69">
        <v>-0.5</v>
      </c>
    </row>
    <row r="10744" spans="6:8">
      <c r="F10744" s="68" t="s">
        <v>137</v>
      </c>
      <c r="G10744" s="67" t="s">
        <v>517</v>
      </c>
      <c r="H10744" s="69">
        <v>-0.5</v>
      </c>
    </row>
    <row r="10745" spans="6:8">
      <c r="F10745" s="68" t="s">
        <v>136</v>
      </c>
      <c r="G10745" s="67" t="s">
        <v>517</v>
      </c>
      <c r="H10745" s="69">
        <v>-0.5</v>
      </c>
    </row>
    <row r="10746" spans="6:8">
      <c r="F10746" s="68" t="s">
        <v>424</v>
      </c>
      <c r="G10746" s="67" t="s">
        <v>517</v>
      </c>
      <c r="H10746" s="69">
        <v>3.3364807060442203</v>
      </c>
    </row>
    <row r="10747" spans="6:8">
      <c r="F10747" s="68" t="s">
        <v>258</v>
      </c>
      <c r="G10747" s="67" t="s">
        <v>517</v>
      </c>
      <c r="H10747" s="69">
        <v>0.14000000000000001</v>
      </c>
    </row>
    <row r="10748" spans="6:8">
      <c r="F10748" s="68" t="s">
        <v>257</v>
      </c>
      <c r="G10748" s="67" t="s">
        <v>517</v>
      </c>
      <c r="H10748" s="69">
        <v>1.04</v>
      </c>
    </row>
    <row r="10749" spans="6:8">
      <c r="F10749" s="68" t="s">
        <v>135</v>
      </c>
      <c r="G10749" s="67" t="s">
        <v>517</v>
      </c>
      <c r="H10749" s="69">
        <v>-0.4</v>
      </c>
    </row>
    <row r="10750" spans="6:8">
      <c r="F10750" s="68" t="s">
        <v>134</v>
      </c>
      <c r="G10750" s="67" t="s">
        <v>517</v>
      </c>
      <c r="H10750" s="69">
        <v>-0.55000000000000004</v>
      </c>
    </row>
    <row r="10751" spans="6:8">
      <c r="F10751" s="68" t="s">
        <v>423</v>
      </c>
      <c r="G10751" s="67" t="s">
        <v>517</v>
      </c>
      <c r="H10751" s="69">
        <v>2.5756807829341533</v>
      </c>
    </row>
    <row r="10752" spans="6:8">
      <c r="F10752" s="68" t="s">
        <v>256</v>
      </c>
      <c r="G10752" s="67" t="s">
        <v>517</v>
      </c>
      <c r="H10752" s="69">
        <v>0.96</v>
      </c>
    </row>
    <row r="10753" spans="6:8">
      <c r="F10753" s="68" t="s">
        <v>133</v>
      </c>
      <c r="G10753" s="67" t="s">
        <v>517</v>
      </c>
      <c r="H10753" s="69">
        <v>-0.4</v>
      </c>
    </row>
    <row r="10754" spans="6:8">
      <c r="F10754" s="68" t="s">
        <v>132</v>
      </c>
      <c r="G10754" s="67" t="s">
        <v>517</v>
      </c>
      <c r="H10754" s="69">
        <v>-0.55000000000000004</v>
      </c>
    </row>
    <row r="10755" spans="6:8">
      <c r="F10755" s="68" t="s">
        <v>422</v>
      </c>
      <c r="G10755" s="67" t="s">
        <v>517</v>
      </c>
      <c r="H10755" s="69">
        <v>2.5310165386446037</v>
      </c>
    </row>
    <row r="10756" spans="6:8">
      <c r="F10756" s="68" t="s">
        <v>303</v>
      </c>
      <c r="G10756" s="67" t="s">
        <v>517</v>
      </c>
      <c r="H10756" s="69">
        <v>18.125</v>
      </c>
    </row>
    <row r="10757" spans="6:8">
      <c r="F10757" s="68" t="s">
        <v>255</v>
      </c>
      <c r="G10757" s="67" t="s">
        <v>517</v>
      </c>
      <c r="H10757" s="69">
        <v>0.8</v>
      </c>
    </row>
    <row r="10758" spans="6:8">
      <c r="F10758" s="68" t="s">
        <v>131</v>
      </c>
      <c r="G10758" s="67" t="s">
        <v>517</v>
      </c>
      <c r="H10758" s="69">
        <v>-0.35</v>
      </c>
    </row>
    <row r="10759" spans="6:8">
      <c r="F10759" s="68" t="s">
        <v>130</v>
      </c>
      <c r="G10759" s="67" t="s">
        <v>517</v>
      </c>
      <c r="H10759" s="69">
        <v>-0.6</v>
      </c>
    </row>
    <row r="10760" spans="6:8">
      <c r="F10760" s="68" t="s">
        <v>421</v>
      </c>
      <c r="G10760" s="67" t="s">
        <v>517</v>
      </c>
      <c r="H10760" s="69">
        <v>2.5255055883278033</v>
      </c>
    </row>
    <row r="10761" spans="6:8">
      <c r="F10761" s="68" t="s">
        <v>304</v>
      </c>
      <c r="G10761" s="67" t="s">
        <v>517</v>
      </c>
      <c r="H10761" s="69">
        <v>17.020833333333332</v>
      </c>
    </row>
    <row r="10762" spans="6:8">
      <c r="F10762" s="68" t="s">
        <v>254</v>
      </c>
      <c r="G10762" s="67" t="s">
        <v>517</v>
      </c>
      <c r="H10762" s="69">
        <v>0.61</v>
      </c>
    </row>
    <row r="10763" spans="6:8">
      <c r="F10763" s="68" t="s">
        <v>129</v>
      </c>
      <c r="G10763" s="67" t="s">
        <v>517</v>
      </c>
      <c r="H10763" s="69">
        <v>-0.25</v>
      </c>
    </row>
    <row r="10764" spans="6:8">
      <c r="F10764" s="68" t="s">
        <v>128</v>
      </c>
      <c r="G10764" s="67" t="s">
        <v>517</v>
      </c>
      <c r="H10764" s="69">
        <v>-0.55000000000000004</v>
      </c>
    </row>
    <row r="10765" spans="6:8">
      <c r="F10765" s="68" t="s">
        <v>315</v>
      </c>
      <c r="G10765" s="67" t="s">
        <v>517</v>
      </c>
      <c r="H10765" s="69">
        <v>-0.1</v>
      </c>
    </row>
    <row r="10766" spans="6:8">
      <c r="F10766" s="68" t="s">
        <v>253</v>
      </c>
      <c r="G10766" s="67" t="s">
        <v>517</v>
      </c>
      <c r="H10766" s="69">
        <v>0.45</v>
      </c>
    </row>
    <row r="10767" spans="6:8">
      <c r="F10767" s="68" t="s">
        <v>127</v>
      </c>
      <c r="G10767" s="67" t="s">
        <v>517</v>
      </c>
      <c r="H10767" s="69">
        <v>-0.15</v>
      </c>
    </row>
    <row r="10768" spans="6:8">
      <c r="F10768" s="68" t="s">
        <v>126</v>
      </c>
      <c r="G10768" s="67" t="s">
        <v>517</v>
      </c>
      <c r="H10768" s="69">
        <v>-0.6</v>
      </c>
    </row>
    <row r="10769" spans="6:8">
      <c r="F10769" s="68" t="s">
        <v>125</v>
      </c>
      <c r="G10769" s="67" t="s">
        <v>517</v>
      </c>
      <c r="H10769" s="69">
        <v>-0.25</v>
      </c>
    </row>
    <row r="10770" spans="6:8">
      <c r="F10770" s="68" t="s">
        <v>314</v>
      </c>
      <c r="G10770" s="67" t="s">
        <v>517</v>
      </c>
      <c r="H10770" s="69">
        <v>-0.2</v>
      </c>
    </row>
    <row r="10771" spans="6:8">
      <c r="F10771" s="68" t="s">
        <v>252</v>
      </c>
      <c r="G10771" s="67" t="s">
        <v>517</v>
      </c>
      <c r="H10771" s="69">
        <v>0.32</v>
      </c>
    </row>
    <row r="10772" spans="6:8">
      <c r="F10772" s="68" t="s">
        <v>124</v>
      </c>
      <c r="G10772" s="67" t="s">
        <v>517</v>
      </c>
      <c r="H10772" s="69">
        <v>-0.3</v>
      </c>
    </row>
    <row r="10773" spans="6:8">
      <c r="F10773" s="68" t="s">
        <v>123</v>
      </c>
      <c r="G10773" s="67" t="s">
        <v>517</v>
      </c>
      <c r="H10773" s="69">
        <v>-0.65</v>
      </c>
    </row>
    <row r="10774" spans="6:8">
      <c r="F10774" s="68" t="s">
        <v>122</v>
      </c>
      <c r="G10774" s="67" t="s">
        <v>517</v>
      </c>
      <c r="H10774" s="69">
        <v>-0.45</v>
      </c>
    </row>
    <row r="10775" spans="6:8">
      <c r="F10775" s="68" t="s">
        <v>420</v>
      </c>
      <c r="G10775" s="67" t="s">
        <v>517</v>
      </c>
      <c r="H10775" s="69">
        <v>3.4827849354097218</v>
      </c>
    </row>
    <row r="10776" spans="6:8">
      <c r="F10776" s="68" t="s">
        <v>251</v>
      </c>
      <c r="G10776" s="67" t="s">
        <v>517</v>
      </c>
      <c r="H10776" s="69">
        <v>0.23</v>
      </c>
    </row>
    <row r="10777" spans="6:8">
      <c r="F10777" s="68" t="s">
        <v>121</v>
      </c>
      <c r="G10777" s="67" t="s">
        <v>517</v>
      </c>
      <c r="H10777" s="69">
        <v>-0.45</v>
      </c>
    </row>
    <row r="10778" spans="6:8">
      <c r="F10778" s="68" t="s">
        <v>120</v>
      </c>
      <c r="G10778" s="67" t="s">
        <v>517</v>
      </c>
      <c r="H10778" s="69">
        <v>-0.5</v>
      </c>
    </row>
    <row r="10779" spans="6:8">
      <c r="F10779" s="68" t="s">
        <v>119</v>
      </c>
      <c r="G10779" s="67" t="s">
        <v>517</v>
      </c>
      <c r="H10779" s="69">
        <v>-0.45</v>
      </c>
    </row>
    <row r="10780" spans="6:8">
      <c r="F10780" s="68" t="s">
        <v>119</v>
      </c>
      <c r="G10780" s="67" t="s">
        <v>518</v>
      </c>
      <c r="H10780" s="69">
        <v>-0.45</v>
      </c>
    </row>
    <row r="10781" spans="6:8">
      <c r="F10781" s="68" t="s">
        <v>120</v>
      </c>
      <c r="G10781" s="67" t="s">
        <v>518</v>
      </c>
      <c r="H10781" s="69">
        <v>-0.5</v>
      </c>
    </row>
    <row r="10782" spans="6:8">
      <c r="F10782" s="68" t="s">
        <v>121</v>
      </c>
      <c r="G10782" s="67" t="s">
        <v>518</v>
      </c>
      <c r="H10782" s="69">
        <v>-0.45</v>
      </c>
    </row>
    <row r="10783" spans="6:8">
      <c r="F10783" s="68" t="s">
        <v>251</v>
      </c>
      <c r="G10783" s="67" t="s">
        <v>518</v>
      </c>
      <c r="H10783" s="69">
        <v>0.23</v>
      </c>
    </row>
    <row r="10784" spans="6:8">
      <c r="F10784" s="68" t="s">
        <v>420</v>
      </c>
      <c r="G10784" s="67" t="s">
        <v>518</v>
      </c>
      <c r="H10784" s="69">
        <v>3.4820134464127683</v>
      </c>
    </row>
    <row r="10785" spans="6:8">
      <c r="F10785" s="68" t="s">
        <v>122</v>
      </c>
      <c r="G10785" s="67" t="s">
        <v>518</v>
      </c>
      <c r="H10785" s="69">
        <v>-0.45</v>
      </c>
    </row>
    <row r="10786" spans="6:8">
      <c r="F10786" s="68" t="s">
        <v>123</v>
      </c>
      <c r="G10786" s="67" t="s">
        <v>518</v>
      </c>
      <c r="H10786" s="69">
        <v>-0.65</v>
      </c>
    </row>
    <row r="10787" spans="6:8">
      <c r="F10787" s="68" t="s">
        <v>124</v>
      </c>
      <c r="G10787" s="67" t="s">
        <v>518</v>
      </c>
      <c r="H10787" s="69">
        <v>-0.3</v>
      </c>
    </row>
    <row r="10788" spans="6:8">
      <c r="F10788" s="68" t="s">
        <v>252</v>
      </c>
      <c r="G10788" s="67" t="s">
        <v>518</v>
      </c>
      <c r="H10788" s="69">
        <v>0.32</v>
      </c>
    </row>
    <row r="10789" spans="6:8">
      <c r="F10789" s="68" t="s">
        <v>314</v>
      </c>
      <c r="G10789" s="67" t="s">
        <v>518</v>
      </c>
      <c r="H10789" s="69">
        <v>-0.2</v>
      </c>
    </row>
    <row r="10790" spans="6:8">
      <c r="F10790" s="68" t="s">
        <v>125</v>
      </c>
      <c r="G10790" s="67" t="s">
        <v>518</v>
      </c>
      <c r="H10790" s="69">
        <v>-0.25</v>
      </c>
    </row>
    <row r="10791" spans="6:8">
      <c r="F10791" s="68" t="s">
        <v>126</v>
      </c>
      <c r="G10791" s="67" t="s">
        <v>518</v>
      </c>
      <c r="H10791" s="69">
        <v>-0.6</v>
      </c>
    </row>
    <row r="10792" spans="6:8">
      <c r="F10792" s="68" t="s">
        <v>127</v>
      </c>
      <c r="G10792" s="67" t="s">
        <v>518</v>
      </c>
      <c r="H10792" s="69">
        <v>-0.15</v>
      </c>
    </row>
    <row r="10793" spans="6:8">
      <c r="F10793" s="68" t="s">
        <v>253</v>
      </c>
      <c r="G10793" s="67" t="s">
        <v>518</v>
      </c>
      <c r="H10793" s="69">
        <v>0.45</v>
      </c>
    </row>
    <row r="10794" spans="6:8">
      <c r="F10794" s="68" t="s">
        <v>315</v>
      </c>
      <c r="G10794" s="67" t="s">
        <v>518</v>
      </c>
      <c r="H10794" s="69">
        <v>-0.1</v>
      </c>
    </row>
    <row r="10795" spans="6:8">
      <c r="F10795" s="68" t="s">
        <v>128</v>
      </c>
      <c r="G10795" s="67" t="s">
        <v>518</v>
      </c>
      <c r="H10795" s="69">
        <v>-0.55000000000000004</v>
      </c>
    </row>
    <row r="10796" spans="6:8">
      <c r="F10796" s="68" t="s">
        <v>129</v>
      </c>
      <c r="G10796" s="67" t="s">
        <v>518</v>
      </c>
      <c r="H10796" s="69">
        <v>-0.25</v>
      </c>
    </row>
    <row r="10797" spans="6:8">
      <c r="F10797" s="68" t="s">
        <v>254</v>
      </c>
      <c r="G10797" s="67" t="s">
        <v>518</v>
      </c>
      <c r="H10797" s="69">
        <v>0.61</v>
      </c>
    </row>
    <row r="10798" spans="6:8">
      <c r="F10798" s="68" t="s">
        <v>304</v>
      </c>
      <c r="G10798" s="67" t="s">
        <v>518</v>
      </c>
      <c r="H10798" s="69">
        <v>17.0625</v>
      </c>
    </row>
    <row r="10799" spans="6:8">
      <c r="F10799" s="68" t="s">
        <v>421</v>
      </c>
      <c r="G10799" s="67" t="s">
        <v>518</v>
      </c>
      <c r="H10799" s="69">
        <v>2.5343838997692991</v>
      </c>
    </row>
    <row r="10800" spans="6:8">
      <c r="F10800" s="68" t="s">
        <v>130</v>
      </c>
      <c r="G10800" s="67" t="s">
        <v>518</v>
      </c>
      <c r="H10800" s="69">
        <v>-0.6</v>
      </c>
    </row>
    <row r="10801" spans="6:8">
      <c r="F10801" s="68" t="s">
        <v>131</v>
      </c>
      <c r="G10801" s="67" t="s">
        <v>518</v>
      </c>
      <c r="H10801" s="69">
        <v>-0.35</v>
      </c>
    </row>
    <row r="10802" spans="6:8">
      <c r="F10802" s="68" t="s">
        <v>255</v>
      </c>
      <c r="G10802" s="67" t="s">
        <v>518</v>
      </c>
      <c r="H10802" s="69">
        <v>0.8</v>
      </c>
    </row>
    <row r="10803" spans="6:8">
      <c r="F10803" s="68" t="s">
        <v>303</v>
      </c>
      <c r="G10803" s="67" t="s">
        <v>518</v>
      </c>
      <c r="H10803" s="69">
        <v>18.1875</v>
      </c>
    </row>
    <row r="10804" spans="6:8">
      <c r="F10804" s="68" t="s">
        <v>422</v>
      </c>
      <c r="G10804" s="67" t="s">
        <v>518</v>
      </c>
      <c r="H10804" s="69">
        <v>2.5399826893794941</v>
      </c>
    </row>
    <row r="10805" spans="6:8">
      <c r="F10805" s="68" t="s">
        <v>132</v>
      </c>
      <c r="G10805" s="67" t="s">
        <v>518</v>
      </c>
      <c r="H10805" s="69">
        <v>-0.55000000000000004</v>
      </c>
    </row>
    <row r="10806" spans="6:8">
      <c r="F10806" s="68" t="s">
        <v>133</v>
      </c>
      <c r="G10806" s="67" t="s">
        <v>518</v>
      </c>
      <c r="H10806" s="69">
        <v>-0.4</v>
      </c>
    </row>
    <row r="10807" spans="6:8">
      <c r="F10807" s="68" t="s">
        <v>256</v>
      </c>
      <c r="G10807" s="67" t="s">
        <v>518</v>
      </c>
      <c r="H10807" s="69">
        <v>0.96</v>
      </c>
    </row>
    <row r="10808" spans="6:8">
      <c r="F10808" s="68" t="s">
        <v>423</v>
      </c>
      <c r="G10808" s="67" t="s">
        <v>518</v>
      </c>
      <c r="H10808" s="69">
        <v>2.5851483951603083</v>
      </c>
    </row>
    <row r="10809" spans="6:8">
      <c r="F10809" s="68" t="s">
        <v>134</v>
      </c>
      <c r="G10809" s="67" t="s">
        <v>518</v>
      </c>
      <c r="H10809" s="69">
        <v>-0.55000000000000004</v>
      </c>
    </row>
    <row r="10810" spans="6:8">
      <c r="F10810" s="68" t="s">
        <v>135</v>
      </c>
      <c r="G10810" s="67" t="s">
        <v>518</v>
      </c>
      <c r="H10810" s="69">
        <v>-0.4</v>
      </c>
    </row>
    <row r="10811" spans="6:8">
      <c r="F10811" s="68" t="s">
        <v>257</v>
      </c>
      <c r="G10811" s="67" t="s">
        <v>518</v>
      </c>
      <c r="H10811" s="69">
        <v>1.04</v>
      </c>
    </row>
    <row r="10812" spans="6:8">
      <c r="F10812" s="68" t="s">
        <v>258</v>
      </c>
      <c r="G10812" s="67" t="s">
        <v>518</v>
      </c>
      <c r="H10812" s="69">
        <v>0.14000000000000001</v>
      </c>
    </row>
    <row r="10813" spans="6:8">
      <c r="F10813" s="68" t="s">
        <v>424</v>
      </c>
      <c r="G10813" s="67" t="s">
        <v>518</v>
      </c>
      <c r="H10813" s="69">
        <v>3.3333123735215686</v>
      </c>
    </row>
    <row r="10814" spans="6:8">
      <c r="F10814" s="68" t="s">
        <v>136</v>
      </c>
      <c r="G10814" s="67" t="s">
        <v>518</v>
      </c>
      <c r="H10814" s="69">
        <v>-0.5</v>
      </c>
    </row>
    <row r="10815" spans="6:8">
      <c r="F10815" s="68" t="s">
        <v>137</v>
      </c>
      <c r="G10815" s="67" t="s">
        <v>518</v>
      </c>
      <c r="H10815" s="69">
        <v>-0.5</v>
      </c>
    </row>
    <row r="10816" spans="6:8">
      <c r="F10816" s="68" t="s">
        <v>138</v>
      </c>
      <c r="G10816" s="67" t="s">
        <v>518</v>
      </c>
      <c r="H10816" s="69">
        <v>-0.5</v>
      </c>
    </row>
    <row r="10817" spans="6:8">
      <c r="F10817" s="68" t="s">
        <v>259</v>
      </c>
      <c r="G10817" s="67" t="s">
        <v>518</v>
      </c>
      <c r="H10817" s="69">
        <v>0.17</v>
      </c>
    </row>
    <row r="10818" spans="6:8">
      <c r="F10818" s="68" t="s">
        <v>425</v>
      </c>
      <c r="G10818" s="67" t="s">
        <v>518</v>
      </c>
      <c r="H10818" s="69">
        <v>3.3391258826079184</v>
      </c>
    </row>
    <row r="10819" spans="6:8">
      <c r="F10819" s="68" t="s">
        <v>425</v>
      </c>
      <c r="G10819" s="67" t="s">
        <v>519</v>
      </c>
      <c r="H10819" s="69">
        <v>3.3945532716791682</v>
      </c>
    </row>
    <row r="10820" spans="6:8">
      <c r="F10820" s="68" t="s">
        <v>259</v>
      </c>
      <c r="G10820" s="67" t="s">
        <v>519</v>
      </c>
      <c r="H10820" s="69">
        <v>0.17</v>
      </c>
    </row>
    <row r="10821" spans="6:8">
      <c r="F10821" s="68" t="s">
        <v>138</v>
      </c>
      <c r="G10821" s="67" t="s">
        <v>519</v>
      </c>
      <c r="H10821" s="69">
        <v>-0.45</v>
      </c>
    </row>
    <row r="10822" spans="6:8">
      <c r="F10822" s="68" t="s">
        <v>137</v>
      </c>
      <c r="G10822" s="67" t="s">
        <v>519</v>
      </c>
      <c r="H10822" s="69">
        <v>-0.5</v>
      </c>
    </row>
    <row r="10823" spans="6:8">
      <c r="F10823" s="68" t="s">
        <v>136</v>
      </c>
      <c r="G10823" s="67" t="s">
        <v>519</v>
      </c>
      <c r="H10823" s="69">
        <v>-0.5</v>
      </c>
    </row>
    <row r="10824" spans="6:8">
      <c r="F10824" s="68" t="s">
        <v>424</v>
      </c>
      <c r="G10824" s="67" t="s">
        <v>519</v>
      </c>
      <c r="H10824" s="69">
        <v>3.387828480968702</v>
      </c>
    </row>
    <row r="10825" spans="6:8">
      <c r="F10825" s="68" t="s">
        <v>258</v>
      </c>
      <c r="G10825" s="67" t="s">
        <v>519</v>
      </c>
      <c r="H10825" s="69">
        <v>0.14000000000000001</v>
      </c>
    </row>
    <row r="10826" spans="6:8">
      <c r="F10826" s="68" t="s">
        <v>257</v>
      </c>
      <c r="G10826" s="67" t="s">
        <v>519</v>
      </c>
      <c r="H10826" s="69">
        <v>1.04</v>
      </c>
    </row>
    <row r="10827" spans="6:8">
      <c r="F10827" s="68" t="s">
        <v>135</v>
      </c>
      <c r="G10827" s="67" t="s">
        <v>519</v>
      </c>
      <c r="H10827" s="69">
        <v>-0.4</v>
      </c>
    </row>
    <row r="10828" spans="6:8">
      <c r="F10828" s="68" t="s">
        <v>134</v>
      </c>
      <c r="G10828" s="67" t="s">
        <v>519</v>
      </c>
      <c r="H10828" s="69">
        <v>-0.5</v>
      </c>
    </row>
    <row r="10829" spans="6:8">
      <c r="F10829" s="68" t="s">
        <v>423</v>
      </c>
      <c r="G10829" s="67" t="s">
        <v>519</v>
      </c>
      <c r="H10829" s="69">
        <v>2.6495847738775336</v>
      </c>
    </row>
    <row r="10830" spans="6:8">
      <c r="F10830" s="68" t="s">
        <v>256</v>
      </c>
      <c r="G10830" s="67" t="s">
        <v>519</v>
      </c>
      <c r="H10830" s="69">
        <v>0.96</v>
      </c>
    </row>
    <row r="10831" spans="6:8">
      <c r="F10831" s="68" t="s">
        <v>133</v>
      </c>
      <c r="G10831" s="67" t="s">
        <v>519</v>
      </c>
      <c r="H10831" s="69">
        <v>-0.4</v>
      </c>
    </row>
    <row r="10832" spans="6:8">
      <c r="F10832" s="68" t="s">
        <v>132</v>
      </c>
      <c r="G10832" s="67" t="s">
        <v>519</v>
      </c>
      <c r="H10832" s="69">
        <v>-0.5</v>
      </c>
    </row>
    <row r="10833" spans="6:8">
      <c r="F10833" s="68" t="s">
        <v>422</v>
      </c>
      <c r="G10833" s="67" t="s">
        <v>519</v>
      </c>
      <c r="H10833" s="69">
        <v>2.595360564950111</v>
      </c>
    </row>
    <row r="10834" spans="6:8">
      <c r="F10834" s="68" t="s">
        <v>303</v>
      </c>
      <c r="G10834" s="67" t="s">
        <v>519</v>
      </c>
      <c r="H10834" s="69">
        <v>18.364583333333332</v>
      </c>
    </row>
    <row r="10835" spans="6:8">
      <c r="F10835" s="68" t="s">
        <v>255</v>
      </c>
      <c r="G10835" s="67" t="s">
        <v>519</v>
      </c>
      <c r="H10835" s="69">
        <v>0.8</v>
      </c>
    </row>
    <row r="10836" spans="6:8">
      <c r="F10836" s="68" t="s">
        <v>131</v>
      </c>
      <c r="G10836" s="67" t="s">
        <v>519</v>
      </c>
      <c r="H10836" s="69">
        <v>-0.35</v>
      </c>
    </row>
    <row r="10837" spans="6:8">
      <c r="F10837" s="68" t="s">
        <v>130</v>
      </c>
      <c r="G10837" s="67" t="s">
        <v>519</v>
      </c>
      <c r="H10837" s="69">
        <v>-0.6</v>
      </c>
    </row>
    <row r="10838" spans="6:8">
      <c r="F10838" s="68" t="s">
        <v>421</v>
      </c>
      <c r="G10838" s="67" t="s">
        <v>519</v>
      </c>
      <c r="H10838" s="69">
        <v>2.5896106916552863</v>
      </c>
    </row>
    <row r="10839" spans="6:8">
      <c r="F10839" s="68" t="s">
        <v>304</v>
      </c>
      <c r="G10839" s="67" t="s">
        <v>519</v>
      </c>
      <c r="H10839" s="69">
        <v>17.166666666666668</v>
      </c>
    </row>
    <row r="10840" spans="6:8">
      <c r="F10840" s="68" t="s">
        <v>254</v>
      </c>
      <c r="G10840" s="67" t="s">
        <v>519</v>
      </c>
      <c r="H10840" s="69">
        <v>0.61</v>
      </c>
    </row>
    <row r="10841" spans="6:8">
      <c r="F10841" s="68" t="s">
        <v>129</v>
      </c>
      <c r="G10841" s="67" t="s">
        <v>519</v>
      </c>
      <c r="H10841" s="69">
        <v>-0.25</v>
      </c>
    </row>
    <row r="10842" spans="6:8">
      <c r="F10842" s="68" t="s">
        <v>128</v>
      </c>
      <c r="G10842" s="67" t="s">
        <v>519</v>
      </c>
      <c r="H10842" s="69">
        <v>-0.55000000000000004</v>
      </c>
    </row>
    <row r="10843" spans="6:8">
      <c r="F10843" s="68" t="s">
        <v>315</v>
      </c>
      <c r="G10843" s="67" t="s">
        <v>519</v>
      </c>
      <c r="H10843" s="69">
        <v>-0.1</v>
      </c>
    </row>
    <row r="10844" spans="6:8">
      <c r="F10844" s="68" t="s">
        <v>253</v>
      </c>
      <c r="G10844" s="67" t="s">
        <v>519</v>
      </c>
      <c r="H10844" s="69">
        <v>0.45</v>
      </c>
    </row>
    <row r="10845" spans="6:8">
      <c r="F10845" s="68" t="s">
        <v>127</v>
      </c>
      <c r="G10845" s="67" t="s">
        <v>519</v>
      </c>
      <c r="H10845" s="69">
        <v>-0.15</v>
      </c>
    </row>
    <row r="10846" spans="6:8">
      <c r="F10846" s="68" t="s">
        <v>126</v>
      </c>
      <c r="G10846" s="67" t="s">
        <v>519</v>
      </c>
      <c r="H10846" s="69">
        <v>-0.6</v>
      </c>
    </row>
    <row r="10847" spans="6:8">
      <c r="F10847" s="68" t="s">
        <v>125</v>
      </c>
      <c r="G10847" s="67" t="s">
        <v>519</v>
      </c>
      <c r="H10847" s="69">
        <v>-0.2</v>
      </c>
    </row>
    <row r="10848" spans="6:8">
      <c r="F10848" s="68" t="s">
        <v>314</v>
      </c>
      <c r="G10848" s="67" t="s">
        <v>519</v>
      </c>
      <c r="H10848" s="69">
        <v>-0.15</v>
      </c>
    </row>
    <row r="10849" spans="6:8">
      <c r="F10849" s="68" t="s">
        <v>252</v>
      </c>
      <c r="G10849" s="67" t="s">
        <v>519</v>
      </c>
      <c r="H10849" s="69">
        <v>0.32</v>
      </c>
    </row>
    <row r="10850" spans="6:8">
      <c r="F10850" s="68" t="s">
        <v>124</v>
      </c>
      <c r="G10850" s="67" t="s">
        <v>519</v>
      </c>
      <c r="H10850" s="69">
        <v>-0.25</v>
      </c>
    </row>
    <row r="10851" spans="6:8">
      <c r="F10851" s="68" t="s">
        <v>123</v>
      </c>
      <c r="G10851" s="67" t="s">
        <v>519</v>
      </c>
      <c r="H10851" s="69">
        <v>-0.65</v>
      </c>
    </row>
    <row r="10852" spans="6:8">
      <c r="F10852" s="68" t="s">
        <v>122</v>
      </c>
      <c r="G10852" s="67" t="s">
        <v>519</v>
      </c>
      <c r="H10852" s="69">
        <v>-0.35</v>
      </c>
    </row>
    <row r="10853" spans="6:8">
      <c r="F10853" s="68" t="s">
        <v>420</v>
      </c>
      <c r="G10853" s="67" t="s">
        <v>519</v>
      </c>
      <c r="H10853" s="69">
        <v>3.5357542357862481</v>
      </c>
    </row>
    <row r="10854" spans="6:8">
      <c r="F10854" s="68" t="s">
        <v>251</v>
      </c>
      <c r="G10854" s="67" t="s">
        <v>519</v>
      </c>
      <c r="H10854" s="69">
        <v>0.23</v>
      </c>
    </row>
    <row r="10855" spans="6:8">
      <c r="F10855" s="68" t="s">
        <v>121</v>
      </c>
      <c r="G10855" s="67" t="s">
        <v>519</v>
      </c>
      <c r="H10855" s="69">
        <v>-0.4</v>
      </c>
    </row>
    <row r="10856" spans="6:8">
      <c r="F10856" s="68" t="s">
        <v>120</v>
      </c>
      <c r="G10856" s="67" t="s">
        <v>519</v>
      </c>
      <c r="H10856" s="69">
        <v>-0.5</v>
      </c>
    </row>
    <row r="10857" spans="6:8">
      <c r="F10857" s="68" t="s">
        <v>119</v>
      </c>
      <c r="G10857" s="67" t="s">
        <v>519</v>
      </c>
      <c r="H10857" s="69">
        <v>-0.4</v>
      </c>
    </row>
    <row r="10858" spans="6:8">
      <c r="F10858" s="68" t="s">
        <v>119</v>
      </c>
      <c r="G10858" s="67" t="s">
        <v>520</v>
      </c>
      <c r="H10858" s="69">
        <v>-0.4</v>
      </c>
    </row>
    <row r="10859" spans="6:8">
      <c r="F10859" s="68" t="s">
        <v>120</v>
      </c>
      <c r="G10859" s="67" t="s">
        <v>520</v>
      </c>
      <c r="H10859" s="69">
        <v>-0.5</v>
      </c>
    </row>
    <row r="10860" spans="6:8">
      <c r="F10860" s="68" t="s">
        <v>121</v>
      </c>
      <c r="G10860" s="67" t="s">
        <v>520</v>
      </c>
      <c r="H10860" s="69">
        <v>-0.4</v>
      </c>
    </row>
    <row r="10861" spans="6:8">
      <c r="F10861" s="68" t="s">
        <v>251</v>
      </c>
      <c r="G10861" s="67" t="s">
        <v>520</v>
      </c>
      <c r="H10861" s="69">
        <v>0.23</v>
      </c>
    </row>
    <row r="10862" spans="6:8">
      <c r="F10862" s="68" t="s">
        <v>420</v>
      </c>
      <c r="G10862" s="67" t="s">
        <v>520</v>
      </c>
      <c r="H10862" s="69">
        <v>3.5521293611691984</v>
      </c>
    </row>
    <row r="10863" spans="6:8">
      <c r="F10863" s="68" t="s">
        <v>122</v>
      </c>
      <c r="G10863" s="67" t="s">
        <v>520</v>
      </c>
      <c r="H10863" s="69">
        <v>-0.35</v>
      </c>
    </row>
    <row r="10864" spans="6:8">
      <c r="F10864" s="68" t="s">
        <v>123</v>
      </c>
      <c r="G10864" s="67" t="s">
        <v>520</v>
      </c>
      <c r="H10864" s="69">
        <v>-0.65</v>
      </c>
    </row>
    <row r="10865" spans="6:8">
      <c r="F10865" s="68" t="s">
        <v>124</v>
      </c>
      <c r="G10865" s="67" t="s">
        <v>520</v>
      </c>
      <c r="H10865" s="69">
        <v>-0.25</v>
      </c>
    </row>
    <row r="10866" spans="6:8">
      <c r="F10866" s="68" t="s">
        <v>252</v>
      </c>
      <c r="G10866" s="67" t="s">
        <v>520</v>
      </c>
      <c r="H10866" s="69">
        <v>0.32</v>
      </c>
    </row>
    <row r="10867" spans="6:8">
      <c r="F10867" s="68" t="s">
        <v>314</v>
      </c>
      <c r="G10867" s="67" t="s">
        <v>520</v>
      </c>
      <c r="H10867" s="69">
        <v>-0.15</v>
      </c>
    </row>
    <row r="10868" spans="6:8">
      <c r="F10868" s="68" t="s">
        <v>125</v>
      </c>
      <c r="G10868" s="67" t="s">
        <v>520</v>
      </c>
      <c r="H10868" s="69">
        <v>-0.2</v>
      </c>
    </row>
    <row r="10869" spans="6:8">
      <c r="F10869" s="68" t="s">
        <v>126</v>
      </c>
      <c r="G10869" s="67" t="s">
        <v>520</v>
      </c>
      <c r="H10869" s="69">
        <v>-0.6</v>
      </c>
    </row>
    <row r="10870" spans="6:8">
      <c r="F10870" s="68" t="s">
        <v>127</v>
      </c>
      <c r="G10870" s="67" t="s">
        <v>520</v>
      </c>
      <c r="H10870" s="69">
        <v>-0.15</v>
      </c>
    </row>
    <row r="10871" spans="6:8">
      <c r="F10871" s="68" t="s">
        <v>253</v>
      </c>
      <c r="G10871" s="67" t="s">
        <v>520</v>
      </c>
      <c r="H10871" s="69">
        <v>0.45</v>
      </c>
    </row>
    <row r="10872" spans="6:8">
      <c r="F10872" s="68" t="s">
        <v>315</v>
      </c>
      <c r="G10872" s="67" t="s">
        <v>520</v>
      </c>
      <c r="H10872" s="69">
        <v>-0.1</v>
      </c>
    </row>
    <row r="10873" spans="6:8">
      <c r="F10873" s="68" t="s">
        <v>128</v>
      </c>
      <c r="G10873" s="67" t="s">
        <v>520</v>
      </c>
      <c r="H10873" s="69">
        <v>-0.55000000000000004</v>
      </c>
    </row>
    <row r="10874" spans="6:8">
      <c r="F10874" s="68" t="s">
        <v>129</v>
      </c>
      <c r="G10874" s="67" t="s">
        <v>520</v>
      </c>
      <c r="H10874" s="69">
        <v>-0.25</v>
      </c>
    </row>
    <row r="10875" spans="6:8">
      <c r="F10875" s="68" t="s">
        <v>254</v>
      </c>
      <c r="G10875" s="67" t="s">
        <v>520</v>
      </c>
      <c r="H10875" s="69">
        <v>0.61</v>
      </c>
    </row>
    <row r="10876" spans="6:8">
      <c r="F10876" s="68" t="s">
        <v>304</v>
      </c>
      <c r="G10876" s="67" t="s">
        <v>520</v>
      </c>
      <c r="H10876" s="69">
        <v>17.041666666666668</v>
      </c>
    </row>
    <row r="10877" spans="6:8">
      <c r="F10877" s="68" t="s">
        <v>421</v>
      </c>
      <c r="G10877" s="67" t="s">
        <v>520</v>
      </c>
      <c r="H10877" s="69">
        <v>2.5784970974985555</v>
      </c>
    </row>
    <row r="10878" spans="6:8">
      <c r="F10878" s="68" t="s">
        <v>130</v>
      </c>
      <c r="G10878" s="67" t="s">
        <v>520</v>
      </c>
      <c r="H10878" s="69">
        <v>-0.6</v>
      </c>
    </row>
    <row r="10879" spans="6:8">
      <c r="F10879" s="68" t="s">
        <v>131</v>
      </c>
      <c r="G10879" s="67" t="s">
        <v>520</v>
      </c>
      <c r="H10879" s="69">
        <v>-0.35</v>
      </c>
    </row>
    <row r="10880" spans="6:8">
      <c r="F10880" s="68" t="s">
        <v>255</v>
      </c>
      <c r="G10880" s="67" t="s">
        <v>520</v>
      </c>
      <c r="H10880" s="69">
        <v>0.8</v>
      </c>
    </row>
    <row r="10881" spans="6:8">
      <c r="F10881" s="68" t="s">
        <v>303</v>
      </c>
      <c r="G10881" s="67" t="s">
        <v>520</v>
      </c>
      <c r="H10881" s="69">
        <v>18.3125</v>
      </c>
    </row>
    <row r="10882" spans="6:8">
      <c r="F10882" s="68" t="s">
        <v>422</v>
      </c>
      <c r="G10882" s="67" t="s">
        <v>520</v>
      </c>
      <c r="H10882" s="69">
        <v>2.5842364244354155</v>
      </c>
    </row>
    <row r="10883" spans="6:8">
      <c r="F10883" s="68" t="s">
        <v>132</v>
      </c>
      <c r="G10883" s="67" t="s">
        <v>520</v>
      </c>
      <c r="H10883" s="69">
        <v>-0.5</v>
      </c>
    </row>
    <row r="10884" spans="6:8">
      <c r="F10884" s="68" t="s">
        <v>133</v>
      </c>
      <c r="G10884" s="67" t="s">
        <v>520</v>
      </c>
      <c r="H10884" s="69">
        <v>-0.4</v>
      </c>
    </row>
    <row r="10885" spans="6:8">
      <c r="F10885" s="68" t="s">
        <v>256</v>
      </c>
      <c r="G10885" s="67" t="s">
        <v>520</v>
      </c>
      <c r="H10885" s="69">
        <v>0.96</v>
      </c>
    </row>
    <row r="10886" spans="6:8">
      <c r="F10886" s="68" t="s">
        <v>423</v>
      </c>
      <c r="G10886" s="67" t="s">
        <v>520</v>
      </c>
      <c r="H10886" s="69">
        <v>2.6419835266010772</v>
      </c>
    </row>
    <row r="10887" spans="6:8">
      <c r="F10887" s="68" t="s">
        <v>134</v>
      </c>
      <c r="G10887" s="67" t="s">
        <v>520</v>
      </c>
      <c r="H10887" s="69">
        <v>-0.5</v>
      </c>
    </row>
    <row r="10888" spans="6:8">
      <c r="F10888" s="68" t="s">
        <v>135</v>
      </c>
      <c r="G10888" s="67" t="s">
        <v>520</v>
      </c>
      <c r="H10888" s="69">
        <v>-0.4</v>
      </c>
    </row>
    <row r="10889" spans="6:8">
      <c r="F10889" s="68" t="s">
        <v>257</v>
      </c>
      <c r="G10889" s="67" t="s">
        <v>520</v>
      </c>
      <c r="H10889" s="69">
        <v>1.04</v>
      </c>
    </row>
    <row r="10890" spans="6:8">
      <c r="F10890" s="68" t="s">
        <v>258</v>
      </c>
      <c r="G10890" s="67" t="s">
        <v>520</v>
      </c>
      <c r="H10890" s="69">
        <v>0.14000000000000001</v>
      </c>
    </row>
    <row r="10891" spans="6:8">
      <c r="F10891" s="68" t="s">
        <v>424</v>
      </c>
      <c r="G10891" s="67" t="s">
        <v>520</v>
      </c>
      <c r="H10891" s="69">
        <v>3.3603172275239235</v>
      </c>
    </row>
    <row r="10892" spans="6:8">
      <c r="F10892" s="68" t="s">
        <v>136</v>
      </c>
      <c r="G10892" s="67" t="s">
        <v>520</v>
      </c>
      <c r="H10892" s="69">
        <v>-0.5</v>
      </c>
    </row>
    <row r="10893" spans="6:8">
      <c r="F10893" s="68" t="s">
        <v>137</v>
      </c>
      <c r="G10893" s="67" t="s">
        <v>520</v>
      </c>
      <c r="H10893" s="69">
        <v>-0.5</v>
      </c>
    </row>
    <row r="10894" spans="6:8">
      <c r="F10894" s="68" t="s">
        <v>138</v>
      </c>
      <c r="G10894" s="67" t="s">
        <v>520</v>
      </c>
      <c r="H10894" s="69">
        <v>-0.45</v>
      </c>
    </row>
    <row r="10895" spans="6:8">
      <c r="F10895" s="68" t="s">
        <v>259</v>
      </c>
      <c r="G10895" s="67" t="s">
        <v>520</v>
      </c>
      <c r="H10895" s="69">
        <v>0.17</v>
      </c>
    </row>
    <row r="10896" spans="6:8">
      <c r="F10896" s="68" t="s">
        <v>425</v>
      </c>
      <c r="G10896" s="67" t="s">
        <v>520</v>
      </c>
      <c r="H10896" s="69">
        <v>3.3695193472245144</v>
      </c>
    </row>
    <row r="10897" spans="6:8">
      <c r="F10897" s="68" t="s">
        <v>425</v>
      </c>
      <c r="G10897" s="67" t="s">
        <v>521</v>
      </c>
      <c r="H10897" s="69">
        <v>3.3476465743666584</v>
      </c>
    </row>
    <row r="10898" spans="6:8">
      <c r="F10898" s="68" t="s">
        <v>259</v>
      </c>
      <c r="G10898" s="67" t="s">
        <v>521</v>
      </c>
      <c r="H10898" s="69">
        <v>0.17</v>
      </c>
    </row>
    <row r="10899" spans="6:8">
      <c r="F10899" s="68" t="s">
        <v>138</v>
      </c>
      <c r="G10899" s="67" t="s">
        <v>521</v>
      </c>
      <c r="H10899" s="69">
        <v>-0.45</v>
      </c>
    </row>
    <row r="10900" spans="6:8">
      <c r="F10900" s="68" t="s">
        <v>137</v>
      </c>
      <c r="G10900" s="67" t="s">
        <v>521</v>
      </c>
      <c r="H10900" s="69">
        <v>-0.5</v>
      </c>
    </row>
    <row r="10901" spans="6:8">
      <c r="F10901" s="68" t="s">
        <v>136</v>
      </c>
      <c r="G10901" s="67" t="s">
        <v>521</v>
      </c>
      <c r="H10901" s="69">
        <v>-0.5</v>
      </c>
    </row>
    <row r="10902" spans="6:8">
      <c r="F10902" s="68" t="s">
        <v>424</v>
      </c>
      <c r="G10902" s="67" t="s">
        <v>521</v>
      </c>
      <c r="H10902" s="69">
        <v>3.3396446178148853</v>
      </c>
    </row>
    <row r="10903" spans="6:8">
      <c r="F10903" s="68" t="s">
        <v>258</v>
      </c>
      <c r="G10903" s="67" t="s">
        <v>521</v>
      </c>
      <c r="H10903" s="69">
        <v>0.14000000000000001</v>
      </c>
    </row>
    <row r="10904" spans="6:8">
      <c r="F10904" s="68" t="s">
        <v>257</v>
      </c>
      <c r="G10904" s="67" t="s">
        <v>521</v>
      </c>
      <c r="H10904" s="69">
        <v>1.04</v>
      </c>
    </row>
    <row r="10905" spans="6:8">
      <c r="F10905" s="68" t="s">
        <v>135</v>
      </c>
      <c r="G10905" s="67" t="s">
        <v>521</v>
      </c>
      <c r="H10905" s="69">
        <v>-0.4</v>
      </c>
    </row>
    <row r="10906" spans="6:8">
      <c r="F10906" s="68" t="s">
        <v>134</v>
      </c>
      <c r="G10906" s="67" t="s">
        <v>521</v>
      </c>
      <c r="H10906" s="69">
        <v>-0.5</v>
      </c>
    </row>
    <row r="10907" spans="6:8">
      <c r="F10907" s="68" t="s">
        <v>423</v>
      </c>
      <c r="G10907" s="67" t="s">
        <v>521</v>
      </c>
      <c r="H10907" s="69">
        <v>2.6148986771202587</v>
      </c>
    </row>
    <row r="10908" spans="6:8">
      <c r="F10908" s="68" t="s">
        <v>256</v>
      </c>
      <c r="G10908" s="67" t="s">
        <v>521</v>
      </c>
      <c r="H10908" s="69">
        <v>0.96</v>
      </c>
    </row>
    <row r="10909" spans="6:8">
      <c r="F10909" s="68" t="s">
        <v>133</v>
      </c>
      <c r="G10909" s="67" t="s">
        <v>521</v>
      </c>
      <c r="H10909" s="69">
        <v>-0.4</v>
      </c>
    </row>
    <row r="10910" spans="6:8">
      <c r="F10910" s="68" t="s">
        <v>132</v>
      </c>
      <c r="G10910" s="67" t="s">
        <v>521</v>
      </c>
      <c r="H10910" s="69">
        <v>-0.5</v>
      </c>
    </row>
    <row r="10911" spans="6:8">
      <c r="F10911" s="68" t="s">
        <v>422</v>
      </c>
      <c r="G10911" s="67" t="s">
        <v>521</v>
      </c>
      <c r="H10911" s="69">
        <v>2.5618228957939415</v>
      </c>
    </row>
    <row r="10912" spans="6:8">
      <c r="F10912" s="68" t="s">
        <v>303</v>
      </c>
      <c r="G10912" s="67" t="s">
        <v>521</v>
      </c>
      <c r="H10912" s="69">
        <v>18.322916666666668</v>
      </c>
    </row>
    <row r="10913" spans="6:8">
      <c r="F10913" s="68" t="s">
        <v>255</v>
      </c>
      <c r="G10913" s="67" t="s">
        <v>521</v>
      </c>
      <c r="H10913" s="69">
        <v>0.8</v>
      </c>
    </row>
    <row r="10914" spans="6:8">
      <c r="F10914" s="68" t="s">
        <v>131</v>
      </c>
      <c r="G10914" s="67" t="s">
        <v>521</v>
      </c>
      <c r="H10914" s="69">
        <v>-0.35</v>
      </c>
    </row>
    <row r="10915" spans="6:8">
      <c r="F10915" s="68" t="s">
        <v>130</v>
      </c>
      <c r="G10915" s="67" t="s">
        <v>521</v>
      </c>
      <c r="H10915" s="69">
        <v>-0.6</v>
      </c>
    </row>
    <row r="10916" spans="6:8">
      <c r="F10916" s="68" t="s">
        <v>421</v>
      </c>
      <c r="G10916" s="67" t="s">
        <v>521</v>
      </c>
      <c r="H10916" s="69">
        <v>2.5561051906522358</v>
      </c>
    </row>
    <row r="10917" spans="6:8">
      <c r="F10917" s="68" t="s">
        <v>304</v>
      </c>
      <c r="G10917" s="67" t="s">
        <v>521</v>
      </c>
      <c r="H10917" s="69">
        <v>17.052083333333332</v>
      </c>
    </row>
    <row r="10918" spans="6:8">
      <c r="F10918" s="68" t="s">
        <v>254</v>
      </c>
      <c r="G10918" s="67" t="s">
        <v>521</v>
      </c>
      <c r="H10918" s="69">
        <v>0.61</v>
      </c>
    </row>
    <row r="10919" spans="6:8">
      <c r="F10919" s="68" t="s">
        <v>129</v>
      </c>
      <c r="G10919" s="67" t="s">
        <v>521</v>
      </c>
      <c r="H10919" s="69">
        <v>-0.25</v>
      </c>
    </row>
    <row r="10920" spans="6:8">
      <c r="F10920" s="68" t="s">
        <v>128</v>
      </c>
      <c r="G10920" s="67" t="s">
        <v>521</v>
      </c>
      <c r="H10920" s="69">
        <v>-0.55000000000000004</v>
      </c>
    </row>
    <row r="10921" spans="6:8">
      <c r="F10921" s="68" t="s">
        <v>315</v>
      </c>
      <c r="G10921" s="67" t="s">
        <v>521</v>
      </c>
      <c r="H10921" s="69">
        <v>-0.1</v>
      </c>
    </row>
    <row r="10922" spans="6:8">
      <c r="F10922" s="68" t="s">
        <v>253</v>
      </c>
      <c r="G10922" s="67" t="s">
        <v>521</v>
      </c>
      <c r="H10922" s="69">
        <v>0.45</v>
      </c>
    </row>
    <row r="10923" spans="6:8">
      <c r="F10923" s="68" t="s">
        <v>127</v>
      </c>
      <c r="G10923" s="67" t="s">
        <v>521</v>
      </c>
      <c r="H10923" s="69">
        <v>-0.15</v>
      </c>
    </row>
    <row r="10924" spans="6:8">
      <c r="F10924" s="68" t="s">
        <v>126</v>
      </c>
      <c r="G10924" s="67" t="s">
        <v>521</v>
      </c>
      <c r="H10924" s="69">
        <v>-0.6</v>
      </c>
    </row>
    <row r="10925" spans="6:8">
      <c r="F10925" s="68" t="s">
        <v>125</v>
      </c>
      <c r="G10925" s="67" t="s">
        <v>521</v>
      </c>
      <c r="H10925" s="69">
        <v>-0.2</v>
      </c>
    </row>
    <row r="10926" spans="6:8">
      <c r="F10926" s="68" t="s">
        <v>314</v>
      </c>
      <c r="G10926" s="67" t="s">
        <v>521</v>
      </c>
      <c r="H10926" s="69">
        <v>-0.15</v>
      </c>
    </row>
    <row r="10927" spans="6:8">
      <c r="F10927" s="68" t="s">
        <v>252</v>
      </c>
      <c r="G10927" s="67" t="s">
        <v>521</v>
      </c>
      <c r="H10927" s="69">
        <v>0.32</v>
      </c>
    </row>
    <row r="10928" spans="6:8">
      <c r="F10928" s="68" t="s">
        <v>124</v>
      </c>
      <c r="G10928" s="67" t="s">
        <v>521</v>
      </c>
      <c r="H10928" s="69">
        <v>-0.25</v>
      </c>
    </row>
    <row r="10929" spans="6:8">
      <c r="F10929" s="68" t="s">
        <v>123</v>
      </c>
      <c r="G10929" s="67" t="s">
        <v>521</v>
      </c>
      <c r="H10929" s="69">
        <v>-0.65</v>
      </c>
    </row>
    <row r="10930" spans="6:8">
      <c r="F10930" s="68" t="s">
        <v>122</v>
      </c>
      <c r="G10930" s="67" t="s">
        <v>521</v>
      </c>
      <c r="H10930" s="69">
        <v>-0.35</v>
      </c>
    </row>
    <row r="10931" spans="6:8">
      <c r="F10931" s="68" t="s">
        <v>420</v>
      </c>
      <c r="G10931" s="67" t="s">
        <v>521</v>
      </c>
      <c r="H10931" s="69">
        <v>3.535772171306828</v>
      </c>
    </row>
    <row r="10932" spans="6:8">
      <c r="F10932" s="68" t="s">
        <v>251</v>
      </c>
      <c r="G10932" s="67" t="s">
        <v>521</v>
      </c>
      <c r="H10932" s="69">
        <v>0.23</v>
      </c>
    </row>
    <row r="10933" spans="6:8">
      <c r="F10933" s="68" t="s">
        <v>121</v>
      </c>
      <c r="G10933" s="67" t="s">
        <v>521</v>
      </c>
      <c r="H10933" s="69">
        <v>-0.4</v>
      </c>
    </row>
    <row r="10934" spans="6:8">
      <c r="F10934" s="68" t="s">
        <v>120</v>
      </c>
      <c r="G10934" s="67" t="s">
        <v>521</v>
      </c>
      <c r="H10934" s="69">
        <v>-0.5</v>
      </c>
    </row>
    <row r="10935" spans="6:8">
      <c r="F10935" s="68" t="s">
        <v>119</v>
      </c>
      <c r="G10935" s="67" t="s">
        <v>521</v>
      </c>
      <c r="H10935" s="69">
        <v>-0.4</v>
      </c>
    </row>
    <row r="10936" spans="6:8">
      <c r="F10936" s="68" t="s">
        <v>119</v>
      </c>
      <c r="G10936" s="67" t="s">
        <v>522</v>
      </c>
      <c r="H10936" s="69">
        <v>-0.4</v>
      </c>
    </row>
    <row r="10937" spans="6:8">
      <c r="F10937" s="68" t="s">
        <v>120</v>
      </c>
      <c r="G10937" s="67" t="s">
        <v>522</v>
      </c>
      <c r="H10937" s="69">
        <v>-0.5</v>
      </c>
    </row>
    <row r="10938" spans="6:8">
      <c r="F10938" s="68" t="s">
        <v>121</v>
      </c>
      <c r="G10938" s="67" t="s">
        <v>522</v>
      </c>
      <c r="H10938" s="69">
        <v>-0.4</v>
      </c>
    </row>
    <row r="10939" spans="6:8">
      <c r="F10939" s="68" t="s">
        <v>251</v>
      </c>
      <c r="G10939" s="67" t="s">
        <v>522</v>
      </c>
      <c r="H10939" s="69">
        <v>0.23</v>
      </c>
    </row>
    <row r="10940" spans="6:8">
      <c r="F10940" s="68" t="s">
        <v>420</v>
      </c>
      <c r="G10940" s="67" t="s">
        <v>522</v>
      </c>
      <c r="H10940" s="69">
        <v>3.4994627868237149</v>
      </c>
    </row>
    <row r="10941" spans="6:8">
      <c r="F10941" s="68" t="s">
        <v>122</v>
      </c>
      <c r="G10941" s="67" t="s">
        <v>522</v>
      </c>
      <c r="H10941" s="69">
        <v>-0.35</v>
      </c>
    </row>
    <row r="10942" spans="6:8">
      <c r="F10942" s="68" t="s">
        <v>123</v>
      </c>
      <c r="G10942" s="67" t="s">
        <v>522</v>
      </c>
      <c r="H10942" s="69">
        <v>-0.65</v>
      </c>
    </row>
    <row r="10943" spans="6:8">
      <c r="F10943" s="68" t="s">
        <v>124</v>
      </c>
      <c r="G10943" s="67" t="s">
        <v>522</v>
      </c>
      <c r="H10943" s="69">
        <v>-0.25</v>
      </c>
    </row>
    <row r="10944" spans="6:8">
      <c r="F10944" s="68" t="s">
        <v>252</v>
      </c>
      <c r="G10944" s="67" t="s">
        <v>522</v>
      </c>
      <c r="H10944" s="69">
        <v>0.32</v>
      </c>
    </row>
    <row r="10945" spans="6:8">
      <c r="F10945" s="68" t="s">
        <v>314</v>
      </c>
      <c r="G10945" s="67" t="s">
        <v>522</v>
      </c>
      <c r="H10945" s="69">
        <v>-0.15</v>
      </c>
    </row>
    <row r="10946" spans="6:8">
      <c r="F10946" s="68" t="s">
        <v>125</v>
      </c>
      <c r="G10946" s="67" t="s">
        <v>522</v>
      </c>
      <c r="H10946" s="69">
        <v>-0.2</v>
      </c>
    </row>
    <row r="10947" spans="6:8">
      <c r="F10947" s="68" t="s">
        <v>126</v>
      </c>
      <c r="G10947" s="67" t="s">
        <v>522</v>
      </c>
      <c r="H10947" s="69">
        <v>-0.6</v>
      </c>
    </row>
    <row r="10948" spans="6:8">
      <c r="F10948" s="68" t="s">
        <v>127</v>
      </c>
      <c r="G10948" s="67" t="s">
        <v>522</v>
      </c>
      <c r="H10948" s="69">
        <v>-0.15</v>
      </c>
    </row>
    <row r="10949" spans="6:8">
      <c r="F10949" s="68" t="s">
        <v>253</v>
      </c>
      <c r="G10949" s="67" t="s">
        <v>522</v>
      </c>
      <c r="H10949" s="69">
        <v>0.45</v>
      </c>
    </row>
    <row r="10950" spans="6:8">
      <c r="F10950" s="68" t="s">
        <v>315</v>
      </c>
      <c r="G10950" s="67" t="s">
        <v>522</v>
      </c>
      <c r="H10950" s="69">
        <v>-0.1</v>
      </c>
    </row>
    <row r="10951" spans="6:8">
      <c r="F10951" s="68" t="s">
        <v>128</v>
      </c>
      <c r="G10951" s="67" t="s">
        <v>522</v>
      </c>
      <c r="H10951" s="69">
        <v>-0.55000000000000004</v>
      </c>
    </row>
    <row r="10952" spans="6:8">
      <c r="F10952" s="68" t="s">
        <v>129</v>
      </c>
      <c r="G10952" s="67" t="s">
        <v>522</v>
      </c>
      <c r="H10952" s="69">
        <v>-0.25</v>
      </c>
    </row>
    <row r="10953" spans="6:8">
      <c r="F10953" s="68" t="s">
        <v>254</v>
      </c>
      <c r="G10953" s="67" t="s">
        <v>522</v>
      </c>
      <c r="H10953" s="69">
        <v>0.61</v>
      </c>
    </row>
    <row r="10954" spans="6:8">
      <c r="F10954" s="68" t="s">
        <v>304</v>
      </c>
      <c r="G10954" s="67" t="s">
        <v>522</v>
      </c>
      <c r="H10954" s="69">
        <v>17.125</v>
      </c>
    </row>
    <row r="10955" spans="6:8">
      <c r="F10955" s="68" t="s">
        <v>421</v>
      </c>
      <c r="G10955" s="67" t="s">
        <v>522</v>
      </c>
      <c r="H10955" s="69">
        <v>2.5567601767753079</v>
      </c>
    </row>
    <row r="10956" spans="6:8">
      <c r="F10956" s="68" t="s">
        <v>130</v>
      </c>
      <c r="G10956" s="67" t="s">
        <v>522</v>
      </c>
      <c r="H10956" s="69">
        <v>-0.6</v>
      </c>
    </row>
    <row r="10957" spans="6:8">
      <c r="F10957" s="68" t="s">
        <v>131</v>
      </c>
      <c r="G10957" s="67" t="s">
        <v>522</v>
      </c>
      <c r="H10957" s="69">
        <v>-0.35</v>
      </c>
    </row>
    <row r="10958" spans="6:8">
      <c r="F10958" s="68" t="s">
        <v>255</v>
      </c>
      <c r="G10958" s="67" t="s">
        <v>522</v>
      </c>
      <c r="H10958" s="69">
        <v>0.8</v>
      </c>
    </row>
    <row r="10959" spans="6:8">
      <c r="F10959" s="68" t="s">
        <v>303</v>
      </c>
      <c r="G10959" s="67" t="s">
        <v>522</v>
      </c>
      <c r="H10959" s="69">
        <v>18.416666666666668</v>
      </c>
    </row>
    <row r="10960" spans="6:8">
      <c r="F10960" s="68" t="s">
        <v>422</v>
      </c>
      <c r="G10960" s="67" t="s">
        <v>522</v>
      </c>
      <c r="H10960" s="69">
        <v>2.5625665629836369</v>
      </c>
    </row>
    <row r="10961" spans="6:8">
      <c r="F10961" s="68" t="s">
        <v>132</v>
      </c>
      <c r="G10961" s="67" t="s">
        <v>522</v>
      </c>
      <c r="H10961" s="69">
        <v>-0.5</v>
      </c>
    </row>
    <row r="10962" spans="6:8">
      <c r="F10962" s="68" t="s">
        <v>133</v>
      </c>
      <c r="G10962" s="67" t="s">
        <v>522</v>
      </c>
      <c r="H10962" s="69">
        <v>-0.4</v>
      </c>
    </row>
    <row r="10963" spans="6:8">
      <c r="F10963" s="68" t="s">
        <v>256</v>
      </c>
      <c r="G10963" s="67" t="s">
        <v>522</v>
      </c>
      <c r="H10963" s="69">
        <v>0.96</v>
      </c>
    </row>
    <row r="10964" spans="6:8">
      <c r="F10964" s="68" t="s">
        <v>423</v>
      </c>
      <c r="G10964" s="67" t="s">
        <v>522</v>
      </c>
      <c r="H10964" s="69">
        <v>2.586535883740293</v>
      </c>
    </row>
    <row r="10965" spans="6:8">
      <c r="F10965" s="68" t="s">
        <v>134</v>
      </c>
      <c r="G10965" s="67" t="s">
        <v>522</v>
      </c>
      <c r="H10965" s="69">
        <v>-0.5</v>
      </c>
    </row>
    <row r="10966" spans="6:8">
      <c r="F10966" s="68" t="s">
        <v>135</v>
      </c>
      <c r="G10966" s="67" t="s">
        <v>522</v>
      </c>
      <c r="H10966" s="69">
        <v>-0.4</v>
      </c>
    </row>
    <row r="10967" spans="6:8">
      <c r="F10967" s="68" t="s">
        <v>257</v>
      </c>
      <c r="G10967" s="67" t="s">
        <v>522</v>
      </c>
      <c r="H10967" s="69">
        <v>1.04</v>
      </c>
    </row>
    <row r="10968" spans="6:8">
      <c r="F10968" s="68" t="s">
        <v>258</v>
      </c>
      <c r="G10968" s="67" t="s">
        <v>522</v>
      </c>
      <c r="H10968" s="69">
        <v>0.14000000000000001</v>
      </c>
    </row>
    <row r="10969" spans="6:8">
      <c r="F10969" s="68" t="s">
        <v>424</v>
      </c>
      <c r="G10969" s="67" t="s">
        <v>522</v>
      </c>
      <c r="H10969" s="69">
        <v>3.2947770593696912</v>
      </c>
    </row>
    <row r="10970" spans="6:8">
      <c r="F10970" s="68" t="s">
        <v>136</v>
      </c>
      <c r="G10970" s="67" t="s">
        <v>522</v>
      </c>
      <c r="H10970" s="69">
        <v>-0.5</v>
      </c>
    </row>
    <row r="10971" spans="6:8">
      <c r="F10971" s="68" t="s">
        <v>137</v>
      </c>
      <c r="G10971" s="67" t="s">
        <v>522</v>
      </c>
      <c r="H10971" s="69">
        <v>-0.5</v>
      </c>
    </row>
    <row r="10972" spans="6:8">
      <c r="F10972" s="68" t="s">
        <v>138</v>
      </c>
      <c r="G10972" s="67" t="s">
        <v>522</v>
      </c>
      <c r="H10972" s="69">
        <v>-0.45</v>
      </c>
    </row>
    <row r="10973" spans="6:8">
      <c r="F10973" s="68" t="s">
        <v>259</v>
      </c>
      <c r="G10973" s="67" t="s">
        <v>522</v>
      </c>
      <c r="H10973" s="69">
        <v>0.17</v>
      </c>
    </row>
    <row r="10974" spans="6:8">
      <c r="F10974" s="68" t="s">
        <v>425</v>
      </c>
      <c r="G10974" s="67" t="s">
        <v>522</v>
      </c>
      <c r="H10974" s="69">
        <v>3.3447127734457904</v>
      </c>
    </row>
    <row r="10975" spans="6:8">
      <c r="F10975" s="68" t="s">
        <v>425</v>
      </c>
      <c r="G10975" s="67" t="s">
        <v>523</v>
      </c>
      <c r="H10975" s="69">
        <v>3.3428630149168637</v>
      </c>
    </row>
    <row r="10976" spans="6:8">
      <c r="F10976" s="68" t="s">
        <v>259</v>
      </c>
      <c r="G10976" s="67" t="s">
        <v>523</v>
      </c>
      <c r="H10976" s="69">
        <v>0.17</v>
      </c>
    </row>
    <row r="10977" spans="6:8">
      <c r="F10977" s="68" t="s">
        <v>138</v>
      </c>
      <c r="G10977" s="67" t="s">
        <v>523</v>
      </c>
      <c r="H10977" s="69">
        <v>-0.45</v>
      </c>
    </row>
    <row r="10978" spans="6:8">
      <c r="F10978" s="68" t="s">
        <v>137</v>
      </c>
      <c r="G10978" s="67" t="s">
        <v>523</v>
      </c>
      <c r="H10978" s="69">
        <v>-0.5</v>
      </c>
    </row>
    <row r="10979" spans="6:8">
      <c r="F10979" s="68" t="s">
        <v>136</v>
      </c>
      <c r="G10979" s="67" t="s">
        <v>523</v>
      </c>
      <c r="H10979" s="69">
        <v>-0.5</v>
      </c>
    </row>
    <row r="10980" spans="6:8">
      <c r="F10980" s="68" t="s">
        <v>424</v>
      </c>
      <c r="G10980" s="67" t="s">
        <v>523</v>
      </c>
      <c r="H10980" s="69">
        <v>3.3092202238596435</v>
      </c>
    </row>
    <row r="10981" spans="6:8">
      <c r="F10981" s="68" t="s">
        <v>258</v>
      </c>
      <c r="G10981" s="67" t="s">
        <v>523</v>
      </c>
      <c r="H10981" s="69">
        <v>0.14000000000000001</v>
      </c>
    </row>
    <row r="10982" spans="6:8">
      <c r="F10982" s="68" t="s">
        <v>257</v>
      </c>
      <c r="G10982" s="67" t="s">
        <v>523</v>
      </c>
      <c r="H10982" s="69">
        <v>1.04</v>
      </c>
    </row>
    <row r="10983" spans="6:8">
      <c r="F10983" s="68" t="s">
        <v>135</v>
      </c>
      <c r="G10983" s="67" t="s">
        <v>523</v>
      </c>
      <c r="H10983" s="69">
        <v>-0.4</v>
      </c>
    </row>
    <row r="10984" spans="6:8">
      <c r="F10984" s="68" t="s">
        <v>134</v>
      </c>
      <c r="G10984" s="67" t="s">
        <v>523</v>
      </c>
      <c r="H10984" s="69">
        <v>-0.5</v>
      </c>
    </row>
    <row r="10985" spans="6:8">
      <c r="F10985" s="68" t="s">
        <v>423</v>
      </c>
      <c r="G10985" s="67" t="s">
        <v>523</v>
      </c>
      <c r="H10985" s="69">
        <v>2.5376944759901043</v>
      </c>
    </row>
    <row r="10986" spans="6:8">
      <c r="F10986" s="68" t="s">
        <v>256</v>
      </c>
      <c r="G10986" s="67" t="s">
        <v>523</v>
      </c>
      <c r="H10986" s="69">
        <v>0.96</v>
      </c>
    </row>
    <row r="10987" spans="6:8">
      <c r="F10987" s="68" t="s">
        <v>133</v>
      </c>
      <c r="G10987" s="67" t="s">
        <v>523</v>
      </c>
      <c r="H10987" s="69">
        <v>-0.4</v>
      </c>
    </row>
    <row r="10988" spans="6:8">
      <c r="F10988" s="68" t="s">
        <v>132</v>
      </c>
      <c r="G10988" s="67" t="s">
        <v>523</v>
      </c>
      <c r="H10988" s="69">
        <v>-0.5</v>
      </c>
    </row>
    <row r="10989" spans="6:8">
      <c r="F10989" s="68" t="s">
        <v>422</v>
      </c>
      <c r="G10989" s="67" t="s">
        <v>523</v>
      </c>
      <c r="H10989" s="69">
        <v>2.5588427216161946</v>
      </c>
    </row>
    <row r="10990" spans="6:8">
      <c r="F10990" s="68" t="s">
        <v>303</v>
      </c>
      <c r="G10990" s="67" t="s">
        <v>523</v>
      </c>
      <c r="H10990" s="69">
        <v>18.458333333333332</v>
      </c>
    </row>
    <row r="10991" spans="6:8">
      <c r="F10991" s="68" t="s">
        <v>255</v>
      </c>
      <c r="G10991" s="67" t="s">
        <v>523</v>
      </c>
      <c r="H10991" s="69">
        <v>0.8</v>
      </c>
    </row>
    <row r="10992" spans="6:8">
      <c r="F10992" s="68" t="s">
        <v>131</v>
      </c>
      <c r="G10992" s="67" t="s">
        <v>523</v>
      </c>
      <c r="H10992" s="69">
        <v>-0.35</v>
      </c>
    </row>
    <row r="10993" spans="6:8">
      <c r="F10993" s="68" t="s">
        <v>130</v>
      </c>
      <c r="G10993" s="67" t="s">
        <v>523</v>
      </c>
      <c r="H10993" s="69">
        <v>-0.6</v>
      </c>
    </row>
    <row r="10994" spans="6:8">
      <c r="F10994" s="68" t="s">
        <v>421</v>
      </c>
      <c r="G10994" s="67" t="s">
        <v>523</v>
      </c>
      <c r="H10994" s="69">
        <v>2.5534799498529548</v>
      </c>
    </row>
    <row r="10995" spans="6:8">
      <c r="F10995" s="68" t="s">
        <v>304</v>
      </c>
      <c r="G10995" s="67" t="s">
        <v>523</v>
      </c>
      <c r="H10995" s="69">
        <v>17.125</v>
      </c>
    </row>
    <row r="10996" spans="6:8">
      <c r="F10996" s="68" t="s">
        <v>254</v>
      </c>
      <c r="G10996" s="67" t="s">
        <v>523</v>
      </c>
      <c r="H10996" s="69">
        <v>0.61</v>
      </c>
    </row>
    <row r="10997" spans="6:8">
      <c r="F10997" s="68" t="s">
        <v>129</v>
      </c>
      <c r="G10997" s="67" t="s">
        <v>523</v>
      </c>
      <c r="H10997" s="69">
        <v>-0.25</v>
      </c>
    </row>
    <row r="10998" spans="6:8">
      <c r="F10998" s="68" t="s">
        <v>128</v>
      </c>
      <c r="G10998" s="67" t="s">
        <v>523</v>
      </c>
      <c r="H10998" s="69">
        <v>-0.55000000000000004</v>
      </c>
    </row>
    <row r="10999" spans="6:8">
      <c r="F10999" s="68" t="s">
        <v>315</v>
      </c>
      <c r="G10999" s="67" t="s">
        <v>523</v>
      </c>
      <c r="H10999" s="69">
        <v>-0.1</v>
      </c>
    </row>
    <row r="11000" spans="6:8">
      <c r="F11000" s="68" t="s">
        <v>253</v>
      </c>
      <c r="G11000" s="67" t="s">
        <v>523</v>
      </c>
      <c r="H11000" s="69">
        <v>0.45</v>
      </c>
    </row>
    <row r="11001" spans="6:8">
      <c r="F11001" s="68" t="s">
        <v>127</v>
      </c>
      <c r="G11001" s="67" t="s">
        <v>523</v>
      </c>
      <c r="H11001" s="69">
        <v>-0.15</v>
      </c>
    </row>
    <row r="11002" spans="6:8">
      <c r="F11002" s="68" t="s">
        <v>126</v>
      </c>
      <c r="G11002" s="67" t="s">
        <v>523</v>
      </c>
      <c r="H11002" s="69">
        <v>-0.6</v>
      </c>
    </row>
    <row r="11003" spans="6:8">
      <c r="F11003" s="68" t="s">
        <v>125</v>
      </c>
      <c r="G11003" s="67" t="s">
        <v>523</v>
      </c>
      <c r="H11003" s="69">
        <v>-0.2</v>
      </c>
    </row>
    <row r="11004" spans="6:8">
      <c r="F11004" s="68" t="s">
        <v>314</v>
      </c>
      <c r="G11004" s="67" t="s">
        <v>523</v>
      </c>
      <c r="H11004" s="69">
        <v>-0.15</v>
      </c>
    </row>
    <row r="11005" spans="6:8">
      <c r="F11005" s="68" t="s">
        <v>252</v>
      </c>
      <c r="G11005" s="67" t="s">
        <v>523</v>
      </c>
      <c r="H11005" s="69">
        <v>0.32</v>
      </c>
    </row>
    <row r="11006" spans="6:8">
      <c r="F11006" s="68" t="s">
        <v>124</v>
      </c>
      <c r="G11006" s="67" t="s">
        <v>523</v>
      </c>
      <c r="H11006" s="69">
        <v>-0.25</v>
      </c>
    </row>
    <row r="11007" spans="6:8">
      <c r="F11007" s="68" t="s">
        <v>123</v>
      </c>
      <c r="G11007" s="67" t="s">
        <v>523</v>
      </c>
      <c r="H11007" s="69">
        <v>-0.65</v>
      </c>
    </row>
    <row r="11008" spans="6:8">
      <c r="F11008" s="68" t="s">
        <v>122</v>
      </c>
      <c r="G11008" s="67" t="s">
        <v>523</v>
      </c>
      <c r="H11008" s="69">
        <v>-0.35</v>
      </c>
    </row>
    <row r="11009" spans="6:8">
      <c r="F11009" s="68" t="s">
        <v>420</v>
      </c>
      <c r="G11009" s="67" t="s">
        <v>523</v>
      </c>
      <c r="H11009" s="69">
        <v>3.4644155621951001</v>
      </c>
    </row>
    <row r="11010" spans="6:8">
      <c r="F11010" s="68" t="s">
        <v>251</v>
      </c>
      <c r="G11010" s="67" t="s">
        <v>523</v>
      </c>
      <c r="H11010" s="69">
        <v>0.23</v>
      </c>
    </row>
    <row r="11011" spans="6:8">
      <c r="F11011" s="68" t="s">
        <v>121</v>
      </c>
      <c r="G11011" s="67" t="s">
        <v>523</v>
      </c>
      <c r="H11011" s="69">
        <v>-0.4</v>
      </c>
    </row>
    <row r="11012" spans="6:8">
      <c r="F11012" s="68" t="s">
        <v>120</v>
      </c>
      <c r="G11012" s="67" t="s">
        <v>523</v>
      </c>
      <c r="H11012" s="69">
        <v>-0.5</v>
      </c>
    </row>
    <row r="11013" spans="6:8">
      <c r="F11013" s="68" t="s">
        <v>119</v>
      </c>
      <c r="G11013" s="67" t="s">
        <v>523</v>
      </c>
      <c r="H11013" s="69">
        <v>-0.4</v>
      </c>
    </row>
    <row r="11014" spans="6:8">
      <c r="F11014" s="68" t="s">
        <v>119</v>
      </c>
      <c r="G11014" s="67" t="s">
        <v>524</v>
      </c>
      <c r="H11014" s="69">
        <v>-0.4</v>
      </c>
    </row>
    <row r="11015" spans="6:8">
      <c r="F11015" s="68" t="s">
        <v>120</v>
      </c>
      <c r="G11015" s="67" t="s">
        <v>524</v>
      </c>
      <c r="H11015" s="69">
        <v>-0.5</v>
      </c>
    </row>
    <row r="11016" spans="6:8">
      <c r="F11016" s="68" t="s">
        <v>121</v>
      </c>
      <c r="G11016" s="67" t="s">
        <v>524</v>
      </c>
      <c r="H11016" s="69">
        <v>-0.4</v>
      </c>
    </row>
    <row r="11017" spans="6:8">
      <c r="F11017" s="68" t="s">
        <v>251</v>
      </c>
      <c r="G11017" s="67" t="s">
        <v>524</v>
      </c>
      <c r="H11017" s="69">
        <v>0.23</v>
      </c>
    </row>
    <row r="11018" spans="6:8">
      <c r="F11018" s="68" t="s">
        <v>420</v>
      </c>
      <c r="G11018" s="67" t="s">
        <v>524</v>
      </c>
      <c r="H11018" s="69">
        <v>3.5153280523668506</v>
      </c>
    </row>
    <row r="11019" spans="6:8">
      <c r="F11019" s="68" t="s">
        <v>122</v>
      </c>
      <c r="G11019" s="67" t="s">
        <v>524</v>
      </c>
      <c r="H11019" s="69">
        <v>-0.35</v>
      </c>
    </row>
    <row r="11020" spans="6:8">
      <c r="F11020" s="68" t="s">
        <v>123</v>
      </c>
      <c r="G11020" s="67" t="s">
        <v>524</v>
      </c>
      <c r="H11020" s="69">
        <v>-0.65</v>
      </c>
    </row>
    <row r="11021" spans="6:8">
      <c r="F11021" s="68" t="s">
        <v>124</v>
      </c>
      <c r="G11021" s="67" t="s">
        <v>524</v>
      </c>
      <c r="H11021" s="69">
        <v>-0.25</v>
      </c>
    </row>
    <row r="11022" spans="6:8">
      <c r="F11022" s="68" t="s">
        <v>252</v>
      </c>
      <c r="G11022" s="67" t="s">
        <v>524</v>
      </c>
      <c r="H11022" s="69">
        <v>0.32</v>
      </c>
    </row>
    <row r="11023" spans="6:8">
      <c r="F11023" s="68" t="s">
        <v>314</v>
      </c>
      <c r="G11023" s="67" t="s">
        <v>524</v>
      </c>
      <c r="H11023" s="69">
        <v>-0.15</v>
      </c>
    </row>
    <row r="11024" spans="6:8">
      <c r="F11024" s="68" t="s">
        <v>125</v>
      </c>
      <c r="G11024" s="67" t="s">
        <v>524</v>
      </c>
      <c r="H11024" s="69">
        <v>-0.2</v>
      </c>
    </row>
    <row r="11025" spans="6:8">
      <c r="F11025" s="68" t="s">
        <v>126</v>
      </c>
      <c r="G11025" s="67" t="s">
        <v>524</v>
      </c>
      <c r="H11025" s="69">
        <v>-0.6</v>
      </c>
    </row>
    <row r="11026" spans="6:8">
      <c r="F11026" s="68" t="s">
        <v>127</v>
      </c>
      <c r="G11026" s="67" t="s">
        <v>524</v>
      </c>
      <c r="H11026" s="69">
        <v>-0.15</v>
      </c>
    </row>
    <row r="11027" spans="6:8">
      <c r="F11027" s="68" t="s">
        <v>253</v>
      </c>
      <c r="G11027" s="67" t="s">
        <v>524</v>
      </c>
      <c r="H11027" s="69">
        <v>0.45</v>
      </c>
    </row>
    <row r="11028" spans="6:8">
      <c r="F11028" s="68" t="s">
        <v>315</v>
      </c>
      <c r="G11028" s="67" t="s">
        <v>524</v>
      </c>
      <c r="H11028" s="69">
        <v>-0.1</v>
      </c>
    </row>
    <row r="11029" spans="6:8">
      <c r="F11029" s="68" t="s">
        <v>128</v>
      </c>
      <c r="G11029" s="67" t="s">
        <v>524</v>
      </c>
      <c r="H11029" s="69">
        <v>-0.55000000000000004</v>
      </c>
    </row>
    <row r="11030" spans="6:8">
      <c r="F11030" s="68" t="s">
        <v>129</v>
      </c>
      <c r="G11030" s="67" t="s">
        <v>524</v>
      </c>
      <c r="H11030" s="69">
        <v>-0.25</v>
      </c>
    </row>
    <row r="11031" spans="6:8">
      <c r="F11031" s="68" t="s">
        <v>254</v>
      </c>
      <c r="G11031" s="67" t="s">
        <v>524</v>
      </c>
      <c r="H11031" s="69">
        <v>0.61</v>
      </c>
    </row>
    <row r="11032" spans="6:8">
      <c r="F11032" s="68" t="s">
        <v>304</v>
      </c>
      <c r="G11032" s="67" t="s">
        <v>524</v>
      </c>
      <c r="H11032" s="69">
        <v>17.104166666666668</v>
      </c>
    </row>
    <row r="11033" spans="6:8">
      <c r="F11033" s="68" t="s">
        <v>421</v>
      </c>
      <c r="G11033" s="67" t="s">
        <v>524</v>
      </c>
      <c r="H11033" s="69">
        <v>2.5576651381660653</v>
      </c>
    </row>
    <row r="11034" spans="6:8">
      <c r="F11034" s="68" t="s">
        <v>130</v>
      </c>
      <c r="G11034" s="67" t="s">
        <v>524</v>
      </c>
      <c r="H11034" s="69">
        <v>-0.6</v>
      </c>
    </row>
    <row r="11035" spans="6:8">
      <c r="F11035" s="68" t="s">
        <v>131</v>
      </c>
      <c r="G11035" s="67" t="s">
        <v>524</v>
      </c>
      <c r="H11035" s="69">
        <v>-0.35</v>
      </c>
    </row>
    <row r="11036" spans="6:8">
      <c r="F11036" s="68" t="s">
        <v>255</v>
      </c>
      <c r="G11036" s="67" t="s">
        <v>524</v>
      </c>
      <c r="H11036" s="69">
        <v>0.8</v>
      </c>
    </row>
    <row r="11037" spans="6:8">
      <c r="F11037" s="68" t="s">
        <v>303</v>
      </c>
      <c r="G11037" s="67" t="s">
        <v>524</v>
      </c>
      <c r="H11037" s="69">
        <v>18.375</v>
      </c>
    </row>
    <row r="11038" spans="6:8">
      <c r="F11038" s="68" t="s">
        <v>422</v>
      </c>
      <c r="G11038" s="67" t="s">
        <v>524</v>
      </c>
      <c r="H11038" s="69">
        <v>2.5635941338374657</v>
      </c>
    </row>
    <row r="11039" spans="6:8">
      <c r="F11039" s="68" t="s">
        <v>132</v>
      </c>
      <c r="G11039" s="67" t="s">
        <v>524</v>
      </c>
      <c r="H11039" s="69">
        <v>-0.5</v>
      </c>
    </row>
    <row r="11040" spans="6:8">
      <c r="F11040" s="68" t="s">
        <v>133</v>
      </c>
      <c r="G11040" s="67" t="s">
        <v>524</v>
      </c>
      <c r="H11040" s="69">
        <v>-0.4</v>
      </c>
    </row>
    <row r="11041" spans="6:8">
      <c r="F11041" s="68" t="s">
        <v>256</v>
      </c>
      <c r="G11041" s="67" t="s">
        <v>524</v>
      </c>
      <c r="H11041" s="69">
        <v>0.96</v>
      </c>
    </row>
    <row r="11042" spans="6:8">
      <c r="F11042" s="68" t="s">
        <v>423</v>
      </c>
      <c r="G11042" s="67" t="s">
        <v>524</v>
      </c>
      <c r="H11042" s="69">
        <v>2.6043773588540819</v>
      </c>
    </row>
    <row r="11043" spans="6:8">
      <c r="F11043" s="68" t="s">
        <v>134</v>
      </c>
      <c r="G11043" s="67" t="s">
        <v>524</v>
      </c>
      <c r="H11043" s="69">
        <v>-0.5</v>
      </c>
    </row>
    <row r="11044" spans="6:8">
      <c r="F11044" s="68" t="s">
        <v>135</v>
      </c>
      <c r="G11044" s="67" t="s">
        <v>524</v>
      </c>
      <c r="H11044" s="69">
        <v>-0.4</v>
      </c>
    </row>
    <row r="11045" spans="6:8">
      <c r="F11045" s="68" t="s">
        <v>257</v>
      </c>
      <c r="G11045" s="67" t="s">
        <v>524</v>
      </c>
      <c r="H11045" s="69">
        <v>1.04</v>
      </c>
    </row>
    <row r="11046" spans="6:8">
      <c r="F11046" s="68" t="s">
        <v>258</v>
      </c>
      <c r="G11046" s="67" t="s">
        <v>524</v>
      </c>
      <c r="H11046" s="69">
        <v>0.14000000000000001</v>
      </c>
    </row>
    <row r="11047" spans="6:8">
      <c r="F11047" s="68" t="s">
        <v>424</v>
      </c>
      <c r="G11047" s="67" t="s">
        <v>524</v>
      </c>
      <c r="H11047" s="69">
        <v>3.3556793879086833</v>
      </c>
    </row>
    <row r="11048" spans="6:8">
      <c r="F11048" s="68" t="s">
        <v>136</v>
      </c>
      <c r="G11048" s="67" t="s">
        <v>524</v>
      </c>
      <c r="H11048" s="69">
        <v>-0.5</v>
      </c>
    </row>
    <row r="11049" spans="6:8">
      <c r="F11049" s="68" t="s">
        <v>137</v>
      </c>
      <c r="G11049" s="67" t="s">
        <v>524</v>
      </c>
      <c r="H11049" s="69">
        <v>-0.5</v>
      </c>
    </row>
    <row r="11050" spans="6:8">
      <c r="F11050" s="68" t="s">
        <v>138</v>
      </c>
      <c r="G11050" s="67" t="s">
        <v>524</v>
      </c>
      <c r="H11050" s="69">
        <v>-0.45</v>
      </c>
    </row>
    <row r="11051" spans="6:8">
      <c r="F11051" s="68" t="s">
        <v>259</v>
      </c>
      <c r="G11051" s="67" t="s">
        <v>524</v>
      </c>
      <c r="H11051" s="69">
        <v>0.17</v>
      </c>
    </row>
    <row r="11052" spans="6:8">
      <c r="F11052" s="68" t="s">
        <v>425</v>
      </c>
      <c r="G11052" s="67" t="s">
        <v>524</v>
      </c>
      <c r="H11052" s="69">
        <v>3.3902865556836748</v>
      </c>
    </row>
    <row r="11053" spans="6:8">
      <c r="F11053" s="68" t="s">
        <v>425</v>
      </c>
      <c r="G11053" s="67" t="s">
        <v>525</v>
      </c>
      <c r="H11053" s="69">
        <v>3.3717132543907624</v>
      </c>
    </row>
    <row r="11054" spans="6:8">
      <c r="F11054" s="68" t="s">
        <v>259</v>
      </c>
      <c r="G11054" s="67" t="s">
        <v>525</v>
      </c>
      <c r="H11054" s="69">
        <v>0.17</v>
      </c>
    </row>
    <row r="11055" spans="6:8">
      <c r="F11055" s="68" t="s">
        <v>138</v>
      </c>
      <c r="G11055" s="67" t="s">
        <v>525</v>
      </c>
      <c r="H11055" s="69">
        <v>-0.45</v>
      </c>
    </row>
    <row r="11056" spans="6:8">
      <c r="F11056" s="68" t="s">
        <v>137</v>
      </c>
      <c r="G11056" s="67" t="s">
        <v>525</v>
      </c>
      <c r="H11056" s="69">
        <v>-0.5</v>
      </c>
    </row>
    <row r="11057" spans="6:8">
      <c r="F11057" s="68" t="s">
        <v>136</v>
      </c>
      <c r="G11057" s="67" t="s">
        <v>525</v>
      </c>
      <c r="H11057" s="69">
        <v>-0.5</v>
      </c>
    </row>
    <row r="11058" spans="6:8">
      <c r="F11058" s="68" t="s">
        <v>424</v>
      </c>
      <c r="G11058" s="67" t="s">
        <v>525</v>
      </c>
      <c r="H11058" s="69">
        <v>3.3233676184179384</v>
      </c>
    </row>
    <row r="11059" spans="6:8">
      <c r="F11059" s="68" t="s">
        <v>258</v>
      </c>
      <c r="G11059" s="67" t="s">
        <v>525</v>
      </c>
      <c r="H11059" s="69">
        <v>0.14000000000000001</v>
      </c>
    </row>
    <row r="11060" spans="6:8">
      <c r="F11060" s="68" t="s">
        <v>257</v>
      </c>
      <c r="G11060" s="67" t="s">
        <v>525</v>
      </c>
      <c r="H11060" s="69">
        <v>1.04</v>
      </c>
    </row>
    <row r="11061" spans="6:8">
      <c r="F11061" s="68" t="s">
        <v>135</v>
      </c>
      <c r="G11061" s="67" t="s">
        <v>525</v>
      </c>
      <c r="H11061" s="69">
        <v>-0.4</v>
      </c>
    </row>
    <row r="11062" spans="6:8">
      <c r="F11062" s="68" t="s">
        <v>134</v>
      </c>
      <c r="G11062" s="67" t="s">
        <v>525</v>
      </c>
      <c r="H11062" s="69">
        <v>-0.5</v>
      </c>
    </row>
    <row r="11063" spans="6:8">
      <c r="F11063" s="68" t="s">
        <v>423</v>
      </c>
      <c r="G11063" s="67" t="s">
        <v>525</v>
      </c>
      <c r="H11063" s="69">
        <v>2.6513126490446126</v>
      </c>
    </row>
    <row r="11064" spans="6:8">
      <c r="F11064" s="68" t="s">
        <v>256</v>
      </c>
      <c r="G11064" s="67" t="s">
        <v>525</v>
      </c>
      <c r="H11064" s="69">
        <v>0.96</v>
      </c>
    </row>
    <row r="11065" spans="6:8">
      <c r="F11065" s="68" t="s">
        <v>133</v>
      </c>
      <c r="G11065" s="67" t="s">
        <v>525</v>
      </c>
      <c r="H11065" s="69">
        <v>-0.4</v>
      </c>
    </row>
    <row r="11066" spans="6:8">
      <c r="F11066" s="68" t="s">
        <v>132</v>
      </c>
      <c r="G11066" s="67" t="s">
        <v>525</v>
      </c>
      <c r="H11066" s="69">
        <v>-0.5</v>
      </c>
    </row>
    <row r="11067" spans="6:8">
      <c r="F11067" s="68" t="s">
        <v>422</v>
      </c>
      <c r="G11067" s="67" t="s">
        <v>525</v>
      </c>
      <c r="H11067" s="69">
        <v>2.5677057239294587</v>
      </c>
    </row>
    <row r="11068" spans="6:8">
      <c r="F11068" s="68" t="s">
        <v>303</v>
      </c>
      <c r="G11068" s="67" t="s">
        <v>525</v>
      </c>
      <c r="H11068" s="69">
        <v>18.375</v>
      </c>
    </row>
    <row r="11069" spans="6:8">
      <c r="F11069" s="68" t="s">
        <v>255</v>
      </c>
      <c r="G11069" s="67" t="s">
        <v>525</v>
      </c>
      <c r="H11069" s="69">
        <v>0.8</v>
      </c>
    </row>
    <row r="11070" spans="6:8">
      <c r="F11070" s="68" t="s">
        <v>131</v>
      </c>
      <c r="G11070" s="67" t="s">
        <v>525</v>
      </c>
      <c r="H11070" s="69">
        <v>-0.35</v>
      </c>
    </row>
    <row r="11071" spans="6:8">
      <c r="F11071" s="68" t="s">
        <v>130</v>
      </c>
      <c r="G11071" s="67" t="s">
        <v>525</v>
      </c>
      <c r="H11071" s="69">
        <v>-0.6</v>
      </c>
    </row>
    <row r="11072" spans="6:8">
      <c r="F11072" s="68" t="s">
        <v>421</v>
      </c>
      <c r="G11072" s="67" t="s">
        <v>525</v>
      </c>
      <c r="H11072" s="69">
        <v>2.5612852830532606</v>
      </c>
    </row>
    <row r="11073" spans="6:8">
      <c r="F11073" s="68" t="s">
        <v>304</v>
      </c>
      <c r="G11073" s="67" t="s">
        <v>525</v>
      </c>
      <c r="H11073" s="69">
        <v>17.104166666666668</v>
      </c>
    </row>
    <row r="11074" spans="6:8">
      <c r="F11074" s="68" t="s">
        <v>254</v>
      </c>
      <c r="G11074" s="67" t="s">
        <v>525</v>
      </c>
      <c r="H11074" s="69">
        <v>0.61</v>
      </c>
    </row>
    <row r="11075" spans="6:8">
      <c r="F11075" s="68" t="s">
        <v>129</v>
      </c>
      <c r="G11075" s="67" t="s">
        <v>525</v>
      </c>
      <c r="H11075" s="69">
        <v>-0.25</v>
      </c>
    </row>
    <row r="11076" spans="6:8">
      <c r="F11076" s="68" t="s">
        <v>128</v>
      </c>
      <c r="G11076" s="67" t="s">
        <v>525</v>
      </c>
      <c r="H11076" s="69">
        <v>-0.55000000000000004</v>
      </c>
    </row>
    <row r="11077" spans="6:8">
      <c r="F11077" s="68" t="s">
        <v>315</v>
      </c>
      <c r="G11077" s="67" t="s">
        <v>525</v>
      </c>
      <c r="H11077" s="69">
        <v>-0.1</v>
      </c>
    </row>
    <row r="11078" spans="6:8">
      <c r="F11078" s="68" t="s">
        <v>253</v>
      </c>
      <c r="G11078" s="67" t="s">
        <v>525</v>
      </c>
      <c r="H11078" s="69">
        <v>0.45</v>
      </c>
    </row>
    <row r="11079" spans="6:8">
      <c r="F11079" s="68" t="s">
        <v>127</v>
      </c>
      <c r="G11079" s="67" t="s">
        <v>525</v>
      </c>
      <c r="H11079" s="69">
        <v>-0.15</v>
      </c>
    </row>
    <row r="11080" spans="6:8">
      <c r="F11080" s="68" t="s">
        <v>126</v>
      </c>
      <c r="G11080" s="67" t="s">
        <v>525</v>
      </c>
      <c r="H11080" s="69">
        <v>-0.6</v>
      </c>
    </row>
    <row r="11081" spans="6:8">
      <c r="F11081" s="68" t="s">
        <v>125</v>
      </c>
      <c r="G11081" s="67" t="s">
        <v>525</v>
      </c>
      <c r="H11081" s="69">
        <v>-0.2</v>
      </c>
    </row>
    <row r="11082" spans="6:8">
      <c r="F11082" s="68" t="s">
        <v>314</v>
      </c>
      <c r="G11082" s="67" t="s">
        <v>525</v>
      </c>
      <c r="H11082" s="69">
        <v>-0.15</v>
      </c>
    </row>
    <row r="11083" spans="6:8">
      <c r="F11083" s="68" t="s">
        <v>252</v>
      </c>
      <c r="G11083" s="67" t="s">
        <v>525</v>
      </c>
      <c r="H11083" s="69">
        <v>0.32</v>
      </c>
    </row>
    <row r="11084" spans="6:8">
      <c r="F11084" s="68" t="s">
        <v>124</v>
      </c>
      <c r="G11084" s="67" t="s">
        <v>525</v>
      </c>
      <c r="H11084" s="69">
        <v>-0.25</v>
      </c>
    </row>
    <row r="11085" spans="6:8">
      <c r="F11085" s="68" t="s">
        <v>123</v>
      </c>
      <c r="G11085" s="67" t="s">
        <v>525</v>
      </c>
      <c r="H11085" s="69">
        <v>-0.65</v>
      </c>
    </row>
    <row r="11086" spans="6:8">
      <c r="F11086" s="68" t="s">
        <v>122</v>
      </c>
      <c r="G11086" s="67" t="s">
        <v>525</v>
      </c>
      <c r="H11086" s="69">
        <v>-0.35</v>
      </c>
    </row>
    <row r="11087" spans="6:8">
      <c r="F11087" s="68" t="s">
        <v>420</v>
      </c>
      <c r="G11087" s="67" t="s">
        <v>525</v>
      </c>
      <c r="H11087" s="69">
        <v>3.5423931308452783</v>
      </c>
    </row>
    <row r="11088" spans="6:8">
      <c r="F11088" s="68" t="s">
        <v>251</v>
      </c>
      <c r="G11088" s="67" t="s">
        <v>525</v>
      </c>
      <c r="H11088" s="69">
        <v>0.23</v>
      </c>
    </row>
    <row r="11089" spans="6:8">
      <c r="F11089" s="68" t="s">
        <v>121</v>
      </c>
      <c r="G11089" s="67" t="s">
        <v>525</v>
      </c>
      <c r="H11089" s="69">
        <v>-0.4</v>
      </c>
    </row>
    <row r="11090" spans="6:8">
      <c r="F11090" s="68" t="s">
        <v>120</v>
      </c>
      <c r="G11090" s="67" t="s">
        <v>525</v>
      </c>
      <c r="H11090" s="69">
        <v>-0.5</v>
      </c>
    </row>
    <row r="11091" spans="6:8">
      <c r="F11091" s="68" t="s">
        <v>119</v>
      </c>
      <c r="G11091" s="67" t="s">
        <v>525</v>
      </c>
      <c r="H11091" s="69">
        <v>-0.4</v>
      </c>
    </row>
    <row r="11092" spans="6:8">
      <c r="F11092" s="68" t="s">
        <v>119</v>
      </c>
      <c r="G11092" s="67" t="s">
        <v>526</v>
      </c>
      <c r="H11092" s="69">
        <v>-0.4</v>
      </c>
    </row>
    <row r="11093" spans="6:8">
      <c r="F11093" s="68" t="s">
        <v>120</v>
      </c>
      <c r="G11093" s="67" t="s">
        <v>526</v>
      </c>
      <c r="H11093" s="69">
        <v>-0.5</v>
      </c>
    </row>
    <row r="11094" spans="6:8">
      <c r="F11094" s="68" t="s">
        <v>121</v>
      </c>
      <c r="G11094" s="67" t="s">
        <v>526</v>
      </c>
      <c r="H11094" s="69">
        <v>-0.4</v>
      </c>
    </row>
    <row r="11095" spans="6:8">
      <c r="F11095" s="68" t="s">
        <v>251</v>
      </c>
      <c r="G11095" s="67" t="s">
        <v>526</v>
      </c>
      <c r="H11095" s="69">
        <v>0.23</v>
      </c>
    </row>
    <row r="11096" spans="6:8">
      <c r="F11096" s="68" t="s">
        <v>420</v>
      </c>
      <c r="G11096" s="67" t="s">
        <v>526</v>
      </c>
      <c r="H11096" s="69">
        <v>3.5287823062690737</v>
      </c>
    </row>
    <row r="11097" spans="6:8">
      <c r="F11097" s="68" t="s">
        <v>122</v>
      </c>
      <c r="G11097" s="67" t="s">
        <v>526</v>
      </c>
      <c r="H11097" s="69">
        <v>-0.35</v>
      </c>
    </row>
    <row r="11098" spans="6:8">
      <c r="F11098" s="68" t="s">
        <v>123</v>
      </c>
      <c r="G11098" s="67" t="s">
        <v>526</v>
      </c>
      <c r="H11098" s="69">
        <v>-0.65</v>
      </c>
    </row>
    <row r="11099" spans="6:8">
      <c r="F11099" s="68" t="s">
        <v>124</v>
      </c>
      <c r="G11099" s="67" t="s">
        <v>526</v>
      </c>
      <c r="H11099" s="69">
        <v>-0.25</v>
      </c>
    </row>
    <row r="11100" spans="6:8">
      <c r="F11100" s="68" t="s">
        <v>252</v>
      </c>
      <c r="G11100" s="67" t="s">
        <v>526</v>
      </c>
      <c r="H11100" s="69">
        <v>0.32</v>
      </c>
    </row>
    <row r="11101" spans="6:8">
      <c r="F11101" s="68" t="s">
        <v>314</v>
      </c>
      <c r="G11101" s="67" t="s">
        <v>526</v>
      </c>
      <c r="H11101" s="69">
        <v>-0.15</v>
      </c>
    </row>
    <row r="11102" spans="6:8">
      <c r="F11102" s="68" t="s">
        <v>125</v>
      </c>
      <c r="G11102" s="67" t="s">
        <v>526</v>
      </c>
      <c r="H11102" s="69">
        <v>-0.2</v>
      </c>
    </row>
    <row r="11103" spans="6:8">
      <c r="F11103" s="68" t="s">
        <v>126</v>
      </c>
      <c r="G11103" s="67" t="s">
        <v>526</v>
      </c>
      <c r="H11103" s="69">
        <v>-0.6</v>
      </c>
    </row>
    <row r="11104" spans="6:8">
      <c r="F11104" s="68" t="s">
        <v>127</v>
      </c>
      <c r="G11104" s="67" t="s">
        <v>526</v>
      </c>
      <c r="H11104" s="69">
        <v>-0.15</v>
      </c>
    </row>
    <row r="11105" spans="6:8">
      <c r="F11105" s="68" t="s">
        <v>253</v>
      </c>
      <c r="G11105" s="67" t="s">
        <v>526</v>
      </c>
      <c r="H11105" s="69">
        <v>0.45</v>
      </c>
    </row>
    <row r="11106" spans="6:8">
      <c r="F11106" s="68" t="s">
        <v>315</v>
      </c>
      <c r="G11106" s="67" t="s">
        <v>526</v>
      </c>
      <c r="H11106" s="69">
        <v>-0.1</v>
      </c>
    </row>
    <row r="11107" spans="6:8">
      <c r="F11107" s="68" t="s">
        <v>128</v>
      </c>
      <c r="G11107" s="67" t="s">
        <v>526</v>
      </c>
      <c r="H11107" s="69">
        <v>-0.55000000000000004</v>
      </c>
    </row>
    <row r="11108" spans="6:8">
      <c r="F11108" s="68" t="s">
        <v>129</v>
      </c>
      <c r="G11108" s="67" t="s">
        <v>526</v>
      </c>
      <c r="H11108" s="69">
        <v>-0.25</v>
      </c>
    </row>
    <row r="11109" spans="6:8">
      <c r="F11109" s="68" t="s">
        <v>254</v>
      </c>
      <c r="G11109" s="67" t="s">
        <v>526</v>
      </c>
      <c r="H11109" s="69">
        <v>0.61</v>
      </c>
    </row>
    <row r="11110" spans="6:8">
      <c r="F11110" s="68" t="s">
        <v>304</v>
      </c>
      <c r="G11110" s="67" t="s">
        <v>526</v>
      </c>
      <c r="H11110" s="69">
        <v>17.104166666666668</v>
      </c>
    </row>
    <row r="11111" spans="6:8">
      <c r="F11111" s="68" t="s">
        <v>421</v>
      </c>
      <c r="G11111" s="67" t="s">
        <v>526</v>
      </c>
      <c r="H11111" s="69">
        <v>2.6095442720757145</v>
      </c>
    </row>
    <row r="11112" spans="6:8">
      <c r="F11112" s="68" t="s">
        <v>130</v>
      </c>
      <c r="G11112" s="67" t="s">
        <v>526</v>
      </c>
      <c r="H11112" s="69">
        <v>-0.6</v>
      </c>
    </row>
    <row r="11113" spans="6:8">
      <c r="F11113" s="68" t="s">
        <v>131</v>
      </c>
      <c r="G11113" s="67" t="s">
        <v>526</v>
      </c>
      <c r="H11113" s="69">
        <v>-0.35</v>
      </c>
    </row>
    <row r="11114" spans="6:8">
      <c r="F11114" s="68" t="s">
        <v>255</v>
      </c>
      <c r="G11114" s="67" t="s">
        <v>526</v>
      </c>
      <c r="H11114" s="69">
        <v>0.8</v>
      </c>
    </row>
    <row r="11115" spans="6:8">
      <c r="F11115" s="68" t="s">
        <v>303</v>
      </c>
      <c r="G11115" s="67" t="s">
        <v>526</v>
      </c>
      <c r="H11115" s="69">
        <v>18.375</v>
      </c>
    </row>
    <row r="11116" spans="6:8">
      <c r="F11116" s="68" t="s">
        <v>422</v>
      </c>
      <c r="G11116" s="67" t="s">
        <v>526</v>
      </c>
      <c r="H11116" s="69">
        <v>2.6154862758585029</v>
      </c>
    </row>
    <row r="11117" spans="6:8">
      <c r="F11117" s="68" t="s">
        <v>132</v>
      </c>
      <c r="G11117" s="67" t="s">
        <v>526</v>
      </c>
      <c r="H11117" s="69">
        <v>-0.5</v>
      </c>
    </row>
    <row r="11118" spans="6:8">
      <c r="F11118" s="68" t="s">
        <v>133</v>
      </c>
      <c r="G11118" s="67" t="s">
        <v>526</v>
      </c>
      <c r="H11118" s="69">
        <v>-0.4</v>
      </c>
    </row>
    <row r="11119" spans="6:8">
      <c r="F11119" s="68" t="s">
        <v>256</v>
      </c>
      <c r="G11119" s="67" t="s">
        <v>526</v>
      </c>
      <c r="H11119" s="69">
        <v>0.96</v>
      </c>
    </row>
    <row r="11120" spans="6:8">
      <c r="F11120" s="68" t="s">
        <v>423</v>
      </c>
      <c r="G11120" s="67" t="s">
        <v>526</v>
      </c>
      <c r="H11120" s="69">
        <v>2.6663211631868133</v>
      </c>
    </row>
    <row r="11121" spans="6:8">
      <c r="F11121" s="68" t="s">
        <v>134</v>
      </c>
      <c r="G11121" s="67" t="s">
        <v>526</v>
      </c>
      <c r="H11121" s="69">
        <v>-0.5</v>
      </c>
    </row>
    <row r="11122" spans="6:8">
      <c r="F11122" s="68" t="s">
        <v>135</v>
      </c>
      <c r="G11122" s="67" t="s">
        <v>526</v>
      </c>
      <c r="H11122" s="69">
        <v>-0.4</v>
      </c>
    </row>
    <row r="11123" spans="6:8">
      <c r="F11123" s="68" t="s">
        <v>257</v>
      </c>
      <c r="G11123" s="67" t="s">
        <v>526</v>
      </c>
      <c r="H11123" s="69">
        <v>1.04</v>
      </c>
    </row>
    <row r="11124" spans="6:8">
      <c r="F11124" s="68" t="s">
        <v>258</v>
      </c>
      <c r="G11124" s="67" t="s">
        <v>526</v>
      </c>
      <c r="H11124" s="69">
        <v>0.14000000000000001</v>
      </c>
    </row>
    <row r="11125" spans="6:8">
      <c r="F11125" s="68" t="s">
        <v>424</v>
      </c>
      <c r="G11125" s="67" t="s">
        <v>526</v>
      </c>
      <c r="H11125" s="69">
        <v>3.3051839533862371</v>
      </c>
    </row>
    <row r="11126" spans="6:8">
      <c r="F11126" s="68" t="s">
        <v>136</v>
      </c>
      <c r="G11126" s="67" t="s">
        <v>526</v>
      </c>
      <c r="H11126" s="69">
        <v>-0.5</v>
      </c>
    </row>
    <row r="11127" spans="6:8">
      <c r="F11127" s="68" t="s">
        <v>137</v>
      </c>
      <c r="G11127" s="67" t="s">
        <v>526</v>
      </c>
      <c r="H11127" s="69">
        <v>-0.5</v>
      </c>
    </row>
    <row r="11128" spans="6:8">
      <c r="F11128" s="68" t="s">
        <v>138</v>
      </c>
      <c r="G11128" s="67" t="s">
        <v>526</v>
      </c>
      <c r="H11128" s="69">
        <v>-0.45</v>
      </c>
    </row>
    <row r="11129" spans="6:8">
      <c r="F11129" s="68" t="s">
        <v>259</v>
      </c>
      <c r="G11129" s="67" t="s">
        <v>526</v>
      </c>
      <c r="H11129" s="69">
        <v>0.17</v>
      </c>
    </row>
    <row r="11130" spans="6:8">
      <c r="F11130" s="68" t="s">
        <v>425</v>
      </c>
      <c r="G11130" s="67" t="s">
        <v>526</v>
      </c>
      <c r="H11130" s="69">
        <v>3.3538627447038838</v>
      </c>
    </row>
    <row r="11131" spans="6:8">
      <c r="F11131" s="68" t="s">
        <v>425</v>
      </c>
      <c r="G11131" s="67" t="s">
        <v>527</v>
      </c>
      <c r="H11131" s="69">
        <v>3.333347624784988</v>
      </c>
    </row>
    <row r="11132" spans="6:8">
      <c r="F11132" s="68" t="s">
        <v>259</v>
      </c>
      <c r="G11132" s="67" t="s">
        <v>527</v>
      </c>
      <c r="H11132" s="69">
        <v>0.17</v>
      </c>
    </row>
    <row r="11133" spans="6:8">
      <c r="F11133" s="68" t="s">
        <v>138</v>
      </c>
      <c r="G11133" s="67" t="s">
        <v>527</v>
      </c>
      <c r="H11133" s="69">
        <v>-0.45</v>
      </c>
    </row>
    <row r="11134" spans="6:8">
      <c r="F11134" s="68" t="s">
        <v>137</v>
      </c>
      <c r="G11134" s="67" t="s">
        <v>527</v>
      </c>
      <c r="H11134" s="69">
        <v>-0.5</v>
      </c>
    </row>
    <row r="11135" spans="6:8">
      <c r="F11135" s="68" t="s">
        <v>136</v>
      </c>
      <c r="G11135" s="67" t="s">
        <v>527</v>
      </c>
      <c r="H11135" s="69">
        <v>-0.5</v>
      </c>
    </row>
    <row r="11136" spans="6:8">
      <c r="F11136" s="68" t="s">
        <v>424</v>
      </c>
      <c r="G11136" s="67" t="s">
        <v>527</v>
      </c>
      <c r="H11136" s="69">
        <v>3.295014337616653</v>
      </c>
    </row>
    <row r="11137" spans="6:8">
      <c r="F11137" s="68" t="s">
        <v>258</v>
      </c>
      <c r="G11137" s="67" t="s">
        <v>527</v>
      </c>
      <c r="H11137" s="69">
        <v>0.14000000000000001</v>
      </c>
    </row>
    <row r="11138" spans="6:8">
      <c r="F11138" s="68" t="s">
        <v>257</v>
      </c>
      <c r="G11138" s="67" t="s">
        <v>527</v>
      </c>
      <c r="H11138" s="69">
        <v>1.04</v>
      </c>
    </row>
    <row r="11139" spans="6:8">
      <c r="F11139" s="68" t="s">
        <v>135</v>
      </c>
      <c r="G11139" s="67" t="s">
        <v>527</v>
      </c>
      <c r="H11139" s="69">
        <v>-0.4</v>
      </c>
    </row>
    <row r="11140" spans="6:8">
      <c r="F11140" s="68" t="s">
        <v>134</v>
      </c>
      <c r="G11140" s="67" t="s">
        <v>527</v>
      </c>
      <c r="H11140" s="69">
        <v>-0.5</v>
      </c>
    </row>
    <row r="11141" spans="6:8">
      <c r="F11141" s="68" t="s">
        <v>423</v>
      </c>
      <c r="G11141" s="67" t="s">
        <v>527</v>
      </c>
      <c r="H11141" s="69">
        <v>2.649593312407017</v>
      </c>
    </row>
    <row r="11142" spans="6:8">
      <c r="F11142" s="68" t="s">
        <v>256</v>
      </c>
      <c r="G11142" s="67" t="s">
        <v>527</v>
      </c>
      <c r="H11142" s="69">
        <v>0.96</v>
      </c>
    </row>
    <row r="11143" spans="6:8">
      <c r="F11143" s="68" t="s">
        <v>133</v>
      </c>
      <c r="G11143" s="67" t="s">
        <v>527</v>
      </c>
      <c r="H11143" s="69">
        <v>-0.4</v>
      </c>
    </row>
    <row r="11144" spans="6:8">
      <c r="F11144" s="68" t="s">
        <v>132</v>
      </c>
      <c r="G11144" s="67" t="s">
        <v>527</v>
      </c>
      <c r="H11144" s="69">
        <v>-0.5</v>
      </c>
    </row>
    <row r="11145" spans="6:8">
      <c r="F11145" s="68" t="s">
        <v>422</v>
      </c>
      <c r="G11145" s="67" t="s">
        <v>527</v>
      </c>
      <c r="H11145" s="69">
        <v>2.6103351729180879</v>
      </c>
    </row>
    <row r="11146" spans="6:8">
      <c r="F11146" s="68" t="s">
        <v>303</v>
      </c>
      <c r="G11146" s="67" t="s">
        <v>527</v>
      </c>
      <c r="H11146" s="69">
        <v>18.625</v>
      </c>
    </row>
    <row r="11147" spans="6:8">
      <c r="F11147" s="68" t="s">
        <v>255</v>
      </c>
      <c r="G11147" s="67" t="s">
        <v>527</v>
      </c>
      <c r="H11147" s="69">
        <v>0.8</v>
      </c>
    </row>
    <row r="11148" spans="6:8">
      <c r="F11148" s="68" t="s">
        <v>131</v>
      </c>
      <c r="G11148" s="67" t="s">
        <v>527</v>
      </c>
      <c r="H11148" s="69">
        <v>-0.35</v>
      </c>
    </row>
    <row r="11149" spans="6:8">
      <c r="F11149" s="68" t="s">
        <v>130</v>
      </c>
      <c r="G11149" s="67" t="s">
        <v>527</v>
      </c>
      <c r="H11149" s="69">
        <v>-0.6</v>
      </c>
    </row>
    <row r="11150" spans="6:8">
      <c r="F11150" s="68" t="s">
        <v>421</v>
      </c>
      <c r="G11150" s="67" t="s">
        <v>527</v>
      </c>
      <c r="H11150" s="69">
        <v>2.6044049342104358</v>
      </c>
    </row>
    <row r="11151" spans="6:8">
      <c r="F11151" s="68" t="s">
        <v>304</v>
      </c>
      <c r="G11151" s="67" t="s">
        <v>527</v>
      </c>
      <c r="H11151" s="69">
        <v>17.354166666666668</v>
      </c>
    </row>
    <row r="11152" spans="6:8">
      <c r="F11152" s="68" t="s">
        <v>254</v>
      </c>
      <c r="G11152" s="67" t="s">
        <v>527</v>
      </c>
      <c r="H11152" s="69">
        <v>0.61</v>
      </c>
    </row>
    <row r="11153" spans="6:8">
      <c r="F11153" s="68" t="s">
        <v>129</v>
      </c>
      <c r="G11153" s="67" t="s">
        <v>527</v>
      </c>
      <c r="H11153" s="69">
        <v>-0.25</v>
      </c>
    </row>
    <row r="11154" spans="6:8">
      <c r="F11154" s="68" t="s">
        <v>128</v>
      </c>
      <c r="G11154" s="67" t="s">
        <v>527</v>
      </c>
      <c r="H11154" s="69">
        <v>-0.55000000000000004</v>
      </c>
    </row>
    <row r="11155" spans="6:8">
      <c r="F11155" s="68" t="s">
        <v>315</v>
      </c>
      <c r="G11155" s="67" t="s">
        <v>527</v>
      </c>
      <c r="H11155" s="69">
        <v>-0.1</v>
      </c>
    </row>
    <row r="11156" spans="6:8">
      <c r="F11156" s="68" t="s">
        <v>253</v>
      </c>
      <c r="G11156" s="67" t="s">
        <v>527</v>
      </c>
      <c r="H11156" s="69">
        <v>0.45</v>
      </c>
    </row>
    <row r="11157" spans="6:8">
      <c r="F11157" s="68" t="s">
        <v>127</v>
      </c>
      <c r="G11157" s="67" t="s">
        <v>527</v>
      </c>
      <c r="H11157" s="69">
        <v>-0.15</v>
      </c>
    </row>
    <row r="11158" spans="6:8">
      <c r="F11158" s="68" t="s">
        <v>126</v>
      </c>
      <c r="G11158" s="67" t="s">
        <v>527</v>
      </c>
      <c r="H11158" s="69">
        <v>-0.6</v>
      </c>
    </row>
    <row r="11159" spans="6:8">
      <c r="F11159" s="68" t="s">
        <v>125</v>
      </c>
      <c r="G11159" s="67" t="s">
        <v>527</v>
      </c>
      <c r="H11159" s="69">
        <v>-0.2</v>
      </c>
    </row>
    <row r="11160" spans="6:8">
      <c r="F11160" s="68" t="s">
        <v>314</v>
      </c>
      <c r="G11160" s="67" t="s">
        <v>527</v>
      </c>
      <c r="H11160" s="69">
        <v>-0.15</v>
      </c>
    </row>
    <row r="11161" spans="6:8">
      <c r="F11161" s="68" t="s">
        <v>252</v>
      </c>
      <c r="G11161" s="67" t="s">
        <v>527</v>
      </c>
      <c r="H11161" s="69">
        <v>0.32</v>
      </c>
    </row>
    <row r="11162" spans="6:8">
      <c r="F11162" s="68" t="s">
        <v>124</v>
      </c>
      <c r="G11162" s="67" t="s">
        <v>527</v>
      </c>
      <c r="H11162" s="69">
        <v>-0.25</v>
      </c>
    </row>
    <row r="11163" spans="6:8">
      <c r="F11163" s="68" t="s">
        <v>123</v>
      </c>
      <c r="G11163" s="67" t="s">
        <v>527</v>
      </c>
      <c r="H11163" s="69">
        <v>-0.65</v>
      </c>
    </row>
    <row r="11164" spans="6:8">
      <c r="F11164" s="68" t="s">
        <v>122</v>
      </c>
      <c r="G11164" s="67" t="s">
        <v>527</v>
      </c>
      <c r="H11164" s="69">
        <v>-0.35</v>
      </c>
    </row>
    <row r="11165" spans="6:8">
      <c r="F11165" s="68" t="s">
        <v>420</v>
      </c>
      <c r="G11165" s="67" t="s">
        <v>527</v>
      </c>
      <c r="H11165" s="69">
        <v>3.5307245323139558</v>
      </c>
    </row>
    <row r="11166" spans="6:8">
      <c r="F11166" s="68" t="s">
        <v>251</v>
      </c>
      <c r="G11166" s="67" t="s">
        <v>527</v>
      </c>
      <c r="H11166" s="69">
        <v>0.23</v>
      </c>
    </row>
    <row r="11167" spans="6:8">
      <c r="F11167" s="68" t="s">
        <v>121</v>
      </c>
      <c r="G11167" s="67" t="s">
        <v>527</v>
      </c>
      <c r="H11167" s="69">
        <v>-0.4</v>
      </c>
    </row>
    <row r="11168" spans="6:8">
      <c r="F11168" s="68" t="s">
        <v>120</v>
      </c>
      <c r="G11168" s="67" t="s">
        <v>527</v>
      </c>
      <c r="H11168" s="69">
        <v>-0.5</v>
      </c>
    </row>
    <row r="11169" spans="6:8">
      <c r="F11169" s="68" t="s">
        <v>119</v>
      </c>
      <c r="G11169" s="67" t="s">
        <v>527</v>
      </c>
      <c r="H11169" s="69">
        <v>-0.4</v>
      </c>
    </row>
    <row r="11170" spans="6:8">
      <c r="F11170" s="68" t="s">
        <v>119</v>
      </c>
      <c r="G11170" s="67" t="s">
        <v>528</v>
      </c>
      <c r="H11170" s="69">
        <v>-0.4</v>
      </c>
    </row>
    <row r="11171" spans="6:8">
      <c r="F11171" s="68" t="s">
        <v>120</v>
      </c>
      <c r="G11171" s="67" t="s">
        <v>528</v>
      </c>
      <c r="H11171" s="69">
        <v>-0.5</v>
      </c>
    </row>
    <row r="11172" spans="6:8">
      <c r="F11172" s="68" t="s">
        <v>121</v>
      </c>
      <c r="G11172" s="67" t="s">
        <v>528</v>
      </c>
      <c r="H11172" s="69">
        <v>-0.4</v>
      </c>
    </row>
    <row r="11173" spans="6:8">
      <c r="F11173" s="68" t="s">
        <v>251</v>
      </c>
      <c r="G11173" s="67" t="s">
        <v>528</v>
      </c>
      <c r="H11173" s="69">
        <v>0.23</v>
      </c>
    </row>
    <row r="11174" spans="6:8">
      <c r="F11174" s="68" t="s">
        <v>420</v>
      </c>
      <c r="G11174" s="67" t="s">
        <v>528</v>
      </c>
      <c r="H11174" s="69">
        <v>3.493759662081164</v>
      </c>
    </row>
    <row r="11175" spans="6:8">
      <c r="F11175" s="68" t="s">
        <v>122</v>
      </c>
      <c r="G11175" s="67" t="s">
        <v>528</v>
      </c>
      <c r="H11175" s="69">
        <v>-0.35</v>
      </c>
    </row>
    <row r="11176" spans="6:8">
      <c r="F11176" s="68" t="s">
        <v>123</v>
      </c>
      <c r="G11176" s="67" t="s">
        <v>528</v>
      </c>
      <c r="H11176" s="69">
        <v>-0.65</v>
      </c>
    </row>
    <row r="11177" spans="6:8">
      <c r="F11177" s="68" t="s">
        <v>124</v>
      </c>
      <c r="G11177" s="67" t="s">
        <v>528</v>
      </c>
      <c r="H11177" s="69">
        <v>-0.25</v>
      </c>
    </row>
    <row r="11178" spans="6:8">
      <c r="F11178" s="68" t="s">
        <v>252</v>
      </c>
      <c r="G11178" s="67" t="s">
        <v>528</v>
      </c>
      <c r="H11178" s="69">
        <v>0.32</v>
      </c>
    </row>
    <row r="11179" spans="6:8">
      <c r="F11179" s="68" t="s">
        <v>314</v>
      </c>
      <c r="G11179" s="67" t="s">
        <v>528</v>
      </c>
      <c r="H11179" s="69">
        <v>-0.15</v>
      </c>
    </row>
    <row r="11180" spans="6:8">
      <c r="F11180" s="68" t="s">
        <v>125</v>
      </c>
      <c r="G11180" s="67" t="s">
        <v>528</v>
      </c>
      <c r="H11180" s="69">
        <v>-0.2</v>
      </c>
    </row>
    <row r="11181" spans="6:8">
      <c r="F11181" s="68" t="s">
        <v>126</v>
      </c>
      <c r="G11181" s="67" t="s">
        <v>528</v>
      </c>
      <c r="H11181" s="69">
        <v>-0.6</v>
      </c>
    </row>
    <row r="11182" spans="6:8">
      <c r="F11182" s="68" t="s">
        <v>127</v>
      </c>
      <c r="G11182" s="67" t="s">
        <v>528</v>
      </c>
      <c r="H11182" s="69">
        <v>-0.15</v>
      </c>
    </row>
    <row r="11183" spans="6:8">
      <c r="F11183" s="68" t="s">
        <v>253</v>
      </c>
      <c r="G11183" s="67" t="s">
        <v>528</v>
      </c>
      <c r="H11183" s="69">
        <v>0.45</v>
      </c>
    </row>
    <row r="11184" spans="6:8">
      <c r="F11184" s="68" t="s">
        <v>315</v>
      </c>
      <c r="G11184" s="67" t="s">
        <v>528</v>
      </c>
      <c r="H11184" s="69">
        <v>-0.1</v>
      </c>
    </row>
    <row r="11185" spans="6:8">
      <c r="F11185" s="68" t="s">
        <v>128</v>
      </c>
      <c r="G11185" s="67" t="s">
        <v>528</v>
      </c>
      <c r="H11185" s="69">
        <v>-0.55000000000000004</v>
      </c>
    </row>
    <row r="11186" spans="6:8">
      <c r="F11186" s="68" t="s">
        <v>129</v>
      </c>
      <c r="G11186" s="67" t="s">
        <v>528</v>
      </c>
      <c r="H11186" s="69">
        <v>-0.25</v>
      </c>
    </row>
    <row r="11187" spans="6:8">
      <c r="F11187" s="68" t="s">
        <v>254</v>
      </c>
      <c r="G11187" s="67" t="s">
        <v>528</v>
      </c>
      <c r="H11187" s="69">
        <v>0.61</v>
      </c>
    </row>
    <row r="11188" spans="6:8">
      <c r="F11188" s="68" t="s">
        <v>304</v>
      </c>
      <c r="G11188" s="67" t="s">
        <v>528</v>
      </c>
      <c r="H11188" s="69">
        <v>17.34375</v>
      </c>
    </row>
    <row r="11189" spans="6:8">
      <c r="F11189" s="68" t="s">
        <v>421</v>
      </c>
      <c r="G11189" s="67" t="s">
        <v>528</v>
      </c>
      <c r="H11189" s="69">
        <v>2.5745085954129276</v>
      </c>
    </row>
    <row r="11190" spans="6:8">
      <c r="F11190" s="68" t="s">
        <v>130</v>
      </c>
      <c r="G11190" s="67" t="s">
        <v>528</v>
      </c>
      <c r="H11190" s="69">
        <v>-0.6</v>
      </c>
    </row>
    <row r="11191" spans="6:8">
      <c r="F11191" s="68" t="s">
        <v>131</v>
      </c>
      <c r="G11191" s="67" t="s">
        <v>528</v>
      </c>
      <c r="H11191" s="69">
        <v>-0.35</v>
      </c>
    </row>
    <row r="11192" spans="6:8">
      <c r="F11192" s="68" t="s">
        <v>255</v>
      </c>
      <c r="G11192" s="67" t="s">
        <v>528</v>
      </c>
      <c r="H11192" s="69">
        <v>0.8</v>
      </c>
    </row>
    <row r="11193" spans="6:8">
      <c r="F11193" s="68" t="s">
        <v>303</v>
      </c>
      <c r="G11193" s="67" t="s">
        <v>528</v>
      </c>
      <c r="H11193" s="69">
        <v>18.604166666666668</v>
      </c>
    </row>
    <row r="11194" spans="6:8">
      <c r="F11194" s="68" t="s">
        <v>422</v>
      </c>
      <c r="G11194" s="67" t="s">
        <v>528</v>
      </c>
      <c r="H11194" s="69">
        <v>2.5804614016891936</v>
      </c>
    </row>
    <row r="11195" spans="6:8">
      <c r="F11195" s="68" t="s">
        <v>132</v>
      </c>
      <c r="G11195" s="67" t="s">
        <v>528</v>
      </c>
      <c r="H11195" s="69">
        <v>-0.5</v>
      </c>
    </row>
    <row r="11196" spans="6:8">
      <c r="F11196" s="68" t="s">
        <v>133</v>
      </c>
      <c r="G11196" s="67" t="s">
        <v>528</v>
      </c>
      <c r="H11196" s="69">
        <v>-0.4</v>
      </c>
    </row>
    <row r="11197" spans="6:8">
      <c r="F11197" s="68" t="s">
        <v>256</v>
      </c>
      <c r="G11197" s="67" t="s">
        <v>528</v>
      </c>
      <c r="H11197" s="69">
        <v>0.96</v>
      </c>
    </row>
    <row r="11198" spans="6:8">
      <c r="F11198" s="68" t="s">
        <v>423</v>
      </c>
      <c r="G11198" s="67" t="s">
        <v>528</v>
      </c>
      <c r="H11198" s="69">
        <v>2.6147547217571621</v>
      </c>
    </row>
    <row r="11199" spans="6:8">
      <c r="F11199" s="68" t="s">
        <v>134</v>
      </c>
      <c r="G11199" s="67" t="s">
        <v>528</v>
      </c>
      <c r="H11199" s="69">
        <v>-0.5</v>
      </c>
    </row>
    <row r="11200" spans="6:8">
      <c r="F11200" s="68" t="s">
        <v>135</v>
      </c>
      <c r="G11200" s="67" t="s">
        <v>528</v>
      </c>
      <c r="H11200" s="69">
        <v>-0.4</v>
      </c>
    </row>
    <row r="11201" spans="6:8">
      <c r="F11201" s="68" t="s">
        <v>257</v>
      </c>
      <c r="G11201" s="67" t="s">
        <v>528</v>
      </c>
      <c r="H11201" s="69">
        <v>1.04</v>
      </c>
    </row>
    <row r="11202" spans="6:8">
      <c r="F11202" s="68" t="s">
        <v>258</v>
      </c>
      <c r="G11202" s="67" t="s">
        <v>528</v>
      </c>
      <c r="H11202" s="69">
        <v>0.14000000000000001</v>
      </c>
    </row>
    <row r="11203" spans="6:8">
      <c r="F11203" s="68" t="s">
        <v>424</v>
      </c>
      <c r="G11203" s="67" t="s">
        <v>528</v>
      </c>
      <c r="H11203" s="69">
        <v>3.2441500739690543</v>
      </c>
    </row>
    <row r="11204" spans="6:8">
      <c r="F11204" s="68" t="s">
        <v>136</v>
      </c>
      <c r="G11204" s="67" t="s">
        <v>528</v>
      </c>
      <c r="H11204" s="69">
        <v>-0.5</v>
      </c>
    </row>
    <row r="11205" spans="6:8">
      <c r="F11205" s="68" t="s">
        <v>137</v>
      </c>
      <c r="G11205" s="67" t="s">
        <v>528</v>
      </c>
      <c r="H11205" s="69">
        <v>-0.5</v>
      </c>
    </row>
    <row r="11206" spans="6:8">
      <c r="F11206" s="68" t="s">
        <v>138</v>
      </c>
      <c r="G11206" s="67" t="s">
        <v>528</v>
      </c>
      <c r="H11206" s="69">
        <v>-0.45</v>
      </c>
    </row>
    <row r="11207" spans="6:8">
      <c r="F11207" s="68" t="s">
        <v>259</v>
      </c>
      <c r="G11207" s="67" t="s">
        <v>528</v>
      </c>
      <c r="H11207" s="69">
        <v>0.17</v>
      </c>
    </row>
    <row r="11208" spans="6:8">
      <c r="F11208" s="68" t="s">
        <v>425</v>
      </c>
      <c r="G11208" s="67" t="s">
        <v>528</v>
      </c>
      <c r="H11208" s="69">
        <v>3.2891509526831175</v>
      </c>
    </row>
    <row r="11209" spans="6:8">
      <c r="F11209" s="68" t="s">
        <v>425</v>
      </c>
      <c r="G11209" s="67" t="s">
        <v>529</v>
      </c>
      <c r="H11209" s="69">
        <v>3.3510563837162</v>
      </c>
    </row>
    <row r="11210" spans="6:8">
      <c r="F11210" s="68" t="s">
        <v>259</v>
      </c>
      <c r="G11210" s="67" t="s">
        <v>529</v>
      </c>
      <c r="H11210" s="69">
        <v>0.17</v>
      </c>
    </row>
    <row r="11211" spans="6:8">
      <c r="F11211" s="68" t="s">
        <v>138</v>
      </c>
      <c r="G11211" s="67" t="s">
        <v>529</v>
      </c>
      <c r="H11211" s="69">
        <v>-0.45</v>
      </c>
    </row>
    <row r="11212" spans="6:8">
      <c r="F11212" s="68" t="s">
        <v>137</v>
      </c>
      <c r="G11212" s="67" t="s">
        <v>529</v>
      </c>
      <c r="H11212" s="69">
        <v>-0.5</v>
      </c>
    </row>
    <row r="11213" spans="6:8">
      <c r="F11213" s="68" t="s">
        <v>136</v>
      </c>
      <c r="G11213" s="67" t="s">
        <v>529</v>
      </c>
      <c r="H11213" s="69">
        <v>-0.5</v>
      </c>
    </row>
    <row r="11214" spans="6:8">
      <c r="F11214" s="68" t="s">
        <v>424</v>
      </c>
      <c r="G11214" s="67" t="s">
        <v>529</v>
      </c>
      <c r="H11214" s="69">
        <v>3.3083266360260044</v>
      </c>
    </row>
    <row r="11215" spans="6:8">
      <c r="F11215" s="68" t="s">
        <v>258</v>
      </c>
      <c r="G11215" s="67" t="s">
        <v>529</v>
      </c>
      <c r="H11215" s="69">
        <v>0.14000000000000001</v>
      </c>
    </row>
    <row r="11216" spans="6:8">
      <c r="F11216" s="68" t="s">
        <v>257</v>
      </c>
      <c r="G11216" s="67" t="s">
        <v>529</v>
      </c>
      <c r="H11216" s="69">
        <v>1.04</v>
      </c>
    </row>
    <row r="11217" spans="6:8">
      <c r="F11217" s="68" t="s">
        <v>135</v>
      </c>
      <c r="G11217" s="67" t="s">
        <v>529</v>
      </c>
      <c r="H11217" s="69">
        <v>-0.4</v>
      </c>
    </row>
    <row r="11218" spans="6:8">
      <c r="F11218" s="68" t="s">
        <v>134</v>
      </c>
      <c r="G11218" s="67" t="s">
        <v>529</v>
      </c>
      <c r="H11218" s="69">
        <v>-0.5</v>
      </c>
    </row>
    <row r="11219" spans="6:8">
      <c r="F11219" s="68" t="s">
        <v>423</v>
      </c>
      <c r="G11219" s="67" t="s">
        <v>529</v>
      </c>
      <c r="H11219" s="69">
        <v>2.647047185425544</v>
      </c>
    </row>
    <row r="11220" spans="6:8">
      <c r="F11220" s="68" t="s">
        <v>256</v>
      </c>
      <c r="G11220" s="67" t="s">
        <v>529</v>
      </c>
      <c r="H11220" s="69">
        <v>0.96</v>
      </c>
    </row>
    <row r="11221" spans="6:8">
      <c r="F11221" s="68" t="s">
        <v>133</v>
      </c>
      <c r="G11221" s="67" t="s">
        <v>529</v>
      </c>
      <c r="H11221" s="69">
        <v>-0.4</v>
      </c>
    </row>
    <row r="11222" spans="6:8">
      <c r="F11222" s="68" t="s">
        <v>132</v>
      </c>
      <c r="G11222" s="67" t="s">
        <v>529</v>
      </c>
      <c r="H11222" s="69">
        <v>-0.5</v>
      </c>
    </row>
    <row r="11223" spans="6:8">
      <c r="F11223" s="68" t="s">
        <v>422</v>
      </c>
      <c r="G11223" s="67" t="s">
        <v>529</v>
      </c>
      <c r="H11223" s="69">
        <v>2.6051841791086883</v>
      </c>
    </row>
    <row r="11224" spans="6:8">
      <c r="F11224" s="68" t="s">
        <v>303</v>
      </c>
      <c r="G11224" s="67" t="s">
        <v>529</v>
      </c>
      <c r="H11224" s="69">
        <v>18.645833333333332</v>
      </c>
    </row>
    <row r="11225" spans="6:8">
      <c r="F11225" s="68" t="s">
        <v>255</v>
      </c>
      <c r="G11225" s="67" t="s">
        <v>529</v>
      </c>
      <c r="H11225" s="69">
        <v>0.8</v>
      </c>
    </row>
    <row r="11226" spans="6:8">
      <c r="F11226" s="68" t="s">
        <v>131</v>
      </c>
      <c r="G11226" s="67" t="s">
        <v>529</v>
      </c>
      <c r="H11226" s="69">
        <v>-0.35</v>
      </c>
    </row>
    <row r="11227" spans="6:8">
      <c r="F11227" s="68" t="s">
        <v>130</v>
      </c>
      <c r="G11227" s="67" t="s">
        <v>529</v>
      </c>
      <c r="H11227" s="69">
        <v>-0.6</v>
      </c>
    </row>
    <row r="11228" spans="6:8">
      <c r="F11228" s="68" t="s">
        <v>421</v>
      </c>
      <c r="G11228" s="67" t="s">
        <v>529</v>
      </c>
      <c r="H11228" s="69">
        <v>2.5992657049811463</v>
      </c>
    </row>
    <row r="11229" spans="6:8">
      <c r="F11229" s="68" t="s">
        <v>304</v>
      </c>
      <c r="G11229" s="67" t="s">
        <v>529</v>
      </c>
      <c r="H11229" s="69">
        <v>17.385416666666668</v>
      </c>
    </row>
    <row r="11230" spans="6:8">
      <c r="F11230" s="68" t="s">
        <v>254</v>
      </c>
      <c r="G11230" s="67" t="s">
        <v>529</v>
      </c>
      <c r="H11230" s="69">
        <v>0.61</v>
      </c>
    </row>
    <row r="11231" spans="6:8">
      <c r="F11231" s="68" t="s">
        <v>129</v>
      </c>
      <c r="G11231" s="67" t="s">
        <v>529</v>
      </c>
      <c r="H11231" s="69">
        <v>-0.25</v>
      </c>
    </row>
    <row r="11232" spans="6:8">
      <c r="F11232" s="68" t="s">
        <v>128</v>
      </c>
      <c r="G11232" s="67" t="s">
        <v>529</v>
      </c>
      <c r="H11232" s="69">
        <v>-0.55000000000000004</v>
      </c>
    </row>
    <row r="11233" spans="6:8">
      <c r="F11233" s="68" t="s">
        <v>315</v>
      </c>
      <c r="G11233" s="67" t="s">
        <v>529</v>
      </c>
      <c r="H11233" s="69">
        <v>-0.1</v>
      </c>
    </row>
    <row r="11234" spans="6:8">
      <c r="F11234" s="68" t="s">
        <v>253</v>
      </c>
      <c r="G11234" s="67" t="s">
        <v>529</v>
      </c>
      <c r="H11234" s="69">
        <v>0.45</v>
      </c>
    </row>
    <row r="11235" spans="6:8">
      <c r="F11235" s="68" t="s">
        <v>127</v>
      </c>
      <c r="G11235" s="67" t="s">
        <v>529</v>
      </c>
      <c r="H11235" s="69">
        <v>-0.15</v>
      </c>
    </row>
    <row r="11236" spans="6:8">
      <c r="F11236" s="68" t="s">
        <v>126</v>
      </c>
      <c r="G11236" s="67" t="s">
        <v>529</v>
      </c>
      <c r="H11236" s="69">
        <v>-0.6</v>
      </c>
    </row>
    <row r="11237" spans="6:8">
      <c r="F11237" s="68" t="s">
        <v>125</v>
      </c>
      <c r="G11237" s="67" t="s">
        <v>529</v>
      </c>
      <c r="H11237" s="69">
        <v>-0.2</v>
      </c>
    </row>
    <row r="11238" spans="6:8">
      <c r="F11238" s="68" t="s">
        <v>314</v>
      </c>
      <c r="G11238" s="67" t="s">
        <v>529</v>
      </c>
      <c r="H11238" s="69">
        <v>-0.15</v>
      </c>
    </row>
    <row r="11239" spans="6:8">
      <c r="F11239" s="68" t="s">
        <v>252</v>
      </c>
      <c r="G11239" s="67" t="s">
        <v>529</v>
      </c>
      <c r="H11239" s="69">
        <v>0.32</v>
      </c>
    </row>
    <row r="11240" spans="6:8">
      <c r="F11240" s="68" t="s">
        <v>124</v>
      </c>
      <c r="G11240" s="67" t="s">
        <v>529</v>
      </c>
      <c r="H11240" s="69">
        <v>-0.25</v>
      </c>
    </row>
    <row r="11241" spans="6:8">
      <c r="F11241" s="68" t="s">
        <v>123</v>
      </c>
      <c r="G11241" s="67" t="s">
        <v>529</v>
      </c>
      <c r="H11241" s="69">
        <v>-0.65</v>
      </c>
    </row>
    <row r="11242" spans="6:8">
      <c r="F11242" s="68" t="s">
        <v>122</v>
      </c>
      <c r="G11242" s="67" t="s">
        <v>529</v>
      </c>
      <c r="H11242" s="69">
        <v>-0.35</v>
      </c>
    </row>
    <row r="11243" spans="6:8">
      <c r="F11243" s="68" t="s">
        <v>420</v>
      </c>
      <c r="G11243" s="67" t="s">
        <v>529</v>
      </c>
      <c r="H11243" s="69">
        <v>3.5422755368494485</v>
      </c>
    </row>
    <row r="11244" spans="6:8">
      <c r="F11244" s="68" t="s">
        <v>251</v>
      </c>
      <c r="G11244" s="67" t="s">
        <v>529</v>
      </c>
      <c r="H11244" s="69">
        <v>0.23</v>
      </c>
    </row>
    <row r="11245" spans="6:8">
      <c r="F11245" s="68" t="s">
        <v>121</v>
      </c>
      <c r="G11245" s="67" t="s">
        <v>529</v>
      </c>
      <c r="H11245" s="69">
        <v>-0.4</v>
      </c>
    </row>
    <row r="11246" spans="6:8">
      <c r="F11246" s="68" t="s">
        <v>120</v>
      </c>
      <c r="G11246" s="67" t="s">
        <v>529</v>
      </c>
      <c r="H11246" s="69">
        <v>-0.5</v>
      </c>
    </row>
    <row r="11247" spans="6:8">
      <c r="F11247" s="68" t="s">
        <v>119</v>
      </c>
      <c r="G11247" s="67" t="s">
        <v>529</v>
      </c>
      <c r="H11247" s="69">
        <v>-0.4</v>
      </c>
    </row>
    <row r="11248" spans="6:8">
      <c r="F11248" s="68" t="s">
        <v>119</v>
      </c>
      <c r="G11248" s="67" t="s">
        <v>530</v>
      </c>
      <c r="H11248" s="69">
        <v>-0.35</v>
      </c>
    </row>
    <row r="11249" spans="6:8">
      <c r="F11249" s="68" t="s">
        <v>120</v>
      </c>
      <c r="G11249" s="67" t="s">
        <v>530</v>
      </c>
      <c r="H11249" s="69">
        <v>-0.6</v>
      </c>
    </row>
    <row r="11250" spans="6:8">
      <c r="F11250" s="68" t="s">
        <v>121</v>
      </c>
      <c r="G11250" s="67" t="s">
        <v>530</v>
      </c>
      <c r="H11250" s="69">
        <v>-0.4</v>
      </c>
    </row>
    <row r="11251" spans="6:8">
      <c r="F11251" s="68" t="s">
        <v>251</v>
      </c>
      <c r="G11251" s="67" t="s">
        <v>530</v>
      </c>
      <c r="H11251" s="69">
        <v>0.23</v>
      </c>
    </row>
    <row r="11252" spans="6:8">
      <c r="F11252" s="68" t="s">
        <v>420</v>
      </c>
      <c r="G11252" s="67" t="s">
        <v>530</v>
      </c>
      <c r="H11252" s="69">
        <v>3.5894558660793052</v>
      </c>
    </row>
    <row r="11253" spans="6:8">
      <c r="F11253" s="68" t="s">
        <v>122</v>
      </c>
      <c r="G11253" s="67" t="s">
        <v>530</v>
      </c>
      <c r="H11253" s="69">
        <v>-0.3</v>
      </c>
    </row>
    <row r="11254" spans="6:8">
      <c r="F11254" s="68" t="s">
        <v>123</v>
      </c>
      <c r="G11254" s="67" t="s">
        <v>530</v>
      </c>
      <c r="H11254" s="69">
        <v>-0.75</v>
      </c>
    </row>
    <row r="11255" spans="6:8">
      <c r="F11255" s="68" t="s">
        <v>124</v>
      </c>
      <c r="G11255" s="67" t="s">
        <v>530</v>
      </c>
      <c r="H11255" s="69">
        <v>-0.25</v>
      </c>
    </row>
    <row r="11256" spans="6:8">
      <c r="F11256" s="68" t="s">
        <v>252</v>
      </c>
      <c r="G11256" s="67" t="s">
        <v>530</v>
      </c>
      <c r="H11256" s="69">
        <v>0.32</v>
      </c>
    </row>
    <row r="11257" spans="6:8">
      <c r="F11257" s="68" t="s">
        <v>314</v>
      </c>
      <c r="G11257" s="67" t="s">
        <v>530</v>
      </c>
      <c r="H11257" s="69">
        <v>-0.1</v>
      </c>
    </row>
    <row r="11258" spans="6:8">
      <c r="F11258" s="68" t="s">
        <v>125</v>
      </c>
      <c r="G11258" s="67" t="s">
        <v>530</v>
      </c>
      <c r="H11258" s="69">
        <v>-0.15</v>
      </c>
    </row>
    <row r="11259" spans="6:8">
      <c r="F11259" s="68" t="s">
        <v>126</v>
      </c>
      <c r="G11259" s="67" t="s">
        <v>530</v>
      </c>
      <c r="H11259" s="69">
        <v>-0.6</v>
      </c>
    </row>
    <row r="11260" spans="6:8">
      <c r="F11260" s="68" t="s">
        <v>127</v>
      </c>
      <c r="G11260" s="67" t="s">
        <v>530</v>
      </c>
      <c r="H11260" s="69">
        <v>-0.3</v>
      </c>
    </row>
    <row r="11261" spans="6:8">
      <c r="F11261" s="68" t="s">
        <v>253</v>
      </c>
      <c r="G11261" s="67" t="s">
        <v>530</v>
      </c>
      <c r="H11261" s="69">
        <v>0.46</v>
      </c>
    </row>
    <row r="11262" spans="6:8">
      <c r="F11262" s="68" t="s">
        <v>315</v>
      </c>
      <c r="G11262" s="67" t="s">
        <v>530</v>
      </c>
      <c r="H11262" s="69">
        <v>-0.05</v>
      </c>
    </row>
    <row r="11263" spans="6:8">
      <c r="F11263" s="68" t="s">
        <v>128</v>
      </c>
      <c r="G11263" s="67" t="s">
        <v>530</v>
      </c>
      <c r="H11263" s="69">
        <v>-0.6</v>
      </c>
    </row>
    <row r="11264" spans="6:8">
      <c r="F11264" s="68" t="s">
        <v>129</v>
      </c>
      <c r="G11264" s="67" t="s">
        <v>530</v>
      </c>
      <c r="H11264" s="69">
        <v>-0.35</v>
      </c>
    </row>
    <row r="11265" spans="6:8">
      <c r="F11265" s="68" t="s">
        <v>254</v>
      </c>
      <c r="G11265" s="67" t="s">
        <v>530</v>
      </c>
      <c r="H11265" s="69">
        <v>0.62</v>
      </c>
    </row>
    <row r="11266" spans="6:8">
      <c r="F11266" s="68" t="s">
        <v>304</v>
      </c>
      <c r="G11266" s="67" t="s">
        <v>530</v>
      </c>
      <c r="H11266" s="69">
        <v>17.479166666666668</v>
      </c>
    </row>
    <row r="11267" spans="6:8">
      <c r="F11267" s="68" t="s">
        <v>421</v>
      </c>
      <c r="G11267" s="67" t="s">
        <v>530</v>
      </c>
      <c r="H11267" s="69">
        <v>2.6435320650195937</v>
      </c>
    </row>
    <row r="11268" spans="6:8">
      <c r="F11268" s="68" t="s">
        <v>130</v>
      </c>
      <c r="G11268" s="67" t="s">
        <v>530</v>
      </c>
      <c r="H11268" s="69">
        <v>-0.6</v>
      </c>
    </row>
    <row r="11269" spans="6:8">
      <c r="F11269" s="68" t="s">
        <v>131</v>
      </c>
      <c r="G11269" s="67" t="s">
        <v>530</v>
      </c>
      <c r="H11269" s="69">
        <v>-0.4</v>
      </c>
    </row>
    <row r="11270" spans="6:8">
      <c r="F11270" s="68" t="s">
        <v>255</v>
      </c>
      <c r="G11270" s="67" t="s">
        <v>530</v>
      </c>
      <c r="H11270" s="69">
        <v>0.81</v>
      </c>
    </row>
    <row r="11271" spans="6:8">
      <c r="F11271" s="68" t="s">
        <v>303</v>
      </c>
      <c r="G11271" s="67" t="s">
        <v>530</v>
      </c>
      <c r="H11271" s="69">
        <v>18.625</v>
      </c>
    </row>
    <row r="11272" spans="6:8">
      <c r="F11272" s="68" t="s">
        <v>422</v>
      </c>
      <c r="G11272" s="67" t="s">
        <v>530</v>
      </c>
      <c r="H11272" s="69">
        <v>2.6494612397776063</v>
      </c>
    </row>
    <row r="11273" spans="6:8">
      <c r="F11273" s="68" t="s">
        <v>132</v>
      </c>
      <c r="G11273" s="67" t="s">
        <v>530</v>
      </c>
      <c r="H11273" s="69">
        <v>-0.5</v>
      </c>
    </row>
    <row r="11274" spans="6:8">
      <c r="F11274" s="68" t="s">
        <v>133</v>
      </c>
      <c r="G11274" s="67" t="s">
        <v>530</v>
      </c>
      <c r="H11274" s="69">
        <v>-0.4</v>
      </c>
    </row>
    <row r="11275" spans="6:8">
      <c r="F11275" s="68" t="s">
        <v>256</v>
      </c>
      <c r="G11275" s="67" t="s">
        <v>530</v>
      </c>
      <c r="H11275" s="69">
        <v>0.97</v>
      </c>
    </row>
    <row r="11276" spans="6:8">
      <c r="F11276" s="68" t="s">
        <v>423</v>
      </c>
      <c r="G11276" s="67" t="s">
        <v>530</v>
      </c>
      <c r="H11276" s="69">
        <v>2.703550150443057</v>
      </c>
    </row>
    <row r="11277" spans="6:8">
      <c r="F11277" s="68" t="s">
        <v>134</v>
      </c>
      <c r="G11277" s="67" t="s">
        <v>530</v>
      </c>
      <c r="H11277" s="69">
        <v>-0.45</v>
      </c>
    </row>
    <row r="11278" spans="6:8">
      <c r="F11278" s="68" t="s">
        <v>135</v>
      </c>
      <c r="G11278" s="67" t="s">
        <v>530</v>
      </c>
      <c r="H11278" s="69">
        <v>-0.6</v>
      </c>
    </row>
    <row r="11279" spans="6:8">
      <c r="F11279" s="68" t="s">
        <v>257</v>
      </c>
      <c r="G11279" s="67" t="s">
        <v>530</v>
      </c>
      <c r="H11279" s="69">
        <v>1.05</v>
      </c>
    </row>
    <row r="11280" spans="6:8">
      <c r="F11280" s="68" t="s">
        <v>258</v>
      </c>
      <c r="G11280" s="67" t="s">
        <v>530</v>
      </c>
      <c r="H11280" s="69">
        <v>0.14000000000000001</v>
      </c>
    </row>
    <row r="11281" spans="6:8">
      <c r="F11281" s="68" t="s">
        <v>424</v>
      </c>
      <c r="G11281" s="67" t="s">
        <v>530</v>
      </c>
      <c r="H11281" s="69">
        <v>3.3580871874207663</v>
      </c>
    </row>
    <row r="11282" spans="6:8">
      <c r="F11282" s="68" t="s">
        <v>136</v>
      </c>
      <c r="G11282" s="67" t="s">
        <v>530</v>
      </c>
      <c r="H11282" s="69">
        <v>-0.45</v>
      </c>
    </row>
    <row r="11283" spans="6:8">
      <c r="F11283" s="68" t="s">
        <v>137</v>
      </c>
      <c r="G11283" s="67" t="s">
        <v>530</v>
      </c>
      <c r="H11283" s="69">
        <v>-0.6</v>
      </c>
    </row>
    <row r="11284" spans="6:8">
      <c r="F11284" s="68" t="s">
        <v>138</v>
      </c>
      <c r="G11284" s="67" t="s">
        <v>530</v>
      </c>
      <c r="H11284" s="69">
        <v>-0.45</v>
      </c>
    </row>
    <row r="11285" spans="6:8">
      <c r="F11285" s="68" t="s">
        <v>259</v>
      </c>
      <c r="G11285" s="67" t="s">
        <v>530</v>
      </c>
      <c r="H11285" s="69">
        <v>0.17</v>
      </c>
    </row>
    <row r="11286" spans="6:8">
      <c r="F11286" s="68" t="s">
        <v>425</v>
      </c>
      <c r="G11286" s="67" t="s">
        <v>530</v>
      </c>
      <c r="H11286" s="69">
        <v>3.3847242246932918</v>
      </c>
    </row>
    <row r="11287" spans="6:8">
      <c r="F11287" s="68" t="s">
        <v>425</v>
      </c>
      <c r="G11287" s="67" t="s">
        <v>531</v>
      </c>
      <c r="H11287" s="69">
        <v>3.2882019071685864</v>
      </c>
    </row>
    <row r="11288" spans="6:8">
      <c r="F11288" s="68" t="s">
        <v>259</v>
      </c>
      <c r="G11288" s="67" t="s">
        <v>531</v>
      </c>
      <c r="H11288" s="69">
        <v>0.17</v>
      </c>
    </row>
    <row r="11289" spans="6:8">
      <c r="F11289" s="68" t="s">
        <v>138</v>
      </c>
      <c r="G11289" s="67" t="s">
        <v>531</v>
      </c>
      <c r="H11289" s="69">
        <v>-0.45</v>
      </c>
    </row>
    <row r="11290" spans="6:8">
      <c r="F11290" s="68" t="s">
        <v>137</v>
      </c>
      <c r="G11290" s="67" t="s">
        <v>531</v>
      </c>
      <c r="H11290" s="69">
        <v>-0.6</v>
      </c>
    </row>
    <row r="11291" spans="6:8">
      <c r="F11291" s="68" t="s">
        <v>136</v>
      </c>
      <c r="G11291" s="67" t="s">
        <v>531</v>
      </c>
      <c r="H11291" s="69">
        <v>-0.45</v>
      </c>
    </row>
    <row r="11292" spans="6:8">
      <c r="F11292" s="68" t="s">
        <v>424</v>
      </c>
      <c r="G11292" s="67" t="s">
        <v>531</v>
      </c>
      <c r="H11292" s="69">
        <v>3.2588498637285301</v>
      </c>
    </row>
    <row r="11293" spans="6:8">
      <c r="F11293" s="68" t="s">
        <v>258</v>
      </c>
      <c r="G11293" s="67" t="s">
        <v>531</v>
      </c>
      <c r="H11293" s="69">
        <v>0.14000000000000001</v>
      </c>
    </row>
    <row r="11294" spans="6:8">
      <c r="F11294" s="68" t="s">
        <v>257</v>
      </c>
      <c r="G11294" s="67" t="s">
        <v>531</v>
      </c>
      <c r="H11294" s="69">
        <v>1.05</v>
      </c>
    </row>
    <row r="11295" spans="6:8">
      <c r="F11295" s="68" t="s">
        <v>135</v>
      </c>
      <c r="G11295" s="67" t="s">
        <v>531</v>
      </c>
      <c r="H11295" s="69">
        <v>-0.6</v>
      </c>
    </row>
    <row r="11296" spans="6:8">
      <c r="F11296" s="68" t="s">
        <v>134</v>
      </c>
      <c r="G11296" s="67" t="s">
        <v>531</v>
      </c>
      <c r="H11296" s="69">
        <v>-0.45</v>
      </c>
    </row>
    <row r="11297" spans="6:8">
      <c r="F11297" s="68" t="s">
        <v>423</v>
      </c>
      <c r="G11297" s="67" t="s">
        <v>531</v>
      </c>
      <c r="H11297" s="69">
        <v>2.6429693708992286</v>
      </c>
    </row>
    <row r="11298" spans="6:8">
      <c r="F11298" s="68" t="s">
        <v>256</v>
      </c>
      <c r="G11298" s="67" t="s">
        <v>531</v>
      </c>
      <c r="H11298" s="69">
        <v>0.97</v>
      </c>
    </row>
    <row r="11299" spans="6:8">
      <c r="F11299" s="68" t="s">
        <v>133</v>
      </c>
      <c r="G11299" s="67" t="s">
        <v>531</v>
      </c>
      <c r="H11299" s="69">
        <v>-0.4</v>
      </c>
    </row>
    <row r="11300" spans="6:8">
      <c r="F11300" s="68" t="s">
        <v>132</v>
      </c>
      <c r="G11300" s="67" t="s">
        <v>531</v>
      </c>
      <c r="H11300" s="69">
        <v>-0.5</v>
      </c>
    </row>
    <row r="11301" spans="6:8">
      <c r="F11301" s="68" t="s">
        <v>422</v>
      </c>
      <c r="G11301" s="67" t="s">
        <v>531</v>
      </c>
      <c r="H11301" s="69">
        <v>2.6011558185667472</v>
      </c>
    </row>
    <row r="11302" spans="6:8">
      <c r="F11302" s="68" t="s">
        <v>303</v>
      </c>
      <c r="G11302" s="67" t="s">
        <v>531</v>
      </c>
      <c r="H11302" s="69">
        <v>18.708333333333332</v>
      </c>
    </row>
    <row r="11303" spans="6:8">
      <c r="F11303" s="68" t="s">
        <v>255</v>
      </c>
      <c r="G11303" s="67" t="s">
        <v>531</v>
      </c>
      <c r="H11303" s="69">
        <v>0.81</v>
      </c>
    </row>
    <row r="11304" spans="6:8">
      <c r="F11304" s="68" t="s">
        <v>131</v>
      </c>
      <c r="G11304" s="67" t="s">
        <v>531</v>
      </c>
      <c r="H11304" s="69">
        <v>-0.4</v>
      </c>
    </row>
    <row r="11305" spans="6:8">
      <c r="F11305" s="68" t="s">
        <v>130</v>
      </c>
      <c r="G11305" s="67" t="s">
        <v>531</v>
      </c>
      <c r="H11305" s="69">
        <v>-0.6</v>
      </c>
    </row>
    <row r="11306" spans="6:8">
      <c r="F11306" s="68" t="s">
        <v>421</v>
      </c>
      <c r="G11306" s="67" t="s">
        <v>531</v>
      </c>
      <c r="H11306" s="69">
        <v>2.5951704684044508</v>
      </c>
    </row>
    <row r="11307" spans="6:8">
      <c r="F11307" s="68" t="s">
        <v>304</v>
      </c>
      <c r="G11307" s="67" t="s">
        <v>531</v>
      </c>
      <c r="H11307" s="69">
        <v>17.666666666666668</v>
      </c>
    </row>
    <row r="11308" spans="6:8">
      <c r="F11308" s="68" t="s">
        <v>254</v>
      </c>
      <c r="G11308" s="67" t="s">
        <v>531</v>
      </c>
      <c r="H11308" s="69">
        <v>0.62</v>
      </c>
    </row>
    <row r="11309" spans="6:8">
      <c r="F11309" s="68" t="s">
        <v>129</v>
      </c>
      <c r="G11309" s="67" t="s">
        <v>531</v>
      </c>
      <c r="H11309" s="69">
        <v>-0.35</v>
      </c>
    </row>
    <row r="11310" spans="6:8">
      <c r="F11310" s="68" t="s">
        <v>128</v>
      </c>
      <c r="G11310" s="67" t="s">
        <v>531</v>
      </c>
      <c r="H11310" s="69">
        <v>-0.6</v>
      </c>
    </row>
    <row r="11311" spans="6:8">
      <c r="F11311" s="68" t="s">
        <v>315</v>
      </c>
      <c r="G11311" s="67" t="s">
        <v>531</v>
      </c>
      <c r="H11311" s="69">
        <v>-0.05</v>
      </c>
    </row>
    <row r="11312" spans="6:8">
      <c r="F11312" s="68" t="s">
        <v>253</v>
      </c>
      <c r="G11312" s="67" t="s">
        <v>531</v>
      </c>
      <c r="H11312" s="69">
        <v>0.46</v>
      </c>
    </row>
    <row r="11313" spans="6:8">
      <c r="F11313" s="68" t="s">
        <v>127</v>
      </c>
      <c r="G11313" s="67" t="s">
        <v>531</v>
      </c>
      <c r="H11313" s="69">
        <v>-0.3</v>
      </c>
    </row>
    <row r="11314" spans="6:8">
      <c r="F11314" s="68" t="s">
        <v>126</v>
      </c>
      <c r="G11314" s="67" t="s">
        <v>531</v>
      </c>
      <c r="H11314" s="69">
        <v>-0.6</v>
      </c>
    </row>
    <row r="11315" spans="6:8">
      <c r="F11315" s="68" t="s">
        <v>125</v>
      </c>
      <c r="G11315" s="67" t="s">
        <v>531</v>
      </c>
      <c r="H11315" s="69">
        <v>-0.15</v>
      </c>
    </row>
    <row r="11316" spans="6:8">
      <c r="F11316" s="68" t="s">
        <v>314</v>
      </c>
      <c r="G11316" s="67" t="s">
        <v>531</v>
      </c>
      <c r="H11316" s="69">
        <v>-0.1</v>
      </c>
    </row>
    <row r="11317" spans="6:8">
      <c r="F11317" s="68" t="s">
        <v>252</v>
      </c>
      <c r="G11317" s="67" t="s">
        <v>531</v>
      </c>
      <c r="H11317" s="69">
        <v>0.32</v>
      </c>
    </row>
    <row r="11318" spans="6:8">
      <c r="F11318" s="68" t="s">
        <v>124</v>
      </c>
      <c r="G11318" s="67" t="s">
        <v>531</v>
      </c>
      <c r="H11318" s="69">
        <v>-0.25</v>
      </c>
    </row>
    <row r="11319" spans="6:8">
      <c r="F11319" s="68" t="s">
        <v>123</v>
      </c>
      <c r="G11319" s="67" t="s">
        <v>531</v>
      </c>
      <c r="H11319" s="69">
        <v>-0.75</v>
      </c>
    </row>
    <row r="11320" spans="6:8">
      <c r="F11320" s="68" t="s">
        <v>122</v>
      </c>
      <c r="G11320" s="67" t="s">
        <v>531</v>
      </c>
      <c r="H11320" s="69">
        <v>-0.3</v>
      </c>
    </row>
    <row r="11321" spans="6:8">
      <c r="F11321" s="68" t="s">
        <v>420</v>
      </c>
      <c r="G11321" s="67" t="s">
        <v>531</v>
      </c>
      <c r="H11321" s="69">
        <v>3.5207189291483143</v>
      </c>
    </row>
    <row r="11322" spans="6:8">
      <c r="F11322" s="68" t="s">
        <v>251</v>
      </c>
      <c r="G11322" s="67" t="s">
        <v>531</v>
      </c>
      <c r="H11322" s="69">
        <v>0.23</v>
      </c>
    </row>
    <row r="11323" spans="6:8">
      <c r="F11323" s="68" t="s">
        <v>121</v>
      </c>
      <c r="G11323" s="67" t="s">
        <v>531</v>
      </c>
      <c r="H11323" s="69">
        <v>-0.4</v>
      </c>
    </row>
    <row r="11324" spans="6:8">
      <c r="F11324" s="68" t="s">
        <v>120</v>
      </c>
      <c r="G11324" s="67" t="s">
        <v>531</v>
      </c>
      <c r="H11324" s="69">
        <v>-0.6</v>
      </c>
    </row>
    <row r="11325" spans="6:8">
      <c r="F11325" s="68" t="s">
        <v>119</v>
      </c>
      <c r="G11325" s="67" t="s">
        <v>531</v>
      </c>
      <c r="H11325" s="69">
        <v>-0.35</v>
      </c>
    </row>
    <row r="11326" spans="6:8">
      <c r="F11326" s="68" t="s">
        <v>119</v>
      </c>
      <c r="G11326" s="67" t="s">
        <v>532</v>
      </c>
      <c r="H11326" s="69">
        <v>-0.35</v>
      </c>
    </row>
    <row r="11327" spans="6:8">
      <c r="F11327" s="68" t="s">
        <v>120</v>
      </c>
      <c r="G11327" s="67" t="s">
        <v>532</v>
      </c>
      <c r="H11327" s="69">
        <v>-0.6</v>
      </c>
    </row>
    <row r="11328" spans="6:8">
      <c r="F11328" s="68" t="s">
        <v>121</v>
      </c>
      <c r="G11328" s="67" t="s">
        <v>532</v>
      </c>
      <c r="H11328" s="69">
        <v>-0.4</v>
      </c>
    </row>
    <row r="11329" spans="6:8">
      <c r="F11329" s="68" t="s">
        <v>251</v>
      </c>
      <c r="G11329" s="67" t="s">
        <v>532</v>
      </c>
      <c r="H11329" s="69">
        <v>0.23</v>
      </c>
    </row>
    <row r="11330" spans="6:8">
      <c r="F11330" s="68" t="s">
        <v>420</v>
      </c>
      <c r="G11330" s="67" t="s">
        <v>532</v>
      </c>
      <c r="H11330" s="69">
        <v>3.5422520494722942</v>
      </c>
    </row>
    <row r="11331" spans="6:8">
      <c r="F11331" s="68" t="s">
        <v>122</v>
      </c>
      <c r="G11331" s="67" t="s">
        <v>532</v>
      </c>
      <c r="H11331" s="69">
        <v>-0.3</v>
      </c>
    </row>
    <row r="11332" spans="6:8">
      <c r="F11332" s="68" t="s">
        <v>123</v>
      </c>
      <c r="G11332" s="67" t="s">
        <v>532</v>
      </c>
      <c r="H11332" s="69">
        <v>-0.75</v>
      </c>
    </row>
    <row r="11333" spans="6:8">
      <c r="F11333" s="68" t="s">
        <v>124</v>
      </c>
      <c r="G11333" s="67" t="s">
        <v>532</v>
      </c>
      <c r="H11333" s="69">
        <v>-0.25</v>
      </c>
    </row>
    <row r="11334" spans="6:8">
      <c r="F11334" s="68" t="s">
        <v>252</v>
      </c>
      <c r="G11334" s="67" t="s">
        <v>532</v>
      </c>
      <c r="H11334" s="69">
        <v>0.32</v>
      </c>
    </row>
    <row r="11335" spans="6:8">
      <c r="F11335" s="68" t="s">
        <v>314</v>
      </c>
      <c r="G11335" s="67" t="s">
        <v>532</v>
      </c>
      <c r="H11335" s="69">
        <v>-0.1</v>
      </c>
    </row>
    <row r="11336" spans="6:8">
      <c r="F11336" s="68" t="s">
        <v>125</v>
      </c>
      <c r="G11336" s="67" t="s">
        <v>532</v>
      </c>
      <c r="H11336" s="69">
        <v>-0.15</v>
      </c>
    </row>
    <row r="11337" spans="6:8">
      <c r="F11337" s="68" t="s">
        <v>126</v>
      </c>
      <c r="G11337" s="67" t="s">
        <v>532</v>
      </c>
      <c r="H11337" s="69">
        <v>-0.6</v>
      </c>
    </row>
    <row r="11338" spans="6:8">
      <c r="F11338" s="68" t="s">
        <v>127</v>
      </c>
      <c r="G11338" s="67" t="s">
        <v>532</v>
      </c>
      <c r="H11338" s="69">
        <v>-0.3</v>
      </c>
    </row>
    <row r="11339" spans="6:8">
      <c r="F11339" s="68" t="s">
        <v>253</v>
      </c>
      <c r="G11339" s="67" t="s">
        <v>532</v>
      </c>
      <c r="H11339" s="69">
        <v>0.46</v>
      </c>
    </row>
    <row r="11340" spans="6:8">
      <c r="F11340" s="68" t="s">
        <v>315</v>
      </c>
      <c r="G11340" s="67" t="s">
        <v>532</v>
      </c>
      <c r="H11340" s="69">
        <v>-0.05</v>
      </c>
    </row>
    <row r="11341" spans="6:8">
      <c r="F11341" s="68" t="s">
        <v>128</v>
      </c>
      <c r="G11341" s="67" t="s">
        <v>532</v>
      </c>
      <c r="H11341" s="69">
        <v>-0.6</v>
      </c>
    </row>
    <row r="11342" spans="6:8">
      <c r="F11342" s="68" t="s">
        <v>129</v>
      </c>
      <c r="G11342" s="67" t="s">
        <v>532</v>
      </c>
      <c r="H11342" s="69">
        <v>-0.35</v>
      </c>
    </row>
    <row r="11343" spans="6:8">
      <c r="F11343" s="68" t="s">
        <v>254</v>
      </c>
      <c r="G11343" s="67" t="s">
        <v>532</v>
      </c>
      <c r="H11343" s="69">
        <v>0.62</v>
      </c>
    </row>
    <row r="11344" spans="6:8">
      <c r="F11344" s="68" t="s">
        <v>304</v>
      </c>
      <c r="G11344" s="67" t="s">
        <v>532</v>
      </c>
      <c r="H11344" s="69">
        <v>17.3125</v>
      </c>
    </row>
    <row r="11345" spans="6:8">
      <c r="F11345" s="68" t="s">
        <v>421</v>
      </c>
      <c r="G11345" s="67" t="s">
        <v>532</v>
      </c>
      <c r="H11345" s="69">
        <v>2.6115476416005201</v>
      </c>
    </row>
    <row r="11346" spans="6:8">
      <c r="F11346" s="68" t="s">
        <v>130</v>
      </c>
      <c r="G11346" s="67" t="s">
        <v>532</v>
      </c>
      <c r="H11346" s="69">
        <v>-0.6</v>
      </c>
    </row>
    <row r="11347" spans="6:8">
      <c r="F11347" s="68" t="s">
        <v>131</v>
      </c>
      <c r="G11347" s="67" t="s">
        <v>532</v>
      </c>
      <c r="H11347" s="69">
        <v>-0.4</v>
      </c>
    </row>
    <row r="11348" spans="6:8">
      <c r="F11348" s="68" t="s">
        <v>255</v>
      </c>
      <c r="G11348" s="67" t="s">
        <v>532</v>
      </c>
      <c r="H11348" s="69">
        <v>0.81</v>
      </c>
    </row>
    <row r="11349" spans="6:8">
      <c r="F11349" s="68" t="s">
        <v>303</v>
      </c>
      <c r="G11349" s="67" t="s">
        <v>532</v>
      </c>
      <c r="H11349" s="69">
        <v>18.479166666666668</v>
      </c>
    </row>
    <row r="11350" spans="6:8">
      <c r="F11350" s="68" t="s">
        <v>422</v>
      </c>
      <c r="G11350" s="67" t="s">
        <v>532</v>
      </c>
      <c r="H11350" s="69">
        <v>2.6176179629137319</v>
      </c>
    </row>
    <row r="11351" spans="6:8">
      <c r="F11351" s="68" t="s">
        <v>132</v>
      </c>
      <c r="G11351" s="67" t="s">
        <v>532</v>
      </c>
      <c r="H11351" s="69">
        <v>-0.5</v>
      </c>
    </row>
    <row r="11352" spans="6:8">
      <c r="F11352" s="68" t="s">
        <v>133</v>
      </c>
      <c r="G11352" s="67" t="s">
        <v>532</v>
      </c>
      <c r="H11352" s="69">
        <v>-0.4</v>
      </c>
    </row>
    <row r="11353" spans="6:8">
      <c r="F11353" s="68" t="s">
        <v>256</v>
      </c>
      <c r="G11353" s="67" t="s">
        <v>532</v>
      </c>
      <c r="H11353" s="69">
        <v>0.97</v>
      </c>
    </row>
    <row r="11354" spans="6:8">
      <c r="F11354" s="68" t="s">
        <v>423</v>
      </c>
      <c r="G11354" s="67" t="s">
        <v>532</v>
      </c>
      <c r="H11354" s="69">
        <v>2.6575942691795085</v>
      </c>
    </row>
    <row r="11355" spans="6:8">
      <c r="F11355" s="68" t="s">
        <v>134</v>
      </c>
      <c r="G11355" s="67" t="s">
        <v>532</v>
      </c>
      <c r="H11355" s="69">
        <v>-0.45</v>
      </c>
    </row>
    <row r="11356" spans="6:8">
      <c r="F11356" s="68" t="s">
        <v>135</v>
      </c>
      <c r="G11356" s="67" t="s">
        <v>532</v>
      </c>
      <c r="H11356" s="69">
        <v>-0.6</v>
      </c>
    </row>
    <row r="11357" spans="6:8">
      <c r="F11357" s="68" t="s">
        <v>257</v>
      </c>
      <c r="G11357" s="67" t="s">
        <v>532</v>
      </c>
      <c r="H11357" s="69">
        <v>1.05</v>
      </c>
    </row>
    <row r="11358" spans="6:8">
      <c r="F11358" s="68" t="s">
        <v>258</v>
      </c>
      <c r="G11358" s="67" t="s">
        <v>532</v>
      </c>
      <c r="H11358" s="69">
        <v>0.14000000000000001</v>
      </c>
    </row>
    <row r="11359" spans="6:8">
      <c r="F11359" s="68" t="s">
        <v>424</v>
      </c>
      <c r="G11359" s="67" t="s">
        <v>532</v>
      </c>
      <c r="H11359" s="69">
        <v>3.2825589380285347</v>
      </c>
    </row>
    <row r="11360" spans="6:8">
      <c r="F11360" s="68" t="s">
        <v>136</v>
      </c>
      <c r="G11360" s="67" t="s">
        <v>532</v>
      </c>
      <c r="H11360" s="69">
        <v>-0.45</v>
      </c>
    </row>
    <row r="11361" spans="6:8">
      <c r="F11361" s="68" t="s">
        <v>137</v>
      </c>
      <c r="G11361" s="67" t="s">
        <v>532</v>
      </c>
      <c r="H11361" s="69">
        <v>-0.6</v>
      </c>
    </row>
    <row r="11362" spans="6:8">
      <c r="F11362" s="68" t="s">
        <v>138</v>
      </c>
      <c r="G11362" s="67" t="s">
        <v>532</v>
      </c>
      <c r="H11362" s="69">
        <v>-0.45</v>
      </c>
    </row>
    <row r="11363" spans="6:8">
      <c r="F11363" s="68" t="s">
        <v>259</v>
      </c>
      <c r="G11363" s="67" t="s">
        <v>532</v>
      </c>
      <c r="H11363" s="69">
        <v>0.17</v>
      </c>
    </row>
    <row r="11364" spans="6:8">
      <c r="F11364" s="68" t="s">
        <v>425</v>
      </c>
      <c r="G11364" s="67" t="s">
        <v>532</v>
      </c>
      <c r="H11364" s="69">
        <v>3.3059048959043658</v>
      </c>
    </row>
    <row r="11365" spans="6:8">
      <c r="F11365" s="68" t="s">
        <v>425</v>
      </c>
      <c r="G11365" s="67" t="s">
        <v>533</v>
      </c>
      <c r="H11365" s="69">
        <v>3.3885862271538336</v>
      </c>
    </row>
    <row r="11366" spans="6:8">
      <c r="F11366" s="68" t="s">
        <v>259</v>
      </c>
      <c r="G11366" s="67" t="s">
        <v>533</v>
      </c>
      <c r="H11366" s="69">
        <v>0.17</v>
      </c>
    </row>
    <row r="11367" spans="6:8">
      <c r="F11367" s="68" t="s">
        <v>138</v>
      </c>
      <c r="G11367" s="67" t="s">
        <v>533</v>
      </c>
      <c r="H11367" s="69">
        <v>-0.45</v>
      </c>
    </row>
    <row r="11368" spans="6:8">
      <c r="F11368" s="68" t="s">
        <v>137</v>
      </c>
      <c r="G11368" s="67" t="s">
        <v>533</v>
      </c>
      <c r="H11368" s="69">
        <v>-0.6</v>
      </c>
    </row>
    <row r="11369" spans="6:8">
      <c r="F11369" s="68" t="s">
        <v>136</v>
      </c>
      <c r="G11369" s="67" t="s">
        <v>533</v>
      </c>
      <c r="H11369" s="69">
        <v>-0.45</v>
      </c>
    </row>
    <row r="11370" spans="6:8">
      <c r="F11370" s="68" t="s">
        <v>424</v>
      </c>
      <c r="G11370" s="67" t="s">
        <v>533</v>
      </c>
      <c r="H11370" s="69">
        <v>3.367580098942824</v>
      </c>
    </row>
    <row r="11371" spans="6:8">
      <c r="F11371" s="68" t="s">
        <v>258</v>
      </c>
      <c r="G11371" s="67" t="s">
        <v>533</v>
      </c>
      <c r="H11371" s="69">
        <v>0.14000000000000001</v>
      </c>
    </row>
    <row r="11372" spans="6:8">
      <c r="F11372" s="68" t="s">
        <v>257</v>
      </c>
      <c r="G11372" s="67" t="s">
        <v>533</v>
      </c>
      <c r="H11372" s="69">
        <v>1.05</v>
      </c>
    </row>
    <row r="11373" spans="6:8">
      <c r="F11373" s="68" t="s">
        <v>135</v>
      </c>
      <c r="G11373" s="67" t="s">
        <v>533</v>
      </c>
      <c r="H11373" s="69">
        <v>-0.6</v>
      </c>
    </row>
    <row r="11374" spans="6:8">
      <c r="F11374" s="68" t="s">
        <v>134</v>
      </c>
      <c r="G11374" s="67" t="s">
        <v>533</v>
      </c>
      <c r="H11374" s="69">
        <v>-0.45</v>
      </c>
    </row>
    <row r="11375" spans="6:8">
      <c r="F11375" s="68" t="s">
        <v>423</v>
      </c>
      <c r="G11375" s="67" t="s">
        <v>533</v>
      </c>
      <c r="H11375" s="69">
        <v>2.7172990274548336</v>
      </c>
    </row>
    <row r="11376" spans="6:8">
      <c r="F11376" s="68" t="s">
        <v>256</v>
      </c>
      <c r="G11376" s="67" t="s">
        <v>533</v>
      </c>
      <c r="H11376" s="69">
        <v>0.97</v>
      </c>
    </row>
    <row r="11377" spans="6:8">
      <c r="F11377" s="68" t="s">
        <v>133</v>
      </c>
      <c r="G11377" s="67" t="s">
        <v>533</v>
      </c>
      <c r="H11377" s="69">
        <v>-0.4</v>
      </c>
    </row>
    <row r="11378" spans="6:8">
      <c r="F11378" s="68" t="s">
        <v>132</v>
      </c>
      <c r="G11378" s="67" t="s">
        <v>533</v>
      </c>
      <c r="H11378" s="69">
        <v>-0.5</v>
      </c>
    </row>
    <row r="11379" spans="6:8">
      <c r="F11379" s="68" t="s">
        <v>422</v>
      </c>
      <c r="G11379" s="67" t="s">
        <v>533</v>
      </c>
      <c r="H11379" s="69">
        <v>2.6695794459866917</v>
      </c>
    </row>
    <row r="11380" spans="6:8">
      <c r="F11380" s="68" t="s">
        <v>303</v>
      </c>
      <c r="G11380" s="67" t="s">
        <v>533</v>
      </c>
      <c r="H11380" s="69">
        <v>18.583333333333332</v>
      </c>
    </row>
    <row r="11381" spans="6:8">
      <c r="F11381" s="68" t="s">
        <v>255</v>
      </c>
      <c r="G11381" s="67" t="s">
        <v>533</v>
      </c>
      <c r="H11381" s="69">
        <v>0.81</v>
      </c>
    </row>
    <row r="11382" spans="6:8">
      <c r="F11382" s="68" t="s">
        <v>131</v>
      </c>
      <c r="G11382" s="67" t="s">
        <v>533</v>
      </c>
      <c r="H11382" s="69">
        <v>-0.4</v>
      </c>
    </row>
    <row r="11383" spans="6:8">
      <c r="F11383" s="68" t="s">
        <v>130</v>
      </c>
      <c r="G11383" s="67" t="s">
        <v>533</v>
      </c>
      <c r="H11383" s="69">
        <v>-0.6</v>
      </c>
    </row>
    <row r="11384" spans="6:8">
      <c r="F11384" s="68" t="s">
        <v>421</v>
      </c>
      <c r="G11384" s="67" t="s">
        <v>533</v>
      </c>
      <c r="H11384" s="69">
        <v>2.6635138790422452</v>
      </c>
    </row>
    <row r="11385" spans="6:8">
      <c r="F11385" s="68" t="s">
        <v>304</v>
      </c>
      <c r="G11385" s="67" t="s">
        <v>533</v>
      </c>
      <c r="H11385" s="69">
        <v>17.375</v>
      </c>
    </row>
    <row r="11386" spans="6:8">
      <c r="F11386" s="68" t="s">
        <v>254</v>
      </c>
      <c r="G11386" s="67" t="s">
        <v>533</v>
      </c>
      <c r="H11386" s="69">
        <v>0.62</v>
      </c>
    </row>
    <row r="11387" spans="6:8">
      <c r="F11387" s="68" t="s">
        <v>129</v>
      </c>
      <c r="G11387" s="67" t="s">
        <v>533</v>
      </c>
      <c r="H11387" s="69">
        <v>-0.35</v>
      </c>
    </row>
    <row r="11388" spans="6:8">
      <c r="F11388" s="68" t="s">
        <v>128</v>
      </c>
      <c r="G11388" s="67" t="s">
        <v>533</v>
      </c>
      <c r="H11388" s="69">
        <v>-0.6</v>
      </c>
    </row>
    <row r="11389" spans="6:8">
      <c r="F11389" s="68" t="s">
        <v>315</v>
      </c>
      <c r="G11389" s="67" t="s">
        <v>533</v>
      </c>
      <c r="H11389" s="69">
        <v>-0.05</v>
      </c>
    </row>
    <row r="11390" spans="6:8">
      <c r="F11390" s="68" t="s">
        <v>253</v>
      </c>
      <c r="G11390" s="67" t="s">
        <v>533</v>
      </c>
      <c r="H11390" s="69">
        <v>0.46</v>
      </c>
    </row>
    <row r="11391" spans="6:8">
      <c r="F11391" s="68" t="s">
        <v>127</v>
      </c>
      <c r="G11391" s="67" t="s">
        <v>533</v>
      </c>
      <c r="H11391" s="69">
        <v>-0.3</v>
      </c>
    </row>
    <row r="11392" spans="6:8">
      <c r="F11392" s="68" t="s">
        <v>126</v>
      </c>
      <c r="G11392" s="67" t="s">
        <v>533</v>
      </c>
      <c r="H11392" s="69">
        <v>-0.6</v>
      </c>
    </row>
    <row r="11393" spans="6:8">
      <c r="F11393" s="68" t="s">
        <v>125</v>
      </c>
      <c r="G11393" s="67" t="s">
        <v>533</v>
      </c>
      <c r="H11393" s="69">
        <v>-0.15</v>
      </c>
    </row>
    <row r="11394" spans="6:8">
      <c r="F11394" s="68" t="s">
        <v>314</v>
      </c>
      <c r="G11394" s="67" t="s">
        <v>533</v>
      </c>
      <c r="H11394" s="69">
        <v>-0.1</v>
      </c>
    </row>
    <row r="11395" spans="6:8">
      <c r="F11395" s="68" t="s">
        <v>252</v>
      </c>
      <c r="G11395" s="67" t="s">
        <v>533</v>
      </c>
      <c r="H11395" s="69">
        <v>0.32</v>
      </c>
    </row>
    <row r="11396" spans="6:8">
      <c r="F11396" s="68" t="s">
        <v>124</v>
      </c>
      <c r="G11396" s="67" t="s">
        <v>533</v>
      </c>
      <c r="H11396" s="69">
        <v>-0.25</v>
      </c>
    </row>
    <row r="11397" spans="6:8">
      <c r="F11397" s="68" t="s">
        <v>123</v>
      </c>
      <c r="G11397" s="67" t="s">
        <v>533</v>
      </c>
      <c r="H11397" s="69">
        <v>-0.75</v>
      </c>
    </row>
    <row r="11398" spans="6:8">
      <c r="F11398" s="68" t="s">
        <v>122</v>
      </c>
      <c r="G11398" s="67" t="s">
        <v>533</v>
      </c>
      <c r="H11398" s="69">
        <v>-0.3</v>
      </c>
    </row>
    <row r="11399" spans="6:8">
      <c r="F11399" s="68" t="s">
        <v>420</v>
      </c>
      <c r="G11399" s="67" t="s">
        <v>533</v>
      </c>
      <c r="H11399" s="69">
        <v>3.6100621369380193</v>
      </c>
    </row>
    <row r="11400" spans="6:8">
      <c r="F11400" s="68" t="s">
        <v>251</v>
      </c>
      <c r="G11400" s="67" t="s">
        <v>533</v>
      </c>
      <c r="H11400" s="69">
        <v>0.23</v>
      </c>
    </row>
    <row r="11401" spans="6:8">
      <c r="F11401" s="68" t="s">
        <v>121</v>
      </c>
      <c r="G11401" s="67" t="s">
        <v>533</v>
      </c>
      <c r="H11401" s="69">
        <v>-0.4</v>
      </c>
    </row>
    <row r="11402" spans="6:8">
      <c r="F11402" s="68" t="s">
        <v>120</v>
      </c>
      <c r="G11402" s="67" t="s">
        <v>533</v>
      </c>
      <c r="H11402" s="69">
        <v>-0.6</v>
      </c>
    </row>
    <row r="11403" spans="6:8">
      <c r="F11403" s="68" t="s">
        <v>119</v>
      </c>
      <c r="G11403" s="67" t="s">
        <v>533</v>
      </c>
      <c r="H11403" s="69">
        <v>-0.35</v>
      </c>
    </row>
    <row r="11404" spans="6:8">
      <c r="F11404" s="68" t="s">
        <v>119</v>
      </c>
      <c r="G11404" s="67" t="s">
        <v>534</v>
      </c>
      <c r="H11404" s="69">
        <v>-0.35</v>
      </c>
    </row>
    <row r="11405" spans="6:8">
      <c r="F11405" s="68" t="s">
        <v>120</v>
      </c>
      <c r="G11405" s="67" t="s">
        <v>534</v>
      </c>
      <c r="H11405" s="69">
        <v>-0.6</v>
      </c>
    </row>
    <row r="11406" spans="6:8">
      <c r="F11406" s="68" t="s">
        <v>121</v>
      </c>
      <c r="G11406" s="67" t="s">
        <v>534</v>
      </c>
      <c r="H11406" s="69">
        <v>-0.4</v>
      </c>
    </row>
    <row r="11407" spans="6:8">
      <c r="F11407" s="68" t="s">
        <v>251</v>
      </c>
      <c r="G11407" s="67" t="s">
        <v>534</v>
      </c>
      <c r="H11407" s="69">
        <v>0.23</v>
      </c>
    </row>
    <row r="11408" spans="6:8">
      <c r="F11408" s="68" t="s">
        <v>420</v>
      </c>
      <c r="G11408" s="67" t="s">
        <v>534</v>
      </c>
      <c r="H11408" s="69">
        <v>3.6110841836329843</v>
      </c>
    </row>
    <row r="11409" spans="6:8">
      <c r="F11409" s="68" t="s">
        <v>122</v>
      </c>
      <c r="G11409" s="67" t="s">
        <v>534</v>
      </c>
      <c r="H11409" s="69">
        <v>-0.3</v>
      </c>
    </row>
    <row r="11410" spans="6:8">
      <c r="F11410" s="68" t="s">
        <v>123</v>
      </c>
      <c r="G11410" s="67" t="s">
        <v>534</v>
      </c>
      <c r="H11410" s="69">
        <v>-0.75</v>
      </c>
    </row>
    <row r="11411" spans="6:8">
      <c r="F11411" s="68" t="s">
        <v>124</v>
      </c>
      <c r="G11411" s="67" t="s">
        <v>534</v>
      </c>
      <c r="H11411" s="69">
        <v>-0.25</v>
      </c>
    </row>
    <row r="11412" spans="6:8">
      <c r="F11412" s="68" t="s">
        <v>252</v>
      </c>
      <c r="G11412" s="67" t="s">
        <v>534</v>
      </c>
      <c r="H11412" s="69">
        <v>0.32</v>
      </c>
    </row>
    <row r="11413" spans="6:8">
      <c r="F11413" s="68" t="s">
        <v>314</v>
      </c>
      <c r="G11413" s="67" t="s">
        <v>534</v>
      </c>
      <c r="H11413" s="69">
        <v>-0.1</v>
      </c>
    </row>
    <row r="11414" spans="6:8">
      <c r="F11414" s="68" t="s">
        <v>125</v>
      </c>
      <c r="G11414" s="67" t="s">
        <v>534</v>
      </c>
      <c r="H11414" s="69">
        <v>-0.15</v>
      </c>
    </row>
    <row r="11415" spans="6:8">
      <c r="F11415" s="68" t="s">
        <v>126</v>
      </c>
      <c r="G11415" s="67" t="s">
        <v>534</v>
      </c>
      <c r="H11415" s="69">
        <v>-0.6</v>
      </c>
    </row>
    <row r="11416" spans="6:8">
      <c r="F11416" s="68" t="s">
        <v>127</v>
      </c>
      <c r="G11416" s="67" t="s">
        <v>534</v>
      </c>
      <c r="H11416" s="69">
        <v>-0.3</v>
      </c>
    </row>
    <row r="11417" spans="6:8">
      <c r="F11417" s="68" t="s">
        <v>253</v>
      </c>
      <c r="G11417" s="67" t="s">
        <v>534</v>
      </c>
      <c r="H11417" s="69">
        <v>0.46</v>
      </c>
    </row>
    <row r="11418" spans="6:8">
      <c r="F11418" s="68" t="s">
        <v>315</v>
      </c>
      <c r="G11418" s="67" t="s">
        <v>534</v>
      </c>
      <c r="H11418" s="69">
        <v>-0.05</v>
      </c>
    </row>
    <row r="11419" spans="6:8">
      <c r="F11419" s="68" t="s">
        <v>128</v>
      </c>
      <c r="G11419" s="67" t="s">
        <v>534</v>
      </c>
      <c r="H11419" s="69">
        <v>-0.6</v>
      </c>
    </row>
    <row r="11420" spans="6:8">
      <c r="F11420" s="68" t="s">
        <v>129</v>
      </c>
      <c r="G11420" s="67" t="s">
        <v>534</v>
      </c>
      <c r="H11420" s="69">
        <v>-0.35</v>
      </c>
    </row>
    <row r="11421" spans="6:8">
      <c r="F11421" s="68" t="s">
        <v>254</v>
      </c>
      <c r="G11421" s="67" t="s">
        <v>534</v>
      </c>
      <c r="H11421" s="69">
        <v>0.62</v>
      </c>
    </row>
    <row r="11422" spans="6:8">
      <c r="F11422" s="68" t="s">
        <v>304</v>
      </c>
      <c r="G11422" s="67" t="s">
        <v>534</v>
      </c>
      <c r="H11422" s="69">
        <v>17.375</v>
      </c>
    </row>
    <row r="11423" spans="6:8">
      <c r="F11423" s="68" t="s">
        <v>421</v>
      </c>
      <c r="G11423" s="67" t="s">
        <v>534</v>
      </c>
      <c r="H11423" s="69">
        <v>2.6552412942903114</v>
      </c>
    </row>
    <row r="11424" spans="6:8">
      <c r="F11424" s="68" t="s">
        <v>130</v>
      </c>
      <c r="G11424" s="67" t="s">
        <v>534</v>
      </c>
      <c r="H11424" s="69">
        <v>-0.6</v>
      </c>
    </row>
    <row r="11425" spans="6:8">
      <c r="F11425" s="68" t="s">
        <v>131</v>
      </c>
      <c r="G11425" s="67" t="s">
        <v>534</v>
      </c>
      <c r="H11425" s="69">
        <v>-0.4</v>
      </c>
    </row>
    <row r="11426" spans="6:8">
      <c r="F11426" s="68" t="s">
        <v>255</v>
      </c>
      <c r="G11426" s="67" t="s">
        <v>534</v>
      </c>
      <c r="H11426" s="69">
        <v>0.81</v>
      </c>
    </row>
    <row r="11427" spans="6:8">
      <c r="F11427" s="68" t="s">
        <v>303</v>
      </c>
      <c r="G11427" s="67" t="s">
        <v>534</v>
      </c>
      <c r="H11427" s="69">
        <v>18.572916666666668</v>
      </c>
    </row>
    <row r="11428" spans="6:8">
      <c r="F11428" s="68" t="s">
        <v>422</v>
      </c>
      <c r="G11428" s="67" t="s">
        <v>534</v>
      </c>
      <c r="H11428" s="69">
        <v>2.6613188893293227</v>
      </c>
    </row>
    <row r="11429" spans="6:8">
      <c r="F11429" s="68" t="s">
        <v>132</v>
      </c>
      <c r="G11429" s="67" t="s">
        <v>534</v>
      </c>
      <c r="H11429" s="69">
        <v>-0.5</v>
      </c>
    </row>
    <row r="11430" spans="6:8">
      <c r="F11430" s="68" t="s">
        <v>133</v>
      </c>
      <c r="G11430" s="67" t="s">
        <v>534</v>
      </c>
      <c r="H11430" s="69">
        <v>-0.4</v>
      </c>
    </row>
    <row r="11431" spans="6:8">
      <c r="F11431" s="68" t="s">
        <v>256</v>
      </c>
      <c r="G11431" s="67" t="s">
        <v>534</v>
      </c>
      <c r="H11431" s="69">
        <v>0.97</v>
      </c>
    </row>
    <row r="11432" spans="6:8">
      <c r="F11432" s="68" t="s">
        <v>423</v>
      </c>
      <c r="G11432" s="67" t="s">
        <v>534</v>
      </c>
      <c r="H11432" s="69">
        <v>2.7099398680828113</v>
      </c>
    </row>
    <row r="11433" spans="6:8">
      <c r="F11433" s="68" t="s">
        <v>134</v>
      </c>
      <c r="G11433" s="67" t="s">
        <v>534</v>
      </c>
      <c r="H11433" s="69">
        <v>-0.45</v>
      </c>
    </row>
    <row r="11434" spans="6:8">
      <c r="F11434" s="68" t="s">
        <v>135</v>
      </c>
      <c r="G11434" s="67" t="s">
        <v>534</v>
      </c>
      <c r="H11434" s="69">
        <v>-0.6</v>
      </c>
    </row>
    <row r="11435" spans="6:8">
      <c r="F11435" s="68" t="s">
        <v>257</v>
      </c>
      <c r="G11435" s="67" t="s">
        <v>534</v>
      </c>
      <c r="H11435" s="69">
        <v>1.05</v>
      </c>
    </row>
    <row r="11436" spans="6:8">
      <c r="F11436" s="68" t="s">
        <v>258</v>
      </c>
      <c r="G11436" s="67" t="s">
        <v>534</v>
      </c>
      <c r="H11436" s="69">
        <v>0.14000000000000001</v>
      </c>
    </row>
    <row r="11437" spans="6:8">
      <c r="F11437" s="68" t="s">
        <v>424</v>
      </c>
      <c r="G11437" s="67" t="s">
        <v>534</v>
      </c>
      <c r="H11437" s="69">
        <v>3.3721120717992381</v>
      </c>
    </row>
    <row r="11438" spans="6:8">
      <c r="F11438" s="68" t="s">
        <v>136</v>
      </c>
      <c r="G11438" s="67" t="s">
        <v>534</v>
      </c>
      <c r="H11438" s="69">
        <v>-0.45</v>
      </c>
    </row>
    <row r="11439" spans="6:8">
      <c r="F11439" s="68" t="s">
        <v>137</v>
      </c>
      <c r="G11439" s="67" t="s">
        <v>534</v>
      </c>
      <c r="H11439" s="69">
        <v>-0.6</v>
      </c>
    </row>
    <row r="11440" spans="6:8">
      <c r="F11440" s="68" t="s">
        <v>138</v>
      </c>
      <c r="G11440" s="67" t="s">
        <v>534</v>
      </c>
      <c r="H11440" s="69">
        <v>-0.45</v>
      </c>
    </row>
    <row r="11441" spans="6:8">
      <c r="F11441" s="68" t="s">
        <v>259</v>
      </c>
      <c r="G11441" s="67" t="s">
        <v>534</v>
      </c>
      <c r="H11441" s="69">
        <v>0.17</v>
      </c>
    </row>
    <row r="11442" spans="6:8">
      <c r="F11442" s="68" t="s">
        <v>425</v>
      </c>
      <c r="G11442" s="67" t="s">
        <v>534</v>
      </c>
      <c r="H11442" s="69">
        <v>3.3912881488799673</v>
      </c>
    </row>
    <row r="11443" spans="6:8">
      <c r="F11443" s="68" t="s">
        <v>425</v>
      </c>
      <c r="G11443" s="67" t="s">
        <v>535</v>
      </c>
      <c r="H11443" s="69">
        <v>3.3904217716015594</v>
      </c>
    </row>
    <row r="11444" spans="6:8">
      <c r="F11444" s="68" t="s">
        <v>259</v>
      </c>
      <c r="G11444" s="67" t="s">
        <v>535</v>
      </c>
      <c r="H11444" s="69">
        <v>0.17</v>
      </c>
    </row>
    <row r="11445" spans="6:8">
      <c r="F11445" s="68" t="s">
        <v>138</v>
      </c>
      <c r="G11445" s="67" t="s">
        <v>535</v>
      </c>
      <c r="H11445" s="69">
        <v>-0.45</v>
      </c>
    </row>
    <row r="11446" spans="6:8">
      <c r="F11446" s="68" t="s">
        <v>137</v>
      </c>
      <c r="G11446" s="67" t="s">
        <v>535</v>
      </c>
      <c r="H11446" s="69">
        <v>-0.6</v>
      </c>
    </row>
    <row r="11447" spans="6:8">
      <c r="F11447" s="68" t="s">
        <v>136</v>
      </c>
      <c r="G11447" s="67" t="s">
        <v>535</v>
      </c>
      <c r="H11447" s="69">
        <v>-0.45</v>
      </c>
    </row>
    <row r="11448" spans="6:8">
      <c r="F11448" s="68" t="s">
        <v>424</v>
      </c>
      <c r="G11448" s="67" t="s">
        <v>535</v>
      </c>
      <c r="H11448" s="69">
        <v>3.3763138452270525</v>
      </c>
    </row>
    <row r="11449" spans="6:8">
      <c r="F11449" s="68" t="s">
        <v>258</v>
      </c>
      <c r="G11449" s="67" t="s">
        <v>535</v>
      </c>
      <c r="H11449" s="69">
        <v>0.14000000000000001</v>
      </c>
    </row>
    <row r="11450" spans="6:8">
      <c r="F11450" s="68" t="s">
        <v>257</v>
      </c>
      <c r="G11450" s="67" t="s">
        <v>535</v>
      </c>
      <c r="H11450" s="69">
        <v>1.05</v>
      </c>
    </row>
    <row r="11451" spans="6:8">
      <c r="F11451" s="68" t="s">
        <v>135</v>
      </c>
      <c r="G11451" s="67" t="s">
        <v>535</v>
      </c>
      <c r="H11451" s="69">
        <v>-0.6</v>
      </c>
    </row>
    <row r="11452" spans="6:8">
      <c r="F11452" s="68" t="s">
        <v>134</v>
      </c>
      <c r="G11452" s="67" t="s">
        <v>535</v>
      </c>
      <c r="H11452" s="69">
        <v>-0.45</v>
      </c>
    </row>
    <row r="11453" spans="6:8">
      <c r="F11453" s="68" t="s">
        <v>423</v>
      </c>
      <c r="G11453" s="67" t="s">
        <v>535</v>
      </c>
      <c r="H11453" s="69">
        <v>2.7084031008647091</v>
      </c>
    </row>
    <row r="11454" spans="6:8">
      <c r="F11454" s="68" t="s">
        <v>256</v>
      </c>
      <c r="G11454" s="67" t="s">
        <v>535</v>
      </c>
      <c r="H11454" s="69">
        <v>0.97</v>
      </c>
    </row>
    <row r="11455" spans="6:8">
      <c r="F11455" s="68" t="s">
        <v>133</v>
      </c>
      <c r="G11455" s="67" t="s">
        <v>535</v>
      </c>
      <c r="H11455" s="69">
        <v>-0.4</v>
      </c>
    </row>
    <row r="11456" spans="6:8">
      <c r="F11456" s="68" t="s">
        <v>132</v>
      </c>
      <c r="G11456" s="67" t="s">
        <v>535</v>
      </c>
      <c r="H11456" s="69">
        <v>-0.5</v>
      </c>
    </row>
    <row r="11457" spans="6:8">
      <c r="F11457" s="68" t="s">
        <v>422</v>
      </c>
      <c r="G11457" s="67" t="s">
        <v>535</v>
      </c>
      <c r="H11457" s="69">
        <v>2.6591036246443878</v>
      </c>
    </row>
    <row r="11458" spans="6:8">
      <c r="F11458" s="68" t="s">
        <v>303</v>
      </c>
      <c r="G11458" s="67" t="s">
        <v>535</v>
      </c>
      <c r="H11458" s="69">
        <v>18.583333333333332</v>
      </c>
    </row>
    <row r="11459" spans="6:8">
      <c r="F11459" s="68" t="s">
        <v>255</v>
      </c>
      <c r="G11459" s="67" t="s">
        <v>535</v>
      </c>
      <c r="H11459" s="69">
        <v>0.81</v>
      </c>
    </row>
    <row r="11460" spans="6:8">
      <c r="F11460" s="68" t="s">
        <v>131</v>
      </c>
      <c r="G11460" s="67" t="s">
        <v>535</v>
      </c>
      <c r="H11460" s="69">
        <v>-0.4</v>
      </c>
    </row>
    <row r="11461" spans="6:8">
      <c r="F11461" s="68" t="s">
        <v>130</v>
      </c>
      <c r="G11461" s="67" t="s">
        <v>535</v>
      </c>
      <c r="H11461" s="69">
        <v>-0.6</v>
      </c>
    </row>
    <row r="11462" spans="6:8">
      <c r="F11462" s="68" t="s">
        <v>421</v>
      </c>
      <c r="G11462" s="67" t="s">
        <v>535</v>
      </c>
      <c r="H11462" s="69">
        <v>2.6530155598101679</v>
      </c>
    </row>
    <row r="11463" spans="6:8">
      <c r="F11463" s="68" t="s">
        <v>304</v>
      </c>
      <c r="G11463" s="67" t="s">
        <v>535</v>
      </c>
      <c r="H11463" s="69">
        <v>17.375</v>
      </c>
    </row>
    <row r="11464" spans="6:8">
      <c r="F11464" s="68" t="s">
        <v>254</v>
      </c>
      <c r="G11464" s="67" t="s">
        <v>535</v>
      </c>
      <c r="H11464" s="69">
        <v>0.62</v>
      </c>
    </row>
    <row r="11465" spans="6:8">
      <c r="F11465" s="68" t="s">
        <v>129</v>
      </c>
      <c r="G11465" s="67" t="s">
        <v>535</v>
      </c>
      <c r="H11465" s="69">
        <v>-0.35</v>
      </c>
    </row>
    <row r="11466" spans="6:8">
      <c r="F11466" s="68" t="s">
        <v>128</v>
      </c>
      <c r="G11466" s="67" t="s">
        <v>535</v>
      </c>
      <c r="H11466" s="69">
        <v>-0.6</v>
      </c>
    </row>
    <row r="11467" spans="6:8">
      <c r="F11467" s="68" t="s">
        <v>315</v>
      </c>
      <c r="G11467" s="67" t="s">
        <v>535</v>
      </c>
      <c r="H11467" s="69">
        <v>-0.05</v>
      </c>
    </row>
    <row r="11468" spans="6:8">
      <c r="F11468" s="68" t="s">
        <v>253</v>
      </c>
      <c r="G11468" s="67" t="s">
        <v>535</v>
      </c>
      <c r="H11468" s="69">
        <v>0.46</v>
      </c>
    </row>
    <row r="11469" spans="6:8">
      <c r="F11469" s="68" t="s">
        <v>127</v>
      </c>
      <c r="G11469" s="67" t="s">
        <v>535</v>
      </c>
      <c r="H11469" s="69">
        <v>-0.3</v>
      </c>
    </row>
    <row r="11470" spans="6:8">
      <c r="F11470" s="68" t="s">
        <v>126</v>
      </c>
      <c r="G11470" s="67" t="s">
        <v>535</v>
      </c>
      <c r="H11470" s="69">
        <v>-0.6</v>
      </c>
    </row>
    <row r="11471" spans="6:8">
      <c r="F11471" s="68" t="s">
        <v>125</v>
      </c>
      <c r="G11471" s="67" t="s">
        <v>535</v>
      </c>
      <c r="H11471" s="69">
        <v>-0.15</v>
      </c>
    </row>
    <row r="11472" spans="6:8">
      <c r="F11472" s="68" t="s">
        <v>314</v>
      </c>
      <c r="G11472" s="67" t="s">
        <v>535</v>
      </c>
      <c r="H11472" s="69">
        <v>-0.1</v>
      </c>
    </row>
    <row r="11473" spans="6:8">
      <c r="F11473" s="68" t="s">
        <v>252</v>
      </c>
      <c r="G11473" s="67" t="s">
        <v>535</v>
      </c>
      <c r="H11473" s="69">
        <v>0.32</v>
      </c>
    </row>
    <row r="11474" spans="6:8">
      <c r="F11474" s="68" t="s">
        <v>124</v>
      </c>
      <c r="G11474" s="67" t="s">
        <v>535</v>
      </c>
      <c r="H11474" s="69">
        <v>-0.25</v>
      </c>
    </row>
    <row r="11475" spans="6:8">
      <c r="F11475" s="68" t="s">
        <v>123</v>
      </c>
      <c r="G11475" s="67" t="s">
        <v>535</v>
      </c>
      <c r="H11475" s="69">
        <v>-0.75</v>
      </c>
    </row>
    <row r="11476" spans="6:8">
      <c r="F11476" s="68" t="s">
        <v>122</v>
      </c>
      <c r="G11476" s="67" t="s">
        <v>535</v>
      </c>
      <c r="H11476" s="69">
        <v>-0.3</v>
      </c>
    </row>
    <row r="11477" spans="6:8">
      <c r="F11477" s="68" t="s">
        <v>420</v>
      </c>
      <c r="G11477" s="67" t="s">
        <v>535</v>
      </c>
      <c r="H11477" s="69">
        <v>3.6093804661508244</v>
      </c>
    </row>
    <row r="11478" spans="6:8">
      <c r="F11478" s="68" t="s">
        <v>251</v>
      </c>
      <c r="G11478" s="67" t="s">
        <v>535</v>
      </c>
      <c r="H11478" s="69">
        <v>0.23</v>
      </c>
    </row>
    <row r="11479" spans="6:8">
      <c r="F11479" s="68" t="s">
        <v>121</v>
      </c>
      <c r="G11479" s="67" t="s">
        <v>535</v>
      </c>
      <c r="H11479" s="69">
        <v>-0.4</v>
      </c>
    </row>
    <row r="11480" spans="6:8">
      <c r="F11480" s="68" t="s">
        <v>120</v>
      </c>
      <c r="G11480" s="67" t="s">
        <v>535</v>
      </c>
      <c r="H11480" s="69">
        <v>-0.6</v>
      </c>
    </row>
    <row r="11481" spans="6:8">
      <c r="F11481" s="68" t="s">
        <v>119</v>
      </c>
      <c r="G11481" s="67" t="s">
        <v>535</v>
      </c>
      <c r="H11481" s="69">
        <v>-0.35</v>
      </c>
    </row>
    <row r="11482" spans="6:8">
      <c r="F11482" s="68" t="s">
        <v>119</v>
      </c>
      <c r="G11482" s="67" t="s">
        <v>536</v>
      </c>
      <c r="H11482" s="69">
        <v>-0.35</v>
      </c>
    </row>
    <row r="11483" spans="6:8">
      <c r="F11483" s="68" t="s">
        <v>120</v>
      </c>
      <c r="G11483" s="67" t="s">
        <v>536</v>
      </c>
      <c r="H11483" s="69">
        <v>-0.6</v>
      </c>
    </row>
    <row r="11484" spans="6:8">
      <c r="F11484" s="68" t="s">
        <v>121</v>
      </c>
      <c r="G11484" s="67" t="s">
        <v>536</v>
      </c>
      <c r="H11484" s="69">
        <v>-0.4</v>
      </c>
    </row>
    <row r="11485" spans="6:8">
      <c r="F11485" s="68" t="s">
        <v>251</v>
      </c>
      <c r="G11485" s="67" t="s">
        <v>536</v>
      </c>
      <c r="H11485" s="69">
        <v>0.23</v>
      </c>
    </row>
    <row r="11486" spans="6:8">
      <c r="F11486" s="68" t="s">
        <v>420</v>
      </c>
      <c r="G11486" s="67" t="s">
        <v>536</v>
      </c>
      <c r="H11486" s="69">
        <v>3.5746743392906399</v>
      </c>
    </row>
    <row r="11487" spans="6:8">
      <c r="F11487" s="68" t="s">
        <v>122</v>
      </c>
      <c r="G11487" s="67" t="s">
        <v>536</v>
      </c>
      <c r="H11487" s="69">
        <v>-0.3</v>
      </c>
    </row>
    <row r="11488" spans="6:8">
      <c r="F11488" s="68" t="s">
        <v>123</v>
      </c>
      <c r="G11488" s="67" t="s">
        <v>536</v>
      </c>
      <c r="H11488" s="69">
        <v>-0.75</v>
      </c>
    </row>
    <row r="11489" spans="6:8">
      <c r="F11489" s="68" t="s">
        <v>124</v>
      </c>
      <c r="G11489" s="67" t="s">
        <v>536</v>
      </c>
      <c r="H11489" s="69">
        <v>-0.25</v>
      </c>
    </row>
    <row r="11490" spans="6:8">
      <c r="F11490" s="68" t="s">
        <v>252</v>
      </c>
      <c r="G11490" s="67" t="s">
        <v>536</v>
      </c>
      <c r="H11490" s="69">
        <v>0.32</v>
      </c>
    </row>
    <row r="11491" spans="6:8">
      <c r="F11491" s="68" t="s">
        <v>314</v>
      </c>
      <c r="G11491" s="67" t="s">
        <v>536</v>
      </c>
      <c r="H11491" s="69">
        <v>-0.1</v>
      </c>
    </row>
    <row r="11492" spans="6:8">
      <c r="F11492" s="68" t="s">
        <v>125</v>
      </c>
      <c r="G11492" s="67" t="s">
        <v>536</v>
      </c>
      <c r="H11492" s="69">
        <v>-0.15</v>
      </c>
    </row>
    <row r="11493" spans="6:8">
      <c r="F11493" s="68" t="s">
        <v>126</v>
      </c>
      <c r="G11493" s="67" t="s">
        <v>536</v>
      </c>
      <c r="H11493" s="69">
        <v>-0.6</v>
      </c>
    </row>
    <row r="11494" spans="6:8">
      <c r="F11494" s="68" t="s">
        <v>127</v>
      </c>
      <c r="G11494" s="67" t="s">
        <v>536</v>
      </c>
      <c r="H11494" s="69">
        <v>-0.3</v>
      </c>
    </row>
    <row r="11495" spans="6:8">
      <c r="F11495" s="68" t="s">
        <v>253</v>
      </c>
      <c r="G11495" s="67" t="s">
        <v>536</v>
      </c>
      <c r="H11495" s="69">
        <v>0.46</v>
      </c>
    </row>
    <row r="11496" spans="6:8">
      <c r="F11496" s="68" t="s">
        <v>315</v>
      </c>
      <c r="G11496" s="67" t="s">
        <v>536</v>
      </c>
      <c r="H11496" s="69">
        <v>-0.05</v>
      </c>
    </row>
    <row r="11497" spans="6:8">
      <c r="F11497" s="68" t="s">
        <v>128</v>
      </c>
      <c r="G11497" s="67" t="s">
        <v>536</v>
      </c>
      <c r="H11497" s="69">
        <v>-0.6</v>
      </c>
    </row>
    <row r="11498" spans="6:8">
      <c r="F11498" s="68" t="s">
        <v>129</v>
      </c>
      <c r="G11498" s="67" t="s">
        <v>536</v>
      </c>
      <c r="H11498" s="69">
        <v>-0.35</v>
      </c>
    </row>
    <row r="11499" spans="6:8">
      <c r="F11499" s="68" t="s">
        <v>254</v>
      </c>
      <c r="G11499" s="67" t="s">
        <v>536</v>
      </c>
      <c r="H11499" s="69">
        <v>0.62</v>
      </c>
    </row>
    <row r="11500" spans="6:8">
      <c r="F11500" s="68" t="s">
        <v>304</v>
      </c>
      <c r="G11500" s="67" t="s">
        <v>536</v>
      </c>
      <c r="H11500" s="69">
        <v>17.375</v>
      </c>
    </row>
    <row r="11501" spans="6:8">
      <c r="F11501" s="68" t="s">
        <v>421</v>
      </c>
      <c r="G11501" s="67" t="s">
        <v>536</v>
      </c>
      <c r="H11501" s="69">
        <v>2.6152031553971611</v>
      </c>
    </row>
    <row r="11502" spans="6:8">
      <c r="F11502" s="68" t="s">
        <v>130</v>
      </c>
      <c r="G11502" s="67" t="s">
        <v>536</v>
      </c>
      <c r="H11502" s="69">
        <v>-0.6</v>
      </c>
    </row>
    <row r="11503" spans="6:8">
      <c r="F11503" s="68" t="s">
        <v>131</v>
      </c>
      <c r="G11503" s="67" t="s">
        <v>536</v>
      </c>
      <c r="H11503" s="69">
        <v>-0.4</v>
      </c>
    </row>
    <row r="11504" spans="6:8">
      <c r="F11504" s="68" t="s">
        <v>255</v>
      </c>
      <c r="G11504" s="67" t="s">
        <v>536</v>
      </c>
      <c r="H11504" s="69">
        <v>0.81</v>
      </c>
    </row>
    <row r="11505" spans="6:8">
      <c r="F11505" s="68" t="s">
        <v>303</v>
      </c>
      <c r="G11505" s="67" t="s">
        <v>536</v>
      </c>
      <c r="H11505" s="69">
        <v>18.5625</v>
      </c>
    </row>
    <row r="11506" spans="6:8">
      <c r="F11506" s="68" t="s">
        <v>422</v>
      </c>
      <c r="G11506" s="67" t="s">
        <v>536</v>
      </c>
      <c r="H11506" s="69">
        <v>2.6211886142839091</v>
      </c>
    </row>
    <row r="11507" spans="6:8">
      <c r="F11507" s="68" t="s">
        <v>132</v>
      </c>
      <c r="G11507" s="67" t="s">
        <v>536</v>
      </c>
      <c r="H11507" s="69">
        <v>-0.5</v>
      </c>
    </row>
    <row r="11508" spans="6:8">
      <c r="F11508" s="68" t="s">
        <v>133</v>
      </c>
      <c r="G11508" s="67" t="s">
        <v>536</v>
      </c>
      <c r="H11508" s="69">
        <v>-0.4</v>
      </c>
    </row>
    <row r="11509" spans="6:8">
      <c r="F11509" s="68" t="s">
        <v>256</v>
      </c>
      <c r="G11509" s="67" t="s">
        <v>536</v>
      </c>
      <c r="H11509" s="69">
        <v>0.97</v>
      </c>
    </row>
    <row r="11510" spans="6:8">
      <c r="F11510" s="68" t="s">
        <v>423</v>
      </c>
      <c r="G11510" s="67" t="s">
        <v>536</v>
      </c>
      <c r="H11510" s="69">
        <v>2.6682403468224258</v>
      </c>
    </row>
    <row r="11511" spans="6:8">
      <c r="F11511" s="68" t="s">
        <v>134</v>
      </c>
      <c r="G11511" s="67" t="s">
        <v>536</v>
      </c>
      <c r="H11511" s="69">
        <v>-0.45</v>
      </c>
    </row>
    <row r="11512" spans="6:8">
      <c r="F11512" s="68" t="s">
        <v>135</v>
      </c>
      <c r="G11512" s="67" t="s">
        <v>536</v>
      </c>
      <c r="H11512" s="69">
        <v>-0.6</v>
      </c>
    </row>
    <row r="11513" spans="6:8">
      <c r="F11513" s="68" t="s">
        <v>257</v>
      </c>
      <c r="G11513" s="67" t="s">
        <v>536</v>
      </c>
      <c r="H11513" s="69">
        <v>1.05</v>
      </c>
    </row>
    <row r="11514" spans="6:8">
      <c r="F11514" s="68" t="s">
        <v>258</v>
      </c>
      <c r="G11514" s="67" t="s">
        <v>536</v>
      </c>
      <c r="H11514" s="69">
        <v>0.14000000000000001</v>
      </c>
    </row>
    <row r="11515" spans="6:8">
      <c r="F11515" s="68" t="s">
        <v>424</v>
      </c>
      <c r="G11515" s="67" t="s">
        <v>536</v>
      </c>
      <c r="H11515" s="69">
        <v>3.3308312594793943</v>
      </c>
    </row>
    <row r="11516" spans="6:8">
      <c r="F11516" s="68" t="s">
        <v>136</v>
      </c>
      <c r="G11516" s="67" t="s">
        <v>536</v>
      </c>
      <c r="H11516" s="69">
        <v>-0.45</v>
      </c>
    </row>
    <row r="11517" spans="6:8">
      <c r="F11517" s="68" t="s">
        <v>137</v>
      </c>
      <c r="G11517" s="67" t="s">
        <v>536</v>
      </c>
      <c r="H11517" s="69">
        <v>-0.6</v>
      </c>
    </row>
    <row r="11518" spans="6:8">
      <c r="F11518" s="68" t="s">
        <v>138</v>
      </c>
      <c r="G11518" s="67" t="s">
        <v>536</v>
      </c>
      <c r="H11518" s="69">
        <v>-0.45</v>
      </c>
    </row>
    <row r="11519" spans="6:8">
      <c r="F11519" s="68" t="s">
        <v>259</v>
      </c>
      <c r="G11519" s="67" t="s">
        <v>536</v>
      </c>
      <c r="H11519" s="69">
        <v>0.17</v>
      </c>
    </row>
    <row r="11520" spans="6:8">
      <c r="F11520" s="68" t="s">
        <v>425</v>
      </c>
      <c r="G11520" s="67" t="s">
        <v>536</v>
      </c>
      <c r="H11520" s="69">
        <v>3.343349438065113</v>
      </c>
    </row>
    <row r="11521" spans="6:8">
      <c r="F11521" s="68" t="s">
        <v>425</v>
      </c>
      <c r="G11521" s="67" t="s">
        <v>537</v>
      </c>
      <c r="H11521" s="69">
        <v>3.3663911812645164</v>
      </c>
    </row>
    <row r="11522" spans="6:8">
      <c r="F11522" s="68" t="s">
        <v>259</v>
      </c>
      <c r="G11522" s="67" t="s">
        <v>537</v>
      </c>
      <c r="H11522" s="69">
        <v>0.17</v>
      </c>
    </row>
    <row r="11523" spans="6:8">
      <c r="F11523" s="68" t="s">
        <v>138</v>
      </c>
      <c r="G11523" s="67" t="s">
        <v>537</v>
      </c>
      <c r="H11523" s="69">
        <v>-0.45</v>
      </c>
    </row>
    <row r="11524" spans="6:8">
      <c r="F11524" s="68" t="s">
        <v>137</v>
      </c>
      <c r="G11524" s="67" t="s">
        <v>537</v>
      </c>
      <c r="H11524" s="69">
        <v>-0.6</v>
      </c>
    </row>
    <row r="11525" spans="6:8">
      <c r="F11525" s="68" t="s">
        <v>136</v>
      </c>
      <c r="G11525" s="67" t="s">
        <v>537</v>
      </c>
      <c r="H11525" s="69">
        <v>-0.45</v>
      </c>
    </row>
    <row r="11526" spans="6:8">
      <c r="F11526" s="68" t="s">
        <v>424</v>
      </c>
      <c r="G11526" s="67" t="s">
        <v>537</v>
      </c>
      <c r="H11526" s="69">
        <v>3.3552200308613944</v>
      </c>
    </row>
    <row r="11527" spans="6:8">
      <c r="F11527" s="68" t="s">
        <v>258</v>
      </c>
      <c r="G11527" s="67" t="s">
        <v>537</v>
      </c>
      <c r="H11527" s="69">
        <v>0.14000000000000001</v>
      </c>
    </row>
    <row r="11528" spans="6:8">
      <c r="F11528" s="68" t="s">
        <v>257</v>
      </c>
      <c r="G11528" s="67" t="s">
        <v>537</v>
      </c>
      <c r="H11528" s="69">
        <v>1.05</v>
      </c>
    </row>
    <row r="11529" spans="6:8">
      <c r="F11529" s="68" t="s">
        <v>135</v>
      </c>
      <c r="G11529" s="67" t="s">
        <v>537</v>
      </c>
      <c r="H11529" s="69">
        <v>-0.6</v>
      </c>
    </row>
    <row r="11530" spans="6:8">
      <c r="F11530" s="68" t="s">
        <v>134</v>
      </c>
      <c r="G11530" s="67" t="s">
        <v>537</v>
      </c>
      <c r="H11530" s="69">
        <v>-0.45</v>
      </c>
    </row>
    <row r="11531" spans="6:8">
      <c r="F11531" s="68" t="s">
        <v>423</v>
      </c>
      <c r="G11531" s="67" t="s">
        <v>537</v>
      </c>
      <c r="H11531" s="69">
        <v>2.684615037784388</v>
      </c>
    </row>
    <row r="11532" spans="6:8">
      <c r="F11532" s="68" t="s">
        <v>256</v>
      </c>
      <c r="G11532" s="67" t="s">
        <v>537</v>
      </c>
      <c r="H11532" s="69">
        <v>0.97</v>
      </c>
    </row>
    <row r="11533" spans="6:8">
      <c r="F11533" s="68" t="s">
        <v>133</v>
      </c>
      <c r="G11533" s="67" t="s">
        <v>537</v>
      </c>
      <c r="H11533" s="69">
        <v>-0.4</v>
      </c>
    </row>
    <row r="11534" spans="6:8">
      <c r="F11534" s="68" t="s">
        <v>132</v>
      </c>
      <c r="G11534" s="67" t="s">
        <v>537</v>
      </c>
      <c r="H11534" s="69">
        <v>-0.5</v>
      </c>
    </row>
    <row r="11535" spans="6:8">
      <c r="F11535" s="68" t="s">
        <v>422</v>
      </c>
      <c r="G11535" s="67" t="s">
        <v>537</v>
      </c>
      <c r="H11535" s="69">
        <v>2.6315441589076283</v>
      </c>
    </row>
    <row r="11536" spans="6:8">
      <c r="F11536" s="68" t="s">
        <v>303</v>
      </c>
      <c r="G11536" s="67" t="s">
        <v>537</v>
      </c>
      <c r="H11536" s="69">
        <v>18.5625</v>
      </c>
    </row>
    <row r="11537" spans="6:8">
      <c r="F11537" s="68" t="s">
        <v>255</v>
      </c>
      <c r="G11537" s="67" t="s">
        <v>537</v>
      </c>
      <c r="H11537" s="69">
        <v>0.81</v>
      </c>
    </row>
    <row r="11538" spans="6:8">
      <c r="F11538" s="68" t="s">
        <v>131</v>
      </c>
      <c r="G11538" s="67" t="s">
        <v>537</v>
      </c>
      <c r="H11538" s="69">
        <v>-0.4</v>
      </c>
    </row>
    <row r="11539" spans="6:8">
      <c r="F11539" s="68" t="s">
        <v>130</v>
      </c>
      <c r="G11539" s="67" t="s">
        <v>537</v>
      </c>
      <c r="H11539" s="69">
        <v>-0.6</v>
      </c>
    </row>
    <row r="11540" spans="6:8">
      <c r="F11540" s="68" t="s">
        <v>421</v>
      </c>
      <c r="G11540" s="67" t="s">
        <v>537</v>
      </c>
      <c r="H11540" s="69">
        <v>2.6255349258876848</v>
      </c>
    </row>
    <row r="11541" spans="6:8">
      <c r="F11541" s="68" t="s">
        <v>304</v>
      </c>
      <c r="G11541" s="67" t="s">
        <v>537</v>
      </c>
      <c r="H11541" s="69">
        <v>17.375</v>
      </c>
    </row>
    <row r="11542" spans="6:8">
      <c r="F11542" s="68" t="s">
        <v>254</v>
      </c>
      <c r="G11542" s="67" t="s">
        <v>537</v>
      </c>
      <c r="H11542" s="69">
        <v>0.62</v>
      </c>
    </row>
    <row r="11543" spans="6:8">
      <c r="F11543" s="68" t="s">
        <v>129</v>
      </c>
      <c r="G11543" s="67" t="s">
        <v>537</v>
      </c>
      <c r="H11543" s="69">
        <v>-0.35</v>
      </c>
    </row>
    <row r="11544" spans="6:8">
      <c r="F11544" s="68" t="s">
        <v>128</v>
      </c>
      <c r="G11544" s="67" t="s">
        <v>537</v>
      </c>
      <c r="H11544" s="69">
        <v>-0.6</v>
      </c>
    </row>
    <row r="11545" spans="6:8">
      <c r="F11545" s="68" t="s">
        <v>315</v>
      </c>
      <c r="G11545" s="67" t="s">
        <v>537</v>
      </c>
      <c r="H11545" s="69">
        <v>-0.05</v>
      </c>
    </row>
    <row r="11546" spans="6:8">
      <c r="F11546" s="68" t="s">
        <v>253</v>
      </c>
      <c r="G11546" s="67" t="s">
        <v>537</v>
      </c>
      <c r="H11546" s="69">
        <v>0.46</v>
      </c>
    </row>
    <row r="11547" spans="6:8">
      <c r="F11547" s="68" t="s">
        <v>127</v>
      </c>
      <c r="G11547" s="67" t="s">
        <v>537</v>
      </c>
      <c r="H11547" s="69">
        <v>-0.3</v>
      </c>
    </row>
    <row r="11548" spans="6:8">
      <c r="F11548" s="68" t="s">
        <v>126</v>
      </c>
      <c r="G11548" s="67" t="s">
        <v>537</v>
      </c>
      <c r="H11548" s="69">
        <v>-0.6</v>
      </c>
    </row>
    <row r="11549" spans="6:8">
      <c r="F11549" s="68" t="s">
        <v>125</v>
      </c>
      <c r="G11549" s="67" t="s">
        <v>537</v>
      </c>
      <c r="H11549" s="69">
        <v>-0.15</v>
      </c>
    </row>
    <row r="11550" spans="6:8">
      <c r="F11550" s="68" t="s">
        <v>314</v>
      </c>
      <c r="G11550" s="67" t="s">
        <v>537</v>
      </c>
      <c r="H11550" s="69">
        <v>-0.1</v>
      </c>
    </row>
    <row r="11551" spans="6:8">
      <c r="F11551" s="68" t="s">
        <v>252</v>
      </c>
      <c r="G11551" s="67" t="s">
        <v>537</v>
      </c>
      <c r="H11551" s="69">
        <v>0.32</v>
      </c>
    </row>
    <row r="11552" spans="6:8">
      <c r="F11552" s="68" t="s">
        <v>124</v>
      </c>
      <c r="G11552" s="67" t="s">
        <v>537</v>
      </c>
      <c r="H11552" s="69">
        <v>-0.25</v>
      </c>
    </row>
    <row r="11553" spans="6:8">
      <c r="F11553" s="68" t="s">
        <v>123</v>
      </c>
      <c r="G11553" s="67" t="s">
        <v>537</v>
      </c>
      <c r="H11553" s="69">
        <v>-0.75</v>
      </c>
    </row>
    <row r="11554" spans="6:8">
      <c r="F11554" s="68" t="s">
        <v>122</v>
      </c>
      <c r="G11554" s="67" t="s">
        <v>537</v>
      </c>
      <c r="H11554" s="69">
        <v>-0.3</v>
      </c>
    </row>
    <row r="11555" spans="6:8">
      <c r="F11555" s="68" t="s">
        <v>420</v>
      </c>
      <c r="G11555" s="67" t="s">
        <v>537</v>
      </c>
      <c r="H11555" s="69">
        <v>3.5930254960617969</v>
      </c>
    </row>
    <row r="11556" spans="6:8">
      <c r="F11556" s="68" t="s">
        <v>251</v>
      </c>
      <c r="G11556" s="67" t="s">
        <v>537</v>
      </c>
      <c r="H11556" s="69">
        <v>0.23</v>
      </c>
    </row>
    <row r="11557" spans="6:8">
      <c r="F11557" s="68" t="s">
        <v>121</v>
      </c>
      <c r="G11557" s="67" t="s">
        <v>537</v>
      </c>
      <c r="H11557" s="69">
        <v>-0.4</v>
      </c>
    </row>
    <row r="11558" spans="6:8">
      <c r="F11558" s="68" t="s">
        <v>120</v>
      </c>
      <c r="G11558" s="67" t="s">
        <v>537</v>
      </c>
      <c r="H11558" s="69">
        <v>-0.6</v>
      </c>
    </row>
    <row r="11559" spans="6:8">
      <c r="F11559" s="68" t="s">
        <v>119</v>
      </c>
      <c r="G11559" s="67" t="s">
        <v>537</v>
      </c>
      <c r="H11559" s="69">
        <v>-0.35</v>
      </c>
    </row>
    <row r="11560" spans="6:8">
      <c r="F11560" s="68" t="s">
        <v>119</v>
      </c>
      <c r="G11560" s="67" t="s">
        <v>538</v>
      </c>
      <c r="H11560" s="69">
        <v>-0.35</v>
      </c>
    </row>
    <row r="11561" spans="6:8">
      <c r="F11561" s="68" t="s">
        <v>120</v>
      </c>
      <c r="G11561" s="67" t="s">
        <v>538</v>
      </c>
      <c r="H11561" s="69">
        <v>-0.6</v>
      </c>
    </row>
    <row r="11562" spans="6:8">
      <c r="F11562" s="68" t="s">
        <v>121</v>
      </c>
      <c r="G11562" s="67" t="s">
        <v>538</v>
      </c>
      <c r="H11562" s="69">
        <v>-0.4</v>
      </c>
    </row>
    <row r="11563" spans="6:8">
      <c r="F11563" s="68" t="s">
        <v>251</v>
      </c>
      <c r="G11563" s="67" t="s">
        <v>538</v>
      </c>
      <c r="H11563" s="69">
        <v>0.23</v>
      </c>
    </row>
    <row r="11564" spans="6:8">
      <c r="F11564" s="68" t="s">
        <v>420</v>
      </c>
      <c r="G11564" s="67" t="s">
        <v>538</v>
      </c>
      <c r="H11564" s="69">
        <v>3.5996964231876039</v>
      </c>
    </row>
    <row r="11565" spans="6:8">
      <c r="F11565" s="68" t="s">
        <v>122</v>
      </c>
      <c r="G11565" s="67" t="s">
        <v>538</v>
      </c>
      <c r="H11565" s="69">
        <v>-0.3</v>
      </c>
    </row>
    <row r="11566" spans="6:8">
      <c r="F11566" s="68" t="s">
        <v>123</v>
      </c>
      <c r="G11566" s="67" t="s">
        <v>538</v>
      </c>
      <c r="H11566" s="69">
        <v>-0.75</v>
      </c>
    </row>
    <row r="11567" spans="6:8">
      <c r="F11567" s="68" t="s">
        <v>124</v>
      </c>
      <c r="G11567" s="67" t="s">
        <v>538</v>
      </c>
      <c r="H11567" s="69">
        <v>-0.25</v>
      </c>
    </row>
    <row r="11568" spans="6:8">
      <c r="F11568" s="68" t="s">
        <v>252</v>
      </c>
      <c r="G11568" s="67" t="s">
        <v>538</v>
      </c>
      <c r="H11568" s="69">
        <v>0.32</v>
      </c>
    </row>
    <row r="11569" spans="6:8">
      <c r="F11569" s="68" t="s">
        <v>314</v>
      </c>
      <c r="G11569" s="67" t="s">
        <v>538</v>
      </c>
      <c r="H11569" s="69">
        <v>-0.1</v>
      </c>
    </row>
    <row r="11570" spans="6:8">
      <c r="F11570" s="68" t="s">
        <v>125</v>
      </c>
      <c r="G11570" s="67" t="s">
        <v>538</v>
      </c>
      <c r="H11570" s="69">
        <v>-0.15</v>
      </c>
    </row>
    <row r="11571" spans="6:8">
      <c r="F11571" s="68" t="s">
        <v>126</v>
      </c>
      <c r="G11571" s="67" t="s">
        <v>538</v>
      </c>
      <c r="H11571" s="69">
        <v>-0.6</v>
      </c>
    </row>
    <row r="11572" spans="6:8">
      <c r="F11572" s="68" t="s">
        <v>127</v>
      </c>
      <c r="G11572" s="67" t="s">
        <v>538</v>
      </c>
      <c r="H11572" s="69">
        <v>-0.3</v>
      </c>
    </row>
    <row r="11573" spans="6:8">
      <c r="F11573" s="68" t="s">
        <v>253</v>
      </c>
      <c r="G11573" s="67" t="s">
        <v>538</v>
      </c>
      <c r="H11573" s="69">
        <v>0.46</v>
      </c>
    </row>
    <row r="11574" spans="6:8">
      <c r="F11574" s="68" t="s">
        <v>315</v>
      </c>
      <c r="G11574" s="67" t="s">
        <v>538</v>
      </c>
      <c r="H11574" s="69">
        <v>-0.05</v>
      </c>
    </row>
    <row r="11575" spans="6:8">
      <c r="F11575" s="68" t="s">
        <v>128</v>
      </c>
      <c r="G11575" s="67" t="s">
        <v>538</v>
      </c>
      <c r="H11575" s="69">
        <v>-0.6</v>
      </c>
    </row>
    <row r="11576" spans="6:8">
      <c r="F11576" s="68" t="s">
        <v>129</v>
      </c>
      <c r="G11576" s="67" t="s">
        <v>538</v>
      </c>
      <c r="H11576" s="69">
        <v>-0.35</v>
      </c>
    </row>
    <row r="11577" spans="6:8">
      <c r="F11577" s="68" t="s">
        <v>254</v>
      </c>
      <c r="G11577" s="67" t="s">
        <v>538</v>
      </c>
      <c r="H11577" s="69">
        <v>0.62</v>
      </c>
    </row>
    <row r="11578" spans="6:8">
      <c r="F11578" s="68" t="s">
        <v>304</v>
      </c>
      <c r="G11578" s="67" t="s">
        <v>538</v>
      </c>
      <c r="H11578" s="69">
        <v>17.375</v>
      </c>
    </row>
    <row r="11579" spans="6:8">
      <c r="F11579" s="68" t="s">
        <v>421</v>
      </c>
      <c r="G11579" s="67" t="s">
        <v>538</v>
      </c>
      <c r="H11579" s="69">
        <v>2.6272424912233028</v>
      </c>
    </row>
    <row r="11580" spans="6:8">
      <c r="F11580" s="68" t="s">
        <v>130</v>
      </c>
      <c r="G11580" s="67" t="s">
        <v>538</v>
      </c>
      <c r="H11580" s="69">
        <v>-0.6</v>
      </c>
    </row>
    <row r="11581" spans="6:8">
      <c r="F11581" s="68" t="s">
        <v>131</v>
      </c>
      <c r="G11581" s="67" t="s">
        <v>538</v>
      </c>
      <c r="H11581" s="69">
        <v>-0.4</v>
      </c>
    </row>
    <row r="11582" spans="6:8">
      <c r="F11582" s="68" t="s">
        <v>255</v>
      </c>
      <c r="G11582" s="67" t="s">
        <v>538</v>
      </c>
      <c r="H11582" s="69">
        <v>0.81</v>
      </c>
    </row>
    <row r="11583" spans="6:8">
      <c r="F11583" s="68" t="s">
        <v>303</v>
      </c>
      <c r="G11583" s="67" t="s">
        <v>538</v>
      </c>
      <c r="H11583" s="69">
        <v>18.5625</v>
      </c>
    </row>
    <row r="11584" spans="6:8">
      <c r="F11584" s="68" t="s">
        <v>422</v>
      </c>
      <c r="G11584" s="67" t="s">
        <v>538</v>
      </c>
      <c r="H11584" s="69">
        <v>2.6332098090041445</v>
      </c>
    </row>
    <row r="11585" spans="6:8">
      <c r="F11585" s="68" t="s">
        <v>132</v>
      </c>
      <c r="G11585" s="67" t="s">
        <v>538</v>
      </c>
      <c r="H11585" s="69">
        <v>-0.5</v>
      </c>
    </row>
    <row r="11586" spans="6:8">
      <c r="F11586" s="68" t="s">
        <v>133</v>
      </c>
      <c r="G11586" s="67" t="s">
        <v>538</v>
      </c>
      <c r="H11586" s="69">
        <v>-0.4</v>
      </c>
    </row>
    <row r="11587" spans="6:8">
      <c r="F11587" s="68" t="s">
        <v>256</v>
      </c>
      <c r="G11587" s="67" t="s">
        <v>538</v>
      </c>
      <c r="H11587" s="69">
        <v>0.97</v>
      </c>
    </row>
    <row r="11588" spans="6:8">
      <c r="F11588" s="68" t="s">
        <v>423</v>
      </c>
      <c r="G11588" s="67" t="s">
        <v>538</v>
      </c>
      <c r="H11588" s="69">
        <v>2.6932309182403191</v>
      </c>
    </row>
    <row r="11589" spans="6:8">
      <c r="F11589" s="68" t="s">
        <v>134</v>
      </c>
      <c r="G11589" s="67" t="s">
        <v>538</v>
      </c>
      <c r="H11589" s="69">
        <v>-0.45</v>
      </c>
    </row>
    <row r="11590" spans="6:8">
      <c r="F11590" s="68" t="s">
        <v>135</v>
      </c>
      <c r="G11590" s="67" t="s">
        <v>538</v>
      </c>
      <c r="H11590" s="69">
        <v>-0.6</v>
      </c>
    </row>
    <row r="11591" spans="6:8">
      <c r="F11591" s="68" t="s">
        <v>257</v>
      </c>
      <c r="G11591" s="67" t="s">
        <v>538</v>
      </c>
      <c r="H11591" s="69">
        <v>1.05</v>
      </c>
    </row>
    <row r="11592" spans="6:8">
      <c r="F11592" s="68" t="s">
        <v>258</v>
      </c>
      <c r="G11592" s="67" t="s">
        <v>538</v>
      </c>
      <c r="H11592" s="69">
        <v>0.14000000000000001</v>
      </c>
    </row>
    <row r="11593" spans="6:8">
      <c r="F11593" s="68" t="s">
        <v>424</v>
      </c>
      <c r="G11593" s="67" t="s">
        <v>538</v>
      </c>
      <c r="H11593" s="69">
        <v>3.360585846025721</v>
      </c>
    </row>
    <row r="11594" spans="6:8">
      <c r="F11594" s="68" t="s">
        <v>136</v>
      </c>
      <c r="G11594" s="67" t="s">
        <v>538</v>
      </c>
      <c r="H11594" s="69">
        <v>-0.45</v>
      </c>
    </row>
    <row r="11595" spans="6:8">
      <c r="F11595" s="68" t="s">
        <v>137</v>
      </c>
      <c r="G11595" s="67" t="s">
        <v>538</v>
      </c>
      <c r="H11595" s="69">
        <v>-0.6</v>
      </c>
    </row>
    <row r="11596" spans="6:8">
      <c r="F11596" s="68" t="s">
        <v>138</v>
      </c>
      <c r="G11596" s="67" t="s">
        <v>538</v>
      </c>
      <c r="H11596" s="69">
        <v>-0.45</v>
      </c>
    </row>
    <row r="11597" spans="6:8">
      <c r="F11597" s="68" t="s">
        <v>259</v>
      </c>
      <c r="G11597" s="67" t="s">
        <v>538</v>
      </c>
      <c r="H11597" s="69">
        <v>0.17</v>
      </c>
    </row>
    <row r="11598" spans="6:8">
      <c r="F11598" s="68" t="s">
        <v>425</v>
      </c>
      <c r="G11598" s="67" t="s">
        <v>538</v>
      </c>
      <c r="H11598" s="69">
        <v>3.3671841676742531</v>
      </c>
    </row>
    <row r="11599" spans="6:8">
      <c r="F11599" s="68" t="s">
        <v>425</v>
      </c>
      <c r="G11599" s="67" t="s">
        <v>539</v>
      </c>
      <c r="H11599" s="69">
        <v>3.378067734227308</v>
      </c>
    </row>
    <row r="11600" spans="6:8">
      <c r="F11600" s="68" t="s">
        <v>259</v>
      </c>
      <c r="G11600" s="67" t="s">
        <v>539</v>
      </c>
      <c r="H11600" s="69">
        <v>0.17</v>
      </c>
    </row>
    <row r="11601" spans="6:8">
      <c r="F11601" s="68" t="s">
        <v>138</v>
      </c>
      <c r="G11601" s="67" t="s">
        <v>539</v>
      </c>
      <c r="H11601" s="69">
        <v>-0.45</v>
      </c>
    </row>
    <row r="11602" spans="6:8">
      <c r="F11602" s="68" t="s">
        <v>137</v>
      </c>
      <c r="G11602" s="67" t="s">
        <v>539</v>
      </c>
      <c r="H11602" s="69">
        <v>-0.6</v>
      </c>
    </row>
    <row r="11603" spans="6:8">
      <c r="F11603" s="68" t="s">
        <v>136</v>
      </c>
      <c r="G11603" s="67" t="s">
        <v>539</v>
      </c>
      <c r="H11603" s="69">
        <v>-0.45</v>
      </c>
    </row>
    <row r="11604" spans="6:8">
      <c r="F11604" s="68" t="s">
        <v>424</v>
      </c>
      <c r="G11604" s="67" t="s">
        <v>539</v>
      </c>
      <c r="H11604" s="69">
        <v>3.3722542175607995</v>
      </c>
    </row>
    <row r="11605" spans="6:8">
      <c r="F11605" s="68" t="s">
        <v>258</v>
      </c>
      <c r="G11605" s="67" t="s">
        <v>539</v>
      </c>
      <c r="H11605" s="69">
        <v>0.14000000000000001</v>
      </c>
    </row>
    <row r="11606" spans="6:8">
      <c r="F11606" s="68" t="s">
        <v>257</v>
      </c>
      <c r="G11606" s="67" t="s">
        <v>539</v>
      </c>
      <c r="H11606" s="69">
        <v>1.05</v>
      </c>
    </row>
    <row r="11607" spans="6:8">
      <c r="F11607" s="68" t="s">
        <v>135</v>
      </c>
      <c r="G11607" s="67" t="s">
        <v>539</v>
      </c>
      <c r="H11607" s="69">
        <v>-0.6</v>
      </c>
    </row>
    <row r="11608" spans="6:8">
      <c r="F11608" s="68" t="s">
        <v>134</v>
      </c>
      <c r="G11608" s="67" t="s">
        <v>539</v>
      </c>
      <c r="H11608" s="69">
        <v>-0.45</v>
      </c>
    </row>
    <row r="11609" spans="6:8">
      <c r="F11609" s="68" t="s">
        <v>423</v>
      </c>
      <c r="G11609" s="67" t="s">
        <v>539</v>
      </c>
      <c r="H11609" s="69">
        <v>2.7046896858412328</v>
      </c>
    </row>
    <row r="11610" spans="6:8">
      <c r="F11610" s="68" t="s">
        <v>256</v>
      </c>
      <c r="G11610" s="67" t="s">
        <v>539</v>
      </c>
      <c r="H11610" s="69">
        <v>0.97</v>
      </c>
    </row>
    <row r="11611" spans="6:8">
      <c r="F11611" s="68" t="s">
        <v>133</v>
      </c>
      <c r="G11611" s="67" t="s">
        <v>539</v>
      </c>
      <c r="H11611" s="69">
        <v>-0.4</v>
      </c>
    </row>
    <row r="11612" spans="6:8">
      <c r="F11612" s="68" t="s">
        <v>132</v>
      </c>
      <c r="G11612" s="67" t="s">
        <v>539</v>
      </c>
      <c r="H11612" s="69">
        <v>-0.5</v>
      </c>
    </row>
    <row r="11613" spans="6:8">
      <c r="F11613" s="68" t="s">
        <v>422</v>
      </c>
      <c r="G11613" s="67" t="s">
        <v>539</v>
      </c>
      <c r="H11613" s="69">
        <v>2.6389927229908405</v>
      </c>
    </row>
    <row r="11614" spans="6:8">
      <c r="F11614" s="68" t="s">
        <v>303</v>
      </c>
      <c r="G11614" s="67" t="s">
        <v>539</v>
      </c>
      <c r="H11614" s="69">
        <v>18.5625</v>
      </c>
    </row>
    <row r="11615" spans="6:8">
      <c r="F11615" s="68" t="s">
        <v>255</v>
      </c>
      <c r="G11615" s="67" t="s">
        <v>539</v>
      </c>
      <c r="H11615" s="69">
        <v>0.81</v>
      </c>
    </row>
    <row r="11616" spans="6:8">
      <c r="F11616" s="68" t="s">
        <v>131</v>
      </c>
      <c r="G11616" s="67" t="s">
        <v>539</v>
      </c>
      <c r="H11616" s="69">
        <v>-0.4</v>
      </c>
    </row>
    <row r="11617" spans="6:8">
      <c r="F11617" s="68" t="s">
        <v>130</v>
      </c>
      <c r="G11617" s="67" t="s">
        <v>539</v>
      </c>
      <c r="H11617" s="69">
        <v>-0.6</v>
      </c>
    </row>
    <row r="11618" spans="6:8">
      <c r="F11618" s="68" t="s">
        <v>421</v>
      </c>
      <c r="G11618" s="67" t="s">
        <v>539</v>
      </c>
      <c r="H11618" s="69">
        <v>2.6330424066179248</v>
      </c>
    </row>
    <row r="11619" spans="6:8">
      <c r="F11619" s="68" t="s">
        <v>304</v>
      </c>
      <c r="G11619" s="67" t="s">
        <v>539</v>
      </c>
      <c r="H11619" s="69">
        <v>17.375</v>
      </c>
    </row>
    <row r="11620" spans="6:8">
      <c r="F11620" s="68" t="s">
        <v>254</v>
      </c>
      <c r="G11620" s="67" t="s">
        <v>539</v>
      </c>
      <c r="H11620" s="69">
        <v>0.62</v>
      </c>
    </row>
    <row r="11621" spans="6:8">
      <c r="F11621" s="68" t="s">
        <v>129</v>
      </c>
      <c r="G11621" s="67" t="s">
        <v>539</v>
      </c>
      <c r="H11621" s="69">
        <v>-0.35</v>
      </c>
    </row>
    <row r="11622" spans="6:8">
      <c r="F11622" s="68" t="s">
        <v>128</v>
      </c>
      <c r="G11622" s="67" t="s">
        <v>539</v>
      </c>
      <c r="H11622" s="69">
        <v>-0.6</v>
      </c>
    </row>
    <row r="11623" spans="6:8">
      <c r="F11623" s="68" t="s">
        <v>315</v>
      </c>
      <c r="G11623" s="67" t="s">
        <v>539</v>
      </c>
      <c r="H11623" s="69">
        <v>-0.05</v>
      </c>
    </row>
    <row r="11624" spans="6:8">
      <c r="F11624" s="68" t="s">
        <v>253</v>
      </c>
      <c r="G11624" s="67" t="s">
        <v>539</v>
      </c>
      <c r="H11624" s="69">
        <v>0.46</v>
      </c>
    </row>
    <row r="11625" spans="6:8">
      <c r="F11625" s="68" t="s">
        <v>127</v>
      </c>
      <c r="G11625" s="67" t="s">
        <v>539</v>
      </c>
      <c r="H11625" s="69">
        <v>-0.3</v>
      </c>
    </row>
    <row r="11626" spans="6:8">
      <c r="F11626" s="68" t="s">
        <v>126</v>
      </c>
      <c r="G11626" s="67" t="s">
        <v>539</v>
      </c>
      <c r="H11626" s="69">
        <v>-0.6</v>
      </c>
    </row>
    <row r="11627" spans="6:8">
      <c r="F11627" s="68" t="s">
        <v>125</v>
      </c>
      <c r="G11627" s="67" t="s">
        <v>539</v>
      </c>
      <c r="H11627" s="69">
        <v>-0.15</v>
      </c>
    </row>
    <row r="11628" spans="6:8">
      <c r="F11628" s="68" t="s">
        <v>314</v>
      </c>
      <c r="G11628" s="67" t="s">
        <v>539</v>
      </c>
      <c r="H11628" s="69">
        <v>-0.1</v>
      </c>
    </row>
    <row r="11629" spans="6:8">
      <c r="F11629" s="68" t="s">
        <v>252</v>
      </c>
      <c r="G11629" s="67" t="s">
        <v>539</v>
      </c>
      <c r="H11629" s="69">
        <v>0.32</v>
      </c>
    </row>
    <row r="11630" spans="6:8">
      <c r="F11630" s="68" t="s">
        <v>124</v>
      </c>
      <c r="G11630" s="67" t="s">
        <v>539</v>
      </c>
      <c r="H11630" s="69">
        <v>-0.25</v>
      </c>
    </row>
    <row r="11631" spans="6:8">
      <c r="F11631" s="68" t="s">
        <v>123</v>
      </c>
      <c r="G11631" s="67" t="s">
        <v>539</v>
      </c>
      <c r="H11631" s="69">
        <v>-0.75</v>
      </c>
    </row>
    <row r="11632" spans="6:8">
      <c r="F11632" s="68" t="s">
        <v>122</v>
      </c>
      <c r="G11632" s="67" t="s">
        <v>539</v>
      </c>
      <c r="H11632" s="69">
        <v>-0.3</v>
      </c>
    </row>
    <row r="11633" spans="6:8">
      <c r="F11633" s="68" t="s">
        <v>420</v>
      </c>
      <c r="G11633" s="67" t="s">
        <v>539</v>
      </c>
      <c r="H11633" s="69">
        <v>3.6032550852643119</v>
      </c>
    </row>
    <row r="11634" spans="6:8">
      <c r="F11634" s="68" t="s">
        <v>251</v>
      </c>
      <c r="G11634" s="67" t="s">
        <v>539</v>
      </c>
      <c r="H11634" s="69">
        <v>0.23</v>
      </c>
    </row>
    <row r="11635" spans="6:8">
      <c r="F11635" s="68" t="s">
        <v>121</v>
      </c>
      <c r="G11635" s="67" t="s">
        <v>539</v>
      </c>
      <c r="H11635" s="69">
        <v>-0.4</v>
      </c>
    </row>
    <row r="11636" spans="6:8">
      <c r="F11636" s="68" t="s">
        <v>120</v>
      </c>
      <c r="G11636" s="67" t="s">
        <v>539</v>
      </c>
      <c r="H11636" s="69">
        <v>-0.6</v>
      </c>
    </row>
    <row r="11637" spans="6:8">
      <c r="F11637" s="68" t="s">
        <v>119</v>
      </c>
      <c r="G11637" s="67" t="s">
        <v>539</v>
      </c>
      <c r="H11637" s="69">
        <v>-0.35</v>
      </c>
    </row>
    <row r="11638" spans="6:8">
      <c r="F11638" s="68" t="s">
        <v>119</v>
      </c>
      <c r="G11638" s="67" t="s">
        <v>540</v>
      </c>
      <c r="H11638" s="69">
        <v>-0.35</v>
      </c>
    </row>
    <row r="11639" spans="6:8">
      <c r="F11639" s="68" t="s">
        <v>120</v>
      </c>
      <c r="G11639" s="67" t="s">
        <v>540</v>
      </c>
      <c r="H11639" s="69">
        <v>-0.6</v>
      </c>
    </row>
    <row r="11640" spans="6:8">
      <c r="F11640" s="68" t="s">
        <v>121</v>
      </c>
      <c r="G11640" s="67" t="s">
        <v>540</v>
      </c>
      <c r="H11640" s="69">
        <v>-0.4</v>
      </c>
    </row>
    <row r="11641" spans="6:8">
      <c r="F11641" s="68" t="s">
        <v>251</v>
      </c>
      <c r="G11641" s="67" t="s">
        <v>540</v>
      </c>
      <c r="H11641" s="69">
        <v>0.23</v>
      </c>
    </row>
    <row r="11642" spans="6:8">
      <c r="F11642" s="68" t="s">
        <v>420</v>
      </c>
      <c r="G11642" s="67" t="s">
        <v>540</v>
      </c>
      <c r="H11642" s="69">
        <v>3.5763485946615159</v>
      </c>
    </row>
    <row r="11643" spans="6:8">
      <c r="F11643" s="68" t="s">
        <v>122</v>
      </c>
      <c r="G11643" s="67" t="s">
        <v>540</v>
      </c>
      <c r="H11643" s="69">
        <v>-0.3</v>
      </c>
    </row>
    <row r="11644" spans="6:8">
      <c r="F11644" s="68" t="s">
        <v>123</v>
      </c>
      <c r="G11644" s="67" t="s">
        <v>540</v>
      </c>
      <c r="H11644" s="69">
        <v>-0.75</v>
      </c>
    </row>
    <row r="11645" spans="6:8">
      <c r="F11645" s="68" t="s">
        <v>124</v>
      </c>
      <c r="G11645" s="67" t="s">
        <v>540</v>
      </c>
      <c r="H11645" s="69">
        <v>-0.25</v>
      </c>
    </row>
    <row r="11646" spans="6:8">
      <c r="F11646" s="68" t="s">
        <v>252</v>
      </c>
      <c r="G11646" s="67" t="s">
        <v>540</v>
      </c>
      <c r="H11646" s="69">
        <v>0.35</v>
      </c>
    </row>
    <row r="11647" spans="6:8">
      <c r="F11647" s="68" t="s">
        <v>314</v>
      </c>
      <c r="G11647" s="67" t="s">
        <v>540</v>
      </c>
      <c r="H11647" s="69">
        <v>-0.1</v>
      </c>
    </row>
    <row r="11648" spans="6:8">
      <c r="F11648" s="68" t="s">
        <v>125</v>
      </c>
      <c r="G11648" s="67" t="s">
        <v>540</v>
      </c>
      <c r="H11648" s="69">
        <v>-0.15</v>
      </c>
    </row>
    <row r="11649" spans="6:8">
      <c r="F11649" s="68" t="s">
        <v>126</v>
      </c>
      <c r="G11649" s="67" t="s">
        <v>540</v>
      </c>
      <c r="H11649" s="69">
        <v>-0.6</v>
      </c>
    </row>
    <row r="11650" spans="6:8">
      <c r="F11650" s="68" t="s">
        <v>127</v>
      </c>
      <c r="G11650" s="67" t="s">
        <v>540</v>
      </c>
      <c r="H11650" s="69">
        <v>-0.3</v>
      </c>
    </row>
    <row r="11651" spans="6:8">
      <c r="F11651" s="68" t="s">
        <v>253</v>
      </c>
      <c r="G11651" s="67" t="s">
        <v>540</v>
      </c>
      <c r="H11651" s="69">
        <v>0.52</v>
      </c>
    </row>
    <row r="11652" spans="6:8">
      <c r="F11652" s="68" t="s">
        <v>315</v>
      </c>
      <c r="G11652" s="67" t="s">
        <v>540</v>
      </c>
      <c r="H11652" s="69">
        <v>-0.05</v>
      </c>
    </row>
    <row r="11653" spans="6:8">
      <c r="F11653" s="68" t="s">
        <v>128</v>
      </c>
      <c r="G11653" s="67" t="s">
        <v>540</v>
      </c>
      <c r="H11653" s="69">
        <v>-0.6</v>
      </c>
    </row>
    <row r="11654" spans="6:8">
      <c r="F11654" s="68" t="s">
        <v>129</v>
      </c>
      <c r="G11654" s="67" t="s">
        <v>540</v>
      </c>
      <c r="H11654" s="69">
        <v>-0.35</v>
      </c>
    </row>
    <row r="11655" spans="6:8">
      <c r="F11655" s="68" t="s">
        <v>254</v>
      </c>
      <c r="G11655" s="67" t="s">
        <v>540</v>
      </c>
      <c r="H11655" s="69">
        <v>0.68</v>
      </c>
    </row>
    <row r="11656" spans="6:8">
      <c r="F11656" s="68" t="s">
        <v>304</v>
      </c>
      <c r="G11656" s="67" t="s">
        <v>540</v>
      </c>
      <c r="H11656" s="69">
        <v>17.416666666666668</v>
      </c>
    </row>
    <row r="11657" spans="6:8">
      <c r="F11657" s="68" t="s">
        <v>421</v>
      </c>
      <c r="G11657" s="67" t="s">
        <v>540</v>
      </c>
      <c r="H11657" s="69">
        <v>2.6031201696357975</v>
      </c>
    </row>
    <row r="11658" spans="6:8">
      <c r="F11658" s="68" t="s">
        <v>130</v>
      </c>
      <c r="G11658" s="67" t="s">
        <v>540</v>
      </c>
      <c r="H11658" s="69">
        <v>-0.6</v>
      </c>
    </row>
    <row r="11659" spans="6:8">
      <c r="F11659" s="68" t="s">
        <v>131</v>
      </c>
      <c r="G11659" s="67" t="s">
        <v>540</v>
      </c>
      <c r="H11659" s="69">
        <v>-0.4</v>
      </c>
    </row>
    <row r="11660" spans="6:8">
      <c r="F11660" s="68" t="s">
        <v>255</v>
      </c>
      <c r="G11660" s="67" t="s">
        <v>540</v>
      </c>
      <c r="H11660" s="69">
        <v>0.88</v>
      </c>
    </row>
    <row r="11661" spans="6:8">
      <c r="F11661" s="68" t="s">
        <v>303</v>
      </c>
      <c r="G11661" s="67" t="s">
        <v>540</v>
      </c>
      <c r="H11661" s="69">
        <v>18.625</v>
      </c>
    </row>
    <row r="11662" spans="6:8">
      <c r="F11662" s="68" t="s">
        <v>422</v>
      </c>
      <c r="G11662" s="67" t="s">
        <v>540</v>
      </c>
      <c r="H11662" s="69">
        <v>2.6090474653400975</v>
      </c>
    </row>
    <row r="11663" spans="6:8">
      <c r="F11663" s="68" t="s">
        <v>132</v>
      </c>
      <c r="G11663" s="67" t="s">
        <v>540</v>
      </c>
      <c r="H11663" s="69">
        <v>-0.5</v>
      </c>
    </row>
    <row r="11664" spans="6:8">
      <c r="F11664" s="68" t="s">
        <v>133</v>
      </c>
      <c r="G11664" s="67" t="s">
        <v>540</v>
      </c>
      <c r="H11664" s="69">
        <v>-0.4</v>
      </c>
    </row>
    <row r="11665" spans="6:8">
      <c r="F11665" s="68" t="s">
        <v>256</v>
      </c>
      <c r="G11665" s="67" t="s">
        <v>540</v>
      </c>
      <c r="H11665" s="69">
        <v>1.02</v>
      </c>
    </row>
    <row r="11666" spans="6:8">
      <c r="F11666" s="68" t="s">
        <v>423</v>
      </c>
      <c r="G11666" s="67" t="s">
        <v>540</v>
      </c>
      <c r="H11666" s="69">
        <v>2.6760148475496237</v>
      </c>
    </row>
    <row r="11667" spans="6:8">
      <c r="F11667" s="68" t="s">
        <v>134</v>
      </c>
      <c r="G11667" s="67" t="s">
        <v>540</v>
      </c>
      <c r="H11667" s="69">
        <v>-0.45</v>
      </c>
    </row>
    <row r="11668" spans="6:8">
      <c r="F11668" s="68" t="s">
        <v>135</v>
      </c>
      <c r="G11668" s="67" t="s">
        <v>540</v>
      </c>
      <c r="H11668" s="69">
        <v>-0.6</v>
      </c>
    </row>
    <row r="11669" spans="6:8">
      <c r="F11669" s="68" t="s">
        <v>257</v>
      </c>
      <c r="G11669" s="67" t="s">
        <v>540</v>
      </c>
      <c r="H11669" s="69">
        <v>1.08</v>
      </c>
    </row>
    <row r="11670" spans="6:8">
      <c r="F11670" s="68" t="s">
        <v>258</v>
      </c>
      <c r="G11670" s="67" t="s">
        <v>540</v>
      </c>
      <c r="H11670" s="69">
        <v>0.14000000000000001</v>
      </c>
    </row>
    <row r="11671" spans="6:8">
      <c r="F11671" s="68" t="s">
        <v>424</v>
      </c>
      <c r="G11671" s="67" t="s">
        <v>540</v>
      </c>
      <c r="H11671" s="69">
        <v>3.3333418180145902</v>
      </c>
    </row>
    <row r="11672" spans="6:8">
      <c r="F11672" s="68" t="s">
        <v>136</v>
      </c>
      <c r="G11672" s="67" t="s">
        <v>540</v>
      </c>
      <c r="H11672" s="69">
        <v>-0.45</v>
      </c>
    </row>
    <row r="11673" spans="6:8">
      <c r="F11673" s="68" t="s">
        <v>137</v>
      </c>
      <c r="G11673" s="67" t="s">
        <v>540</v>
      </c>
      <c r="H11673" s="69">
        <v>-0.6</v>
      </c>
    </row>
    <row r="11674" spans="6:8">
      <c r="F11674" s="68" t="s">
        <v>138</v>
      </c>
      <c r="G11674" s="67" t="s">
        <v>540</v>
      </c>
      <c r="H11674" s="69">
        <v>-0.45</v>
      </c>
    </row>
    <row r="11675" spans="6:8">
      <c r="F11675" s="68" t="s">
        <v>259</v>
      </c>
      <c r="G11675" s="67" t="s">
        <v>540</v>
      </c>
      <c r="H11675" s="69">
        <v>0.17</v>
      </c>
    </row>
    <row r="11676" spans="6:8">
      <c r="F11676" s="68" t="s">
        <v>425</v>
      </c>
      <c r="G11676" s="67" t="s">
        <v>540</v>
      </c>
      <c r="H11676" s="69">
        <v>3.3348403306131758</v>
      </c>
    </row>
    <row r="11677" spans="6:8">
      <c r="F11677" s="68" t="s">
        <v>425</v>
      </c>
      <c r="G11677" s="67" t="s">
        <v>541</v>
      </c>
      <c r="H11677" s="69">
        <v>3.2991843505086216</v>
      </c>
    </row>
    <row r="11678" spans="6:8">
      <c r="F11678" s="68" t="s">
        <v>259</v>
      </c>
      <c r="G11678" s="67" t="s">
        <v>541</v>
      </c>
      <c r="H11678" s="69">
        <v>0.17</v>
      </c>
    </row>
    <row r="11679" spans="6:8">
      <c r="F11679" s="68" t="s">
        <v>138</v>
      </c>
      <c r="G11679" s="67" t="s">
        <v>541</v>
      </c>
      <c r="H11679" s="69">
        <v>-0.45</v>
      </c>
    </row>
    <row r="11680" spans="6:8">
      <c r="F11680" s="68" t="s">
        <v>137</v>
      </c>
      <c r="G11680" s="67" t="s">
        <v>541</v>
      </c>
      <c r="H11680" s="69">
        <v>-0.6</v>
      </c>
    </row>
    <row r="11681" spans="6:8">
      <c r="F11681" s="68" t="s">
        <v>136</v>
      </c>
      <c r="G11681" s="67" t="s">
        <v>541</v>
      </c>
      <c r="H11681" s="69">
        <v>-0.45</v>
      </c>
    </row>
    <row r="11682" spans="6:8">
      <c r="F11682" s="68" t="s">
        <v>424</v>
      </c>
      <c r="G11682" s="67" t="s">
        <v>541</v>
      </c>
      <c r="H11682" s="69">
        <v>3.2943896383081928</v>
      </c>
    </row>
    <row r="11683" spans="6:8">
      <c r="F11683" s="68" t="s">
        <v>258</v>
      </c>
      <c r="G11683" s="67" t="s">
        <v>541</v>
      </c>
      <c r="H11683" s="69">
        <v>0.14000000000000001</v>
      </c>
    </row>
    <row r="11684" spans="6:8">
      <c r="F11684" s="68" t="s">
        <v>257</v>
      </c>
      <c r="G11684" s="67" t="s">
        <v>541</v>
      </c>
      <c r="H11684" s="69">
        <v>1.08</v>
      </c>
    </row>
    <row r="11685" spans="6:8">
      <c r="F11685" s="68" t="s">
        <v>135</v>
      </c>
      <c r="G11685" s="67" t="s">
        <v>541</v>
      </c>
      <c r="H11685" s="69">
        <v>-0.6</v>
      </c>
    </row>
    <row r="11686" spans="6:8">
      <c r="F11686" s="68" t="s">
        <v>134</v>
      </c>
      <c r="G11686" s="67" t="s">
        <v>541</v>
      </c>
      <c r="H11686" s="69">
        <v>-0.45</v>
      </c>
    </row>
    <row r="11687" spans="6:8">
      <c r="F11687" s="68" t="s">
        <v>423</v>
      </c>
      <c r="G11687" s="67" t="s">
        <v>541</v>
      </c>
      <c r="H11687" s="69">
        <v>2.6281683718937465</v>
      </c>
    </row>
    <row r="11688" spans="6:8">
      <c r="F11688" s="68" t="s">
        <v>256</v>
      </c>
      <c r="G11688" s="67" t="s">
        <v>541</v>
      </c>
      <c r="H11688" s="69">
        <v>1.02</v>
      </c>
    </row>
    <row r="11689" spans="6:8">
      <c r="F11689" s="68" t="s">
        <v>133</v>
      </c>
      <c r="G11689" s="67" t="s">
        <v>541</v>
      </c>
      <c r="H11689" s="69">
        <v>-0.4</v>
      </c>
    </row>
    <row r="11690" spans="6:8">
      <c r="F11690" s="68" t="s">
        <v>132</v>
      </c>
      <c r="G11690" s="67" t="s">
        <v>541</v>
      </c>
      <c r="H11690" s="69">
        <v>-0.5</v>
      </c>
    </row>
    <row r="11691" spans="6:8">
      <c r="F11691" s="68" t="s">
        <v>422</v>
      </c>
      <c r="G11691" s="67" t="s">
        <v>541</v>
      </c>
      <c r="H11691" s="69">
        <v>2.5681234525823715</v>
      </c>
    </row>
    <row r="11692" spans="6:8">
      <c r="F11692" s="68" t="s">
        <v>303</v>
      </c>
      <c r="G11692" s="67" t="s">
        <v>541</v>
      </c>
      <c r="H11692" s="69">
        <v>18.614583333333332</v>
      </c>
    </row>
    <row r="11693" spans="6:8">
      <c r="F11693" s="68" t="s">
        <v>255</v>
      </c>
      <c r="G11693" s="67" t="s">
        <v>541</v>
      </c>
      <c r="H11693" s="69">
        <v>0.88</v>
      </c>
    </row>
    <row r="11694" spans="6:8">
      <c r="F11694" s="68" t="s">
        <v>131</v>
      </c>
      <c r="G11694" s="67" t="s">
        <v>541</v>
      </c>
      <c r="H11694" s="69">
        <v>-0.4</v>
      </c>
    </row>
    <row r="11695" spans="6:8">
      <c r="F11695" s="68" t="s">
        <v>130</v>
      </c>
      <c r="G11695" s="67" t="s">
        <v>541</v>
      </c>
      <c r="H11695" s="69">
        <v>-0.6</v>
      </c>
    </row>
    <row r="11696" spans="6:8">
      <c r="F11696" s="68" t="s">
        <v>421</v>
      </c>
      <c r="G11696" s="67" t="s">
        <v>541</v>
      </c>
      <c r="H11696" s="69">
        <v>2.5622598043987033</v>
      </c>
    </row>
    <row r="11697" spans="6:8">
      <c r="F11697" s="68" t="s">
        <v>304</v>
      </c>
      <c r="G11697" s="67" t="s">
        <v>541</v>
      </c>
      <c r="H11697" s="69">
        <v>17.40625</v>
      </c>
    </row>
    <row r="11698" spans="6:8">
      <c r="F11698" s="68" t="s">
        <v>254</v>
      </c>
      <c r="G11698" s="67" t="s">
        <v>541</v>
      </c>
      <c r="H11698" s="69">
        <v>0.68</v>
      </c>
    </row>
    <row r="11699" spans="6:8">
      <c r="F11699" s="68" t="s">
        <v>129</v>
      </c>
      <c r="G11699" s="67" t="s">
        <v>541</v>
      </c>
      <c r="H11699" s="69">
        <v>-0.35</v>
      </c>
    </row>
    <row r="11700" spans="6:8">
      <c r="F11700" s="68" t="s">
        <v>128</v>
      </c>
      <c r="G11700" s="67" t="s">
        <v>541</v>
      </c>
      <c r="H11700" s="69">
        <v>-0.6</v>
      </c>
    </row>
    <row r="11701" spans="6:8">
      <c r="F11701" s="68" t="s">
        <v>315</v>
      </c>
      <c r="G11701" s="67" t="s">
        <v>541</v>
      </c>
      <c r="H11701" s="69">
        <v>-0.05</v>
      </c>
    </row>
    <row r="11702" spans="6:8">
      <c r="F11702" s="68" t="s">
        <v>253</v>
      </c>
      <c r="G11702" s="67" t="s">
        <v>541</v>
      </c>
      <c r="H11702" s="69">
        <v>0.52</v>
      </c>
    </row>
    <row r="11703" spans="6:8">
      <c r="F11703" s="68" t="s">
        <v>127</v>
      </c>
      <c r="G11703" s="67" t="s">
        <v>541</v>
      </c>
      <c r="H11703" s="69">
        <v>-0.3</v>
      </c>
    </row>
    <row r="11704" spans="6:8">
      <c r="F11704" s="68" t="s">
        <v>126</v>
      </c>
      <c r="G11704" s="67" t="s">
        <v>541</v>
      </c>
      <c r="H11704" s="69">
        <v>-0.6</v>
      </c>
    </row>
    <row r="11705" spans="6:8">
      <c r="F11705" s="68" t="s">
        <v>125</v>
      </c>
      <c r="G11705" s="67" t="s">
        <v>541</v>
      </c>
      <c r="H11705" s="69">
        <v>-0.15</v>
      </c>
    </row>
    <row r="11706" spans="6:8">
      <c r="F11706" s="68" t="s">
        <v>314</v>
      </c>
      <c r="G11706" s="67" t="s">
        <v>541</v>
      </c>
      <c r="H11706" s="69">
        <v>-0.1</v>
      </c>
    </row>
    <row r="11707" spans="6:8">
      <c r="F11707" s="68" t="s">
        <v>252</v>
      </c>
      <c r="G11707" s="67" t="s">
        <v>541</v>
      </c>
      <c r="H11707" s="69">
        <v>0.35</v>
      </c>
    </row>
    <row r="11708" spans="6:8">
      <c r="F11708" s="68" t="s">
        <v>124</v>
      </c>
      <c r="G11708" s="67" t="s">
        <v>541</v>
      </c>
      <c r="H11708" s="69">
        <v>-0.25</v>
      </c>
    </row>
    <row r="11709" spans="6:8">
      <c r="F11709" s="68" t="s">
        <v>123</v>
      </c>
      <c r="G11709" s="67" t="s">
        <v>541</v>
      </c>
      <c r="H11709" s="69">
        <v>-0.75</v>
      </c>
    </row>
    <row r="11710" spans="6:8">
      <c r="F11710" s="68" t="s">
        <v>122</v>
      </c>
      <c r="G11710" s="67" t="s">
        <v>541</v>
      </c>
      <c r="H11710" s="69">
        <v>-0.3</v>
      </c>
    </row>
    <row r="11711" spans="6:8">
      <c r="F11711" s="68" t="s">
        <v>420</v>
      </c>
      <c r="G11711" s="67" t="s">
        <v>541</v>
      </c>
      <c r="H11711" s="69">
        <v>3.5428500405358054</v>
      </c>
    </row>
    <row r="11712" spans="6:8">
      <c r="F11712" s="68" t="s">
        <v>251</v>
      </c>
      <c r="G11712" s="67" t="s">
        <v>541</v>
      </c>
      <c r="H11712" s="69">
        <v>0.23</v>
      </c>
    </row>
    <row r="11713" spans="6:8">
      <c r="F11713" s="68" t="s">
        <v>121</v>
      </c>
      <c r="G11713" s="67" t="s">
        <v>541</v>
      </c>
      <c r="H11713" s="69">
        <v>-0.4</v>
      </c>
    </row>
    <row r="11714" spans="6:8">
      <c r="F11714" s="68" t="s">
        <v>120</v>
      </c>
      <c r="G11714" s="67" t="s">
        <v>541</v>
      </c>
      <c r="H11714" s="69">
        <v>-0.6</v>
      </c>
    </row>
    <row r="11715" spans="6:8">
      <c r="F11715" s="68" t="s">
        <v>119</v>
      </c>
      <c r="G11715" s="67" t="s">
        <v>541</v>
      </c>
      <c r="H11715" s="69">
        <v>-0.35</v>
      </c>
    </row>
    <row r="11716" spans="6:8">
      <c r="F11716" s="68" t="s">
        <v>119</v>
      </c>
      <c r="G11716" s="67" t="s">
        <v>542</v>
      </c>
      <c r="H11716" s="69">
        <v>-0.35</v>
      </c>
    </row>
    <row r="11717" spans="6:8">
      <c r="F11717" s="68" t="s">
        <v>120</v>
      </c>
      <c r="G11717" s="67" t="s">
        <v>542</v>
      </c>
      <c r="H11717" s="69">
        <v>-0.6</v>
      </c>
    </row>
    <row r="11718" spans="6:8">
      <c r="F11718" s="68" t="s">
        <v>121</v>
      </c>
      <c r="G11718" s="67" t="s">
        <v>542</v>
      </c>
      <c r="H11718" s="69">
        <v>-0.4</v>
      </c>
    </row>
    <row r="11719" spans="6:8">
      <c r="F11719" s="68" t="s">
        <v>251</v>
      </c>
      <c r="G11719" s="67" t="s">
        <v>542</v>
      </c>
      <c r="H11719" s="69">
        <v>0.23</v>
      </c>
    </row>
    <row r="11720" spans="6:8">
      <c r="F11720" s="68" t="s">
        <v>420</v>
      </c>
      <c r="G11720" s="67" t="s">
        <v>542</v>
      </c>
      <c r="H11720" s="69">
        <v>3.5963712535882486</v>
      </c>
    </row>
    <row r="11721" spans="6:8">
      <c r="F11721" s="68" t="s">
        <v>122</v>
      </c>
      <c r="G11721" s="67" t="s">
        <v>542</v>
      </c>
      <c r="H11721" s="69">
        <v>-0.3</v>
      </c>
    </row>
    <row r="11722" spans="6:8">
      <c r="F11722" s="68" t="s">
        <v>123</v>
      </c>
      <c r="G11722" s="67" t="s">
        <v>542</v>
      </c>
      <c r="H11722" s="69">
        <v>-0.75</v>
      </c>
    </row>
    <row r="11723" spans="6:8">
      <c r="F11723" s="68" t="s">
        <v>124</v>
      </c>
      <c r="G11723" s="67" t="s">
        <v>542</v>
      </c>
      <c r="H11723" s="69">
        <v>-0.25</v>
      </c>
    </row>
    <row r="11724" spans="6:8">
      <c r="F11724" s="68" t="s">
        <v>252</v>
      </c>
      <c r="G11724" s="67" t="s">
        <v>542</v>
      </c>
      <c r="H11724" s="69">
        <v>0.35</v>
      </c>
    </row>
    <row r="11725" spans="6:8">
      <c r="F11725" s="68" t="s">
        <v>314</v>
      </c>
      <c r="G11725" s="67" t="s">
        <v>542</v>
      </c>
      <c r="H11725" s="69">
        <v>-0.1</v>
      </c>
    </row>
    <row r="11726" spans="6:8">
      <c r="F11726" s="68" t="s">
        <v>125</v>
      </c>
      <c r="G11726" s="67" t="s">
        <v>542</v>
      </c>
      <c r="H11726" s="69">
        <v>-0.15</v>
      </c>
    </row>
    <row r="11727" spans="6:8">
      <c r="F11727" s="68" t="s">
        <v>126</v>
      </c>
      <c r="G11727" s="67" t="s">
        <v>542</v>
      </c>
      <c r="H11727" s="69">
        <v>-0.6</v>
      </c>
    </row>
    <row r="11728" spans="6:8">
      <c r="F11728" s="68" t="s">
        <v>127</v>
      </c>
      <c r="G11728" s="67" t="s">
        <v>542</v>
      </c>
      <c r="H11728" s="69">
        <v>-0.3</v>
      </c>
    </row>
    <row r="11729" spans="6:8">
      <c r="F11729" s="68" t="s">
        <v>253</v>
      </c>
      <c r="G11729" s="67" t="s">
        <v>542</v>
      </c>
      <c r="H11729" s="69">
        <v>0.52</v>
      </c>
    </row>
    <row r="11730" spans="6:8">
      <c r="F11730" s="68" t="s">
        <v>315</v>
      </c>
      <c r="G11730" s="67" t="s">
        <v>542</v>
      </c>
      <c r="H11730" s="69">
        <v>-0.05</v>
      </c>
    </row>
    <row r="11731" spans="6:8">
      <c r="F11731" s="68" t="s">
        <v>128</v>
      </c>
      <c r="G11731" s="67" t="s">
        <v>542</v>
      </c>
      <c r="H11731" s="69">
        <v>-0.6</v>
      </c>
    </row>
    <row r="11732" spans="6:8">
      <c r="F11732" s="68" t="s">
        <v>129</v>
      </c>
      <c r="G11732" s="67" t="s">
        <v>542</v>
      </c>
      <c r="H11732" s="69">
        <v>-0.35</v>
      </c>
    </row>
    <row r="11733" spans="6:8">
      <c r="F11733" s="68" t="s">
        <v>254</v>
      </c>
      <c r="G11733" s="67" t="s">
        <v>542</v>
      </c>
      <c r="H11733" s="69">
        <v>0.68</v>
      </c>
    </row>
    <row r="11734" spans="6:8">
      <c r="F11734" s="68" t="s">
        <v>304</v>
      </c>
      <c r="G11734" s="67" t="s">
        <v>542</v>
      </c>
      <c r="H11734" s="69">
        <v>17.4375</v>
      </c>
    </row>
    <row r="11735" spans="6:8">
      <c r="F11735" s="68" t="s">
        <v>421</v>
      </c>
      <c r="G11735" s="67" t="s">
        <v>542</v>
      </c>
      <c r="H11735" s="69">
        <v>2.6120880366966581</v>
      </c>
    </row>
    <row r="11736" spans="6:8">
      <c r="F11736" s="68" t="s">
        <v>130</v>
      </c>
      <c r="G11736" s="67" t="s">
        <v>542</v>
      </c>
      <c r="H11736" s="69">
        <v>-0.6</v>
      </c>
    </row>
    <row r="11737" spans="6:8">
      <c r="F11737" s="68" t="s">
        <v>131</v>
      </c>
      <c r="G11737" s="67" t="s">
        <v>542</v>
      </c>
      <c r="H11737" s="69">
        <v>-0.4</v>
      </c>
    </row>
    <row r="11738" spans="6:8">
      <c r="F11738" s="68" t="s">
        <v>255</v>
      </c>
      <c r="G11738" s="67" t="s">
        <v>542</v>
      </c>
      <c r="H11738" s="69">
        <v>0.88</v>
      </c>
    </row>
    <row r="11739" spans="6:8">
      <c r="F11739" s="68" t="s">
        <v>303</v>
      </c>
      <c r="G11739" s="67" t="s">
        <v>542</v>
      </c>
      <c r="H11739" s="69">
        <v>18.5625</v>
      </c>
    </row>
    <row r="11740" spans="6:8">
      <c r="F11740" s="68" t="s">
        <v>422</v>
      </c>
      <c r="G11740" s="67" t="s">
        <v>542</v>
      </c>
      <c r="H11740" s="69">
        <v>2.618112614110002</v>
      </c>
    </row>
    <row r="11741" spans="6:8">
      <c r="F11741" s="68" t="s">
        <v>132</v>
      </c>
      <c r="G11741" s="67" t="s">
        <v>542</v>
      </c>
      <c r="H11741" s="69">
        <v>-0.5</v>
      </c>
    </row>
    <row r="11742" spans="6:8">
      <c r="F11742" s="68" t="s">
        <v>133</v>
      </c>
      <c r="G11742" s="67" t="s">
        <v>542</v>
      </c>
      <c r="H11742" s="69">
        <v>-0.4</v>
      </c>
    </row>
    <row r="11743" spans="6:8">
      <c r="F11743" s="68" t="s">
        <v>256</v>
      </c>
      <c r="G11743" s="67" t="s">
        <v>542</v>
      </c>
      <c r="H11743" s="69">
        <v>1.02</v>
      </c>
    </row>
    <row r="11744" spans="6:8">
      <c r="F11744" s="68" t="s">
        <v>423</v>
      </c>
      <c r="G11744" s="67" t="s">
        <v>542</v>
      </c>
      <c r="H11744" s="69">
        <v>2.6847602766223222</v>
      </c>
    </row>
    <row r="11745" spans="6:8">
      <c r="F11745" s="68" t="s">
        <v>134</v>
      </c>
      <c r="G11745" s="67" t="s">
        <v>542</v>
      </c>
      <c r="H11745" s="69">
        <v>-0.45</v>
      </c>
    </row>
    <row r="11746" spans="6:8">
      <c r="F11746" s="68" t="s">
        <v>135</v>
      </c>
      <c r="G11746" s="67" t="s">
        <v>542</v>
      </c>
      <c r="H11746" s="69">
        <v>-0.6</v>
      </c>
    </row>
    <row r="11747" spans="6:8">
      <c r="F11747" s="68" t="s">
        <v>257</v>
      </c>
      <c r="G11747" s="67" t="s">
        <v>542</v>
      </c>
      <c r="H11747" s="69">
        <v>1.08</v>
      </c>
    </row>
    <row r="11748" spans="6:8">
      <c r="F11748" s="68" t="s">
        <v>258</v>
      </c>
      <c r="G11748" s="67" t="s">
        <v>542</v>
      </c>
      <c r="H11748" s="69">
        <v>0.14000000000000001</v>
      </c>
    </row>
    <row r="11749" spans="6:8">
      <c r="F11749" s="68" t="s">
        <v>424</v>
      </c>
      <c r="G11749" s="67" t="s">
        <v>542</v>
      </c>
      <c r="H11749" s="69">
        <v>3.359552825068457</v>
      </c>
    </row>
    <row r="11750" spans="6:8">
      <c r="F11750" s="68" t="s">
        <v>136</v>
      </c>
      <c r="G11750" s="67" t="s">
        <v>542</v>
      </c>
      <c r="H11750" s="69">
        <v>-0.45</v>
      </c>
    </row>
    <row r="11751" spans="6:8">
      <c r="F11751" s="68" t="s">
        <v>137</v>
      </c>
      <c r="G11751" s="67" t="s">
        <v>542</v>
      </c>
      <c r="H11751" s="69">
        <v>-0.6</v>
      </c>
    </row>
    <row r="11752" spans="6:8">
      <c r="F11752" s="68" t="s">
        <v>138</v>
      </c>
      <c r="G11752" s="67" t="s">
        <v>542</v>
      </c>
      <c r="H11752" s="69">
        <v>-0.45</v>
      </c>
    </row>
    <row r="11753" spans="6:8">
      <c r="F11753" s="68" t="s">
        <v>259</v>
      </c>
      <c r="G11753" s="67" t="s">
        <v>542</v>
      </c>
      <c r="H11753" s="69">
        <v>0.17</v>
      </c>
    </row>
    <row r="11754" spans="6:8">
      <c r="F11754" s="68" t="s">
        <v>425</v>
      </c>
      <c r="G11754" s="67" t="s">
        <v>542</v>
      </c>
      <c r="H11754" s="69">
        <v>3.3623032037288336</v>
      </c>
    </row>
    <row r="11755" spans="6:8">
      <c r="F11755" s="68" t="s">
        <v>425</v>
      </c>
      <c r="G11755" s="67" t="s">
        <v>543</v>
      </c>
      <c r="H11755" s="69">
        <v>3.362791159113554</v>
      </c>
    </row>
    <row r="11756" spans="6:8">
      <c r="F11756" s="68" t="s">
        <v>259</v>
      </c>
      <c r="G11756" s="67" t="s">
        <v>543</v>
      </c>
      <c r="H11756" s="69">
        <v>0.17</v>
      </c>
    </row>
    <row r="11757" spans="6:8">
      <c r="F11757" s="68" t="s">
        <v>138</v>
      </c>
      <c r="G11757" s="67" t="s">
        <v>543</v>
      </c>
      <c r="H11757" s="69">
        <v>-0.45</v>
      </c>
    </row>
    <row r="11758" spans="6:8">
      <c r="F11758" s="68" t="s">
        <v>137</v>
      </c>
      <c r="G11758" s="67" t="s">
        <v>543</v>
      </c>
      <c r="H11758" s="69">
        <v>-0.6</v>
      </c>
    </row>
    <row r="11759" spans="6:8">
      <c r="F11759" s="68" t="s">
        <v>136</v>
      </c>
      <c r="G11759" s="67" t="s">
        <v>543</v>
      </c>
      <c r="H11759" s="69">
        <v>-0.45</v>
      </c>
    </row>
    <row r="11760" spans="6:8">
      <c r="F11760" s="68" t="s">
        <v>424</v>
      </c>
      <c r="G11760" s="67" t="s">
        <v>543</v>
      </c>
      <c r="H11760" s="69">
        <v>3.3184551957555541</v>
      </c>
    </row>
    <row r="11761" spans="6:8">
      <c r="F11761" s="68" t="s">
        <v>258</v>
      </c>
      <c r="G11761" s="67" t="s">
        <v>543</v>
      </c>
      <c r="H11761" s="69">
        <v>0.14000000000000001</v>
      </c>
    </row>
    <row r="11762" spans="6:8">
      <c r="F11762" s="68" t="s">
        <v>257</v>
      </c>
      <c r="G11762" s="67" t="s">
        <v>543</v>
      </c>
      <c r="H11762" s="69">
        <v>1.08</v>
      </c>
    </row>
    <row r="11763" spans="6:8">
      <c r="F11763" s="68" t="s">
        <v>135</v>
      </c>
      <c r="G11763" s="67" t="s">
        <v>543</v>
      </c>
      <c r="H11763" s="69">
        <v>-0.6</v>
      </c>
    </row>
    <row r="11764" spans="6:8">
      <c r="F11764" s="68" t="s">
        <v>134</v>
      </c>
      <c r="G11764" s="67" t="s">
        <v>543</v>
      </c>
      <c r="H11764" s="69">
        <v>-0.45</v>
      </c>
    </row>
    <row r="11765" spans="6:8">
      <c r="F11765" s="68" t="s">
        <v>423</v>
      </c>
      <c r="G11765" s="67" t="s">
        <v>543</v>
      </c>
      <c r="H11765" s="69">
        <v>2.6912359772708783</v>
      </c>
    </row>
    <row r="11766" spans="6:8">
      <c r="F11766" s="68" t="s">
        <v>256</v>
      </c>
      <c r="G11766" s="67" t="s">
        <v>543</v>
      </c>
      <c r="H11766" s="69">
        <v>1.02</v>
      </c>
    </row>
    <row r="11767" spans="6:8">
      <c r="F11767" s="68" t="s">
        <v>133</v>
      </c>
      <c r="G11767" s="67" t="s">
        <v>543</v>
      </c>
      <c r="H11767" s="69">
        <v>-0.4</v>
      </c>
    </row>
    <row r="11768" spans="6:8">
      <c r="F11768" s="68" t="s">
        <v>132</v>
      </c>
      <c r="G11768" s="67" t="s">
        <v>543</v>
      </c>
      <c r="H11768" s="69">
        <v>-0.5</v>
      </c>
    </row>
    <row r="11769" spans="6:8">
      <c r="F11769" s="68" t="s">
        <v>422</v>
      </c>
      <c r="G11769" s="67" t="s">
        <v>543</v>
      </c>
      <c r="H11769" s="69">
        <v>2.6262971265345492</v>
      </c>
    </row>
    <row r="11770" spans="6:8">
      <c r="F11770" s="68" t="s">
        <v>303</v>
      </c>
      <c r="G11770" s="67" t="s">
        <v>543</v>
      </c>
      <c r="H11770" s="69">
        <v>18.458333333333332</v>
      </c>
    </row>
    <row r="11771" spans="6:8">
      <c r="F11771" s="68" t="s">
        <v>255</v>
      </c>
      <c r="G11771" s="67" t="s">
        <v>543</v>
      </c>
      <c r="H11771" s="69">
        <v>0.88</v>
      </c>
    </row>
    <row r="11772" spans="6:8">
      <c r="F11772" s="68" t="s">
        <v>131</v>
      </c>
      <c r="G11772" s="67" t="s">
        <v>543</v>
      </c>
      <c r="H11772" s="69">
        <v>-0.4</v>
      </c>
    </row>
    <row r="11773" spans="6:8">
      <c r="F11773" s="68" t="s">
        <v>130</v>
      </c>
      <c r="G11773" s="67" t="s">
        <v>543</v>
      </c>
      <c r="H11773" s="69">
        <v>-0.6</v>
      </c>
    </row>
    <row r="11774" spans="6:8">
      <c r="F11774" s="68" t="s">
        <v>421</v>
      </c>
      <c r="G11774" s="67" t="s">
        <v>543</v>
      </c>
      <c r="H11774" s="69">
        <v>2.6197840624027524</v>
      </c>
    </row>
    <row r="11775" spans="6:8">
      <c r="F11775" s="68" t="s">
        <v>304</v>
      </c>
      <c r="G11775" s="67" t="s">
        <v>543</v>
      </c>
      <c r="H11775" s="69">
        <v>17.333333333333332</v>
      </c>
    </row>
    <row r="11776" spans="6:8">
      <c r="F11776" s="68" t="s">
        <v>254</v>
      </c>
      <c r="G11776" s="67" t="s">
        <v>543</v>
      </c>
      <c r="H11776" s="69">
        <v>0.68</v>
      </c>
    </row>
    <row r="11777" spans="6:8">
      <c r="F11777" s="68" t="s">
        <v>129</v>
      </c>
      <c r="G11777" s="67" t="s">
        <v>543</v>
      </c>
      <c r="H11777" s="69">
        <v>-0.35</v>
      </c>
    </row>
    <row r="11778" spans="6:8">
      <c r="F11778" s="68" t="s">
        <v>128</v>
      </c>
      <c r="G11778" s="67" t="s">
        <v>543</v>
      </c>
      <c r="H11778" s="69">
        <v>-0.6</v>
      </c>
    </row>
    <row r="11779" spans="6:8">
      <c r="F11779" s="68" t="s">
        <v>315</v>
      </c>
      <c r="G11779" s="67" t="s">
        <v>543</v>
      </c>
      <c r="H11779" s="69">
        <v>-0.05</v>
      </c>
    </row>
    <row r="11780" spans="6:8">
      <c r="F11780" s="68" t="s">
        <v>253</v>
      </c>
      <c r="G11780" s="67" t="s">
        <v>543</v>
      </c>
      <c r="H11780" s="69">
        <v>0.52</v>
      </c>
    </row>
    <row r="11781" spans="6:8">
      <c r="F11781" s="68" t="s">
        <v>127</v>
      </c>
      <c r="G11781" s="67" t="s">
        <v>543</v>
      </c>
      <c r="H11781" s="69">
        <v>-0.3</v>
      </c>
    </row>
    <row r="11782" spans="6:8">
      <c r="F11782" s="68" t="s">
        <v>126</v>
      </c>
      <c r="G11782" s="67" t="s">
        <v>543</v>
      </c>
      <c r="H11782" s="69">
        <v>-0.6</v>
      </c>
    </row>
    <row r="11783" spans="6:8">
      <c r="F11783" s="68" t="s">
        <v>125</v>
      </c>
      <c r="G11783" s="67" t="s">
        <v>543</v>
      </c>
      <c r="H11783" s="69">
        <v>-0.15</v>
      </c>
    </row>
    <row r="11784" spans="6:8">
      <c r="F11784" s="68" t="s">
        <v>314</v>
      </c>
      <c r="G11784" s="67" t="s">
        <v>543</v>
      </c>
      <c r="H11784" s="69">
        <v>-0.1</v>
      </c>
    </row>
    <row r="11785" spans="6:8">
      <c r="F11785" s="68" t="s">
        <v>252</v>
      </c>
      <c r="G11785" s="67" t="s">
        <v>543</v>
      </c>
      <c r="H11785" s="69">
        <v>0.35</v>
      </c>
    </row>
    <row r="11786" spans="6:8">
      <c r="F11786" s="68" t="s">
        <v>124</v>
      </c>
      <c r="G11786" s="67" t="s">
        <v>543</v>
      </c>
      <c r="H11786" s="69">
        <v>-0.25</v>
      </c>
    </row>
    <row r="11787" spans="6:8">
      <c r="F11787" s="68" t="s">
        <v>123</v>
      </c>
      <c r="G11787" s="67" t="s">
        <v>543</v>
      </c>
      <c r="H11787" s="69">
        <v>-0.75</v>
      </c>
    </row>
    <row r="11788" spans="6:8">
      <c r="F11788" s="68" t="s">
        <v>122</v>
      </c>
      <c r="G11788" s="67" t="s">
        <v>543</v>
      </c>
      <c r="H11788" s="69">
        <v>-0.3</v>
      </c>
    </row>
    <row r="11789" spans="6:8">
      <c r="F11789" s="68" t="s">
        <v>420</v>
      </c>
      <c r="G11789" s="67" t="s">
        <v>543</v>
      </c>
      <c r="H11789" s="69">
        <v>3.5741066248467401</v>
      </c>
    </row>
    <row r="11790" spans="6:8">
      <c r="F11790" s="68" t="s">
        <v>251</v>
      </c>
      <c r="G11790" s="67" t="s">
        <v>543</v>
      </c>
      <c r="H11790" s="69">
        <v>0.23</v>
      </c>
    </row>
    <row r="11791" spans="6:8">
      <c r="F11791" s="68" t="s">
        <v>121</v>
      </c>
      <c r="G11791" s="67" t="s">
        <v>543</v>
      </c>
      <c r="H11791" s="69">
        <v>-0.4</v>
      </c>
    </row>
    <row r="11792" spans="6:8">
      <c r="F11792" s="68" t="s">
        <v>120</v>
      </c>
      <c r="G11792" s="67" t="s">
        <v>543</v>
      </c>
      <c r="H11792" s="69">
        <v>-0.6</v>
      </c>
    </row>
    <row r="11793" spans="6:8">
      <c r="F11793" s="68" t="s">
        <v>119</v>
      </c>
      <c r="G11793" s="67" t="s">
        <v>543</v>
      </c>
      <c r="H11793" s="69">
        <v>-0.35</v>
      </c>
    </row>
    <row r="11794" spans="6:8">
      <c r="F11794" s="68" t="s">
        <v>119</v>
      </c>
      <c r="G11794" s="67" t="s">
        <v>544</v>
      </c>
      <c r="H11794" s="69">
        <v>-0.35</v>
      </c>
    </row>
    <row r="11795" spans="6:8">
      <c r="F11795" s="68" t="s">
        <v>120</v>
      </c>
      <c r="G11795" s="67" t="s">
        <v>544</v>
      </c>
      <c r="H11795" s="69">
        <v>-0.6</v>
      </c>
    </row>
    <row r="11796" spans="6:8">
      <c r="F11796" s="68" t="s">
        <v>121</v>
      </c>
      <c r="G11796" s="67" t="s">
        <v>544</v>
      </c>
      <c r="H11796" s="69">
        <v>-0.4</v>
      </c>
    </row>
    <row r="11797" spans="6:8">
      <c r="F11797" s="68" t="s">
        <v>251</v>
      </c>
      <c r="G11797" s="67" t="s">
        <v>544</v>
      </c>
      <c r="H11797" s="69">
        <v>0.23</v>
      </c>
    </row>
    <row r="11798" spans="6:8">
      <c r="F11798" s="68" t="s">
        <v>420</v>
      </c>
      <c r="G11798" s="67" t="s">
        <v>544</v>
      </c>
      <c r="H11798" s="69">
        <v>3.4709174317412828</v>
      </c>
    </row>
    <row r="11799" spans="6:8">
      <c r="F11799" s="68" t="s">
        <v>122</v>
      </c>
      <c r="G11799" s="67" t="s">
        <v>544</v>
      </c>
      <c r="H11799" s="69">
        <v>-0.3</v>
      </c>
    </row>
    <row r="11800" spans="6:8">
      <c r="F11800" s="68" t="s">
        <v>123</v>
      </c>
      <c r="G11800" s="67" t="s">
        <v>544</v>
      </c>
      <c r="H11800" s="69">
        <v>-0.75</v>
      </c>
    </row>
    <row r="11801" spans="6:8">
      <c r="F11801" s="68" t="s">
        <v>124</v>
      </c>
      <c r="G11801" s="67" t="s">
        <v>544</v>
      </c>
      <c r="H11801" s="69">
        <v>-0.25</v>
      </c>
    </row>
    <row r="11802" spans="6:8">
      <c r="F11802" s="68" t="s">
        <v>252</v>
      </c>
      <c r="G11802" s="67" t="s">
        <v>544</v>
      </c>
      <c r="H11802" s="69">
        <v>0.35</v>
      </c>
    </row>
    <row r="11803" spans="6:8">
      <c r="F11803" s="68" t="s">
        <v>314</v>
      </c>
      <c r="G11803" s="67" t="s">
        <v>544</v>
      </c>
      <c r="H11803" s="69">
        <v>-0.1</v>
      </c>
    </row>
    <row r="11804" spans="6:8">
      <c r="F11804" s="68" t="s">
        <v>125</v>
      </c>
      <c r="G11804" s="67" t="s">
        <v>544</v>
      </c>
      <c r="H11804" s="69">
        <v>-0.15</v>
      </c>
    </row>
    <row r="11805" spans="6:8">
      <c r="F11805" s="68" t="s">
        <v>126</v>
      </c>
      <c r="G11805" s="67" t="s">
        <v>544</v>
      </c>
      <c r="H11805" s="69">
        <v>-0.6</v>
      </c>
    </row>
    <row r="11806" spans="6:8">
      <c r="F11806" s="68" t="s">
        <v>127</v>
      </c>
      <c r="G11806" s="67" t="s">
        <v>544</v>
      </c>
      <c r="H11806" s="69">
        <v>-0.3</v>
      </c>
    </row>
    <row r="11807" spans="6:8">
      <c r="F11807" s="68" t="s">
        <v>253</v>
      </c>
      <c r="G11807" s="67" t="s">
        <v>544</v>
      </c>
      <c r="H11807" s="69">
        <v>0.52</v>
      </c>
    </row>
    <row r="11808" spans="6:8">
      <c r="F11808" s="68" t="s">
        <v>315</v>
      </c>
      <c r="G11808" s="67" t="s">
        <v>544</v>
      </c>
      <c r="H11808" s="69">
        <v>-0.05</v>
      </c>
    </row>
    <row r="11809" spans="6:8">
      <c r="F11809" s="68" t="s">
        <v>128</v>
      </c>
      <c r="G11809" s="67" t="s">
        <v>544</v>
      </c>
      <c r="H11809" s="69">
        <v>-0.6</v>
      </c>
    </row>
    <row r="11810" spans="6:8">
      <c r="F11810" s="68" t="s">
        <v>129</v>
      </c>
      <c r="G11810" s="67" t="s">
        <v>544</v>
      </c>
      <c r="H11810" s="69">
        <v>-0.35</v>
      </c>
    </row>
    <row r="11811" spans="6:8">
      <c r="F11811" s="68" t="s">
        <v>254</v>
      </c>
      <c r="G11811" s="67" t="s">
        <v>544</v>
      </c>
      <c r="H11811" s="69">
        <v>0.68</v>
      </c>
    </row>
    <row r="11812" spans="6:8">
      <c r="F11812" s="68" t="s">
        <v>304</v>
      </c>
      <c r="G11812" s="67" t="s">
        <v>544</v>
      </c>
      <c r="H11812" s="69">
        <v>17.3125</v>
      </c>
    </row>
    <row r="11813" spans="6:8">
      <c r="F11813" s="68" t="s">
        <v>421</v>
      </c>
      <c r="G11813" s="67" t="s">
        <v>544</v>
      </c>
      <c r="H11813" s="69">
        <v>2.6009914720854344</v>
      </c>
    </row>
    <row r="11814" spans="6:8">
      <c r="F11814" s="68" t="s">
        <v>130</v>
      </c>
      <c r="G11814" s="67" t="s">
        <v>544</v>
      </c>
      <c r="H11814" s="69">
        <v>-0.6</v>
      </c>
    </row>
    <row r="11815" spans="6:8">
      <c r="F11815" s="68" t="s">
        <v>131</v>
      </c>
      <c r="G11815" s="67" t="s">
        <v>544</v>
      </c>
      <c r="H11815" s="69">
        <v>-0.4</v>
      </c>
    </row>
    <row r="11816" spans="6:8">
      <c r="F11816" s="68" t="s">
        <v>255</v>
      </c>
      <c r="G11816" s="67" t="s">
        <v>544</v>
      </c>
      <c r="H11816" s="69">
        <v>0.88</v>
      </c>
    </row>
    <row r="11817" spans="6:8">
      <c r="F11817" s="68" t="s">
        <v>303</v>
      </c>
      <c r="G11817" s="67" t="s">
        <v>544</v>
      </c>
      <c r="H11817" s="69">
        <v>18.46875</v>
      </c>
    </row>
    <row r="11818" spans="6:8">
      <c r="F11818" s="68" t="s">
        <v>422</v>
      </c>
      <c r="G11818" s="67" t="s">
        <v>544</v>
      </c>
      <c r="H11818" s="69">
        <v>2.606316885327864</v>
      </c>
    </row>
    <row r="11819" spans="6:8">
      <c r="F11819" s="68" t="s">
        <v>132</v>
      </c>
      <c r="G11819" s="67" t="s">
        <v>544</v>
      </c>
      <c r="H11819" s="69">
        <v>-0.5</v>
      </c>
    </row>
    <row r="11820" spans="6:8">
      <c r="F11820" s="68" t="s">
        <v>133</v>
      </c>
      <c r="G11820" s="67" t="s">
        <v>544</v>
      </c>
      <c r="H11820" s="69">
        <v>-0.4</v>
      </c>
    </row>
    <row r="11821" spans="6:8">
      <c r="F11821" s="68" t="s">
        <v>256</v>
      </c>
      <c r="G11821" s="67" t="s">
        <v>544</v>
      </c>
      <c r="H11821" s="69">
        <v>1.02</v>
      </c>
    </row>
    <row r="11822" spans="6:8">
      <c r="F11822" s="68" t="s">
        <v>423</v>
      </c>
      <c r="G11822" s="67" t="s">
        <v>544</v>
      </c>
      <c r="H11822" s="69">
        <v>2.5680574726114624</v>
      </c>
    </row>
    <row r="11823" spans="6:8">
      <c r="F11823" s="68" t="s">
        <v>134</v>
      </c>
      <c r="G11823" s="67" t="s">
        <v>544</v>
      </c>
      <c r="H11823" s="69">
        <v>-0.45</v>
      </c>
    </row>
    <row r="11824" spans="6:8">
      <c r="F11824" s="68" t="s">
        <v>135</v>
      </c>
      <c r="G11824" s="67" t="s">
        <v>544</v>
      </c>
      <c r="H11824" s="69">
        <v>-0.6</v>
      </c>
    </row>
    <row r="11825" spans="6:8">
      <c r="F11825" s="68" t="s">
        <v>257</v>
      </c>
      <c r="G11825" s="67" t="s">
        <v>544</v>
      </c>
      <c r="H11825" s="69">
        <v>1.08</v>
      </c>
    </row>
    <row r="11826" spans="6:8">
      <c r="F11826" s="68" t="s">
        <v>258</v>
      </c>
      <c r="G11826" s="67" t="s">
        <v>544</v>
      </c>
      <c r="H11826" s="69">
        <v>0.14000000000000001</v>
      </c>
    </row>
    <row r="11827" spans="6:8">
      <c r="F11827" s="68" t="s">
        <v>424</v>
      </c>
      <c r="G11827" s="67" t="s">
        <v>544</v>
      </c>
      <c r="H11827" s="69">
        <v>3.2711057785059783</v>
      </c>
    </row>
    <row r="11828" spans="6:8">
      <c r="F11828" s="68" t="s">
        <v>136</v>
      </c>
      <c r="G11828" s="67" t="s">
        <v>544</v>
      </c>
      <c r="H11828" s="69">
        <v>-0.45</v>
      </c>
    </row>
    <row r="11829" spans="6:8">
      <c r="F11829" s="68" t="s">
        <v>137</v>
      </c>
      <c r="G11829" s="67" t="s">
        <v>544</v>
      </c>
      <c r="H11829" s="69">
        <v>-0.6</v>
      </c>
    </row>
    <row r="11830" spans="6:8">
      <c r="F11830" s="68" t="s">
        <v>138</v>
      </c>
      <c r="G11830" s="67" t="s">
        <v>544</v>
      </c>
      <c r="H11830" s="69">
        <v>-0.45</v>
      </c>
    </row>
    <row r="11831" spans="6:8">
      <c r="F11831" s="68" t="s">
        <v>259</v>
      </c>
      <c r="G11831" s="67" t="s">
        <v>544</v>
      </c>
      <c r="H11831" s="69">
        <v>0.17</v>
      </c>
    </row>
    <row r="11832" spans="6:8">
      <c r="F11832" s="68" t="s">
        <v>425</v>
      </c>
      <c r="G11832" s="67" t="s">
        <v>544</v>
      </c>
      <c r="H11832" s="69">
        <v>3.2977941237990027</v>
      </c>
    </row>
    <row r="11833" spans="6:8">
      <c r="F11833" s="68" t="s">
        <v>425</v>
      </c>
      <c r="G11833" s="67" t="s">
        <v>545</v>
      </c>
      <c r="H11833" s="69">
        <v>3.2629935185827907</v>
      </c>
    </row>
    <row r="11834" spans="6:8">
      <c r="F11834" s="68" t="s">
        <v>259</v>
      </c>
      <c r="G11834" s="67" t="s">
        <v>545</v>
      </c>
      <c r="H11834" s="69">
        <v>0.17</v>
      </c>
    </row>
    <row r="11835" spans="6:8">
      <c r="F11835" s="68" t="s">
        <v>138</v>
      </c>
      <c r="G11835" s="67" t="s">
        <v>545</v>
      </c>
      <c r="H11835" s="69">
        <v>-0.45</v>
      </c>
    </row>
    <row r="11836" spans="6:8">
      <c r="F11836" s="68" t="s">
        <v>137</v>
      </c>
      <c r="G11836" s="67" t="s">
        <v>545</v>
      </c>
      <c r="H11836" s="69">
        <v>-0.6</v>
      </c>
    </row>
    <row r="11837" spans="6:8">
      <c r="F11837" s="68" t="s">
        <v>136</v>
      </c>
      <c r="G11837" s="67" t="s">
        <v>545</v>
      </c>
      <c r="H11837" s="69">
        <v>-0.45</v>
      </c>
    </row>
    <row r="11838" spans="6:8">
      <c r="F11838" s="68" t="s">
        <v>424</v>
      </c>
      <c r="G11838" s="67" t="s">
        <v>545</v>
      </c>
      <c r="H11838" s="69">
        <v>3.2371476942752775</v>
      </c>
    </row>
    <row r="11839" spans="6:8">
      <c r="F11839" s="68" t="s">
        <v>258</v>
      </c>
      <c r="G11839" s="67" t="s">
        <v>545</v>
      </c>
      <c r="H11839" s="69">
        <v>0.14000000000000001</v>
      </c>
    </row>
    <row r="11840" spans="6:8">
      <c r="F11840" s="68" t="s">
        <v>257</v>
      </c>
      <c r="G11840" s="67" t="s">
        <v>545</v>
      </c>
      <c r="H11840" s="69">
        <v>1.08</v>
      </c>
    </row>
    <row r="11841" spans="6:8">
      <c r="F11841" s="68" t="s">
        <v>135</v>
      </c>
      <c r="G11841" s="67" t="s">
        <v>545</v>
      </c>
      <c r="H11841" s="69">
        <v>-0.6</v>
      </c>
    </row>
    <row r="11842" spans="6:8">
      <c r="F11842" s="68" t="s">
        <v>134</v>
      </c>
      <c r="G11842" s="67" t="s">
        <v>545</v>
      </c>
      <c r="H11842" s="69">
        <v>-0.45</v>
      </c>
    </row>
    <row r="11843" spans="6:8">
      <c r="F11843" s="68" t="s">
        <v>423</v>
      </c>
      <c r="G11843" s="67" t="s">
        <v>545</v>
      </c>
      <c r="H11843" s="69">
        <v>2.512142223937408</v>
      </c>
    </row>
    <row r="11844" spans="6:8">
      <c r="F11844" s="68" t="s">
        <v>256</v>
      </c>
      <c r="G11844" s="67" t="s">
        <v>545</v>
      </c>
      <c r="H11844" s="69">
        <v>1.02</v>
      </c>
    </row>
    <row r="11845" spans="6:8">
      <c r="F11845" s="68" t="s">
        <v>133</v>
      </c>
      <c r="G11845" s="67" t="s">
        <v>545</v>
      </c>
      <c r="H11845" s="69">
        <v>-0.4</v>
      </c>
    </row>
    <row r="11846" spans="6:8">
      <c r="F11846" s="68" t="s">
        <v>132</v>
      </c>
      <c r="G11846" s="67" t="s">
        <v>545</v>
      </c>
      <c r="H11846" s="69">
        <v>-0.5</v>
      </c>
    </row>
    <row r="11847" spans="6:8">
      <c r="F11847" s="68" t="s">
        <v>422</v>
      </c>
      <c r="G11847" s="67" t="s">
        <v>545</v>
      </c>
      <c r="H11847" s="69">
        <v>2.5997605436316906</v>
      </c>
    </row>
    <row r="11848" spans="6:8">
      <c r="F11848" s="68" t="s">
        <v>303</v>
      </c>
      <c r="G11848" s="67" t="s">
        <v>545</v>
      </c>
      <c r="H11848" s="69">
        <v>18.510416666666668</v>
      </c>
    </row>
    <row r="11849" spans="6:8">
      <c r="F11849" s="68" t="s">
        <v>255</v>
      </c>
      <c r="G11849" s="67" t="s">
        <v>545</v>
      </c>
      <c r="H11849" s="69">
        <v>0.88</v>
      </c>
    </row>
    <row r="11850" spans="6:8">
      <c r="F11850" s="68" t="s">
        <v>131</v>
      </c>
      <c r="G11850" s="67" t="s">
        <v>545</v>
      </c>
      <c r="H11850" s="69">
        <v>-0.4</v>
      </c>
    </row>
    <row r="11851" spans="6:8">
      <c r="F11851" s="68" t="s">
        <v>130</v>
      </c>
      <c r="G11851" s="67" t="s">
        <v>545</v>
      </c>
      <c r="H11851" s="69">
        <v>-0.6</v>
      </c>
    </row>
    <row r="11852" spans="6:8">
      <c r="F11852" s="68" t="s">
        <v>421</v>
      </c>
      <c r="G11852" s="67" t="s">
        <v>545</v>
      </c>
      <c r="H11852" s="69">
        <v>2.5948212619097966</v>
      </c>
    </row>
    <row r="11853" spans="6:8">
      <c r="F11853" s="68" t="s">
        <v>304</v>
      </c>
      <c r="G11853" s="67" t="s">
        <v>545</v>
      </c>
      <c r="H11853" s="69">
        <v>17.270833333333332</v>
      </c>
    </row>
    <row r="11854" spans="6:8">
      <c r="F11854" s="68" t="s">
        <v>254</v>
      </c>
      <c r="G11854" s="67" t="s">
        <v>545</v>
      </c>
      <c r="H11854" s="69">
        <v>0.68</v>
      </c>
    </row>
    <row r="11855" spans="6:8">
      <c r="F11855" s="68" t="s">
        <v>129</v>
      </c>
      <c r="G11855" s="67" t="s">
        <v>545</v>
      </c>
      <c r="H11855" s="69">
        <v>-0.35</v>
      </c>
    </row>
    <row r="11856" spans="6:8">
      <c r="F11856" s="68" t="s">
        <v>128</v>
      </c>
      <c r="G11856" s="67" t="s">
        <v>545</v>
      </c>
      <c r="H11856" s="69">
        <v>-0.6</v>
      </c>
    </row>
    <row r="11857" spans="6:8">
      <c r="F11857" s="68" t="s">
        <v>315</v>
      </c>
      <c r="G11857" s="67" t="s">
        <v>545</v>
      </c>
      <c r="H11857" s="69">
        <v>-0.05</v>
      </c>
    </row>
    <row r="11858" spans="6:8">
      <c r="F11858" s="68" t="s">
        <v>253</v>
      </c>
      <c r="G11858" s="67" t="s">
        <v>545</v>
      </c>
      <c r="H11858" s="69">
        <v>0.52</v>
      </c>
    </row>
    <row r="11859" spans="6:8">
      <c r="F11859" s="68" t="s">
        <v>127</v>
      </c>
      <c r="G11859" s="67" t="s">
        <v>545</v>
      </c>
      <c r="H11859" s="69">
        <v>-0.3</v>
      </c>
    </row>
    <row r="11860" spans="6:8">
      <c r="F11860" s="68" t="s">
        <v>126</v>
      </c>
      <c r="G11860" s="67" t="s">
        <v>545</v>
      </c>
      <c r="H11860" s="69">
        <v>-0.6</v>
      </c>
    </row>
    <row r="11861" spans="6:8">
      <c r="F11861" s="68" t="s">
        <v>125</v>
      </c>
      <c r="G11861" s="67" t="s">
        <v>545</v>
      </c>
      <c r="H11861" s="69">
        <v>-0.15</v>
      </c>
    </row>
    <row r="11862" spans="6:8">
      <c r="F11862" s="68" t="s">
        <v>314</v>
      </c>
      <c r="G11862" s="67" t="s">
        <v>545</v>
      </c>
      <c r="H11862" s="69">
        <v>-0.1</v>
      </c>
    </row>
    <row r="11863" spans="6:8">
      <c r="F11863" s="68" t="s">
        <v>252</v>
      </c>
      <c r="G11863" s="67" t="s">
        <v>545</v>
      </c>
      <c r="H11863" s="69">
        <v>0.35</v>
      </c>
    </row>
    <row r="11864" spans="6:8">
      <c r="F11864" s="68" t="s">
        <v>124</v>
      </c>
      <c r="G11864" s="67" t="s">
        <v>545</v>
      </c>
      <c r="H11864" s="69">
        <v>-0.25</v>
      </c>
    </row>
    <row r="11865" spans="6:8">
      <c r="F11865" s="68" t="s">
        <v>123</v>
      </c>
      <c r="G11865" s="67" t="s">
        <v>545</v>
      </c>
      <c r="H11865" s="69">
        <v>-0.75</v>
      </c>
    </row>
    <row r="11866" spans="6:8">
      <c r="F11866" s="68" t="s">
        <v>122</v>
      </c>
      <c r="G11866" s="67" t="s">
        <v>545</v>
      </c>
      <c r="H11866" s="69">
        <v>-0.3</v>
      </c>
    </row>
    <row r="11867" spans="6:8">
      <c r="F11867" s="68" t="s">
        <v>420</v>
      </c>
      <c r="G11867" s="67" t="s">
        <v>545</v>
      </c>
      <c r="H11867" s="69">
        <v>3.4262059748846774</v>
      </c>
    </row>
    <row r="11868" spans="6:8">
      <c r="F11868" s="68" t="s">
        <v>251</v>
      </c>
      <c r="G11868" s="67" t="s">
        <v>545</v>
      </c>
      <c r="H11868" s="69">
        <v>0.23</v>
      </c>
    </row>
    <row r="11869" spans="6:8">
      <c r="F11869" s="68" t="s">
        <v>121</v>
      </c>
      <c r="G11869" s="67" t="s">
        <v>545</v>
      </c>
      <c r="H11869" s="69">
        <v>-0.4</v>
      </c>
    </row>
    <row r="11870" spans="6:8">
      <c r="F11870" s="68" t="s">
        <v>120</v>
      </c>
      <c r="G11870" s="67" t="s">
        <v>545</v>
      </c>
      <c r="H11870" s="69">
        <v>-0.6</v>
      </c>
    </row>
    <row r="11871" spans="6:8">
      <c r="F11871" s="68" t="s">
        <v>119</v>
      </c>
      <c r="G11871" s="67" t="s">
        <v>545</v>
      </c>
      <c r="H11871" s="69">
        <v>-0.35</v>
      </c>
    </row>
    <row r="11872" spans="6:8">
      <c r="F11872" s="68" t="s">
        <v>119</v>
      </c>
      <c r="G11872" s="67" t="s">
        <v>546</v>
      </c>
      <c r="H11872" s="69">
        <v>-0.35</v>
      </c>
    </row>
    <row r="11873" spans="6:8">
      <c r="F11873" s="68" t="s">
        <v>120</v>
      </c>
      <c r="G11873" s="67" t="s">
        <v>546</v>
      </c>
      <c r="H11873" s="69">
        <v>-0.6</v>
      </c>
    </row>
    <row r="11874" spans="6:8">
      <c r="F11874" s="68" t="s">
        <v>121</v>
      </c>
      <c r="G11874" s="67" t="s">
        <v>546</v>
      </c>
      <c r="H11874" s="69">
        <v>-0.4</v>
      </c>
    </row>
    <row r="11875" spans="6:8">
      <c r="F11875" s="68" t="s">
        <v>251</v>
      </c>
      <c r="G11875" s="67" t="s">
        <v>546</v>
      </c>
      <c r="H11875" s="69">
        <v>0.23</v>
      </c>
    </row>
    <row r="11876" spans="6:8">
      <c r="F11876" s="68" t="s">
        <v>420</v>
      </c>
      <c r="G11876" s="67" t="s">
        <v>546</v>
      </c>
      <c r="H11876" s="69">
        <v>3.4834111891672848</v>
      </c>
    </row>
    <row r="11877" spans="6:8">
      <c r="F11877" s="68" t="s">
        <v>122</v>
      </c>
      <c r="G11877" s="67" t="s">
        <v>546</v>
      </c>
      <c r="H11877" s="69">
        <v>-0.3</v>
      </c>
    </row>
    <row r="11878" spans="6:8">
      <c r="F11878" s="68" t="s">
        <v>123</v>
      </c>
      <c r="G11878" s="67" t="s">
        <v>546</v>
      </c>
      <c r="H11878" s="69">
        <v>-0.75</v>
      </c>
    </row>
    <row r="11879" spans="6:8">
      <c r="F11879" s="68" t="s">
        <v>124</v>
      </c>
      <c r="G11879" s="67" t="s">
        <v>546</v>
      </c>
      <c r="H11879" s="69">
        <v>-0.25</v>
      </c>
    </row>
    <row r="11880" spans="6:8">
      <c r="F11880" s="68" t="s">
        <v>252</v>
      </c>
      <c r="G11880" s="67" t="s">
        <v>546</v>
      </c>
      <c r="H11880" s="69">
        <v>0.35</v>
      </c>
    </row>
    <row r="11881" spans="6:8">
      <c r="F11881" s="68" t="s">
        <v>314</v>
      </c>
      <c r="G11881" s="67" t="s">
        <v>546</v>
      </c>
      <c r="H11881" s="69">
        <v>-0.1</v>
      </c>
    </row>
    <row r="11882" spans="6:8">
      <c r="F11882" s="68" t="s">
        <v>125</v>
      </c>
      <c r="G11882" s="67" t="s">
        <v>546</v>
      </c>
      <c r="H11882" s="69">
        <v>-0.15</v>
      </c>
    </row>
    <row r="11883" spans="6:8">
      <c r="F11883" s="68" t="s">
        <v>126</v>
      </c>
      <c r="G11883" s="67" t="s">
        <v>546</v>
      </c>
      <c r="H11883" s="69">
        <v>-0.6</v>
      </c>
    </row>
    <row r="11884" spans="6:8">
      <c r="F11884" s="68" t="s">
        <v>127</v>
      </c>
      <c r="G11884" s="67" t="s">
        <v>546</v>
      </c>
      <c r="H11884" s="69">
        <v>-0.3</v>
      </c>
    </row>
    <row r="11885" spans="6:8">
      <c r="F11885" s="68" t="s">
        <v>253</v>
      </c>
      <c r="G11885" s="67" t="s">
        <v>546</v>
      </c>
      <c r="H11885" s="69">
        <v>0.52</v>
      </c>
    </row>
    <row r="11886" spans="6:8">
      <c r="F11886" s="68" t="s">
        <v>315</v>
      </c>
      <c r="G11886" s="67" t="s">
        <v>546</v>
      </c>
      <c r="H11886" s="69">
        <v>-0.05</v>
      </c>
    </row>
    <row r="11887" spans="6:8">
      <c r="F11887" s="68" t="s">
        <v>128</v>
      </c>
      <c r="G11887" s="67" t="s">
        <v>546</v>
      </c>
      <c r="H11887" s="69">
        <v>-0.6</v>
      </c>
    </row>
    <row r="11888" spans="6:8">
      <c r="F11888" s="68" t="s">
        <v>129</v>
      </c>
      <c r="G11888" s="67" t="s">
        <v>546</v>
      </c>
      <c r="H11888" s="69">
        <v>-0.35</v>
      </c>
    </row>
    <row r="11889" spans="6:8">
      <c r="F11889" s="68" t="s">
        <v>254</v>
      </c>
      <c r="G11889" s="67" t="s">
        <v>546</v>
      </c>
      <c r="H11889" s="69">
        <v>0.68</v>
      </c>
    </row>
    <row r="11890" spans="6:8">
      <c r="F11890" s="68" t="s">
        <v>304</v>
      </c>
      <c r="G11890" s="67" t="s">
        <v>546</v>
      </c>
      <c r="H11890" s="69">
        <v>17.270833333333332</v>
      </c>
    </row>
    <row r="11891" spans="6:8">
      <c r="F11891" s="68" t="s">
        <v>421</v>
      </c>
      <c r="G11891" s="67" t="s">
        <v>546</v>
      </c>
      <c r="H11891" s="69">
        <v>2.5542749876785731</v>
      </c>
    </row>
    <row r="11892" spans="6:8">
      <c r="F11892" s="68" t="s">
        <v>130</v>
      </c>
      <c r="G11892" s="67" t="s">
        <v>546</v>
      </c>
      <c r="H11892" s="69">
        <v>-0.6</v>
      </c>
    </row>
    <row r="11893" spans="6:8">
      <c r="F11893" s="68" t="s">
        <v>131</v>
      </c>
      <c r="G11893" s="67" t="s">
        <v>546</v>
      </c>
      <c r="H11893" s="69">
        <v>-0.4</v>
      </c>
    </row>
    <row r="11894" spans="6:8">
      <c r="F11894" s="68" t="s">
        <v>255</v>
      </c>
      <c r="G11894" s="67" t="s">
        <v>546</v>
      </c>
      <c r="H11894" s="69">
        <v>0.88</v>
      </c>
    </row>
    <row r="11895" spans="6:8">
      <c r="F11895" s="68" t="s">
        <v>303</v>
      </c>
      <c r="G11895" s="67" t="s">
        <v>546</v>
      </c>
      <c r="H11895" s="69">
        <v>18.541666666666668</v>
      </c>
    </row>
    <row r="11896" spans="6:8">
      <c r="F11896" s="68" t="s">
        <v>422</v>
      </c>
      <c r="G11896" s="67" t="s">
        <v>546</v>
      </c>
      <c r="H11896" s="69">
        <v>2.5602738942646752</v>
      </c>
    </row>
    <row r="11897" spans="6:8">
      <c r="F11897" s="68" t="s">
        <v>132</v>
      </c>
      <c r="G11897" s="67" t="s">
        <v>546</v>
      </c>
      <c r="H11897" s="69">
        <v>-0.5</v>
      </c>
    </row>
    <row r="11898" spans="6:8">
      <c r="F11898" s="68" t="s">
        <v>133</v>
      </c>
      <c r="G11898" s="67" t="s">
        <v>546</v>
      </c>
      <c r="H11898" s="69">
        <v>-0.4</v>
      </c>
    </row>
    <row r="11899" spans="6:8">
      <c r="F11899" s="68" t="s">
        <v>256</v>
      </c>
      <c r="G11899" s="67" t="s">
        <v>546</v>
      </c>
      <c r="H11899" s="69">
        <v>1.02</v>
      </c>
    </row>
    <row r="11900" spans="6:8">
      <c r="F11900" s="68" t="s">
        <v>423</v>
      </c>
      <c r="G11900" s="67" t="s">
        <v>546</v>
      </c>
      <c r="H11900" s="69">
        <v>2.5806467237967201</v>
      </c>
    </row>
    <row r="11901" spans="6:8">
      <c r="F11901" s="68" t="s">
        <v>134</v>
      </c>
      <c r="G11901" s="67" t="s">
        <v>546</v>
      </c>
      <c r="H11901" s="69">
        <v>-0.45</v>
      </c>
    </row>
    <row r="11902" spans="6:8">
      <c r="F11902" s="68" t="s">
        <v>135</v>
      </c>
      <c r="G11902" s="67" t="s">
        <v>546</v>
      </c>
      <c r="H11902" s="69">
        <v>-0.6</v>
      </c>
    </row>
    <row r="11903" spans="6:8">
      <c r="F11903" s="68" t="s">
        <v>257</v>
      </c>
      <c r="G11903" s="67" t="s">
        <v>546</v>
      </c>
      <c r="H11903" s="69">
        <v>1.08</v>
      </c>
    </row>
    <row r="11904" spans="6:8">
      <c r="F11904" s="68" t="s">
        <v>258</v>
      </c>
      <c r="G11904" s="67" t="s">
        <v>546</v>
      </c>
      <c r="H11904" s="69">
        <v>0.14000000000000001</v>
      </c>
    </row>
    <row r="11905" spans="6:8">
      <c r="F11905" s="68" t="s">
        <v>424</v>
      </c>
      <c r="G11905" s="67" t="s">
        <v>546</v>
      </c>
      <c r="H11905" s="69">
        <v>3.3040291494496721</v>
      </c>
    </row>
    <row r="11906" spans="6:8">
      <c r="F11906" s="68" t="s">
        <v>136</v>
      </c>
      <c r="G11906" s="67" t="s">
        <v>546</v>
      </c>
      <c r="H11906" s="69">
        <v>-0.45</v>
      </c>
    </row>
    <row r="11907" spans="6:8">
      <c r="F11907" s="68" t="s">
        <v>137</v>
      </c>
      <c r="G11907" s="67" t="s">
        <v>546</v>
      </c>
      <c r="H11907" s="69">
        <v>-0.6</v>
      </c>
    </row>
    <row r="11908" spans="6:8">
      <c r="F11908" s="68" t="s">
        <v>138</v>
      </c>
      <c r="G11908" s="67" t="s">
        <v>546</v>
      </c>
      <c r="H11908" s="69">
        <v>-0.45</v>
      </c>
    </row>
    <row r="11909" spans="6:8">
      <c r="F11909" s="68" t="s">
        <v>259</v>
      </c>
      <c r="G11909" s="67" t="s">
        <v>546</v>
      </c>
      <c r="H11909" s="69">
        <v>0.17</v>
      </c>
    </row>
    <row r="11910" spans="6:8">
      <c r="F11910" s="68" t="s">
        <v>425</v>
      </c>
      <c r="G11910" s="67" t="s">
        <v>546</v>
      </c>
      <c r="H11910" s="69">
        <v>3.3322948123908791</v>
      </c>
    </row>
    <row r="11911" spans="6:8">
      <c r="F11911" s="68" t="s">
        <v>425</v>
      </c>
      <c r="G11911" s="67" t="s">
        <v>547</v>
      </c>
      <c r="H11911" s="69">
        <v>3.3353385353539267</v>
      </c>
    </row>
    <row r="11912" spans="6:8">
      <c r="F11912" s="68" t="s">
        <v>259</v>
      </c>
      <c r="G11912" s="67" t="s">
        <v>547</v>
      </c>
      <c r="H11912" s="69">
        <v>0.17</v>
      </c>
    </row>
    <row r="11913" spans="6:8">
      <c r="F11913" s="68" t="s">
        <v>138</v>
      </c>
      <c r="G11913" s="67" t="s">
        <v>547</v>
      </c>
      <c r="H11913" s="69">
        <v>-0.45</v>
      </c>
    </row>
    <row r="11914" spans="6:8">
      <c r="F11914" s="68" t="s">
        <v>137</v>
      </c>
      <c r="G11914" s="67" t="s">
        <v>547</v>
      </c>
      <c r="H11914" s="69">
        <v>-0.6</v>
      </c>
    </row>
    <row r="11915" spans="6:8">
      <c r="F11915" s="68" t="s">
        <v>136</v>
      </c>
      <c r="G11915" s="67" t="s">
        <v>547</v>
      </c>
      <c r="H11915" s="69">
        <v>-0.45</v>
      </c>
    </row>
    <row r="11916" spans="6:8">
      <c r="F11916" s="68" t="s">
        <v>424</v>
      </c>
      <c r="G11916" s="67" t="s">
        <v>547</v>
      </c>
      <c r="H11916" s="69">
        <v>3.3115891743262349</v>
      </c>
    </row>
    <row r="11917" spans="6:8">
      <c r="F11917" s="68" t="s">
        <v>258</v>
      </c>
      <c r="G11917" s="67" t="s">
        <v>547</v>
      </c>
      <c r="H11917" s="69">
        <v>0.14000000000000001</v>
      </c>
    </row>
    <row r="11918" spans="6:8">
      <c r="F11918" s="68" t="s">
        <v>257</v>
      </c>
      <c r="G11918" s="67" t="s">
        <v>547</v>
      </c>
      <c r="H11918" s="69">
        <v>1.08</v>
      </c>
    </row>
    <row r="11919" spans="6:8">
      <c r="F11919" s="68" t="s">
        <v>135</v>
      </c>
      <c r="G11919" s="67" t="s">
        <v>547</v>
      </c>
      <c r="H11919" s="69">
        <v>-0.6</v>
      </c>
    </row>
    <row r="11920" spans="6:8">
      <c r="F11920" s="68" t="s">
        <v>134</v>
      </c>
      <c r="G11920" s="67" t="s">
        <v>547</v>
      </c>
      <c r="H11920" s="69">
        <v>-0.45</v>
      </c>
    </row>
    <row r="11921" spans="6:8">
      <c r="F11921" s="68" t="s">
        <v>423</v>
      </c>
      <c r="G11921" s="67" t="s">
        <v>547</v>
      </c>
      <c r="H11921" s="69">
        <v>2.6150882061787506</v>
      </c>
    </row>
    <row r="11922" spans="6:8">
      <c r="F11922" s="68" t="s">
        <v>256</v>
      </c>
      <c r="G11922" s="67" t="s">
        <v>547</v>
      </c>
      <c r="H11922" s="69">
        <v>1.02</v>
      </c>
    </row>
    <row r="11923" spans="6:8">
      <c r="F11923" s="68" t="s">
        <v>133</v>
      </c>
      <c r="G11923" s="67" t="s">
        <v>547</v>
      </c>
      <c r="H11923" s="69">
        <v>-0.4</v>
      </c>
    </row>
    <row r="11924" spans="6:8">
      <c r="F11924" s="68" t="s">
        <v>132</v>
      </c>
      <c r="G11924" s="67" t="s">
        <v>547</v>
      </c>
      <c r="H11924" s="69">
        <v>-0.5</v>
      </c>
    </row>
    <row r="11925" spans="6:8">
      <c r="F11925" s="68" t="s">
        <v>422</v>
      </c>
      <c r="G11925" s="67" t="s">
        <v>547</v>
      </c>
      <c r="H11925" s="69">
        <v>2.5856837844778546</v>
      </c>
    </row>
    <row r="11926" spans="6:8">
      <c r="F11926" s="68" t="s">
        <v>303</v>
      </c>
      <c r="G11926" s="67" t="s">
        <v>547</v>
      </c>
      <c r="H11926" s="69">
        <v>18.583333333333332</v>
      </c>
    </row>
    <row r="11927" spans="6:8">
      <c r="F11927" s="68" t="s">
        <v>255</v>
      </c>
      <c r="G11927" s="67" t="s">
        <v>547</v>
      </c>
      <c r="H11927" s="69">
        <v>0.88</v>
      </c>
    </row>
    <row r="11928" spans="6:8">
      <c r="F11928" s="68" t="s">
        <v>131</v>
      </c>
      <c r="G11928" s="67" t="s">
        <v>547</v>
      </c>
      <c r="H11928" s="69">
        <v>-0.4</v>
      </c>
    </row>
    <row r="11929" spans="6:8">
      <c r="F11929" s="68" t="s">
        <v>130</v>
      </c>
      <c r="G11929" s="67" t="s">
        <v>547</v>
      </c>
      <c r="H11929" s="69">
        <v>-0.6</v>
      </c>
    </row>
    <row r="11930" spans="6:8">
      <c r="F11930" s="68" t="s">
        <v>421</v>
      </c>
      <c r="G11930" s="67" t="s">
        <v>547</v>
      </c>
      <c r="H11930" s="69">
        <v>2.5798247389935636</v>
      </c>
    </row>
    <row r="11931" spans="6:8">
      <c r="F11931" s="68" t="s">
        <v>304</v>
      </c>
      <c r="G11931" s="67" t="s">
        <v>547</v>
      </c>
      <c r="H11931" s="69">
        <v>17.260416666666668</v>
      </c>
    </row>
    <row r="11932" spans="6:8">
      <c r="F11932" s="68" t="s">
        <v>254</v>
      </c>
      <c r="G11932" s="67" t="s">
        <v>547</v>
      </c>
      <c r="H11932" s="69">
        <v>0.68</v>
      </c>
    </row>
    <row r="11933" spans="6:8">
      <c r="F11933" s="68" t="s">
        <v>129</v>
      </c>
      <c r="G11933" s="67" t="s">
        <v>547</v>
      </c>
      <c r="H11933" s="69">
        <v>-0.35</v>
      </c>
    </row>
    <row r="11934" spans="6:8">
      <c r="F11934" s="68" t="s">
        <v>128</v>
      </c>
      <c r="G11934" s="67" t="s">
        <v>547</v>
      </c>
      <c r="H11934" s="69">
        <v>-0.6</v>
      </c>
    </row>
    <row r="11935" spans="6:8">
      <c r="F11935" s="68" t="s">
        <v>315</v>
      </c>
      <c r="G11935" s="67" t="s">
        <v>547</v>
      </c>
      <c r="H11935" s="69">
        <v>-0.05</v>
      </c>
    </row>
    <row r="11936" spans="6:8">
      <c r="F11936" s="68" t="s">
        <v>253</v>
      </c>
      <c r="G11936" s="67" t="s">
        <v>547</v>
      </c>
      <c r="H11936" s="69">
        <v>0.52</v>
      </c>
    </row>
    <row r="11937" spans="6:8">
      <c r="F11937" s="68" t="s">
        <v>127</v>
      </c>
      <c r="G11937" s="67" t="s">
        <v>547</v>
      </c>
      <c r="H11937" s="69">
        <v>-0.3</v>
      </c>
    </row>
    <row r="11938" spans="6:8">
      <c r="F11938" s="68" t="s">
        <v>126</v>
      </c>
      <c r="G11938" s="67" t="s">
        <v>547</v>
      </c>
      <c r="H11938" s="69">
        <v>-0.6</v>
      </c>
    </row>
    <row r="11939" spans="6:8">
      <c r="F11939" s="68" t="s">
        <v>125</v>
      </c>
      <c r="G11939" s="67" t="s">
        <v>547</v>
      </c>
      <c r="H11939" s="69">
        <v>-0.15</v>
      </c>
    </row>
    <row r="11940" spans="6:8">
      <c r="F11940" s="68" t="s">
        <v>314</v>
      </c>
      <c r="G11940" s="67" t="s">
        <v>547</v>
      </c>
      <c r="H11940" s="69">
        <v>-0.1</v>
      </c>
    </row>
    <row r="11941" spans="6:8">
      <c r="F11941" s="68" t="s">
        <v>252</v>
      </c>
      <c r="G11941" s="67" t="s">
        <v>547</v>
      </c>
      <c r="H11941" s="69">
        <v>0.35</v>
      </c>
    </row>
    <row r="11942" spans="6:8">
      <c r="F11942" s="68" t="s">
        <v>124</v>
      </c>
      <c r="G11942" s="67" t="s">
        <v>547</v>
      </c>
      <c r="H11942" s="69">
        <v>-0.25</v>
      </c>
    </row>
    <row r="11943" spans="6:8">
      <c r="F11943" s="68" t="s">
        <v>123</v>
      </c>
      <c r="G11943" s="67" t="s">
        <v>547</v>
      </c>
      <c r="H11943" s="69">
        <v>-0.75</v>
      </c>
    </row>
    <row r="11944" spans="6:8">
      <c r="F11944" s="68" t="s">
        <v>122</v>
      </c>
      <c r="G11944" s="67" t="s">
        <v>547</v>
      </c>
      <c r="H11944" s="69">
        <v>-0.3</v>
      </c>
    </row>
    <row r="11945" spans="6:8">
      <c r="F11945" s="68" t="s">
        <v>420</v>
      </c>
      <c r="G11945" s="67" t="s">
        <v>547</v>
      </c>
      <c r="H11945" s="69">
        <v>3.4947799465752993</v>
      </c>
    </row>
    <row r="11946" spans="6:8">
      <c r="F11946" s="68" t="s">
        <v>251</v>
      </c>
      <c r="G11946" s="67" t="s">
        <v>547</v>
      </c>
      <c r="H11946" s="69">
        <v>0.23</v>
      </c>
    </row>
    <row r="11947" spans="6:8">
      <c r="F11947" s="68" t="s">
        <v>121</v>
      </c>
      <c r="G11947" s="67" t="s">
        <v>547</v>
      </c>
      <c r="H11947" s="69">
        <v>-0.4</v>
      </c>
    </row>
    <row r="11948" spans="6:8">
      <c r="F11948" s="68" t="s">
        <v>120</v>
      </c>
      <c r="G11948" s="67" t="s">
        <v>547</v>
      </c>
      <c r="H11948" s="69">
        <v>-0.6</v>
      </c>
    </row>
    <row r="11949" spans="6:8">
      <c r="F11949" s="68" t="s">
        <v>119</v>
      </c>
      <c r="G11949" s="67" t="s">
        <v>547</v>
      </c>
      <c r="H11949" s="69">
        <v>-0.35</v>
      </c>
    </row>
    <row r="11950" spans="6:8">
      <c r="F11950" s="68" t="s">
        <v>119</v>
      </c>
      <c r="G11950" s="67" t="s">
        <v>548</v>
      </c>
      <c r="H11950" s="69">
        <v>-0.35</v>
      </c>
    </row>
    <row r="11951" spans="6:8">
      <c r="F11951" s="68" t="s">
        <v>120</v>
      </c>
      <c r="G11951" s="67" t="s">
        <v>548</v>
      </c>
      <c r="H11951" s="69">
        <v>-0.6</v>
      </c>
    </row>
    <row r="11952" spans="6:8">
      <c r="F11952" s="68" t="s">
        <v>121</v>
      </c>
      <c r="G11952" s="67" t="s">
        <v>548</v>
      </c>
      <c r="H11952" s="69">
        <v>-0.4</v>
      </c>
    </row>
    <row r="11953" spans="6:8">
      <c r="F11953" s="68" t="s">
        <v>251</v>
      </c>
      <c r="G11953" s="67" t="s">
        <v>548</v>
      </c>
      <c r="H11953" s="69">
        <v>0.23</v>
      </c>
    </row>
    <row r="11954" spans="6:8">
      <c r="F11954" s="68" t="s">
        <v>420</v>
      </c>
      <c r="G11954" s="67" t="s">
        <v>548</v>
      </c>
      <c r="H11954" s="69">
        <v>3.4570560243786019</v>
      </c>
    </row>
    <row r="11955" spans="6:8">
      <c r="F11955" s="68" t="s">
        <v>122</v>
      </c>
      <c r="G11955" s="67" t="s">
        <v>548</v>
      </c>
      <c r="H11955" s="69">
        <v>-0.3</v>
      </c>
    </row>
    <row r="11956" spans="6:8">
      <c r="F11956" s="68" t="s">
        <v>123</v>
      </c>
      <c r="G11956" s="67" t="s">
        <v>548</v>
      </c>
      <c r="H11956" s="69">
        <v>-0.75</v>
      </c>
    </row>
    <row r="11957" spans="6:8">
      <c r="F11957" s="68" t="s">
        <v>124</v>
      </c>
      <c r="G11957" s="67" t="s">
        <v>548</v>
      </c>
      <c r="H11957" s="69">
        <v>-0.25</v>
      </c>
    </row>
    <row r="11958" spans="6:8">
      <c r="F11958" s="68" t="s">
        <v>252</v>
      </c>
      <c r="G11958" s="67" t="s">
        <v>548</v>
      </c>
      <c r="H11958" s="69">
        <v>0.35</v>
      </c>
    </row>
    <row r="11959" spans="6:8">
      <c r="F11959" s="68" t="s">
        <v>314</v>
      </c>
      <c r="G11959" s="67" t="s">
        <v>548</v>
      </c>
      <c r="H11959" s="69">
        <v>-0.1</v>
      </c>
    </row>
    <row r="11960" spans="6:8">
      <c r="F11960" s="68" t="s">
        <v>125</v>
      </c>
      <c r="G11960" s="67" t="s">
        <v>548</v>
      </c>
      <c r="H11960" s="69">
        <v>-0.15</v>
      </c>
    </row>
    <row r="11961" spans="6:8">
      <c r="F11961" s="68" t="s">
        <v>126</v>
      </c>
      <c r="G11961" s="67" t="s">
        <v>548</v>
      </c>
      <c r="H11961" s="69">
        <v>-0.6</v>
      </c>
    </row>
    <row r="11962" spans="6:8">
      <c r="F11962" s="68" t="s">
        <v>127</v>
      </c>
      <c r="G11962" s="67" t="s">
        <v>548</v>
      </c>
      <c r="H11962" s="69">
        <v>-0.3</v>
      </c>
    </row>
    <row r="11963" spans="6:8">
      <c r="F11963" s="68" t="s">
        <v>253</v>
      </c>
      <c r="G11963" s="67" t="s">
        <v>548</v>
      </c>
      <c r="H11963" s="69">
        <v>0.52</v>
      </c>
    </row>
    <row r="11964" spans="6:8">
      <c r="F11964" s="68" t="s">
        <v>315</v>
      </c>
      <c r="G11964" s="67" t="s">
        <v>548</v>
      </c>
      <c r="H11964" s="69">
        <v>-0.05</v>
      </c>
    </row>
    <row r="11965" spans="6:8">
      <c r="F11965" s="68" t="s">
        <v>128</v>
      </c>
      <c r="G11965" s="67" t="s">
        <v>548</v>
      </c>
      <c r="H11965" s="69">
        <v>-0.6</v>
      </c>
    </row>
    <row r="11966" spans="6:8">
      <c r="F11966" s="68" t="s">
        <v>129</v>
      </c>
      <c r="G11966" s="67" t="s">
        <v>548</v>
      </c>
      <c r="H11966" s="69">
        <v>-0.35</v>
      </c>
    </row>
    <row r="11967" spans="6:8">
      <c r="F11967" s="68" t="s">
        <v>254</v>
      </c>
      <c r="G11967" s="67" t="s">
        <v>548</v>
      </c>
      <c r="H11967" s="69">
        <v>0.68</v>
      </c>
    </row>
    <row r="11968" spans="6:8">
      <c r="F11968" s="68" t="s">
        <v>304</v>
      </c>
      <c r="G11968" s="67" t="s">
        <v>548</v>
      </c>
      <c r="H11968" s="69">
        <v>17.333333333333332</v>
      </c>
    </row>
    <row r="11969" spans="6:8">
      <c r="F11969" s="68" t="s">
        <v>421</v>
      </c>
      <c r="G11969" s="67" t="s">
        <v>548</v>
      </c>
      <c r="H11969" s="69">
        <v>2.5483277304785723</v>
      </c>
    </row>
    <row r="11970" spans="6:8">
      <c r="F11970" s="68" t="s">
        <v>130</v>
      </c>
      <c r="G11970" s="67" t="s">
        <v>548</v>
      </c>
      <c r="H11970" s="69">
        <v>-0.6</v>
      </c>
    </row>
    <row r="11971" spans="6:8">
      <c r="F11971" s="68" t="s">
        <v>131</v>
      </c>
      <c r="G11971" s="67" t="s">
        <v>548</v>
      </c>
      <c r="H11971" s="69">
        <v>-0.4</v>
      </c>
    </row>
    <row r="11972" spans="6:8">
      <c r="F11972" s="68" t="s">
        <v>255</v>
      </c>
      <c r="G11972" s="67" t="s">
        <v>548</v>
      </c>
      <c r="H11972" s="69">
        <v>0.88</v>
      </c>
    </row>
    <row r="11973" spans="6:8">
      <c r="F11973" s="68" t="s">
        <v>303</v>
      </c>
      <c r="G11973" s="67" t="s">
        <v>548</v>
      </c>
      <c r="H11973" s="69">
        <v>18.614583333333332</v>
      </c>
    </row>
    <row r="11974" spans="6:8">
      <c r="F11974" s="68" t="s">
        <v>422</v>
      </c>
      <c r="G11974" s="67" t="s">
        <v>548</v>
      </c>
      <c r="H11974" s="69">
        <v>2.554204479133837</v>
      </c>
    </row>
    <row r="11975" spans="6:8">
      <c r="F11975" s="68" t="s">
        <v>132</v>
      </c>
      <c r="G11975" s="67" t="s">
        <v>548</v>
      </c>
      <c r="H11975" s="69">
        <v>-0.5</v>
      </c>
    </row>
    <row r="11976" spans="6:8">
      <c r="F11976" s="68" t="s">
        <v>133</v>
      </c>
      <c r="G11976" s="67" t="s">
        <v>548</v>
      </c>
      <c r="H11976" s="69">
        <v>-0.4</v>
      </c>
    </row>
    <row r="11977" spans="6:8">
      <c r="F11977" s="68" t="s">
        <v>256</v>
      </c>
      <c r="G11977" s="67" t="s">
        <v>548</v>
      </c>
      <c r="H11977" s="69">
        <v>1.02</v>
      </c>
    </row>
    <row r="11978" spans="6:8">
      <c r="F11978" s="68" t="s">
        <v>423</v>
      </c>
      <c r="G11978" s="67" t="s">
        <v>548</v>
      </c>
      <c r="H11978" s="69">
        <v>2.580140528731345</v>
      </c>
    </row>
    <row r="11979" spans="6:8">
      <c r="F11979" s="68" t="s">
        <v>134</v>
      </c>
      <c r="G11979" s="67" t="s">
        <v>548</v>
      </c>
      <c r="H11979" s="69">
        <v>-0.45</v>
      </c>
    </row>
    <row r="11980" spans="6:8">
      <c r="F11980" s="68" t="s">
        <v>135</v>
      </c>
      <c r="G11980" s="67" t="s">
        <v>548</v>
      </c>
      <c r="H11980" s="69">
        <v>-0.6</v>
      </c>
    </row>
    <row r="11981" spans="6:8">
      <c r="F11981" s="68" t="s">
        <v>257</v>
      </c>
      <c r="G11981" s="67" t="s">
        <v>548</v>
      </c>
      <c r="H11981" s="69">
        <v>1.08</v>
      </c>
    </row>
    <row r="11982" spans="6:8">
      <c r="F11982" s="68" t="s">
        <v>258</v>
      </c>
      <c r="G11982" s="67" t="s">
        <v>548</v>
      </c>
      <c r="H11982" s="69">
        <v>0.14000000000000001</v>
      </c>
    </row>
    <row r="11983" spans="6:8">
      <c r="F11983" s="68" t="s">
        <v>424</v>
      </c>
      <c r="G11983" s="67" t="s">
        <v>548</v>
      </c>
      <c r="H11983" s="69">
        <v>3.2719470523013161</v>
      </c>
    </row>
    <row r="11984" spans="6:8">
      <c r="F11984" s="68" t="s">
        <v>136</v>
      </c>
      <c r="G11984" s="67" t="s">
        <v>548</v>
      </c>
      <c r="H11984" s="69">
        <v>-0.45</v>
      </c>
    </row>
    <row r="11985" spans="6:8">
      <c r="F11985" s="68" t="s">
        <v>137</v>
      </c>
      <c r="G11985" s="67" t="s">
        <v>548</v>
      </c>
      <c r="H11985" s="69">
        <v>-0.6</v>
      </c>
    </row>
    <row r="11986" spans="6:8">
      <c r="F11986" s="68" t="s">
        <v>138</v>
      </c>
      <c r="G11986" s="67" t="s">
        <v>548</v>
      </c>
      <c r="H11986" s="69">
        <v>-0.45</v>
      </c>
    </row>
    <row r="11987" spans="6:8">
      <c r="F11987" s="68" t="s">
        <v>259</v>
      </c>
      <c r="G11987" s="67" t="s">
        <v>548</v>
      </c>
      <c r="H11987" s="69">
        <v>0.17</v>
      </c>
    </row>
    <row r="11988" spans="6:8">
      <c r="F11988" s="68" t="s">
        <v>425</v>
      </c>
      <c r="G11988" s="67" t="s">
        <v>548</v>
      </c>
      <c r="H11988" s="69">
        <v>3.2928250733029518</v>
      </c>
    </row>
    <row r="11989" spans="6:8">
      <c r="F11989" s="68" t="s">
        <v>425</v>
      </c>
      <c r="G11989" s="67" t="s">
        <v>549</v>
      </c>
      <c r="H11989" s="69">
        <v>3.2700503034937434</v>
      </c>
    </row>
    <row r="11990" spans="6:8">
      <c r="F11990" s="68" t="s">
        <v>259</v>
      </c>
      <c r="G11990" s="67" t="s">
        <v>549</v>
      </c>
      <c r="H11990" s="69">
        <v>0.17</v>
      </c>
    </row>
    <row r="11991" spans="6:8">
      <c r="F11991" s="68" t="s">
        <v>138</v>
      </c>
      <c r="G11991" s="67" t="s">
        <v>549</v>
      </c>
      <c r="H11991" s="69">
        <v>-0.45</v>
      </c>
    </row>
    <row r="11992" spans="6:8">
      <c r="F11992" s="68" t="s">
        <v>137</v>
      </c>
      <c r="G11992" s="67" t="s">
        <v>549</v>
      </c>
      <c r="H11992" s="69">
        <v>-0.6</v>
      </c>
    </row>
    <row r="11993" spans="6:8">
      <c r="F11993" s="68" t="s">
        <v>136</v>
      </c>
      <c r="G11993" s="67" t="s">
        <v>549</v>
      </c>
      <c r="H11993" s="69">
        <v>-0.45</v>
      </c>
    </row>
    <row r="11994" spans="6:8">
      <c r="F11994" s="68" t="s">
        <v>424</v>
      </c>
      <c r="G11994" s="67" t="s">
        <v>549</v>
      </c>
      <c r="H11994" s="69">
        <v>3.2507984310087945</v>
      </c>
    </row>
    <row r="11995" spans="6:8">
      <c r="F11995" s="68" t="s">
        <v>258</v>
      </c>
      <c r="G11995" s="67" t="s">
        <v>549</v>
      </c>
      <c r="H11995" s="69">
        <v>0.14000000000000001</v>
      </c>
    </row>
    <row r="11996" spans="6:8">
      <c r="F11996" s="68" t="s">
        <v>257</v>
      </c>
      <c r="G11996" s="67" t="s">
        <v>549</v>
      </c>
      <c r="H11996" s="69">
        <v>1.08</v>
      </c>
    </row>
    <row r="11997" spans="6:8">
      <c r="F11997" s="68" t="s">
        <v>135</v>
      </c>
      <c r="G11997" s="67" t="s">
        <v>549</v>
      </c>
      <c r="H11997" s="69">
        <v>-0.6</v>
      </c>
    </row>
    <row r="11998" spans="6:8">
      <c r="F11998" s="68" t="s">
        <v>134</v>
      </c>
      <c r="G11998" s="67" t="s">
        <v>549</v>
      </c>
      <c r="H11998" s="69">
        <v>-0.45</v>
      </c>
    </row>
    <row r="11999" spans="6:8">
      <c r="F11999" s="68" t="s">
        <v>423</v>
      </c>
      <c r="G11999" s="67" t="s">
        <v>549</v>
      </c>
      <c r="H11999" s="69">
        <v>2.5506895314318268</v>
      </c>
    </row>
    <row r="12000" spans="6:8">
      <c r="F12000" s="68" t="s">
        <v>256</v>
      </c>
      <c r="G12000" s="67" t="s">
        <v>549</v>
      </c>
      <c r="H12000" s="69">
        <v>1.02</v>
      </c>
    </row>
    <row r="12001" spans="6:8">
      <c r="F12001" s="68" t="s">
        <v>133</v>
      </c>
      <c r="G12001" s="67" t="s">
        <v>549</v>
      </c>
      <c r="H12001" s="69">
        <v>-0.4</v>
      </c>
    </row>
    <row r="12002" spans="6:8">
      <c r="F12002" s="68" t="s">
        <v>132</v>
      </c>
      <c r="G12002" s="67" t="s">
        <v>549</v>
      </c>
      <c r="H12002" s="69">
        <v>-0.5</v>
      </c>
    </row>
    <row r="12003" spans="6:8">
      <c r="F12003" s="68" t="s">
        <v>422</v>
      </c>
      <c r="G12003" s="67" t="s">
        <v>549</v>
      </c>
      <c r="H12003" s="69">
        <v>2.5281633035291851</v>
      </c>
    </row>
    <row r="12004" spans="6:8">
      <c r="F12004" s="68" t="s">
        <v>303</v>
      </c>
      <c r="G12004" s="67" t="s">
        <v>549</v>
      </c>
      <c r="H12004" s="69">
        <v>18.614583333333332</v>
      </c>
    </row>
    <row r="12005" spans="6:8">
      <c r="F12005" s="68" t="s">
        <v>255</v>
      </c>
      <c r="G12005" s="67" t="s">
        <v>549</v>
      </c>
      <c r="H12005" s="69">
        <v>0.88</v>
      </c>
    </row>
    <row r="12006" spans="6:8">
      <c r="F12006" s="68" t="s">
        <v>131</v>
      </c>
      <c r="G12006" s="67" t="s">
        <v>549</v>
      </c>
      <c r="H12006" s="69">
        <v>-0.4</v>
      </c>
    </row>
    <row r="12007" spans="6:8">
      <c r="F12007" s="68" t="s">
        <v>130</v>
      </c>
      <c r="G12007" s="67" t="s">
        <v>549</v>
      </c>
      <c r="H12007" s="69">
        <v>-0.6</v>
      </c>
    </row>
    <row r="12008" spans="6:8">
      <c r="F12008" s="68" t="s">
        <v>421</v>
      </c>
      <c r="G12008" s="67" t="s">
        <v>549</v>
      </c>
      <c r="H12008" s="69">
        <v>2.5223317669248235</v>
      </c>
    </row>
    <row r="12009" spans="6:8">
      <c r="F12009" s="68" t="s">
        <v>304</v>
      </c>
      <c r="G12009" s="67" t="s">
        <v>549</v>
      </c>
      <c r="H12009" s="69">
        <v>17.375</v>
      </c>
    </row>
    <row r="12010" spans="6:8">
      <c r="F12010" s="68" t="s">
        <v>254</v>
      </c>
      <c r="G12010" s="67" t="s">
        <v>549</v>
      </c>
      <c r="H12010" s="69">
        <v>0.68</v>
      </c>
    </row>
    <row r="12011" spans="6:8">
      <c r="F12011" s="68" t="s">
        <v>129</v>
      </c>
      <c r="G12011" s="67" t="s">
        <v>549</v>
      </c>
      <c r="H12011" s="69">
        <v>-0.35</v>
      </c>
    </row>
    <row r="12012" spans="6:8">
      <c r="F12012" s="68" t="s">
        <v>128</v>
      </c>
      <c r="G12012" s="67" t="s">
        <v>549</v>
      </c>
      <c r="H12012" s="69">
        <v>-0.6</v>
      </c>
    </row>
    <row r="12013" spans="6:8">
      <c r="F12013" s="68" t="s">
        <v>315</v>
      </c>
      <c r="G12013" s="67" t="s">
        <v>549</v>
      </c>
      <c r="H12013" s="69">
        <v>-0.05</v>
      </c>
    </row>
    <row r="12014" spans="6:8">
      <c r="F12014" s="68" t="s">
        <v>253</v>
      </c>
      <c r="G12014" s="67" t="s">
        <v>549</v>
      </c>
      <c r="H12014" s="69">
        <v>0.52</v>
      </c>
    </row>
    <row r="12015" spans="6:8">
      <c r="F12015" s="68" t="s">
        <v>127</v>
      </c>
      <c r="G12015" s="67" t="s">
        <v>549</v>
      </c>
      <c r="H12015" s="69">
        <v>-0.3</v>
      </c>
    </row>
    <row r="12016" spans="6:8">
      <c r="F12016" s="68" t="s">
        <v>126</v>
      </c>
      <c r="G12016" s="67" t="s">
        <v>549</v>
      </c>
      <c r="H12016" s="69">
        <v>-0.6</v>
      </c>
    </row>
    <row r="12017" spans="6:8">
      <c r="F12017" s="68" t="s">
        <v>125</v>
      </c>
      <c r="G12017" s="67" t="s">
        <v>549</v>
      </c>
      <c r="H12017" s="69">
        <v>-0.15</v>
      </c>
    </row>
    <row r="12018" spans="6:8">
      <c r="F12018" s="68" t="s">
        <v>314</v>
      </c>
      <c r="G12018" s="67" t="s">
        <v>549</v>
      </c>
      <c r="H12018" s="69">
        <v>-0.1</v>
      </c>
    </row>
    <row r="12019" spans="6:8">
      <c r="F12019" s="68" t="s">
        <v>252</v>
      </c>
      <c r="G12019" s="67" t="s">
        <v>549</v>
      </c>
      <c r="H12019" s="69">
        <v>0.35</v>
      </c>
    </row>
    <row r="12020" spans="6:8">
      <c r="F12020" s="68" t="s">
        <v>124</v>
      </c>
      <c r="G12020" s="67" t="s">
        <v>549</v>
      </c>
      <c r="H12020" s="69">
        <v>-0.25</v>
      </c>
    </row>
    <row r="12021" spans="6:8">
      <c r="F12021" s="68" t="s">
        <v>123</v>
      </c>
      <c r="G12021" s="67" t="s">
        <v>549</v>
      </c>
      <c r="H12021" s="69">
        <v>-0.75</v>
      </c>
    </row>
    <row r="12022" spans="6:8">
      <c r="F12022" s="68" t="s">
        <v>122</v>
      </c>
      <c r="G12022" s="67" t="s">
        <v>549</v>
      </c>
      <c r="H12022" s="69">
        <v>-0.3</v>
      </c>
    </row>
    <row r="12023" spans="6:8">
      <c r="F12023" s="68" t="s">
        <v>420</v>
      </c>
      <c r="G12023" s="67" t="s">
        <v>549</v>
      </c>
      <c r="H12023" s="69">
        <v>3.4370844050238158</v>
      </c>
    </row>
    <row r="12024" spans="6:8">
      <c r="F12024" s="68" t="s">
        <v>251</v>
      </c>
      <c r="G12024" s="67" t="s">
        <v>549</v>
      </c>
      <c r="H12024" s="69">
        <v>0.23</v>
      </c>
    </row>
    <row r="12025" spans="6:8">
      <c r="F12025" s="68" t="s">
        <v>121</v>
      </c>
      <c r="G12025" s="67" t="s">
        <v>549</v>
      </c>
      <c r="H12025" s="69">
        <v>-0.4</v>
      </c>
    </row>
    <row r="12026" spans="6:8">
      <c r="F12026" s="68" t="s">
        <v>120</v>
      </c>
      <c r="G12026" s="67" t="s">
        <v>549</v>
      </c>
      <c r="H12026" s="69">
        <v>-0.6</v>
      </c>
    </row>
    <row r="12027" spans="6:8">
      <c r="F12027" s="68" t="s">
        <v>119</v>
      </c>
      <c r="G12027" s="67" t="s">
        <v>549</v>
      </c>
      <c r="H12027" s="69">
        <v>-0.35</v>
      </c>
    </row>
    <row r="12028" spans="6:8">
      <c r="F12028" s="68" t="s">
        <v>119</v>
      </c>
      <c r="G12028" s="67" t="s">
        <v>550</v>
      </c>
      <c r="H12028" s="69">
        <v>-0.35</v>
      </c>
    </row>
    <row r="12029" spans="6:8">
      <c r="F12029" s="68" t="s">
        <v>120</v>
      </c>
      <c r="G12029" s="67" t="s">
        <v>550</v>
      </c>
      <c r="H12029" s="69">
        <v>-0.6</v>
      </c>
    </row>
    <row r="12030" spans="6:8">
      <c r="F12030" s="68" t="s">
        <v>121</v>
      </c>
      <c r="G12030" s="67" t="s">
        <v>550</v>
      </c>
      <c r="H12030" s="69">
        <v>-0.4</v>
      </c>
    </row>
    <row r="12031" spans="6:8">
      <c r="F12031" s="68" t="s">
        <v>251</v>
      </c>
      <c r="G12031" s="67" t="s">
        <v>550</v>
      </c>
      <c r="H12031" s="69">
        <v>0.23</v>
      </c>
    </row>
    <row r="12032" spans="6:8">
      <c r="F12032" s="68" t="s">
        <v>420</v>
      </c>
      <c r="G12032" s="67" t="s">
        <v>550</v>
      </c>
      <c r="H12032" s="69">
        <v>3.4306167460721237</v>
      </c>
    </row>
    <row r="12033" spans="6:8">
      <c r="F12033" s="68" t="s">
        <v>122</v>
      </c>
      <c r="G12033" s="67" t="s">
        <v>550</v>
      </c>
      <c r="H12033" s="69">
        <v>-0.3</v>
      </c>
    </row>
    <row r="12034" spans="6:8">
      <c r="F12034" s="68" t="s">
        <v>123</v>
      </c>
      <c r="G12034" s="67" t="s">
        <v>550</v>
      </c>
      <c r="H12034" s="69">
        <v>-0.75</v>
      </c>
    </row>
    <row r="12035" spans="6:8">
      <c r="F12035" s="68" t="s">
        <v>124</v>
      </c>
      <c r="G12035" s="67" t="s">
        <v>550</v>
      </c>
      <c r="H12035" s="69">
        <v>-0.25</v>
      </c>
    </row>
    <row r="12036" spans="6:8">
      <c r="F12036" s="68" t="s">
        <v>252</v>
      </c>
      <c r="G12036" s="67" t="s">
        <v>550</v>
      </c>
      <c r="H12036" s="69">
        <v>0.35</v>
      </c>
    </row>
    <row r="12037" spans="6:8">
      <c r="F12037" s="68" t="s">
        <v>314</v>
      </c>
      <c r="G12037" s="67" t="s">
        <v>550</v>
      </c>
      <c r="H12037" s="69">
        <v>-0.1</v>
      </c>
    </row>
    <row r="12038" spans="6:8">
      <c r="F12038" s="68" t="s">
        <v>125</v>
      </c>
      <c r="G12038" s="67" t="s">
        <v>550</v>
      </c>
      <c r="H12038" s="69">
        <v>-0.15</v>
      </c>
    </row>
    <row r="12039" spans="6:8">
      <c r="F12039" s="68" t="s">
        <v>126</v>
      </c>
      <c r="G12039" s="67" t="s">
        <v>550</v>
      </c>
      <c r="H12039" s="69">
        <v>-0.6</v>
      </c>
    </row>
    <row r="12040" spans="6:8">
      <c r="F12040" s="68" t="s">
        <v>127</v>
      </c>
      <c r="G12040" s="67" t="s">
        <v>550</v>
      </c>
      <c r="H12040" s="69">
        <v>-0.3</v>
      </c>
    </row>
    <row r="12041" spans="6:8">
      <c r="F12041" s="68" t="s">
        <v>253</v>
      </c>
      <c r="G12041" s="67" t="s">
        <v>550</v>
      </c>
      <c r="H12041" s="69">
        <v>0.52</v>
      </c>
    </row>
    <row r="12042" spans="6:8">
      <c r="F12042" s="68" t="s">
        <v>315</v>
      </c>
      <c r="G12042" s="67" t="s">
        <v>550</v>
      </c>
      <c r="H12042" s="69">
        <v>-0.05</v>
      </c>
    </row>
    <row r="12043" spans="6:8">
      <c r="F12043" s="68" t="s">
        <v>128</v>
      </c>
      <c r="G12043" s="67" t="s">
        <v>550</v>
      </c>
      <c r="H12043" s="69">
        <v>-0.6</v>
      </c>
    </row>
    <row r="12044" spans="6:8">
      <c r="F12044" s="68" t="s">
        <v>129</v>
      </c>
      <c r="G12044" s="67" t="s">
        <v>550</v>
      </c>
      <c r="H12044" s="69">
        <v>-0.35</v>
      </c>
    </row>
    <row r="12045" spans="6:8">
      <c r="F12045" s="68" t="s">
        <v>254</v>
      </c>
      <c r="G12045" s="67" t="s">
        <v>550</v>
      </c>
      <c r="H12045" s="69">
        <v>0.68</v>
      </c>
    </row>
    <row r="12046" spans="6:8">
      <c r="F12046" s="68" t="s">
        <v>304</v>
      </c>
      <c r="G12046" s="67" t="s">
        <v>550</v>
      </c>
      <c r="H12046" s="69">
        <v>17.375</v>
      </c>
    </row>
    <row r="12047" spans="6:8">
      <c r="F12047" s="68" t="s">
        <v>421</v>
      </c>
      <c r="G12047" s="67" t="s">
        <v>550</v>
      </c>
      <c r="H12047" s="69">
        <v>2.511897745257663</v>
      </c>
    </row>
    <row r="12048" spans="6:8">
      <c r="F12048" s="68" t="s">
        <v>130</v>
      </c>
      <c r="G12048" s="67" t="s">
        <v>550</v>
      </c>
      <c r="H12048" s="69">
        <v>-0.6</v>
      </c>
    </row>
    <row r="12049" spans="6:8">
      <c r="F12049" s="68" t="s">
        <v>131</v>
      </c>
      <c r="G12049" s="67" t="s">
        <v>550</v>
      </c>
      <c r="H12049" s="69">
        <v>-0.4</v>
      </c>
    </row>
    <row r="12050" spans="6:8">
      <c r="F12050" s="68" t="s">
        <v>255</v>
      </c>
      <c r="G12050" s="67" t="s">
        <v>550</v>
      </c>
      <c r="H12050" s="69">
        <v>0.88</v>
      </c>
    </row>
    <row r="12051" spans="6:8">
      <c r="F12051" s="68" t="s">
        <v>303</v>
      </c>
      <c r="G12051" s="67" t="s">
        <v>550</v>
      </c>
      <c r="H12051" s="69">
        <v>18.614583333333332</v>
      </c>
    </row>
    <row r="12052" spans="6:8">
      <c r="F12052" s="68" t="s">
        <v>422</v>
      </c>
      <c r="G12052" s="67" t="s">
        <v>550</v>
      </c>
      <c r="H12052" s="69">
        <v>2.5177050341431251</v>
      </c>
    </row>
    <row r="12053" spans="6:8">
      <c r="F12053" s="68" t="s">
        <v>132</v>
      </c>
      <c r="G12053" s="67" t="s">
        <v>550</v>
      </c>
      <c r="H12053" s="69">
        <v>-0.5</v>
      </c>
    </row>
    <row r="12054" spans="6:8">
      <c r="F12054" s="68" t="s">
        <v>133</v>
      </c>
      <c r="G12054" s="67" t="s">
        <v>550</v>
      </c>
      <c r="H12054" s="69">
        <v>-0.4</v>
      </c>
    </row>
    <row r="12055" spans="6:8">
      <c r="F12055" s="68" t="s">
        <v>256</v>
      </c>
      <c r="G12055" s="67" t="s">
        <v>550</v>
      </c>
      <c r="H12055" s="69">
        <v>1.02</v>
      </c>
    </row>
    <row r="12056" spans="6:8">
      <c r="F12056" s="68" t="s">
        <v>423</v>
      </c>
      <c r="G12056" s="67" t="s">
        <v>550</v>
      </c>
      <c r="H12056" s="69">
        <v>2.5445206558712741</v>
      </c>
    </row>
    <row r="12057" spans="6:8">
      <c r="F12057" s="68" t="s">
        <v>134</v>
      </c>
      <c r="G12057" s="67" t="s">
        <v>550</v>
      </c>
      <c r="H12057" s="69">
        <v>-0.45</v>
      </c>
    </row>
    <row r="12058" spans="6:8">
      <c r="F12058" s="68" t="s">
        <v>135</v>
      </c>
      <c r="G12058" s="67" t="s">
        <v>550</v>
      </c>
      <c r="H12058" s="69">
        <v>-0.6</v>
      </c>
    </row>
    <row r="12059" spans="6:8">
      <c r="F12059" s="68" t="s">
        <v>257</v>
      </c>
      <c r="G12059" s="67" t="s">
        <v>550</v>
      </c>
      <c r="H12059" s="69">
        <v>1.08</v>
      </c>
    </row>
    <row r="12060" spans="6:8">
      <c r="F12060" s="68" t="s">
        <v>258</v>
      </c>
      <c r="G12060" s="67" t="s">
        <v>550</v>
      </c>
      <c r="H12060" s="69">
        <v>0.14000000000000001</v>
      </c>
    </row>
    <row r="12061" spans="6:8">
      <c r="F12061" s="68" t="s">
        <v>424</v>
      </c>
      <c r="G12061" s="67" t="s">
        <v>550</v>
      </c>
      <c r="H12061" s="69">
        <v>3.2377217473789521</v>
      </c>
    </row>
    <row r="12062" spans="6:8">
      <c r="F12062" s="68" t="s">
        <v>136</v>
      </c>
      <c r="G12062" s="67" t="s">
        <v>550</v>
      </c>
      <c r="H12062" s="69">
        <v>-0.45</v>
      </c>
    </row>
    <row r="12063" spans="6:8">
      <c r="F12063" s="68" t="s">
        <v>137</v>
      </c>
      <c r="G12063" s="67" t="s">
        <v>550</v>
      </c>
      <c r="H12063" s="69">
        <v>-0.6</v>
      </c>
    </row>
    <row r="12064" spans="6:8">
      <c r="F12064" s="68" t="s">
        <v>138</v>
      </c>
      <c r="G12064" s="67" t="s">
        <v>550</v>
      </c>
      <c r="H12064" s="69">
        <v>-0.45</v>
      </c>
    </row>
    <row r="12065" spans="6:8">
      <c r="F12065" s="68" t="s">
        <v>259</v>
      </c>
      <c r="G12065" s="67" t="s">
        <v>550</v>
      </c>
      <c r="H12065" s="69">
        <v>0.17</v>
      </c>
    </row>
    <row r="12066" spans="6:8">
      <c r="F12066" s="68" t="s">
        <v>425</v>
      </c>
      <c r="G12066" s="67" t="s">
        <v>550</v>
      </c>
      <c r="H12066" s="69">
        <v>3.2534617588519943</v>
      </c>
    </row>
    <row r="12067" spans="6:8">
      <c r="F12067" s="68" t="s">
        <v>425</v>
      </c>
      <c r="G12067" s="67" t="s">
        <v>551</v>
      </c>
      <c r="H12067" s="69">
        <v>3.3032092324865037</v>
      </c>
    </row>
    <row r="12068" spans="6:8">
      <c r="F12068" s="68" t="s">
        <v>259</v>
      </c>
      <c r="G12068" s="67" t="s">
        <v>551</v>
      </c>
      <c r="H12068" s="69">
        <v>0.17</v>
      </c>
    </row>
    <row r="12069" spans="6:8">
      <c r="F12069" s="68" t="s">
        <v>138</v>
      </c>
      <c r="G12069" s="67" t="s">
        <v>551</v>
      </c>
      <c r="H12069" s="69">
        <v>-0.45</v>
      </c>
    </row>
    <row r="12070" spans="6:8">
      <c r="F12070" s="68" t="s">
        <v>137</v>
      </c>
      <c r="G12070" s="67" t="s">
        <v>551</v>
      </c>
      <c r="H12070" s="69">
        <v>-0.6</v>
      </c>
    </row>
    <row r="12071" spans="6:8">
      <c r="F12071" s="68" t="s">
        <v>136</v>
      </c>
      <c r="G12071" s="67" t="s">
        <v>551</v>
      </c>
      <c r="H12071" s="69">
        <v>-0.45</v>
      </c>
    </row>
    <row r="12072" spans="6:8">
      <c r="F12072" s="68" t="s">
        <v>424</v>
      </c>
      <c r="G12072" s="67" t="s">
        <v>551</v>
      </c>
      <c r="H12072" s="69">
        <v>3.2883702729017195</v>
      </c>
    </row>
    <row r="12073" spans="6:8">
      <c r="F12073" s="68" t="s">
        <v>258</v>
      </c>
      <c r="G12073" s="67" t="s">
        <v>551</v>
      </c>
      <c r="H12073" s="69">
        <v>0.14000000000000001</v>
      </c>
    </row>
    <row r="12074" spans="6:8">
      <c r="F12074" s="68" t="s">
        <v>257</v>
      </c>
      <c r="G12074" s="67" t="s">
        <v>551</v>
      </c>
      <c r="H12074" s="69">
        <v>1.08</v>
      </c>
    </row>
    <row r="12075" spans="6:8">
      <c r="F12075" s="68" t="s">
        <v>135</v>
      </c>
      <c r="G12075" s="67" t="s">
        <v>551</v>
      </c>
      <c r="H12075" s="69">
        <v>-0.6</v>
      </c>
    </row>
    <row r="12076" spans="6:8">
      <c r="F12076" s="68" t="s">
        <v>134</v>
      </c>
      <c r="G12076" s="67" t="s">
        <v>551</v>
      </c>
      <c r="H12076" s="69">
        <v>-0.45</v>
      </c>
    </row>
    <row r="12077" spans="6:8">
      <c r="F12077" s="68" t="s">
        <v>423</v>
      </c>
      <c r="G12077" s="67" t="s">
        <v>551</v>
      </c>
      <c r="H12077" s="69">
        <v>2.6088076538971716</v>
      </c>
    </row>
    <row r="12078" spans="6:8">
      <c r="F12078" s="68" t="s">
        <v>256</v>
      </c>
      <c r="G12078" s="67" t="s">
        <v>551</v>
      </c>
      <c r="H12078" s="69">
        <v>1.02</v>
      </c>
    </row>
    <row r="12079" spans="6:8">
      <c r="F12079" s="68" t="s">
        <v>133</v>
      </c>
      <c r="G12079" s="67" t="s">
        <v>551</v>
      </c>
      <c r="H12079" s="69">
        <v>-0.4</v>
      </c>
    </row>
    <row r="12080" spans="6:8">
      <c r="F12080" s="68" t="s">
        <v>132</v>
      </c>
      <c r="G12080" s="67" t="s">
        <v>551</v>
      </c>
      <c r="H12080" s="69">
        <v>-0.5</v>
      </c>
    </row>
    <row r="12081" spans="6:8">
      <c r="F12081" s="68" t="s">
        <v>422</v>
      </c>
      <c r="G12081" s="67" t="s">
        <v>551</v>
      </c>
      <c r="H12081" s="69">
        <v>2.5700008818417608</v>
      </c>
    </row>
    <row r="12082" spans="6:8">
      <c r="F12082" s="68" t="s">
        <v>303</v>
      </c>
      <c r="G12082" s="67" t="s">
        <v>551</v>
      </c>
      <c r="H12082" s="69">
        <v>18.75</v>
      </c>
    </row>
    <row r="12083" spans="6:8">
      <c r="F12083" s="68" t="s">
        <v>255</v>
      </c>
      <c r="G12083" s="67" t="s">
        <v>551</v>
      </c>
      <c r="H12083" s="69">
        <v>0.88</v>
      </c>
    </row>
    <row r="12084" spans="6:8">
      <c r="F12084" s="68" t="s">
        <v>131</v>
      </c>
      <c r="G12084" s="67" t="s">
        <v>551</v>
      </c>
      <c r="H12084" s="69">
        <v>-0.4</v>
      </c>
    </row>
    <row r="12085" spans="6:8">
      <c r="F12085" s="68" t="s">
        <v>130</v>
      </c>
      <c r="G12085" s="67" t="s">
        <v>551</v>
      </c>
      <c r="H12085" s="69">
        <v>-0.6</v>
      </c>
    </row>
    <row r="12086" spans="6:8">
      <c r="F12086" s="68" t="s">
        <v>421</v>
      </c>
      <c r="G12086" s="67" t="s">
        <v>551</v>
      </c>
      <c r="H12086" s="69">
        <v>2.5640723336436189</v>
      </c>
    </row>
    <row r="12087" spans="6:8">
      <c r="F12087" s="68" t="s">
        <v>304</v>
      </c>
      <c r="G12087" s="67" t="s">
        <v>551</v>
      </c>
      <c r="H12087" s="69">
        <v>17.770833333333332</v>
      </c>
    </row>
    <row r="12088" spans="6:8">
      <c r="F12088" s="68" t="s">
        <v>254</v>
      </c>
      <c r="G12088" s="67" t="s">
        <v>551</v>
      </c>
      <c r="H12088" s="69">
        <v>0.68</v>
      </c>
    </row>
    <row r="12089" spans="6:8">
      <c r="F12089" s="68" t="s">
        <v>129</v>
      </c>
      <c r="G12089" s="67" t="s">
        <v>551</v>
      </c>
      <c r="H12089" s="69">
        <v>-0.35</v>
      </c>
    </row>
    <row r="12090" spans="6:8">
      <c r="F12090" s="68" t="s">
        <v>128</v>
      </c>
      <c r="G12090" s="67" t="s">
        <v>551</v>
      </c>
      <c r="H12090" s="69">
        <v>-0.6</v>
      </c>
    </row>
    <row r="12091" spans="6:8">
      <c r="F12091" s="68" t="s">
        <v>315</v>
      </c>
      <c r="G12091" s="67" t="s">
        <v>551</v>
      </c>
      <c r="H12091" s="69">
        <v>-0.05</v>
      </c>
    </row>
    <row r="12092" spans="6:8">
      <c r="F12092" s="68" t="s">
        <v>253</v>
      </c>
      <c r="G12092" s="67" t="s">
        <v>551</v>
      </c>
      <c r="H12092" s="69">
        <v>0.52</v>
      </c>
    </row>
    <row r="12093" spans="6:8">
      <c r="F12093" s="68" t="s">
        <v>127</v>
      </c>
      <c r="G12093" s="67" t="s">
        <v>551</v>
      </c>
      <c r="H12093" s="69">
        <v>-0.3</v>
      </c>
    </row>
    <row r="12094" spans="6:8">
      <c r="F12094" s="68" t="s">
        <v>126</v>
      </c>
      <c r="G12094" s="67" t="s">
        <v>551</v>
      </c>
      <c r="H12094" s="69">
        <v>-0.6</v>
      </c>
    </row>
    <row r="12095" spans="6:8">
      <c r="F12095" s="68" t="s">
        <v>125</v>
      </c>
      <c r="G12095" s="67" t="s">
        <v>551</v>
      </c>
      <c r="H12095" s="69">
        <v>-0.15</v>
      </c>
    </row>
    <row r="12096" spans="6:8">
      <c r="F12096" s="68" t="s">
        <v>314</v>
      </c>
      <c r="G12096" s="67" t="s">
        <v>551</v>
      </c>
      <c r="H12096" s="69">
        <v>-0.1</v>
      </c>
    </row>
    <row r="12097" spans="6:8">
      <c r="F12097" s="68" t="s">
        <v>252</v>
      </c>
      <c r="G12097" s="67" t="s">
        <v>551</v>
      </c>
      <c r="H12097" s="69">
        <v>0.35</v>
      </c>
    </row>
    <row r="12098" spans="6:8">
      <c r="F12098" s="68" t="s">
        <v>124</v>
      </c>
      <c r="G12098" s="67" t="s">
        <v>551</v>
      </c>
      <c r="H12098" s="69">
        <v>-0.25</v>
      </c>
    </row>
    <row r="12099" spans="6:8">
      <c r="F12099" s="68" t="s">
        <v>123</v>
      </c>
      <c r="G12099" s="67" t="s">
        <v>551</v>
      </c>
      <c r="H12099" s="69">
        <v>-0.75</v>
      </c>
    </row>
    <row r="12100" spans="6:8">
      <c r="F12100" s="68" t="s">
        <v>122</v>
      </c>
      <c r="G12100" s="67" t="s">
        <v>551</v>
      </c>
      <c r="H12100" s="69">
        <v>-0.3</v>
      </c>
    </row>
    <row r="12101" spans="6:8">
      <c r="F12101" s="68" t="s">
        <v>420</v>
      </c>
      <c r="G12101" s="67" t="s">
        <v>551</v>
      </c>
      <c r="H12101" s="69">
        <v>3.4813003413665111</v>
      </c>
    </row>
    <row r="12102" spans="6:8">
      <c r="F12102" s="68" t="s">
        <v>251</v>
      </c>
      <c r="G12102" s="67" t="s">
        <v>551</v>
      </c>
      <c r="H12102" s="69">
        <v>0.23</v>
      </c>
    </row>
    <row r="12103" spans="6:8">
      <c r="F12103" s="68" t="s">
        <v>121</v>
      </c>
      <c r="G12103" s="67" t="s">
        <v>551</v>
      </c>
      <c r="H12103" s="69">
        <v>-0.4</v>
      </c>
    </row>
    <row r="12104" spans="6:8">
      <c r="F12104" s="68" t="s">
        <v>120</v>
      </c>
      <c r="G12104" s="67" t="s">
        <v>551</v>
      </c>
      <c r="H12104" s="69">
        <v>-0.6</v>
      </c>
    </row>
    <row r="12105" spans="6:8">
      <c r="F12105" s="68" t="s">
        <v>119</v>
      </c>
      <c r="G12105" s="67" t="s">
        <v>551</v>
      </c>
      <c r="H12105" s="69">
        <v>-0.35</v>
      </c>
    </row>
    <row r="12106" spans="6:8">
      <c r="F12106" s="68" t="s">
        <v>119</v>
      </c>
      <c r="G12106" s="67" t="s">
        <v>552</v>
      </c>
      <c r="H12106" s="69">
        <v>-0.35</v>
      </c>
    </row>
    <row r="12107" spans="6:8">
      <c r="F12107" s="68" t="s">
        <v>120</v>
      </c>
      <c r="G12107" s="67" t="s">
        <v>552</v>
      </c>
      <c r="H12107" s="69">
        <v>-0.6</v>
      </c>
    </row>
    <row r="12108" spans="6:8">
      <c r="F12108" s="68" t="s">
        <v>121</v>
      </c>
      <c r="G12108" s="67" t="s">
        <v>552</v>
      </c>
      <c r="H12108" s="69">
        <v>-0.4</v>
      </c>
    </row>
    <row r="12109" spans="6:8">
      <c r="F12109" s="68" t="s">
        <v>251</v>
      </c>
      <c r="G12109" s="67" t="s">
        <v>552</v>
      </c>
      <c r="H12109" s="69">
        <v>0.23</v>
      </c>
    </row>
    <row r="12110" spans="6:8">
      <c r="F12110" s="68" t="s">
        <v>420</v>
      </c>
      <c r="G12110" s="67" t="s">
        <v>552</v>
      </c>
      <c r="H12110" s="69">
        <v>3.4259848781440727</v>
      </c>
    </row>
    <row r="12111" spans="6:8">
      <c r="F12111" s="68" t="s">
        <v>122</v>
      </c>
      <c r="G12111" s="67" t="s">
        <v>552</v>
      </c>
      <c r="H12111" s="69">
        <v>-0.3</v>
      </c>
    </row>
    <row r="12112" spans="6:8">
      <c r="F12112" s="68" t="s">
        <v>123</v>
      </c>
      <c r="G12112" s="67" t="s">
        <v>552</v>
      </c>
      <c r="H12112" s="69">
        <v>-0.75</v>
      </c>
    </row>
    <row r="12113" spans="6:8">
      <c r="F12113" s="68" t="s">
        <v>124</v>
      </c>
      <c r="G12113" s="67" t="s">
        <v>552</v>
      </c>
      <c r="H12113" s="69">
        <v>-0.25</v>
      </c>
    </row>
    <row r="12114" spans="6:8">
      <c r="F12114" s="68" t="s">
        <v>252</v>
      </c>
      <c r="G12114" s="67" t="s">
        <v>552</v>
      </c>
      <c r="H12114" s="69">
        <v>0.35</v>
      </c>
    </row>
    <row r="12115" spans="6:8">
      <c r="F12115" s="68" t="s">
        <v>314</v>
      </c>
      <c r="G12115" s="67" t="s">
        <v>552</v>
      </c>
      <c r="H12115" s="69">
        <v>-0.1</v>
      </c>
    </row>
    <row r="12116" spans="6:8">
      <c r="F12116" s="68" t="s">
        <v>125</v>
      </c>
      <c r="G12116" s="67" t="s">
        <v>552</v>
      </c>
      <c r="H12116" s="69">
        <v>-0.15</v>
      </c>
    </row>
    <row r="12117" spans="6:8">
      <c r="F12117" s="68" t="s">
        <v>126</v>
      </c>
      <c r="G12117" s="67" t="s">
        <v>552</v>
      </c>
      <c r="H12117" s="69">
        <v>-0.6</v>
      </c>
    </row>
    <row r="12118" spans="6:8">
      <c r="F12118" s="68" t="s">
        <v>127</v>
      </c>
      <c r="G12118" s="67" t="s">
        <v>552</v>
      </c>
      <c r="H12118" s="69">
        <v>-0.3</v>
      </c>
    </row>
    <row r="12119" spans="6:8">
      <c r="F12119" s="68" t="s">
        <v>253</v>
      </c>
      <c r="G12119" s="67" t="s">
        <v>552</v>
      </c>
      <c r="H12119" s="69">
        <v>0.52</v>
      </c>
    </row>
    <row r="12120" spans="6:8">
      <c r="F12120" s="68" t="s">
        <v>315</v>
      </c>
      <c r="G12120" s="67" t="s">
        <v>552</v>
      </c>
      <c r="H12120" s="69">
        <v>-0.05</v>
      </c>
    </row>
    <row r="12121" spans="6:8">
      <c r="F12121" s="68" t="s">
        <v>128</v>
      </c>
      <c r="G12121" s="67" t="s">
        <v>552</v>
      </c>
      <c r="H12121" s="69">
        <v>-0.6</v>
      </c>
    </row>
    <row r="12122" spans="6:8">
      <c r="F12122" s="68" t="s">
        <v>129</v>
      </c>
      <c r="G12122" s="67" t="s">
        <v>552</v>
      </c>
      <c r="H12122" s="69">
        <v>-0.35</v>
      </c>
    </row>
    <row r="12123" spans="6:8">
      <c r="F12123" s="68" t="s">
        <v>254</v>
      </c>
      <c r="G12123" s="67" t="s">
        <v>552</v>
      </c>
      <c r="H12123" s="69">
        <v>0.68</v>
      </c>
    </row>
    <row r="12124" spans="6:8">
      <c r="F12124" s="68" t="s">
        <v>304</v>
      </c>
      <c r="G12124" s="67" t="s">
        <v>552</v>
      </c>
      <c r="H12124" s="69">
        <v>17.90625</v>
      </c>
    </row>
    <row r="12125" spans="6:8">
      <c r="F12125" s="68" t="s">
        <v>421</v>
      </c>
      <c r="G12125" s="67" t="s">
        <v>552</v>
      </c>
      <c r="H12125" s="69">
        <v>2.5078780653829735</v>
      </c>
    </row>
    <row r="12126" spans="6:8">
      <c r="F12126" s="68" t="s">
        <v>130</v>
      </c>
      <c r="G12126" s="67" t="s">
        <v>552</v>
      </c>
      <c r="H12126" s="69">
        <v>-0.6</v>
      </c>
    </row>
    <row r="12127" spans="6:8">
      <c r="F12127" s="68" t="s">
        <v>131</v>
      </c>
      <c r="G12127" s="67" t="s">
        <v>552</v>
      </c>
      <c r="H12127" s="69">
        <v>-0.4</v>
      </c>
    </row>
    <row r="12128" spans="6:8">
      <c r="F12128" s="68" t="s">
        <v>255</v>
      </c>
      <c r="G12128" s="67" t="s">
        <v>552</v>
      </c>
      <c r="H12128" s="69">
        <v>0.88</v>
      </c>
    </row>
    <row r="12129" spans="6:8">
      <c r="F12129" s="68" t="s">
        <v>303</v>
      </c>
      <c r="G12129" s="67" t="s">
        <v>552</v>
      </c>
      <c r="H12129" s="69">
        <v>18.854166666666668</v>
      </c>
    </row>
    <row r="12130" spans="6:8">
      <c r="F12130" s="68" t="s">
        <v>422</v>
      </c>
      <c r="G12130" s="67" t="s">
        <v>552</v>
      </c>
      <c r="H12130" s="69">
        <v>2.5137985640547367</v>
      </c>
    </row>
    <row r="12131" spans="6:8">
      <c r="F12131" s="68" t="s">
        <v>132</v>
      </c>
      <c r="G12131" s="67" t="s">
        <v>552</v>
      </c>
      <c r="H12131" s="69">
        <v>-0.5</v>
      </c>
    </row>
    <row r="12132" spans="6:8">
      <c r="F12132" s="68" t="s">
        <v>133</v>
      </c>
      <c r="G12132" s="67" t="s">
        <v>552</v>
      </c>
      <c r="H12132" s="69">
        <v>-0.4</v>
      </c>
    </row>
    <row r="12133" spans="6:8">
      <c r="F12133" s="68" t="s">
        <v>256</v>
      </c>
      <c r="G12133" s="67" t="s">
        <v>552</v>
      </c>
      <c r="H12133" s="69">
        <v>1.02</v>
      </c>
    </row>
    <row r="12134" spans="6:8">
      <c r="F12134" s="68" t="s">
        <v>423</v>
      </c>
      <c r="G12134" s="67" t="s">
        <v>552</v>
      </c>
      <c r="H12134" s="69">
        <v>2.5423636110022407</v>
      </c>
    </row>
    <row r="12135" spans="6:8">
      <c r="F12135" s="68" t="s">
        <v>134</v>
      </c>
      <c r="G12135" s="67" t="s">
        <v>552</v>
      </c>
      <c r="H12135" s="69">
        <v>-0.45</v>
      </c>
    </row>
    <row r="12136" spans="6:8">
      <c r="F12136" s="68" t="s">
        <v>135</v>
      </c>
      <c r="G12136" s="67" t="s">
        <v>552</v>
      </c>
      <c r="H12136" s="69">
        <v>-0.6</v>
      </c>
    </row>
    <row r="12137" spans="6:8">
      <c r="F12137" s="68" t="s">
        <v>257</v>
      </c>
      <c r="G12137" s="67" t="s">
        <v>552</v>
      </c>
      <c r="H12137" s="69">
        <v>1.08</v>
      </c>
    </row>
    <row r="12138" spans="6:8">
      <c r="F12138" s="68" t="s">
        <v>258</v>
      </c>
      <c r="G12138" s="67" t="s">
        <v>552</v>
      </c>
      <c r="H12138" s="69">
        <v>0.14000000000000001</v>
      </c>
    </row>
    <row r="12139" spans="6:8">
      <c r="F12139" s="68" t="s">
        <v>424</v>
      </c>
      <c r="G12139" s="67" t="s">
        <v>552</v>
      </c>
      <c r="H12139" s="69">
        <v>3.227248502924196</v>
      </c>
    </row>
    <row r="12140" spans="6:8">
      <c r="F12140" s="68" t="s">
        <v>136</v>
      </c>
      <c r="G12140" s="67" t="s">
        <v>552</v>
      </c>
      <c r="H12140" s="69">
        <v>-0.45</v>
      </c>
    </row>
    <row r="12141" spans="6:8">
      <c r="F12141" s="68" t="s">
        <v>137</v>
      </c>
      <c r="G12141" s="67" t="s">
        <v>552</v>
      </c>
      <c r="H12141" s="69">
        <v>-0.6</v>
      </c>
    </row>
    <row r="12142" spans="6:8">
      <c r="F12142" s="68" t="s">
        <v>138</v>
      </c>
      <c r="G12142" s="67" t="s">
        <v>552</v>
      </c>
      <c r="H12142" s="69">
        <v>-0.45</v>
      </c>
    </row>
    <row r="12143" spans="6:8">
      <c r="F12143" s="68" t="s">
        <v>259</v>
      </c>
      <c r="G12143" s="67" t="s">
        <v>552</v>
      </c>
      <c r="H12143" s="69">
        <v>0.17</v>
      </c>
    </row>
    <row r="12144" spans="6:8">
      <c r="F12144" s="68" t="s">
        <v>425</v>
      </c>
      <c r="G12144" s="67" t="s">
        <v>552</v>
      </c>
      <c r="H12144" s="69">
        <v>3.2417284661559798</v>
      </c>
    </row>
    <row r="12145" spans="6:8">
      <c r="F12145" s="68" t="s">
        <v>425</v>
      </c>
      <c r="G12145" s="67" t="s">
        <v>553</v>
      </c>
      <c r="H12145" s="69">
        <v>3.1928392720120602</v>
      </c>
    </row>
    <row r="12146" spans="6:8">
      <c r="F12146" s="68" t="s">
        <v>259</v>
      </c>
      <c r="G12146" s="67" t="s">
        <v>553</v>
      </c>
      <c r="H12146" s="69">
        <v>0.17</v>
      </c>
    </row>
    <row r="12147" spans="6:8">
      <c r="F12147" s="68" t="s">
        <v>138</v>
      </c>
      <c r="G12147" s="67" t="s">
        <v>553</v>
      </c>
      <c r="H12147" s="69">
        <v>-0.45</v>
      </c>
    </row>
    <row r="12148" spans="6:8">
      <c r="F12148" s="68" t="s">
        <v>137</v>
      </c>
      <c r="G12148" s="67" t="s">
        <v>553</v>
      </c>
      <c r="H12148" s="69">
        <v>-0.6</v>
      </c>
    </row>
    <row r="12149" spans="6:8">
      <c r="F12149" s="68" t="s">
        <v>136</v>
      </c>
      <c r="G12149" s="67" t="s">
        <v>553</v>
      </c>
      <c r="H12149" s="69">
        <v>-0.45</v>
      </c>
    </row>
    <row r="12150" spans="6:8">
      <c r="F12150" s="68" t="s">
        <v>424</v>
      </c>
      <c r="G12150" s="67" t="s">
        <v>553</v>
      </c>
      <c r="H12150" s="69">
        <v>3.1820660772156728</v>
      </c>
    </row>
    <row r="12151" spans="6:8">
      <c r="F12151" s="68" t="s">
        <v>258</v>
      </c>
      <c r="G12151" s="67" t="s">
        <v>553</v>
      </c>
      <c r="H12151" s="69">
        <v>0.14000000000000001</v>
      </c>
    </row>
    <row r="12152" spans="6:8">
      <c r="F12152" s="68" t="s">
        <v>257</v>
      </c>
      <c r="G12152" s="67" t="s">
        <v>553</v>
      </c>
      <c r="H12152" s="69">
        <v>1.08</v>
      </c>
    </row>
    <row r="12153" spans="6:8">
      <c r="F12153" s="68" t="s">
        <v>135</v>
      </c>
      <c r="G12153" s="67" t="s">
        <v>553</v>
      </c>
      <c r="H12153" s="69">
        <v>-0.6</v>
      </c>
    </row>
    <row r="12154" spans="6:8">
      <c r="F12154" s="68" t="s">
        <v>134</v>
      </c>
      <c r="G12154" s="67" t="s">
        <v>553</v>
      </c>
      <c r="H12154" s="69">
        <v>-0.45</v>
      </c>
    </row>
    <row r="12155" spans="6:8">
      <c r="F12155" s="68" t="s">
        <v>423</v>
      </c>
      <c r="G12155" s="67" t="s">
        <v>553</v>
      </c>
      <c r="H12155" s="69">
        <v>2.4918080224105577</v>
      </c>
    </row>
    <row r="12156" spans="6:8">
      <c r="F12156" s="68" t="s">
        <v>256</v>
      </c>
      <c r="G12156" s="67" t="s">
        <v>553</v>
      </c>
      <c r="H12156" s="69">
        <v>1.02</v>
      </c>
    </row>
    <row r="12157" spans="6:8">
      <c r="F12157" s="68" t="s">
        <v>133</v>
      </c>
      <c r="G12157" s="67" t="s">
        <v>553</v>
      </c>
      <c r="H12157" s="69">
        <v>-0.4</v>
      </c>
    </row>
    <row r="12158" spans="6:8">
      <c r="F12158" s="68" t="s">
        <v>132</v>
      </c>
      <c r="G12158" s="67" t="s">
        <v>553</v>
      </c>
      <c r="H12158" s="69">
        <v>-0.5</v>
      </c>
    </row>
    <row r="12159" spans="6:8">
      <c r="F12159" s="68" t="s">
        <v>422</v>
      </c>
      <c r="G12159" s="67" t="s">
        <v>553</v>
      </c>
      <c r="H12159" s="69">
        <v>2.4685769956891424</v>
      </c>
    </row>
    <row r="12160" spans="6:8">
      <c r="F12160" s="68" t="s">
        <v>303</v>
      </c>
      <c r="G12160" s="67" t="s">
        <v>553</v>
      </c>
      <c r="H12160" s="69">
        <v>18.895833333333332</v>
      </c>
    </row>
    <row r="12161" spans="6:8">
      <c r="F12161" s="68" t="s">
        <v>255</v>
      </c>
      <c r="G12161" s="67" t="s">
        <v>553</v>
      </c>
      <c r="H12161" s="69">
        <v>0.88</v>
      </c>
    </row>
    <row r="12162" spans="6:8">
      <c r="F12162" s="68" t="s">
        <v>131</v>
      </c>
      <c r="G12162" s="67" t="s">
        <v>553</v>
      </c>
      <c r="H12162" s="69">
        <v>-0.4</v>
      </c>
    </row>
    <row r="12163" spans="6:8">
      <c r="F12163" s="68" t="s">
        <v>130</v>
      </c>
      <c r="G12163" s="67" t="s">
        <v>553</v>
      </c>
      <c r="H12163" s="69">
        <v>-0.6</v>
      </c>
    </row>
    <row r="12164" spans="6:8">
      <c r="F12164" s="68" t="s">
        <v>421</v>
      </c>
      <c r="G12164" s="67" t="s">
        <v>553</v>
      </c>
      <c r="H12164" s="69">
        <v>2.4626061581479508</v>
      </c>
    </row>
    <row r="12165" spans="6:8">
      <c r="F12165" s="68" t="s">
        <v>304</v>
      </c>
      <c r="G12165" s="67" t="s">
        <v>553</v>
      </c>
      <c r="H12165" s="69">
        <v>17.916666666666668</v>
      </c>
    </row>
    <row r="12166" spans="6:8">
      <c r="F12166" s="68" t="s">
        <v>254</v>
      </c>
      <c r="G12166" s="67" t="s">
        <v>553</v>
      </c>
      <c r="H12166" s="69">
        <v>0.68</v>
      </c>
    </row>
    <row r="12167" spans="6:8">
      <c r="F12167" s="68" t="s">
        <v>129</v>
      </c>
      <c r="G12167" s="67" t="s">
        <v>553</v>
      </c>
      <c r="H12167" s="69">
        <v>-0.35</v>
      </c>
    </row>
    <row r="12168" spans="6:8">
      <c r="F12168" s="68" t="s">
        <v>128</v>
      </c>
      <c r="G12168" s="67" t="s">
        <v>553</v>
      </c>
      <c r="H12168" s="69">
        <v>-0.6</v>
      </c>
    </row>
    <row r="12169" spans="6:8">
      <c r="F12169" s="68" t="s">
        <v>315</v>
      </c>
      <c r="G12169" s="67" t="s">
        <v>553</v>
      </c>
      <c r="H12169" s="69">
        <v>-0.05</v>
      </c>
    </row>
    <row r="12170" spans="6:8">
      <c r="F12170" s="68" t="s">
        <v>253</v>
      </c>
      <c r="G12170" s="67" t="s">
        <v>553</v>
      </c>
      <c r="H12170" s="69">
        <v>0.52</v>
      </c>
    </row>
    <row r="12171" spans="6:8">
      <c r="F12171" s="68" t="s">
        <v>127</v>
      </c>
      <c r="G12171" s="67" t="s">
        <v>553</v>
      </c>
      <c r="H12171" s="69">
        <v>-0.3</v>
      </c>
    </row>
    <row r="12172" spans="6:8">
      <c r="F12172" s="68" t="s">
        <v>126</v>
      </c>
      <c r="G12172" s="67" t="s">
        <v>553</v>
      </c>
      <c r="H12172" s="69">
        <v>-0.6</v>
      </c>
    </row>
    <row r="12173" spans="6:8">
      <c r="F12173" s="68" t="s">
        <v>125</v>
      </c>
      <c r="G12173" s="67" t="s">
        <v>553</v>
      </c>
      <c r="H12173" s="69">
        <v>-0.15</v>
      </c>
    </row>
    <row r="12174" spans="6:8">
      <c r="F12174" s="68" t="s">
        <v>314</v>
      </c>
      <c r="G12174" s="67" t="s">
        <v>553</v>
      </c>
      <c r="H12174" s="69">
        <v>-0.1</v>
      </c>
    </row>
    <row r="12175" spans="6:8">
      <c r="F12175" s="68" t="s">
        <v>252</v>
      </c>
      <c r="G12175" s="67" t="s">
        <v>553</v>
      </c>
      <c r="H12175" s="69">
        <v>0.35</v>
      </c>
    </row>
    <row r="12176" spans="6:8">
      <c r="F12176" s="68" t="s">
        <v>124</v>
      </c>
      <c r="G12176" s="67" t="s">
        <v>553</v>
      </c>
      <c r="H12176" s="69">
        <v>-0.25</v>
      </c>
    </row>
    <row r="12177" spans="6:8">
      <c r="F12177" s="68" t="s">
        <v>123</v>
      </c>
      <c r="G12177" s="67" t="s">
        <v>553</v>
      </c>
      <c r="H12177" s="69">
        <v>-0.75</v>
      </c>
    </row>
    <row r="12178" spans="6:8">
      <c r="F12178" s="68" t="s">
        <v>122</v>
      </c>
      <c r="G12178" s="67" t="s">
        <v>553</v>
      </c>
      <c r="H12178" s="69">
        <v>-0.3</v>
      </c>
    </row>
    <row r="12179" spans="6:8">
      <c r="F12179" s="68" t="s">
        <v>420</v>
      </c>
      <c r="G12179" s="67" t="s">
        <v>553</v>
      </c>
      <c r="H12179" s="69">
        <v>3.3821795348389916</v>
      </c>
    </row>
    <row r="12180" spans="6:8">
      <c r="F12180" s="68" t="s">
        <v>251</v>
      </c>
      <c r="G12180" s="67" t="s">
        <v>553</v>
      </c>
      <c r="H12180" s="69">
        <v>0.23</v>
      </c>
    </row>
    <row r="12181" spans="6:8">
      <c r="F12181" s="68" t="s">
        <v>121</v>
      </c>
      <c r="G12181" s="67" t="s">
        <v>553</v>
      </c>
      <c r="H12181" s="69">
        <v>-0.4</v>
      </c>
    </row>
    <row r="12182" spans="6:8">
      <c r="F12182" s="68" t="s">
        <v>120</v>
      </c>
      <c r="G12182" s="67" t="s">
        <v>553</v>
      </c>
      <c r="H12182" s="69">
        <v>-0.6</v>
      </c>
    </row>
    <row r="12183" spans="6:8">
      <c r="F12183" s="68" t="s">
        <v>119</v>
      </c>
      <c r="G12183" s="67" t="s">
        <v>553</v>
      </c>
      <c r="H12183" s="69">
        <v>-0.35</v>
      </c>
    </row>
    <row r="12184" spans="6:8">
      <c r="F12184" s="68" t="s">
        <v>119</v>
      </c>
      <c r="G12184" s="67" t="s">
        <v>554</v>
      </c>
      <c r="H12184" s="69">
        <v>-0.35</v>
      </c>
    </row>
    <row r="12185" spans="6:8">
      <c r="F12185" s="68" t="s">
        <v>120</v>
      </c>
      <c r="G12185" s="67" t="s">
        <v>554</v>
      </c>
      <c r="H12185" s="69">
        <v>-0.6</v>
      </c>
    </row>
    <row r="12186" spans="6:8">
      <c r="F12186" s="68" t="s">
        <v>121</v>
      </c>
      <c r="G12186" s="67" t="s">
        <v>554</v>
      </c>
      <c r="H12186" s="69">
        <v>-0.4</v>
      </c>
    </row>
    <row r="12187" spans="6:8">
      <c r="F12187" s="68" t="s">
        <v>251</v>
      </c>
      <c r="G12187" s="67" t="s">
        <v>554</v>
      </c>
      <c r="H12187" s="69">
        <v>0.23</v>
      </c>
    </row>
    <row r="12188" spans="6:8">
      <c r="F12188" s="68" t="s">
        <v>420</v>
      </c>
      <c r="G12188" s="67" t="s">
        <v>554</v>
      </c>
      <c r="H12188" s="69">
        <v>3.4248929817112472</v>
      </c>
    </row>
    <row r="12189" spans="6:8">
      <c r="F12189" s="68" t="s">
        <v>122</v>
      </c>
      <c r="G12189" s="67" t="s">
        <v>554</v>
      </c>
      <c r="H12189" s="69">
        <v>-0.3</v>
      </c>
    </row>
    <row r="12190" spans="6:8">
      <c r="F12190" s="68" t="s">
        <v>123</v>
      </c>
      <c r="G12190" s="67" t="s">
        <v>554</v>
      </c>
      <c r="H12190" s="69">
        <v>-0.75</v>
      </c>
    </row>
    <row r="12191" spans="6:8">
      <c r="F12191" s="68" t="s">
        <v>124</v>
      </c>
      <c r="G12191" s="67" t="s">
        <v>554</v>
      </c>
      <c r="H12191" s="69">
        <v>-0.25</v>
      </c>
    </row>
    <row r="12192" spans="6:8">
      <c r="F12192" s="68" t="s">
        <v>252</v>
      </c>
      <c r="G12192" s="67" t="s">
        <v>554</v>
      </c>
      <c r="H12192" s="69">
        <v>0.35</v>
      </c>
    </row>
    <row r="12193" spans="6:8">
      <c r="F12193" s="68" t="s">
        <v>314</v>
      </c>
      <c r="G12193" s="67" t="s">
        <v>554</v>
      </c>
      <c r="H12193" s="69">
        <v>-0.1</v>
      </c>
    </row>
    <row r="12194" spans="6:8">
      <c r="F12194" s="68" t="s">
        <v>125</v>
      </c>
      <c r="G12194" s="67" t="s">
        <v>554</v>
      </c>
      <c r="H12194" s="69">
        <v>-0.15</v>
      </c>
    </row>
    <row r="12195" spans="6:8">
      <c r="F12195" s="68" t="s">
        <v>126</v>
      </c>
      <c r="G12195" s="67" t="s">
        <v>554</v>
      </c>
      <c r="H12195" s="69">
        <v>-0.6</v>
      </c>
    </row>
    <row r="12196" spans="6:8">
      <c r="F12196" s="68" t="s">
        <v>127</v>
      </c>
      <c r="G12196" s="67" t="s">
        <v>554</v>
      </c>
      <c r="H12196" s="69">
        <v>-0.3</v>
      </c>
    </row>
    <row r="12197" spans="6:8">
      <c r="F12197" s="68" t="s">
        <v>253</v>
      </c>
      <c r="G12197" s="67" t="s">
        <v>554</v>
      </c>
      <c r="H12197" s="69">
        <v>0.52</v>
      </c>
    </row>
    <row r="12198" spans="6:8">
      <c r="F12198" s="68" t="s">
        <v>315</v>
      </c>
      <c r="G12198" s="67" t="s">
        <v>554</v>
      </c>
      <c r="H12198" s="69">
        <v>-0.05</v>
      </c>
    </row>
    <row r="12199" spans="6:8">
      <c r="F12199" s="68" t="s">
        <v>128</v>
      </c>
      <c r="G12199" s="67" t="s">
        <v>554</v>
      </c>
      <c r="H12199" s="69">
        <v>-0.6</v>
      </c>
    </row>
    <row r="12200" spans="6:8">
      <c r="F12200" s="68" t="s">
        <v>129</v>
      </c>
      <c r="G12200" s="67" t="s">
        <v>554</v>
      </c>
      <c r="H12200" s="69">
        <v>-0.35</v>
      </c>
    </row>
    <row r="12201" spans="6:8">
      <c r="F12201" s="68" t="s">
        <v>254</v>
      </c>
      <c r="G12201" s="67" t="s">
        <v>554</v>
      </c>
      <c r="H12201" s="69">
        <v>0.68</v>
      </c>
    </row>
    <row r="12202" spans="6:8">
      <c r="F12202" s="68" t="s">
        <v>304</v>
      </c>
      <c r="G12202" s="67" t="s">
        <v>554</v>
      </c>
      <c r="H12202" s="69">
        <v>17.895833333333332</v>
      </c>
    </row>
    <row r="12203" spans="6:8">
      <c r="F12203" s="68" t="s">
        <v>421</v>
      </c>
      <c r="G12203" s="67" t="s">
        <v>554</v>
      </c>
      <c r="H12203" s="69">
        <v>2.5013432192448004</v>
      </c>
    </row>
    <row r="12204" spans="6:8">
      <c r="F12204" s="68" t="s">
        <v>130</v>
      </c>
      <c r="G12204" s="67" t="s">
        <v>554</v>
      </c>
      <c r="H12204" s="69">
        <v>-0.6</v>
      </c>
    </row>
    <row r="12205" spans="6:8">
      <c r="F12205" s="68" t="s">
        <v>131</v>
      </c>
      <c r="G12205" s="67" t="s">
        <v>554</v>
      </c>
      <c r="H12205" s="69">
        <v>-0.4</v>
      </c>
    </row>
    <row r="12206" spans="6:8">
      <c r="F12206" s="68" t="s">
        <v>255</v>
      </c>
      <c r="G12206" s="67" t="s">
        <v>554</v>
      </c>
      <c r="H12206" s="69">
        <v>0.88</v>
      </c>
    </row>
    <row r="12207" spans="6:8">
      <c r="F12207" s="68" t="s">
        <v>303</v>
      </c>
      <c r="G12207" s="67" t="s">
        <v>554</v>
      </c>
      <c r="H12207" s="69">
        <v>18.921875</v>
      </c>
    </row>
    <row r="12208" spans="6:8">
      <c r="F12208" s="68" t="s">
        <v>422</v>
      </c>
      <c r="G12208" s="67" t="s">
        <v>554</v>
      </c>
      <c r="H12208" s="69">
        <v>2.5071864572323133</v>
      </c>
    </row>
    <row r="12209" spans="6:8">
      <c r="F12209" s="68" t="s">
        <v>132</v>
      </c>
      <c r="G12209" s="67" t="s">
        <v>554</v>
      </c>
      <c r="H12209" s="69">
        <v>-0.5</v>
      </c>
    </row>
    <row r="12210" spans="6:8">
      <c r="F12210" s="68" t="s">
        <v>133</v>
      </c>
      <c r="G12210" s="67" t="s">
        <v>554</v>
      </c>
      <c r="H12210" s="69">
        <v>-0.4</v>
      </c>
    </row>
    <row r="12211" spans="6:8">
      <c r="F12211" s="68" t="s">
        <v>256</v>
      </c>
      <c r="G12211" s="67" t="s">
        <v>554</v>
      </c>
      <c r="H12211" s="69">
        <v>1.02</v>
      </c>
    </row>
    <row r="12212" spans="6:8">
      <c r="F12212" s="68" t="s">
        <v>423</v>
      </c>
      <c r="G12212" s="67" t="s">
        <v>554</v>
      </c>
      <c r="H12212" s="69">
        <v>2.5411656782406311</v>
      </c>
    </row>
    <row r="12213" spans="6:8">
      <c r="F12213" s="68" t="s">
        <v>134</v>
      </c>
      <c r="G12213" s="67" t="s">
        <v>554</v>
      </c>
      <c r="H12213" s="69">
        <v>-0.45</v>
      </c>
    </row>
    <row r="12214" spans="6:8">
      <c r="F12214" s="68" t="s">
        <v>135</v>
      </c>
      <c r="G12214" s="67" t="s">
        <v>554</v>
      </c>
      <c r="H12214" s="69">
        <v>-0.6</v>
      </c>
    </row>
    <row r="12215" spans="6:8">
      <c r="F12215" s="68" t="s">
        <v>257</v>
      </c>
      <c r="G12215" s="67" t="s">
        <v>554</v>
      </c>
      <c r="H12215" s="69">
        <v>1.08</v>
      </c>
    </row>
    <row r="12216" spans="6:8">
      <c r="F12216" s="68" t="s">
        <v>258</v>
      </c>
      <c r="G12216" s="67" t="s">
        <v>554</v>
      </c>
      <c r="H12216" s="69">
        <v>0.14000000000000001</v>
      </c>
    </row>
    <row r="12217" spans="6:8">
      <c r="F12217" s="68" t="s">
        <v>424</v>
      </c>
      <c r="G12217" s="67" t="s">
        <v>554</v>
      </c>
      <c r="H12217" s="69">
        <v>3.2341873383393338</v>
      </c>
    </row>
    <row r="12218" spans="6:8">
      <c r="F12218" s="68" t="s">
        <v>136</v>
      </c>
      <c r="G12218" s="67" t="s">
        <v>554</v>
      </c>
      <c r="H12218" s="69">
        <v>-0.45</v>
      </c>
    </row>
    <row r="12219" spans="6:8">
      <c r="F12219" s="68" t="s">
        <v>137</v>
      </c>
      <c r="G12219" s="67" t="s">
        <v>554</v>
      </c>
      <c r="H12219" s="69">
        <v>-0.6</v>
      </c>
    </row>
    <row r="12220" spans="6:8">
      <c r="F12220" s="68" t="s">
        <v>138</v>
      </c>
      <c r="G12220" s="67" t="s">
        <v>554</v>
      </c>
      <c r="H12220" s="69">
        <v>-0.45</v>
      </c>
    </row>
    <row r="12221" spans="6:8">
      <c r="F12221" s="68" t="s">
        <v>259</v>
      </c>
      <c r="G12221" s="67" t="s">
        <v>554</v>
      </c>
      <c r="H12221" s="69">
        <v>0.17</v>
      </c>
    </row>
    <row r="12222" spans="6:8">
      <c r="F12222" s="68" t="s">
        <v>425</v>
      </c>
      <c r="G12222" s="67" t="s">
        <v>554</v>
      </c>
      <c r="H12222" s="69">
        <v>3.2409424895376571</v>
      </c>
    </row>
    <row r="12223" spans="6:8">
      <c r="F12223" s="68" t="s">
        <v>425</v>
      </c>
      <c r="G12223" s="67" t="s">
        <v>555</v>
      </c>
      <c r="H12223" s="69">
        <v>3.2287389829263713</v>
      </c>
    </row>
    <row r="12224" spans="6:8">
      <c r="F12224" s="68" t="s">
        <v>259</v>
      </c>
      <c r="G12224" s="67" t="s">
        <v>555</v>
      </c>
      <c r="H12224" s="69">
        <v>0.17</v>
      </c>
    </row>
    <row r="12225" spans="6:8">
      <c r="F12225" s="68" t="s">
        <v>138</v>
      </c>
      <c r="G12225" s="67" t="s">
        <v>555</v>
      </c>
      <c r="H12225" s="69">
        <v>-0.45</v>
      </c>
    </row>
    <row r="12226" spans="6:8">
      <c r="F12226" s="68" t="s">
        <v>137</v>
      </c>
      <c r="G12226" s="67" t="s">
        <v>555</v>
      </c>
      <c r="H12226" s="69">
        <v>-0.6</v>
      </c>
    </row>
    <row r="12227" spans="6:8">
      <c r="F12227" s="68" t="s">
        <v>136</v>
      </c>
      <c r="G12227" s="67" t="s">
        <v>555</v>
      </c>
      <c r="H12227" s="69">
        <v>-0.45</v>
      </c>
    </row>
    <row r="12228" spans="6:8">
      <c r="F12228" s="68" t="s">
        <v>424</v>
      </c>
      <c r="G12228" s="67" t="s">
        <v>555</v>
      </c>
      <c r="H12228" s="69">
        <v>3.222776611706113</v>
      </c>
    </row>
    <row r="12229" spans="6:8">
      <c r="F12229" s="68" t="s">
        <v>258</v>
      </c>
      <c r="G12229" s="67" t="s">
        <v>555</v>
      </c>
      <c r="H12229" s="69">
        <v>0.14000000000000001</v>
      </c>
    </row>
    <row r="12230" spans="6:8">
      <c r="F12230" s="68" t="s">
        <v>257</v>
      </c>
      <c r="G12230" s="67" t="s">
        <v>555</v>
      </c>
      <c r="H12230" s="69">
        <v>1.08</v>
      </c>
    </row>
    <row r="12231" spans="6:8">
      <c r="F12231" s="68" t="s">
        <v>135</v>
      </c>
      <c r="G12231" s="67" t="s">
        <v>555</v>
      </c>
      <c r="H12231" s="69">
        <v>-0.6</v>
      </c>
    </row>
    <row r="12232" spans="6:8">
      <c r="F12232" s="68" t="s">
        <v>134</v>
      </c>
      <c r="G12232" s="67" t="s">
        <v>555</v>
      </c>
      <c r="H12232" s="69">
        <v>-0.45</v>
      </c>
    </row>
    <row r="12233" spans="6:8">
      <c r="F12233" s="68" t="s">
        <v>423</v>
      </c>
      <c r="G12233" s="67" t="s">
        <v>555</v>
      </c>
      <c r="H12233" s="69">
        <v>2.5284279358330775</v>
      </c>
    </row>
    <row r="12234" spans="6:8">
      <c r="F12234" s="68" t="s">
        <v>256</v>
      </c>
      <c r="G12234" s="67" t="s">
        <v>555</v>
      </c>
      <c r="H12234" s="69">
        <v>1.02</v>
      </c>
    </row>
    <row r="12235" spans="6:8">
      <c r="F12235" s="68" t="s">
        <v>133</v>
      </c>
      <c r="G12235" s="67" t="s">
        <v>555</v>
      </c>
      <c r="H12235" s="69">
        <v>-0.4</v>
      </c>
    </row>
    <row r="12236" spans="6:8">
      <c r="F12236" s="68" t="s">
        <v>132</v>
      </c>
      <c r="G12236" s="67" t="s">
        <v>555</v>
      </c>
      <c r="H12236" s="69">
        <v>-0.5</v>
      </c>
    </row>
    <row r="12237" spans="6:8">
      <c r="F12237" s="68" t="s">
        <v>422</v>
      </c>
      <c r="G12237" s="67" t="s">
        <v>555</v>
      </c>
      <c r="H12237" s="69">
        <v>2.4952990077964365</v>
      </c>
    </row>
    <row r="12238" spans="6:8">
      <c r="F12238" s="68" t="s">
        <v>303</v>
      </c>
      <c r="G12238" s="67" t="s">
        <v>555</v>
      </c>
      <c r="H12238" s="69">
        <v>18.8125</v>
      </c>
    </row>
    <row r="12239" spans="6:8">
      <c r="F12239" s="68" t="s">
        <v>255</v>
      </c>
      <c r="G12239" s="67" t="s">
        <v>555</v>
      </c>
      <c r="H12239" s="69">
        <v>0.88</v>
      </c>
    </row>
    <row r="12240" spans="6:8">
      <c r="F12240" s="68" t="s">
        <v>131</v>
      </c>
      <c r="G12240" s="67" t="s">
        <v>555</v>
      </c>
      <c r="H12240" s="69">
        <v>-0.4</v>
      </c>
    </row>
    <row r="12241" spans="6:8">
      <c r="F12241" s="68" t="s">
        <v>130</v>
      </c>
      <c r="G12241" s="67" t="s">
        <v>555</v>
      </c>
      <c r="H12241" s="69">
        <v>-0.6</v>
      </c>
    </row>
    <row r="12242" spans="6:8">
      <c r="F12242" s="68" t="s">
        <v>421</v>
      </c>
      <c r="G12242" s="67" t="s">
        <v>555</v>
      </c>
      <c r="H12242" s="69">
        <v>2.4894836162182354</v>
      </c>
    </row>
    <row r="12243" spans="6:8">
      <c r="F12243" s="68" t="s">
        <v>304</v>
      </c>
      <c r="G12243" s="67" t="s">
        <v>555</v>
      </c>
      <c r="H12243" s="69">
        <v>17.84375</v>
      </c>
    </row>
    <row r="12244" spans="6:8">
      <c r="F12244" s="68" t="s">
        <v>254</v>
      </c>
      <c r="G12244" s="67" t="s">
        <v>555</v>
      </c>
      <c r="H12244" s="69">
        <v>0.68</v>
      </c>
    </row>
    <row r="12245" spans="6:8">
      <c r="F12245" s="68" t="s">
        <v>129</v>
      </c>
      <c r="G12245" s="67" t="s">
        <v>555</v>
      </c>
      <c r="H12245" s="69">
        <v>-0.35</v>
      </c>
    </row>
    <row r="12246" spans="6:8">
      <c r="F12246" s="68" t="s">
        <v>128</v>
      </c>
      <c r="G12246" s="67" t="s">
        <v>555</v>
      </c>
      <c r="H12246" s="69">
        <v>-0.6</v>
      </c>
    </row>
    <row r="12247" spans="6:8">
      <c r="F12247" s="68" t="s">
        <v>315</v>
      </c>
      <c r="G12247" s="67" t="s">
        <v>555</v>
      </c>
      <c r="H12247" s="69">
        <v>-0.05</v>
      </c>
    </row>
    <row r="12248" spans="6:8">
      <c r="F12248" s="68" t="s">
        <v>253</v>
      </c>
      <c r="G12248" s="67" t="s">
        <v>555</v>
      </c>
      <c r="H12248" s="69">
        <v>0.52</v>
      </c>
    </row>
    <row r="12249" spans="6:8">
      <c r="F12249" s="68" t="s">
        <v>127</v>
      </c>
      <c r="G12249" s="67" t="s">
        <v>555</v>
      </c>
      <c r="H12249" s="69">
        <v>-0.3</v>
      </c>
    </row>
    <row r="12250" spans="6:8">
      <c r="F12250" s="68" t="s">
        <v>126</v>
      </c>
      <c r="G12250" s="67" t="s">
        <v>555</v>
      </c>
      <c r="H12250" s="69">
        <v>-0.6</v>
      </c>
    </row>
    <row r="12251" spans="6:8">
      <c r="F12251" s="68" t="s">
        <v>125</v>
      </c>
      <c r="G12251" s="67" t="s">
        <v>555</v>
      </c>
      <c r="H12251" s="69">
        <v>-0.15</v>
      </c>
    </row>
    <row r="12252" spans="6:8">
      <c r="F12252" s="68" t="s">
        <v>314</v>
      </c>
      <c r="G12252" s="67" t="s">
        <v>555</v>
      </c>
      <c r="H12252" s="69">
        <v>-0.1</v>
      </c>
    </row>
    <row r="12253" spans="6:8">
      <c r="F12253" s="68" t="s">
        <v>252</v>
      </c>
      <c r="G12253" s="67" t="s">
        <v>555</v>
      </c>
      <c r="H12253" s="69">
        <v>0.35</v>
      </c>
    </row>
    <row r="12254" spans="6:8">
      <c r="F12254" s="68" t="s">
        <v>124</v>
      </c>
      <c r="G12254" s="67" t="s">
        <v>555</v>
      </c>
      <c r="H12254" s="69">
        <v>-0.25</v>
      </c>
    </row>
    <row r="12255" spans="6:8">
      <c r="F12255" s="68" t="s">
        <v>123</v>
      </c>
      <c r="G12255" s="67" t="s">
        <v>555</v>
      </c>
      <c r="H12255" s="69">
        <v>-0.75</v>
      </c>
    </row>
    <row r="12256" spans="6:8">
      <c r="F12256" s="68" t="s">
        <v>122</v>
      </c>
      <c r="G12256" s="67" t="s">
        <v>555</v>
      </c>
      <c r="H12256" s="69">
        <v>-0.3</v>
      </c>
    </row>
    <row r="12257" spans="6:8">
      <c r="F12257" s="68" t="s">
        <v>420</v>
      </c>
      <c r="G12257" s="67" t="s">
        <v>555</v>
      </c>
      <c r="H12257" s="69">
        <v>3.4146699129436353</v>
      </c>
    </row>
    <row r="12258" spans="6:8">
      <c r="F12258" s="68" t="s">
        <v>251</v>
      </c>
      <c r="G12258" s="67" t="s">
        <v>555</v>
      </c>
      <c r="H12258" s="69">
        <v>0.23</v>
      </c>
    </row>
    <row r="12259" spans="6:8">
      <c r="F12259" s="68" t="s">
        <v>121</v>
      </c>
      <c r="G12259" s="67" t="s">
        <v>555</v>
      </c>
      <c r="H12259" s="69">
        <v>-0.4</v>
      </c>
    </row>
    <row r="12260" spans="6:8">
      <c r="F12260" s="68" t="s">
        <v>120</v>
      </c>
      <c r="G12260" s="67" t="s">
        <v>555</v>
      </c>
      <c r="H12260" s="69">
        <v>-0.6</v>
      </c>
    </row>
    <row r="12261" spans="6:8">
      <c r="F12261" s="68" t="s">
        <v>119</v>
      </c>
      <c r="G12261" s="67" t="s">
        <v>555</v>
      </c>
      <c r="H12261" s="69">
        <v>-0.35</v>
      </c>
    </row>
    <row r="12262" spans="6:8">
      <c r="F12262" s="68" t="s">
        <v>119</v>
      </c>
      <c r="G12262" s="67" t="s">
        <v>556</v>
      </c>
      <c r="H12262" s="69">
        <v>-0.55000000000000004</v>
      </c>
    </row>
    <row r="12263" spans="6:8">
      <c r="F12263" s="68" t="s">
        <v>120</v>
      </c>
      <c r="G12263" s="67" t="s">
        <v>556</v>
      </c>
      <c r="H12263" s="69">
        <v>-0.6</v>
      </c>
    </row>
    <row r="12264" spans="6:8">
      <c r="F12264" s="68" t="s">
        <v>121</v>
      </c>
      <c r="G12264" s="67" t="s">
        <v>556</v>
      </c>
      <c r="H12264" s="69">
        <v>-0.5</v>
      </c>
    </row>
    <row r="12265" spans="6:8">
      <c r="F12265" s="68" t="s">
        <v>251</v>
      </c>
      <c r="G12265" s="67" t="s">
        <v>556</v>
      </c>
      <c r="H12265" s="69">
        <v>0.25</v>
      </c>
    </row>
    <row r="12266" spans="6:8">
      <c r="F12266" s="68" t="s">
        <v>420</v>
      </c>
      <c r="G12266" s="67" t="s">
        <v>556</v>
      </c>
      <c r="H12266" s="69">
        <v>3.3611475085431941</v>
      </c>
    </row>
    <row r="12267" spans="6:8">
      <c r="F12267" s="68" t="s">
        <v>122</v>
      </c>
      <c r="G12267" s="67" t="s">
        <v>556</v>
      </c>
      <c r="H12267" s="69">
        <v>-0.5</v>
      </c>
    </row>
    <row r="12268" spans="6:8">
      <c r="F12268" s="68" t="s">
        <v>123</v>
      </c>
      <c r="G12268" s="67" t="s">
        <v>556</v>
      </c>
      <c r="H12268" s="69">
        <v>-0.75</v>
      </c>
    </row>
    <row r="12269" spans="6:8">
      <c r="F12269" s="68" t="s">
        <v>124</v>
      </c>
      <c r="G12269" s="67" t="s">
        <v>556</v>
      </c>
      <c r="H12269" s="69">
        <v>-0.35</v>
      </c>
    </row>
    <row r="12270" spans="6:8">
      <c r="F12270" s="68" t="s">
        <v>252</v>
      </c>
      <c r="G12270" s="67" t="s">
        <v>556</v>
      </c>
      <c r="H12270" s="69">
        <v>0.35</v>
      </c>
    </row>
    <row r="12271" spans="6:8">
      <c r="F12271" s="68" t="s">
        <v>314</v>
      </c>
      <c r="G12271" s="67" t="s">
        <v>556</v>
      </c>
      <c r="H12271" s="69">
        <v>-0.25</v>
      </c>
    </row>
    <row r="12272" spans="6:8">
      <c r="F12272" s="68" t="s">
        <v>125</v>
      </c>
      <c r="G12272" s="67" t="s">
        <v>556</v>
      </c>
      <c r="H12272" s="69">
        <v>-0.35</v>
      </c>
    </row>
    <row r="12273" spans="6:8">
      <c r="F12273" s="68" t="s">
        <v>126</v>
      </c>
      <c r="G12273" s="67" t="s">
        <v>556</v>
      </c>
      <c r="H12273" s="69">
        <v>-0.65</v>
      </c>
    </row>
    <row r="12274" spans="6:8">
      <c r="F12274" s="68" t="s">
        <v>127</v>
      </c>
      <c r="G12274" s="67" t="s">
        <v>556</v>
      </c>
      <c r="H12274" s="69">
        <v>-0.35</v>
      </c>
    </row>
    <row r="12275" spans="6:8">
      <c r="F12275" s="68" t="s">
        <v>253</v>
      </c>
      <c r="G12275" s="67" t="s">
        <v>556</v>
      </c>
      <c r="H12275" s="69">
        <v>0.5</v>
      </c>
    </row>
    <row r="12276" spans="6:8">
      <c r="F12276" s="68" t="s">
        <v>315</v>
      </c>
      <c r="G12276" s="67" t="s">
        <v>556</v>
      </c>
      <c r="H12276" s="69">
        <v>-0.1</v>
      </c>
    </row>
    <row r="12277" spans="6:8">
      <c r="F12277" s="68" t="s">
        <v>128</v>
      </c>
      <c r="G12277" s="67" t="s">
        <v>556</v>
      </c>
      <c r="H12277" s="69">
        <v>-0.65</v>
      </c>
    </row>
    <row r="12278" spans="6:8">
      <c r="F12278" s="68" t="s">
        <v>129</v>
      </c>
      <c r="G12278" s="67" t="s">
        <v>556</v>
      </c>
      <c r="H12278" s="69">
        <v>-0.45</v>
      </c>
    </row>
    <row r="12279" spans="6:8">
      <c r="F12279" s="68" t="s">
        <v>254</v>
      </c>
      <c r="G12279" s="67" t="s">
        <v>556</v>
      </c>
      <c r="H12279" s="69">
        <v>0.68</v>
      </c>
    </row>
    <row r="12280" spans="6:8">
      <c r="F12280" s="68" t="s">
        <v>304</v>
      </c>
      <c r="G12280" s="67" t="s">
        <v>556</v>
      </c>
      <c r="H12280" s="69">
        <v>17.739583333333332</v>
      </c>
    </row>
    <row r="12281" spans="6:8">
      <c r="F12281" s="68" t="s">
        <v>421</v>
      </c>
      <c r="G12281" s="67" t="s">
        <v>556</v>
      </c>
      <c r="H12281" s="69">
        <v>2.4072086238411838</v>
      </c>
    </row>
    <row r="12282" spans="6:8">
      <c r="F12282" s="68" t="s">
        <v>130</v>
      </c>
      <c r="G12282" s="67" t="s">
        <v>556</v>
      </c>
      <c r="H12282" s="69">
        <v>-0.7</v>
      </c>
    </row>
    <row r="12283" spans="6:8">
      <c r="F12283" s="68" t="s">
        <v>131</v>
      </c>
      <c r="G12283" s="67" t="s">
        <v>556</v>
      </c>
      <c r="H12283" s="69">
        <v>-0.45</v>
      </c>
    </row>
    <row r="12284" spans="6:8">
      <c r="F12284" s="68" t="s">
        <v>255</v>
      </c>
      <c r="G12284" s="67" t="s">
        <v>556</v>
      </c>
      <c r="H12284" s="69">
        <v>0.85</v>
      </c>
    </row>
    <row r="12285" spans="6:8">
      <c r="F12285" s="68" t="s">
        <v>303</v>
      </c>
      <c r="G12285" s="67" t="s">
        <v>556</v>
      </c>
      <c r="H12285" s="69">
        <v>18.708333333333332</v>
      </c>
    </row>
    <row r="12286" spans="6:8">
      <c r="F12286" s="68" t="s">
        <v>422</v>
      </c>
      <c r="G12286" s="67" t="s">
        <v>556</v>
      </c>
      <c r="H12286" s="69">
        <v>2.4132409258464715</v>
      </c>
    </row>
    <row r="12287" spans="6:8">
      <c r="F12287" s="68" t="s">
        <v>132</v>
      </c>
      <c r="G12287" s="67" t="s">
        <v>556</v>
      </c>
      <c r="H12287" s="69">
        <v>-0.65</v>
      </c>
    </row>
    <row r="12288" spans="6:8">
      <c r="F12288" s="68" t="s">
        <v>133</v>
      </c>
      <c r="G12288" s="67" t="s">
        <v>556</v>
      </c>
      <c r="H12288" s="69">
        <v>-0.5</v>
      </c>
    </row>
    <row r="12289" spans="6:8">
      <c r="F12289" s="68" t="s">
        <v>256</v>
      </c>
      <c r="G12289" s="67" t="s">
        <v>556</v>
      </c>
      <c r="H12289" s="69">
        <v>0.97</v>
      </c>
    </row>
    <row r="12290" spans="6:8">
      <c r="F12290" s="68" t="s">
        <v>423</v>
      </c>
      <c r="G12290" s="67" t="s">
        <v>556</v>
      </c>
      <c r="H12290" s="69">
        <v>2.4405792287814254</v>
      </c>
    </row>
    <row r="12291" spans="6:8">
      <c r="F12291" s="68" t="s">
        <v>134</v>
      </c>
      <c r="G12291" s="67" t="s">
        <v>556</v>
      </c>
      <c r="H12291" s="69">
        <v>-0.6</v>
      </c>
    </row>
    <row r="12292" spans="6:8">
      <c r="F12292" s="68" t="s">
        <v>135</v>
      </c>
      <c r="G12292" s="67" t="s">
        <v>556</v>
      </c>
      <c r="H12292" s="69">
        <v>-0.6</v>
      </c>
    </row>
    <row r="12293" spans="6:8">
      <c r="F12293" s="68" t="s">
        <v>257</v>
      </c>
      <c r="G12293" s="67" t="s">
        <v>556</v>
      </c>
      <c r="H12293" s="69">
        <v>1.03</v>
      </c>
    </row>
    <row r="12294" spans="6:8">
      <c r="F12294" s="68" t="s">
        <v>258</v>
      </c>
      <c r="G12294" s="67" t="s">
        <v>556</v>
      </c>
      <c r="H12294" s="69">
        <v>0.14000000000000001</v>
      </c>
    </row>
    <row r="12295" spans="6:8">
      <c r="F12295" s="68" t="s">
        <v>424</v>
      </c>
      <c r="G12295" s="67" t="s">
        <v>556</v>
      </c>
      <c r="H12295" s="69">
        <v>3.159718102398168</v>
      </c>
    </row>
    <row r="12296" spans="6:8">
      <c r="F12296" s="68" t="s">
        <v>136</v>
      </c>
      <c r="G12296" s="67" t="s">
        <v>556</v>
      </c>
      <c r="H12296" s="69">
        <v>-0.6</v>
      </c>
    </row>
    <row r="12297" spans="6:8">
      <c r="F12297" s="68" t="s">
        <v>137</v>
      </c>
      <c r="G12297" s="67" t="s">
        <v>556</v>
      </c>
      <c r="H12297" s="69">
        <v>-0.6</v>
      </c>
    </row>
    <row r="12298" spans="6:8">
      <c r="F12298" s="68" t="s">
        <v>138</v>
      </c>
      <c r="G12298" s="67" t="s">
        <v>556</v>
      </c>
      <c r="H12298" s="69">
        <v>-0.6</v>
      </c>
    </row>
    <row r="12299" spans="6:8">
      <c r="F12299" s="68" t="s">
        <v>259</v>
      </c>
      <c r="G12299" s="67" t="s">
        <v>556</v>
      </c>
      <c r="H12299" s="69">
        <v>0.16</v>
      </c>
    </row>
    <row r="12300" spans="6:8">
      <c r="F12300" s="68" t="s">
        <v>425</v>
      </c>
      <c r="G12300" s="67" t="s">
        <v>556</v>
      </c>
      <c r="H12300" s="69">
        <v>3.1612998226608013</v>
      </c>
    </row>
    <row r="12301" spans="6:8">
      <c r="F12301" s="68" t="s">
        <v>425</v>
      </c>
      <c r="G12301" s="67" t="s">
        <v>557</v>
      </c>
      <c r="H12301" s="69">
        <v>3.1684548522556533</v>
      </c>
    </row>
    <row r="12302" spans="6:8">
      <c r="F12302" s="68" t="s">
        <v>259</v>
      </c>
      <c r="G12302" s="67" t="s">
        <v>557</v>
      </c>
      <c r="H12302" s="69">
        <v>0.16</v>
      </c>
    </row>
    <row r="12303" spans="6:8">
      <c r="F12303" s="68" t="s">
        <v>138</v>
      </c>
      <c r="G12303" s="67" t="s">
        <v>557</v>
      </c>
      <c r="H12303" s="69">
        <v>-0.6</v>
      </c>
    </row>
    <row r="12304" spans="6:8">
      <c r="F12304" s="68" t="s">
        <v>137</v>
      </c>
      <c r="G12304" s="67" t="s">
        <v>557</v>
      </c>
      <c r="H12304" s="69">
        <v>-0.6</v>
      </c>
    </row>
    <row r="12305" spans="6:8">
      <c r="F12305" s="68" t="s">
        <v>136</v>
      </c>
      <c r="G12305" s="67" t="s">
        <v>557</v>
      </c>
      <c r="H12305" s="69">
        <v>-0.6</v>
      </c>
    </row>
    <row r="12306" spans="6:8">
      <c r="F12306" s="68" t="s">
        <v>424</v>
      </c>
      <c r="G12306" s="67" t="s">
        <v>557</v>
      </c>
      <c r="H12306" s="69">
        <v>3.1698535180052279</v>
      </c>
    </row>
    <row r="12307" spans="6:8">
      <c r="F12307" s="68" t="s">
        <v>258</v>
      </c>
      <c r="G12307" s="67" t="s">
        <v>557</v>
      </c>
      <c r="H12307" s="69">
        <v>0.14000000000000001</v>
      </c>
    </row>
    <row r="12308" spans="6:8">
      <c r="F12308" s="68" t="s">
        <v>257</v>
      </c>
      <c r="G12308" s="67" t="s">
        <v>557</v>
      </c>
      <c r="H12308" s="69">
        <v>1.03</v>
      </c>
    </row>
    <row r="12309" spans="6:8">
      <c r="F12309" s="68" t="s">
        <v>135</v>
      </c>
      <c r="G12309" s="67" t="s">
        <v>557</v>
      </c>
      <c r="H12309" s="69">
        <v>-0.6</v>
      </c>
    </row>
    <row r="12310" spans="6:8">
      <c r="F12310" s="68" t="s">
        <v>134</v>
      </c>
      <c r="G12310" s="67" t="s">
        <v>557</v>
      </c>
      <c r="H12310" s="69">
        <v>-0.6</v>
      </c>
    </row>
    <row r="12311" spans="6:8">
      <c r="F12311" s="68" t="s">
        <v>423</v>
      </c>
      <c r="G12311" s="67" t="s">
        <v>557</v>
      </c>
      <c r="H12311" s="69">
        <v>2.4629843810862972</v>
      </c>
    </row>
    <row r="12312" spans="6:8">
      <c r="F12312" s="68" t="s">
        <v>256</v>
      </c>
      <c r="G12312" s="67" t="s">
        <v>557</v>
      </c>
      <c r="H12312" s="69">
        <v>0.97</v>
      </c>
    </row>
    <row r="12313" spans="6:8">
      <c r="F12313" s="68" t="s">
        <v>133</v>
      </c>
      <c r="G12313" s="67" t="s">
        <v>557</v>
      </c>
      <c r="H12313" s="69">
        <v>-0.5</v>
      </c>
    </row>
    <row r="12314" spans="6:8">
      <c r="F12314" s="68" t="s">
        <v>132</v>
      </c>
      <c r="G12314" s="67" t="s">
        <v>557</v>
      </c>
      <c r="H12314" s="69">
        <v>-0.65</v>
      </c>
    </row>
    <row r="12315" spans="6:8">
      <c r="F12315" s="68" t="s">
        <v>422</v>
      </c>
      <c r="G12315" s="67" t="s">
        <v>557</v>
      </c>
      <c r="H12315" s="69">
        <v>2.4348301449288012</v>
      </c>
    </row>
    <row r="12316" spans="6:8">
      <c r="F12316" s="68" t="s">
        <v>303</v>
      </c>
      <c r="G12316" s="67" t="s">
        <v>557</v>
      </c>
      <c r="H12316" s="69">
        <v>18.697916666666668</v>
      </c>
    </row>
    <row r="12317" spans="6:8">
      <c r="F12317" s="68" t="s">
        <v>255</v>
      </c>
      <c r="G12317" s="67" t="s">
        <v>557</v>
      </c>
      <c r="H12317" s="69">
        <v>0.85</v>
      </c>
    </row>
    <row r="12318" spans="6:8">
      <c r="F12318" s="68" t="s">
        <v>131</v>
      </c>
      <c r="G12318" s="67" t="s">
        <v>557</v>
      </c>
      <c r="H12318" s="69">
        <v>-0.45</v>
      </c>
    </row>
    <row r="12319" spans="6:8">
      <c r="F12319" s="68" t="s">
        <v>130</v>
      </c>
      <c r="G12319" s="67" t="s">
        <v>557</v>
      </c>
      <c r="H12319" s="69">
        <v>-0.7</v>
      </c>
    </row>
    <row r="12320" spans="6:8">
      <c r="F12320" s="68" t="s">
        <v>421</v>
      </c>
      <c r="G12320" s="67" t="s">
        <v>557</v>
      </c>
      <c r="H12320" s="69">
        <v>2.4288768718556231</v>
      </c>
    </row>
    <row r="12321" spans="6:8">
      <c r="F12321" s="68" t="s">
        <v>304</v>
      </c>
      <c r="G12321" s="67" t="s">
        <v>557</v>
      </c>
      <c r="H12321" s="69">
        <v>17.645833333333332</v>
      </c>
    </row>
    <row r="12322" spans="6:8">
      <c r="F12322" s="68" t="s">
        <v>254</v>
      </c>
      <c r="G12322" s="67" t="s">
        <v>557</v>
      </c>
      <c r="H12322" s="69">
        <v>0.68</v>
      </c>
    </row>
    <row r="12323" spans="6:8">
      <c r="F12323" s="68" t="s">
        <v>129</v>
      </c>
      <c r="G12323" s="67" t="s">
        <v>557</v>
      </c>
      <c r="H12323" s="69">
        <v>-0.45</v>
      </c>
    </row>
    <row r="12324" spans="6:8">
      <c r="F12324" s="68" t="s">
        <v>128</v>
      </c>
      <c r="G12324" s="67" t="s">
        <v>557</v>
      </c>
      <c r="H12324" s="69">
        <v>-0.65</v>
      </c>
    </row>
    <row r="12325" spans="6:8">
      <c r="F12325" s="68" t="s">
        <v>315</v>
      </c>
      <c r="G12325" s="67" t="s">
        <v>557</v>
      </c>
      <c r="H12325" s="69">
        <v>-0.1</v>
      </c>
    </row>
    <row r="12326" spans="6:8">
      <c r="F12326" s="68" t="s">
        <v>253</v>
      </c>
      <c r="G12326" s="67" t="s">
        <v>557</v>
      </c>
      <c r="H12326" s="69">
        <v>0.5</v>
      </c>
    </row>
    <row r="12327" spans="6:8">
      <c r="F12327" s="68" t="s">
        <v>127</v>
      </c>
      <c r="G12327" s="67" t="s">
        <v>557</v>
      </c>
      <c r="H12327" s="69">
        <v>-0.35</v>
      </c>
    </row>
    <row r="12328" spans="6:8">
      <c r="F12328" s="68" t="s">
        <v>126</v>
      </c>
      <c r="G12328" s="67" t="s">
        <v>557</v>
      </c>
      <c r="H12328" s="69">
        <v>-0.65</v>
      </c>
    </row>
    <row r="12329" spans="6:8">
      <c r="F12329" s="68" t="s">
        <v>125</v>
      </c>
      <c r="G12329" s="67" t="s">
        <v>557</v>
      </c>
      <c r="H12329" s="69">
        <v>-0.35</v>
      </c>
    </row>
    <row r="12330" spans="6:8">
      <c r="F12330" s="68" t="s">
        <v>314</v>
      </c>
      <c r="G12330" s="67" t="s">
        <v>557</v>
      </c>
      <c r="H12330" s="69">
        <v>-0.25</v>
      </c>
    </row>
    <row r="12331" spans="6:8">
      <c r="F12331" s="68" t="s">
        <v>252</v>
      </c>
      <c r="G12331" s="67" t="s">
        <v>557</v>
      </c>
      <c r="H12331" s="69">
        <v>0.35</v>
      </c>
    </row>
    <row r="12332" spans="6:8">
      <c r="F12332" s="68" t="s">
        <v>124</v>
      </c>
      <c r="G12332" s="67" t="s">
        <v>557</v>
      </c>
      <c r="H12332" s="69">
        <v>-0.35</v>
      </c>
    </row>
    <row r="12333" spans="6:8">
      <c r="F12333" s="68" t="s">
        <v>123</v>
      </c>
      <c r="G12333" s="67" t="s">
        <v>557</v>
      </c>
      <c r="H12333" s="69">
        <v>-0.75</v>
      </c>
    </row>
    <row r="12334" spans="6:8">
      <c r="F12334" s="68" t="s">
        <v>122</v>
      </c>
      <c r="G12334" s="67" t="s">
        <v>557</v>
      </c>
      <c r="H12334" s="69">
        <v>-0.5</v>
      </c>
    </row>
    <row r="12335" spans="6:8">
      <c r="F12335" s="68" t="s">
        <v>420</v>
      </c>
      <c r="G12335" s="67" t="s">
        <v>557</v>
      </c>
      <c r="H12335" s="69">
        <v>3.3710250871978875</v>
      </c>
    </row>
    <row r="12336" spans="6:8">
      <c r="F12336" s="68" t="s">
        <v>251</v>
      </c>
      <c r="G12336" s="67" t="s">
        <v>557</v>
      </c>
      <c r="H12336" s="69">
        <v>0.25</v>
      </c>
    </row>
    <row r="12337" spans="6:8">
      <c r="F12337" s="68" t="s">
        <v>121</v>
      </c>
      <c r="G12337" s="67" t="s">
        <v>557</v>
      </c>
      <c r="H12337" s="69">
        <v>-0.5</v>
      </c>
    </row>
    <row r="12338" spans="6:8">
      <c r="F12338" s="68" t="s">
        <v>120</v>
      </c>
      <c r="G12338" s="67" t="s">
        <v>557</v>
      </c>
      <c r="H12338" s="69">
        <v>-0.6</v>
      </c>
    </row>
    <row r="12339" spans="6:8">
      <c r="F12339" s="68" t="s">
        <v>119</v>
      </c>
      <c r="G12339" s="67" t="s">
        <v>557</v>
      </c>
      <c r="H12339" s="69">
        <v>-0.55000000000000004</v>
      </c>
    </row>
    <row r="12340" spans="6:8">
      <c r="F12340" s="68" t="s">
        <v>119</v>
      </c>
      <c r="G12340" s="67" t="s">
        <v>558</v>
      </c>
      <c r="H12340" s="69">
        <v>-0.6</v>
      </c>
    </row>
    <row r="12341" spans="6:8">
      <c r="F12341" s="68" t="s">
        <v>120</v>
      </c>
      <c r="G12341" s="67" t="s">
        <v>558</v>
      </c>
      <c r="H12341" s="69">
        <v>-0.65</v>
      </c>
    </row>
    <row r="12342" spans="6:8">
      <c r="F12342" s="68" t="s">
        <v>121</v>
      </c>
      <c r="G12342" s="67" t="s">
        <v>558</v>
      </c>
      <c r="H12342" s="69">
        <v>-0.55000000000000004</v>
      </c>
    </row>
    <row r="12343" spans="6:8">
      <c r="F12343" s="68" t="s">
        <v>251</v>
      </c>
      <c r="G12343" s="67" t="s">
        <v>558</v>
      </c>
      <c r="H12343" s="69">
        <v>0.24</v>
      </c>
    </row>
    <row r="12344" spans="6:8">
      <c r="F12344" s="68" t="s">
        <v>420</v>
      </c>
      <c r="G12344" s="67" t="s">
        <v>558</v>
      </c>
      <c r="H12344" s="69">
        <v>3.3406752567006759</v>
      </c>
    </row>
    <row r="12345" spans="6:8">
      <c r="F12345" s="68" t="s">
        <v>122</v>
      </c>
      <c r="G12345" s="67" t="s">
        <v>558</v>
      </c>
      <c r="H12345" s="69">
        <v>-0.55000000000000004</v>
      </c>
    </row>
    <row r="12346" spans="6:8">
      <c r="F12346" s="68" t="s">
        <v>123</v>
      </c>
      <c r="G12346" s="67" t="s">
        <v>558</v>
      </c>
      <c r="H12346" s="69">
        <v>-0.8</v>
      </c>
    </row>
    <row r="12347" spans="6:8">
      <c r="F12347" s="68" t="s">
        <v>124</v>
      </c>
      <c r="G12347" s="67" t="s">
        <v>558</v>
      </c>
      <c r="H12347" s="69">
        <v>-0.4</v>
      </c>
    </row>
    <row r="12348" spans="6:8">
      <c r="F12348" s="68" t="s">
        <v>252</v>
      </c>
      <c r="G12348" s="67" t="s">
        <v>558</v>
      </c>
      <c r="H12348" s="69">
        <v>0.34</v>
      </c>
    </row>
    <row r="12349" spans="6:8">
      <c r="F12349" s="68" t="s">
        <v>314</v>
      </c>
      <c r="G12349" s="67" t="s">
        <v>558</v>
      </c>
      <c r="H12349" s="69">
        <v>-0.3</v>
      </c>
    </row>
    <row r="12350" spans="6:8">
      <c r="F12350" s="68" t="s">
        <v>125</v>
      </c>
      <c r="G12350" s="67" t="s">
        <v>558</v>
      </c>
      <c r="H12350" s="69">
        <v>-0.4</v>
      </c>
    </row>
    <row r="12351" spans="6:8">
      <c r="F12351" s="68" t="s">
        <v>126</v>
      </c>
      <c r="G12351" s="67" t="s">
        <v>558</v>
      </c>
      <c r="H12351" s="69">
        <v>-0.7</v>
      </c>
    </row>
    <row r="12352" spans="6:8">
      <c r="F12352" s="68" t="s">
        <v>127</v>
      </c>
      <c r="G12352" s="67" t="s">
        <v>558</v>
      </c>
      <c r="H12352" s="69">
        <v>-0.35</v>
      </c>
    </row>
    <row r="12353" spans="6:8">
      <c r="F12353" s="68" t="s">
        <v>253</v>
      </c>
      <c r="G12353" s="67" t="s">
        <v>558</v>
      </c>
      <c r="H12353" s="69">
        <v>0.49</v>
      </c>
    </row>
    <row r="12354" spans="6:8">
      <c r="F12354" s="68" t="s">
        <v>315</v>
      </c>
      <c r="G12354" s="67" t="s">
        <v>558</v>
      </c>
      <c r="H12354" s="69">
        <v>-0.15</v>
      </c>
    </row>
    <row r="12355" spans="6:8">
      <c r="F12355" s="68" t="s">
        <v>128</v>
      </c>
      <c r="G12355" s="67" t="s">
        <v>558</v>
      </c>
      <c r="H12355" s="69">
        <v>-0.7</v>
      </c>
    </row>
    <row r="12356" spans="6:8">
      <c r="F12356" s="68" t="s">
        <v>129</v>
      </c>
      <c r="G12356" s="67" t="s">
        <v>558</v>
      </c>
      <c r="H12356" s="69">
        <v>-0.45</v>
      </c>
    </row>
    <row r="12357" spans="6:8">
      <c r="F12357" s="68" t="s">
        <v>254</v>
      </c>
      <c r="G12357" s="67" t="s">
        <v>558</v>
      </c>
      <c r="H12357" s="69">
        <v>0.67</v>
      </c>
    </row>
    <row r="12358" spans="6:8">
      <c r="F12358" s="68" t="s">
        <v>304</v>
      </c>
      <c r="G12358" s="67" t="s">
        <v>558</v>
      </c>
      <c r="H12358" s="69">
        <v>17.75</v>
      </c>
    </row>
    <row r="12359" spans="6:8">
      <c r="F12359" s="68" t="s">
        <v>421</v>
      </c>
      <c r="G12359" s="67" t="s">
        <v>558</v>
      </c>
      <c r="H12359" s="69">
        <v>2.3972005262658858</v>
      </c>
    </row>
    <row r="12360" spans="6:8">
      <c r="F12360" s="68" t="s">
        <v>130</v>
      </c>
      <c r="G12360" s="67" t="s">
        <v>558</v>
      </c>
      <c r="H12360" s="69">
        <v>-0.75</v>
      </c>
    </row>
    <row r="12361" spans="6:8">
      <c r="F12361" s="68" t="s">
        <v>131</v>
      </c>
      <c r="G12361" s="67" t="s">
        <v>558</v>
      </c>
      <c r="H12361" s="69">
        <v>-0.45</v>
      </c>
    </row>
    <row r="12362" spans="6:8">
      <c r="F12362" s="68" t="s">
        <v>255</v>
      </c>
      <c r="G12362" s="67" t="s">
        <v>558</v>
      </c>
      <c r="H12362" s="69">
        <v>0.84</v>
      </c>
    </row>
    <row r="12363" spans="6:8">
      <c r="F12363" s="68" t="s">
        <v>303</v>
      </c>
      <c r="G12363" s="67" t="s">
        <v>558</v>
      </c>
      <c r="H12363" s="69">
        <v>18.75</v>
      </c>
    </row>
    <row r="12364" spans="6:8">
      <c r="F12364" s="68" t="s">
        <v>422</v>
      </c>
      <c r="G12364" s="67" t="s">
        <v>558</v>
      </c>
      <c r="H12364" s="69">
        <v>2.4031409690346894</v>
      </c>
    </row>
    <row r="12365" spans="6:8">
      <c r="F12365" s="68" t="s">
        <v>132</v>
      </c>
      <c r="G12365" s="67" t="s">
        <v>558</v>
      </c>
      <c r="H12365" s="69">
        <v>-0.7</v>
      </c>
    </row>
    <row r="12366" spans="6:8">
      <c r="F12366" s="68" t="s">
        <v>133</v>
      </c>
      <c r="G12366" s="67" t="s">
        <v>558</v>
      </c>
      <c r="H12366" s="69">
        <v>-0.5</v>
      </c>
    </row>
    <row r="12367" spans="6:8">
      <c r="F12367" s="68" t="s">
        <v>256</v>
      </c>
      <c r="G12367" s="67" t="s">
        <v>558</v>
      </c>
      <c r="H12367" s="69">
        <v>0.96</v>
      </c>
    </row>
    <row r="12368" spans="6:8">
      <c r="F12368" s="68" t="s">
        <v>423</v>
      </c>
      <c r="G12368" s="67" t="s">
        <v>558</v>
      </c>
      <c r="H12368" s="69">
        <v>2.4325340427671982</v>
      </c>
    </row>
    <row r="12369" spans="6:8">
      <c r="F12369" s="68" t="s">
        <v>134</v>
      </c>
      <c r="G12369" s="67" t="s">
        <v>558</v>
      </c>
      <c r="H12369" s="69">
        <v>-0.65</v>
      </c>
    </row>
    <row r="12370" spans="6:8">
      <c r="F12370" s="68" t="s">
        <v>135</v>
      </c>
      <c r="G12370" s="67" t="s">
        <v>558</v>
      </c>
      <c r="H12370" s="69">
        <v>-0.6</v>
      </c>
    </row>
    <row r="12371" spans="6:8">
      <c r="F12371" s="68" t="s">
        <v>257</v>
      </c>
      <c r="G12371" s="67" t="s">
        <v>558</v>
      </c>
      <c r="H12371" s="69">
        <v>1.02</v>
      </c>
    </row>
    <row r="12372" spans="6:8">
      <c r="F12372" s="68" t="s">
        <v>258</v>
      </c>
      <c r="G12372" s="67" t="s">
        <v>558</v>
      </c>
      <c r="H12372" s="69">
        <v>0.14000000000000001</v>
      </c>
    </row>
    <row r="12373" spans="6:8">
      <c r="F12373" s="68" t="s">
        <v>424</v>
      </c>
      <c r="G12373" s="67" t="s">
        <v>558</v>
      </c>
      <c r="H12373" s="69">
        <v>3.1303243863348484</v>
      </c>
    </row>
    <row r="12374" spans="6:8">
      <c r="F12374" s="68" t="s">
        <v>136</v>
      </c>
      <c r="G12374" s="67" t="s">
        <v>558</v>
      </c>
      <c r="H12374" s="69">
        <v>-0.65</v>
      </c>
    </row>
    <row r="12375" spans="6:8">
      <c r="F12375" s="68" t="s">
        <v>137</v>
      </c>
      <c r="G12375" s="67" t="s">
        <v>558</v>
      </c>
      <c r="H12375" s="69">
        <v>-0.65</v>
      </c>
    </row>
    <row r="12376" spans="6:8">
      <c r="F12376" s="68" t="s">
        <v>138</v>
      </c>
      <c r="G12376" s="67" t="s">
        <v>558</v>
      </c>
      <c r="H12376" s="69">
        <v>-0.65</v>
      </c>
    </row>
    <row r="12377" spans="6:8">
      <c r="F12377" s="68" t="s">
        <v>259</v>
      </c>
      <c r="G12377" s="67" t="s">
        <v>558</v>
      </c>
      <c r="H12377" s="69">
        <v>0.16</v>
      </c>
    </row>
    <row r="12378" spans="6:8">
      <c r="F12378" s="68" t="s">
        <v>425</v>
      </c>
      <c r="G12378" s="67" t="s">
        <v>558</v>
      </c>
      <c r="H12378" s="69">
        <v>3.1259751150654935</v>
      </c>
    </row>
    <row r="12379" spans="6:8">
      <c r="F12379" s="68" t="s">
        <v>425</v>
      </c>
      <c r="G12379" s="67" t="s">
        <v>559</v>
      </c>
      <c r="H12379" s="69">
        <v>3.0443854540755044</v>
      </c>
    </row>
    <row r="12380" spans="6:8">
      <c r="F12380" s="68" t="s">
        <v>259</v>
      </c>
      <c r="G12380" s="67" t="s">
        <v>559</v>
      </c>
      <c r="H12380" s="69">
        <v>0.16</v>
      </c>
    </row>
    <row r="12381" spans="6:8">
      <c r="F12381" s="68" t="s">
        <v>138</v>
      </c>
      <c r="G12381" s="67" t="s">
        <v>559</v>
      </c>
      <c r="H12381" s="69">
        <v>-0.65</v>
      </c>
    </row>
    <row r="12382" spans="6:8">
      <c r="F12382" s="68" t="s">
        <v>137</v>
      </c>
      <c r="G12382" s="67" t="s">
        <v>559</v>
      </c>
      <c r="H12382" s="69">
        <v>-0.65</v>
      </c>
    </row>
    <row r="12383" spans="6:8">
      <c r="F12383" s="68" t="s">
        <v>136</v>
      </c>
      <c r="G12383" s="67" t="s">
        <v>559</v>
      </c>
      <c r="H12383" s="69">
        <v>-0.65</v>
      </c>
    </row>
    <row r="12384" spans="6:8">
      <c r="F12384" s="68" t="s">
        <v>424</v>
      </c>
      <c r="G12384" s="67" t="s">
        <v>559</v>
      </c>
      <c r="H12384" s="69">
        <v>3.0547982264434559</v>
      </c>
    </row>
    <row r="12385" spans="6:8">
      <c r="F12385" s="68" t="s">
        <v>258</v>
      </c>
      <c r="G12385" s="67" t="s">
        <v>559</v>
      </c>
      <c r="H12385" s="69">
        <v>0.14000000000000001</v>
      </c>
    </row>
    <row r="12386" spans="6:8">
      <c r="F12386" s="68" t="s">
        <v>257</v>
      </c>
      <c r="G12386" s="67" t="s">
        <v>559</v>
      </c>
      <c r="H12386" s="69">
        <v>1.01</v>
      </c>
    </row>
    <row r="12387" spans="6:8">
      <c r="F12387" s="68" t="s">
        <v>135</v>
      </c>
      <c r="G12387" s="67" t="s">
        <v>559</v>
      </c>
      <c r="H12387" s="69">
        <v>-0.6</v>
      </c>
    </row>
    <row r="12388" spans="6:8">
      <c r="F12388" s="68" t="s">
        <v>134</v>
      </c>
      <c r="G12388" s="67" t="s">
        <v>559</v>
      </c>
      <c r="H12388" s="69">
        <v>-0.7</v>
      </c>
    </row>
    <row r="12389" spans="6:8">
      <c r="F12389" s="68" t="s">
        <v>423</v>
      </c>
      <c r="G12389" s="67" t="s">
        <v>559</v>
      </c>
      <c r="H12389" s="69">
        <v>2.3612615867040443</v>
      </c>
    </row>
    <row r="12390" spans="6:8">
      <c r="F12390" s="68" t="s">
        <v>256</v>
      </c>
      <c r="G12390" s="67" t="s">
        <v>559</v>
      </c>
      <c r="H12390" s="69">
        <v>0.95</v>
      </c>
    </row>
    <row r="12391" spans="6:8">
      <c r="F12391" s="68" t="s">
        <v>133</v>
      </c>
      <c r="G12391" s="67" t="s">
        <v>559</v>
      </c>
      <c r="H12391" s="69">
        <v>-0.5</v>
      </c>
    </row>
    <row r="12392" spans="6:8">
      <c r="F12392" s="68" t="s">
        <v>132</v>
      </c>
      <c r="G12392" s="67" t="s">
        <v>559</v>
      </c>
      <c r="H12392" s="69">
        <v>-0.75</v>
      </c>
    </row>
    <row r="12393" spans="6:8">
      <c r="F12393" s="68" t="s">
        <v>422</v>
      </c>
      <c r="G12393" s="67" t="s">
        <v>559</v>
      </c>
      <c r="H12393" s="69">
        <v>2.3282197124687709</v>
      </c>
    </row>
    <row r="12394" spans="6:8">
      <c r="F12394" s="68" t="s">
        <v>303</v>
      </c>
      <c r="G12394" s="67" t="s">
        <v>559</v>
      </c>
      <c r="H12394" s="69">
        <v>18.604166666666668</v>
      </c>
    </row>
    <row r="12395" spans="6:8">
      <c r="F12395" s="68" t="s">
        <v>255</v>
      </c>
      <c r="G12395" s="67" t="s">
        <v>559</v>
      </c>
      <c r="H12395" s="69">
        <v>0.83</v>
      </c>
    </row>
    <row r="12396" spans="6:8">
      <c r="F12396" s="68" t="s">
        <v>131</v>
      </c>
      <c r="G12396" s="67" t="s">
        <v>559</v>
      </c>
      <c r="H12396" s="69">
        <v>-0.45</v>
      </c>
    </row>
    <row r="12397" spans="6:8">
      <c r="F12397" s="68" t="s">
        <v>130</v>
      </c>
      <c r="G12397" s="67" t="s">
        <v>559</v>
      </c>
      <c r="H12397" s="69">
        <v>-0.8</v>
      </c>
    </row>
    <row r="12398" spans="6:8">
      <c r="F12398" s="68" t="s">
        <v>421</v>
      </c>
      <c r="G12398" s="67" t="s">
        <v>559</v>
      </c>
      <c r="H12398" s="69">
        <v>2.3222161624644855</v>
      </c>
    </row>
    <row r="12399" spans="6:8">
      <c r="F12399" s="68" t="s">
        <v>304</v>
      </c>
      <c r="G12399" s="67" t="s">
        <v>559</v>
      </c>
      <c r="H12399" s="69">
        <v>17.583333333333332</v>
      </c>
    </row>
    <row r="12400" spans="6:8">
      <c r="F12400" s="68" t="s">
        <v>254</v>
      </c>
      <c r="G12400" s="67" t="s">
        <v>559</v>
      </c>
      <c r="H12400" s="69">
        <v>0.66</v>
      </c>
    </row>
    <row r="12401" spans="6:8">
      <c r="F12401" s="68" t="s">
        <v>129</v>
      </c>
      <c r="G12401" s="67" t="s">
        <v>559</v>
      </c>
      <c r="H12401" s="69">
        <v>-0.45</v>
      </c>
    </row>
    <row r="12402" spans="6:8">
      <c r="F12402" s="68" t="s">
        <v>128</v>
      </c>
      <c r="G12402" s="67" t="s">
        <v>559</v>
      </c>
      <c r="H12402" s="69">
        <v>-0.7</v>
      </c>
    </row>
    <row r="12403" spans="6:8">
      <c r="F12403" s="68" t="s">
        <v>315</v>
      </c>
      <c r="G12403" s="67" t="s">
        <v>559</v>
      </c>
      <c r="H12403" s="69">
        <v>-0.15</v>
      </c>
    </row>
    <row r="12404" spans="6:8">
      <c r="F12404" s="68" t="s">
        <v>253</v>
      </c>
      <c r="G12404" s="67" t="s">
        <v>559</v>
      </c>
      <c r="H12404" s="69">
        <v>0.48</v>
      </c>
    </row>
    <row r="12405" spans="6:8">
      <c r="F12405" s="68" t="s">
        <v>127</v>
      </c>
      <c r="G12405" s="67" t="s">
        <v>559</v>
      </c>
      <c r="H12405" s="69">
        <v>-0.35</v>
      </c>
    </row>
    <row r="12406" spans="6:8">
      <c r="F12406" s="68" t="s">
        <v>126</v>
      </c>
      <c r="G12406" s="67" t="s">
        <v>559</v>
      </c>
      <c r="H12406" s="69">
        <v>-0.7</v>
      </c>
    </row>
    <row r="12407" spans="6:8">
      <c r="F12407" s="68" t="s">
        <v>125</v>
      </c>
      <c r="G12407" s="67" t="s">
        <v>559</v>
      </c>
      <c r="H12407" s="69">
        <v>-0.4</v>
      </c>
    </row>
    <row r="12408" spans="6:8">
      <c r="F12408" s="68" t="s">
        <v>314</v>
      </c>
      <c r="G12408" s="67" t="s">
        <v>559</v>
      </c>
      <c r="H12408" s="69">
        <v>-0.3</v>
      </c>
    </row>
    <row r="12409" spans="6:8">
      <c r="F12409" s="68" t="s">
        <v>252</v>
      </c>
      <c r="G12409" s="67" t="s">
        <v>559</v>
      </c>
      <c r="H12409" s="69">
        <v>0.33</v>
      </c>
    </row>
    <row r="12410" spans="6:8">
      <c r="F12410" s="68" t="s">
        <v>124</v>
      </c>
      <c r="G12410" s="67" t="s">
        <v>559</v>
      </c>
      <c r="H12410" s="69">
        <v>-0.4</v>
      </c>
    </row>
    <row r="12411" spans="6:8">
      <c r="F12411" s="68" t="s">
        <v>123</v>
      </c>
      <c r="G12411" s="67" t="s">
        <v>559</v>
      </c>
      <c r="H12411" s="69">
        <v>-0.8</v>
      </c>
    </row>
    <row r="12412" spans="6:8">
      <c r="F12412" s="68" t="s">
        <v>122</v>
      </c>
      <c r="G12412" s="67" t="s">
        <v>559</v>
      </c>
      <c r="H12412" s="69">
        <v>-0.55000000000000004</v>
      </c>
    </row>
    <row r="12413" spans="6:8">
      <c r="F12413" s="68" t="s">
        <v>420</v>
      </c>
      <c r="G12413" s="67" t="s">
        <v>559</v>
      </c>
      <c r="H12413" s="69">
        <v>3.2710992042590536</v>
      </c>
    </row>
    <row r="12414" spans="6:8">
      <c r="F12414" s="68" t="s">
        <v>251</v>
      </c>
      <c r="G12414" s="67" t="s">
        <v>559</v>
      </c>
      <c r="H12414" s="69">
        <v>0.24</v>
      </c>
    </row>
    <row r="12415" spans="6:8">
      <c r="F12415" s="68" t="s">
        <v>121</v>
      </c>
      <c r="G12415" s="67" t="s">
        <v>559</v>
      </c>
      <c r="H12415" s="69">
        <v>-0.55000000000000004</v>
      </c>
    </row>
    <row r="12416" spans="6:8">
      <c r="F12416" s="68" t="s">
        <v>120</v>
      </c>
      <c r="G12416" s="67" t="s">
        <v>559</v>
      </c>
      <c r="H12416" s="69">
        <v>-0.65</v>
      </c>
    </row>
    <row r="12417" spans="6:8">
      <c r="F12417" s="68" t="s">
        <v>119</v>
      </c>
      <c r="G12417" s="67" t="s">
        <v>559</v>
      </c>
      <c r="H12417" s="69">
        <v>-0.6</v>
      </c>
    </row>
    <row r="12418" spans="6:8">
      <c r="F12418" s="68" t="s">
        <v>119</v>
      </c>
      <c r="G12418" s="67" t="s">
        <v>560</v>
      </c>
      <c r="H12418" s="69">
        <v>-0.6</v>
      </c>
    </row>
    <row r="12419" spans="6:8">
      <c r="F12419" s="68" t="s">
        <v>120</v>
      </c>
      <c r="G12419" s="67" t="s">
        <v>560</v>
      </c>
      <c r="H12419" s="69">
        <v>-0.65</v>
      </c>
    </row>
    <row r="12420" spans="6:8">
      <c r="F12420" s="68" t="s">
        <v>121</v>
      </c>
      <c r="G12420" s="67" t="s">
        <v>560</v>
      </c>
      <c r="H12420" s="69">
        <v>-0.55000000000000004</v>
      </c>
    </row>
    <row r="12421" spans="6:8">
      <c r="F12421" s="68" t="s">
        <v>251</v>
      </c>
      <c r="G12421" s="67" t="s">
        <v>560</v>
      </c>
      <c r="H12421" s="69">
        <v>0.24</v>
      </c>
    </row>
    <row r="12422" spans="6:8">
      <c r="F12422" s="68" t="s">
        <v>420</v>
      </c>
      <c r="G12422" s="67" t="s">
        <v>560</v>
      </c>
      <c r="H12422" s="69">
        <v>3.3111616483338047</v>
      </c>
    </row>
    <row r="12423" spans="6:8">
      <c r="F12423" s="68" t="s">
        <v>122</v>
      </c>
      <c r="G12423" s="67" t="s">
        <v>560</v>
      </c>
      <c r="H12423" s="69">
        <v>-0.55000000000000004</v>
      </c>
    </row>
    <row r="12424" spans="6:8">
      <c r="F12424" s="68" t="s">
        <v>123</v>
      </c>
      <c r="G12424" s="67" t="s">
        <v>560</v>
      </c>
      <c r="H12424" s="69">
        <v>-0.8</v>
      </c>
    </row>
    <row r="12425" spans="6:8">
      <c r="F12425" s="68" t="s">
        <v>124</v>
      </c>
      <c r="G12425" s="67" t="s">
        <v>560</v>
      </c>
      <c r="H12425" s="69">
        <v>-0.4</v>
      </c>
    </row>
    <row r="12426" spans="6:8">
      <c r="F12426" s="68" t="s">
        <v>252</v>
      </c>
      <c r="G12426" s="67" t="s">
        <v>560</v>
      </c>
      <c r="H12426" s="69">
        <v>0.33</v>
      </c>
    </row>
    <row r="12427" spans="6:8">
      <c r="F12427" s="68" t="s">
        <v>314</v>
      </c>
      <c r="G12427" s="67" t="s">
        <v>560</v>
      </c>
      <c r="H12427" s="69">
        <v>-0.25</v>
      </c>
    </row>
    <row r="12428" spans="6:8">
      <c r="F12428" s="68" t="s">
        <v>125</v>
      </c>
      <c r="G12428" s="67" t="s">
        <v>560</v>
      </c>
      <c r="H12428" s="69">
        <v>-0.35</v>
      </c>
    </row>
    <row r="12429" spans="6:8">
      <c r="F12429" s="68" t="s">
        <v>126</v>
      </c>
      <c r="G12429" s="67" t="s">
        <v>560</v>
      </c>
      <c r="H12429" s="69">
        <v>-0.7</v>
      </c>
    </row>
    <row r="12430" spans="6:8">
      <c r="F12430" s="68" t="s">
        <v>127</v>
      </c>
      <c r="G12430" s="67" t="s">
        <v>560</v>
      </c>
      <c r="H12430" s="69">
        <v>-0.35</v>
      </c>
    </row>
    <row r="12431" spans="6:8">
      <c r="F12431" s="68" t="s">
        <v>253</v>
      </c>
      <c r="G12431" s="67" t="s">
        <v>560</v>
      </c>
      <c r="H12431" s="69">
        <v>0.48</v>
      </c>
    </row>
    <row r="12432" spans="6:8">
      <c r="F12432" s="68" t="s">
        <v>315</v>
      </c>
      <c r="G12432" s="67" t="s">
        <v>560</v>
      </c>
      <c r="H12432" s="69">
        <v>-0.15</v>
      </c>
    </row>
    <row r="12433" spans="6:8">
      <c r="F12433" s="68" t="s">
        <v>128</v>
      </c>
      <c r="G12433" s="67" t="s">
        <v>560</v>
      </c>
      <c r="H12433" s="69">
        <v>-0.7</v>
      </c>
    </row>
    <row r="12434" spans="6:8">
      <c r="F12434" s="68" t="s">
        <v>129</v>
      </c>
      <c r="G12434" s="67" t="s">
        <v>560</v>
      </c>
      <c r="H12434" s="69">
        <v>-0.45</v>
      </c>
    </row>
    <row r="12435" spans="6:8">
      <c r="F12435" s="68" t="s">
        <v>254</v>
      </c>
      <c r="G12435" s="67" t="s">
        <v>560</v>
      </c>
      <c r="H12435" s="69">
        <v>0.66</v>
      </c>
    </row>
    <row r="12436" spans="6:8">
      <c r="F12436" s="68" t="s">
        <v>304</v>
      </c>
      <c r="G12436" s="67" t="s">
        <v>560</v>
      </c>
      <c r="H12436" s="69">
        <v>17.5625</v>
      </c>
    </row>
    <row r="12437" spans="6:8">
      <c r="F12437" s="68" t="s">
        <v>421</v>
      </c>
      <c r="G12437" s="67" t="s">
        <v>560</v>
      </c>
      <c r="H12437" s="69">
        <v>2.3634066636353257</v>
      </c>
    </row>
    <row r="12438" spans="6:8">
      <c r="F12438" s="68" t="s">
        <v>130</v>
      </c>
      <c r="G12438" s="67" t="s">
        <v>560</v>
      </c>
      <c r="H12438" s="69">
        <v>-0.8</v>
      </c>
    </row>
    <row r="12439" spans="6:8">
      <c r="F12439" s="68" t="s">
        <v>131</v>
      </c>
      <c r="G12439" s="67" t="s">
        <v>560</v>
      </c>
      <c r="H12439" s="69">
        <v>-0.45</v>
      </c>
    </row>
    <row r="12440" spans="6:8">
      <c r="F12440" s="68" t="s">
        <v>255</v>
      </c>
      <c r="G12440" s="67" t="s">
        <v>560</v>
      </c>
      <c r="H12440" s="69">
        <v>0.83</v>
      </c>
    </row>
    <row r="12441" spans="6:8">
      <c r="F12441" s="68" t="s">
        <v>303</v>
      </c>
      <c r="G12441" s="67" t="s">
        <v>560</v>
      </c>
      <c r="H12441" s="69">
        <v>18.625</v>
      </c>
    </row>
    <row r="12442" spans="6:8">
      <c r="F12442" s="68" t="s">
        <v>422</v>
      </c>
      <c r="G12442" s="67" t="s">
        <v>560</v>
      </c>
      <c r="H12442" s="69">
        <v>2.3693286646047085</v>
      </c>
    </row>
    <row r="12443" spans="6:8">
      <c r="F12443" s="68" t="s">
        <v>132</v>
      </c>
      <c r="G12443" s="67" t="s">
        <v>560</v>
      </c>
      <c r="H12443" s="69">
        <v>-0.75</v>
      </c>
    </row>
    <row r="12444" spans="6:8">
      <c r="F12444" s="68" t="s">
        <v>133</v>
      </c>
      <c r="G12444" s="67" t="s">
        <v>560</v>
      </c>
      <c r="H12444" s="69">
        <v>-0.5</v>
      </c>
    </row>
    <row r="12445" spans="6:8">
      <c r="F12445" s="68" t="s">
        <v>256</v>
      </c>
      <c r="G12445" s="67" t="s">
        <v>560</v>
      </c>
      <c r="H12445" s="69">
        <v>0.95</v>
      </c>
    </row>
    <row r="12446" spans="6:8">
      <c r="F12446" s="68" t="s">
        <v>423</v>
      </c>
      <c r="G12446" s="67" t="s">
        <v>560</v>
      </c>
      <c r="H12446" s="69">
        <v>2.4032194202406654</v>
      </c>
    </row>
    <row r="12447" spans="6:8">
      <c r="F12447" s="68" t="s">
        <v>134</v>
      </c>
      <c r="G12447" s="67" t="s">
        <v>560</v>
      </c>
      <c r="H12447" s="69">
        <v>-0.7</v>
      </c>
    </row>
    <row r="12448" spans="6:8">
      <c r="F12448" s="68" t="s">
        <v>135</v>
      </c>
      <c r="G12448" s="67" t="s">
        <v>560</v>
      </c>
      <c r="H12448" s="69">
        <v>-0.6</v>
      </c>
    </row>
    <row r="12449" spans="6:8">
      <c r="F12449" s="68" t="s">
        <v>257</v>
      </c>
      <c r="G12449" s="67" t="s">
        <v>560</v>
      </c>
      <c r="H12449" s="69">
        <v>1.01</v>
      </c>
    </row>
    <row r="12450" spans="6:8">
      <c r="F12450" s="68" t="s">
        <v>258</v>
      </c>
      <c r="G12450" s="67" t="s">
        <v>560</v>
      </c>
      <c r="H12450" s="69">
        <v>0.14000000000000001</v>
      </c>
    </row>
    <row r="12451" spans="6:8">
      <c r="F12451" s="68" t="s">
        <v>424</v>
      </c>
      <c r="G12451" s="67" t="s">
        <v>560</v>
      </c>
      <c r="H12451" s="69">
        <v>3.1087540621627774</v>
      </c>
    </row>
    <row r="12452" spans="6:8">
      <c r="F12452" s="68" t="s">
        <v>136</v>
      </c>
      <c r="G12452" s="67" t="s">
        <v>560</v>
      </c>
      <c r="H12452" s="69">
        <v>-0.65</v>
      </c>
    </row>
    <row r="12453" spans="6:8">
      <c r="F12453" s="68" t="s">
        <v>137</v>
      </c>
      <c r="G12453" s="67" t="s">
        <v>560</v>
      </c>
      <c r="H12453" s="69">
        <v>-0.65</v>
      </c>
    </row>
    <row r="12454" spans="6:8">
      <c r="F12454" s="68" t="s">
        <v>138</v>
      </c>
      <c r="G12454" s="67" t="s">
        <v>560</v>
      </c>
      <c r="H12454" s="69">
        <v>-0.65</v>
      </c>
    </row>
    <row r="12455" spans="6:8">
      <c r="F12455" s="68" t="s">
        <v>259</v>
      </c>
      <c r="G12455" s="67" t="s">
        <v>560</v>
      </c>
      <c r="H12455" s="69">
        <v>0.16</v>
      </c>
    </row>
    <row r="12456" spans="6:8">
      <c r="F12456" s="68" t="s">
        <v>425</v>
      </c>
      <c r="G12456" s="67" t="s">
        <v>560</v>
      </c>
      <c r="H12456" s="69">
        <v>3.0980866742760682</v>
      </c>
    </row>
    <row r="12457" spans="6:8">
      <c r="F12457" s="68" t="s">
        <v>425</v>
      </c>
      <c r="G12457" s="67" t="s">
        <v>561</v>
      </c>
      <c r="H12457" s="69">
        <v>3.1518001293163067</v>
      </c>
    </row>
    <row r="12458" spans="6:8">
      <c r="F12458" s="68" t="s">
        <v>259</v>
      </c>
      <c r="G12458" s="67" t="s">
        <v>561</v>
      </c>
      <c r="H12458" s="69">
        <v>0.16</v>
      </c>
    </row>
    <row r="12459" spans="6:8">
      <c r="F12459" s="68" t="s">
        <v>138</v>
      </c>
      <c r="G12459" s="67" t="s">
        <v>561</v>
      </c>
      <c r="H12459" s="69">
        <v>-0.6</v>
      </c>
    </row>
    <row r="12460" spans="6:8">
      <c r="F12460" s="68" t="s">
        <v>137</v>
      </c>
      <c r="G12460" s="67" t="s">
        <v>561</v>
      </c>
      <c r="H12460" s="69">
        <v>-0.6</v>
      </c>
    </row>
    <row r="12461" spans="6:8">
      <c r="F12461" s="68" t="s">
        <v>136</v>
      </c>
      <c r="G12461" s="67" t="s">
        <v>561</v>
      </c>
      <c r="H12461" s="69">
        <v>-0.6</v>
      </c>
    </row>
    <row r="12462" spans="6:8">
      <c r="F12462" s="68" t="s">
        <v>424</v>
      </c>
      <c r="G12462" s="67" t="s">
        <v>561</v>
      </c>
      <c r="H12462" s="69">
        <v>3.1627195150076837</v>
      </c>
    </row>
    <row r="12463" spans="6:8">
      <c r="F12463" s="68" t="s">
        <v>258</v>
      </c>
      <c r="G12463" s="67" t="s">
        <v>561</v>
      </c>
      <c r="H12463" s="69">
        <v>0.14000000000000001</v>
      </c>
    </row>
    <row r="12464" spans="6:8">
      <c r="F12464" s="68" t="s">
        <v>257</v>
      </c>
      <c r="G12464" s="67" t="s">
        <v>561</v>
      </c>
      <c r="H12464" s="69">
        <v>1.01</v>
      </c>
    </row>
    <row r="12465" spans="6:8">
      <c r="F12465" s="68" t="s">
        <v>135</v>
      </c>
      <c r="G12465" s="67" t="s">
        <v>561</v>
      </c>
      <c r="H12465" s="69">
        <v>-0.55000000000000004</v>
      </c>
    </row>
    <row r="12466" spans="6:8">
      <c r="F12466" s="68" t="s">
        <v>134</v>
      </c>
      <c r="G12466" s="67" t="s">
        <v>561</v>
      </c>
      <c r="H12466" s="69">
        <v>-0.65</v>
      </c>
    </row>
    <row r="12467" spans="6:8">
      <c r="F12467" s="68" t="s">
        <v>423</v>
      </c>
      <c r="G12467" s="67" t="s">
        <v>561</v>
      </c>
      <c r="H12467" s="69">
        <v>2.436082474442669</v>
      </c>
    </row>
    <row r="12468" spans="6:8">
      <c r="F12468" s="68" t="s">
        <v>256</v>
      </c>
      <c r="G12468" s="67" t="s">
        <v>561</v>
      </c>
      <c r="H12468" s="69">
        <v>0.95</v>
      </c>
    </row>
    <row r="12469" spans="6:8">
      <c r="F12469" s="68" t="s">
        <v>133</v>
      </c>
      <c r="G12469" s="67" t="s">
        <v>561</v>
      </c>
      <c r="H12469" s="69">
        <v>-0.45</v>
      </c>
    </row>
    <row r="12470" spans="6:8">
      <c r="F12470" s="68" t="s">
        <v>132</v>
      </c>
      <c r="G12470" s="67" t="s">
        <v>561</v>
      </c>
      <c r="H12470" s="69">
        <v>-0.7</v>
      </c>
    </row>
    <row r="12471" spans="6:8">
      <c r="F12471" s="68" t="s">
        <v>422</v>
      </c>
      <c r="G12471" s="67" t="s">
        <v>561</v>
      </c>
      <c r="H12471" s="69">
        <v>2.3962416342534709</v>
      </c>
    </row>
    <row r="12472" spans="6:8">
      <c r="F12472" s="68" t="s">
        <v>303</v>
      </c>
      <c r="G12472" s="67" t="s">
        <v>561</v>
      </c>
      <c r="H12472" s="69">
        <v>18.666666666666668</v>
      </c>
    </row>
    <row r="12473" spans="6:8">
      <c r="F12473" s="68" t="s">
        <v>255</v>
      </c>
      <c r="G12473" s="67" t="s">
        <v>561</v>
      </c>
      <c r="H12473" s="69">
        <v>0.83</v>
      </c>
    </row>
    <row r="12474" spans="6:8">
      <c r="F12474" s="68" t="s">
        <v>131</v>
      </c>
      <c r="G12474" s="67" t="s">
        <v>561</v>
      </c>
      <c r="H12474" s="69">
        <v>-0.4</v>
      </c>
    </row>
    <row r="12475" spans="6:8">
      <c r="F12475" s="68" t="s">
        <v>130</v>
      </c>
      <c r="G12475" s="67" t="s">
        <v>561</v>
      </c>
      <c r="H12475" s="69">
        <v>-0.75</v>
      </c>
    </row>
    <row r="12476" spans="6:8">
      <c r="F12476" s="68" t="s">
        <v>421</v>
      </c>
      <c r="G12476" s="67" t="s">
        <v>561</v>
      </c>
      <c r="H12476" s="69">
        <v>2.3902520334387223</v>
      </c>
    </row>
    <row r="12477" spans="6:8">
      <c r="F12477" s="68" t="s">
        <v>304</v>
      </c>
      <c r="G12477" s="67" t="s">
        <v>561</v>
      </c>
      <c r="H12477" s="69">
        <v>17.645833333333332</v>
      </c>
    </row>
    <row r="12478" spans="6:8">
      <c r="F12478" s="68" t="s">
        <v>254</v>
      </c>
      <c r="G12478" s="67" t="s">
        <v>561</v>
      </c>
      <c r="H12478" s="69">
        <v>0.66</v>
      </c>
    </row>
    <row r="12479" spans="6:8">
      <c r="F12479" s="68" t="s">
        <v>129</v>
      </c>
      <c r="G12479" s="67" t="s">
        <v>561</v>
      </c>
      <c r="H12479" s="69">
        <v>-0.4</v>
      </c>
    </row>
    <row r="12480" spans="6:8">
      <c r="F12480" s="68" t="s">
        <v>128</v>
      </c>
      <c r="G12480" s="67" t="s">
        <v>561</v>
      </c>
      <c r="H12480" s="69">
        <v>-0.65</v>
      </c>
    </row>
    <row r="12481" spans="6:8">
      <c r="F12481" s="68" t="s">
        <v>315</v>
      </c>
      <c r="G12481" s="67" t="s">
        <v>561</v>
      </c>
      <c r="H12481" s="69">
        <v>-0.15</v>
      </c>
    </row>
    <row r="12482" spans="6:8">
      <c r="F12482" s="68" t="s">
        <v>253</v>
      </c>
      <c r="G12482" s="67" t="s">
        <v>561</v>
      </c>
      <c r="H12482" s="69">
        <v>0.48</v>
      </c>
    </row>
    <row r="12483" spans="6:8">
      <c r="F12483" s="68" t="s">
        <v>127</v>
      </c>
      <c r="G12483" s="67" t="s">
        <v>561</v>
      </c>
      <c r="H12483" s="69">
        <v>-0.3</v>
      </c>
    </row>
    <row r="12484" spans="6:8">
      <c r="F12484" s="68" t="s">
        <v>126</v>
      </c>
      <c r="G12484" s="67" t="s">
        <v>561</v>
      </c>
      <c r="H12484" s="69">
        <v>-0.65</v>
      </c>
    </row>
    <row r="12485" spans="6:8">
      <c r="F12485" s="68" t="s">
        <v>125</v>
      </c>
      <c r="G12485" s="67" t="s">
        <v>561</v>
      </c>
      <c r="H12485" s="69">
        <v>-0.3</v>
      </c>
    </row>
    <row r="12486" spans="6:8">
      <c r="F12486" s="68" t="s">
        <v>314</v>
      </c>
      <c r="G12486" s="67" t="s">
        <v>561</v>
      </c>
      <c r="H12486" s="69">
        <v>-0.2</v>
      </c>
    </row>
    <row r="12487" spans="6:8">
      <c r="F12487" s="68" t="s">
        <v>252</v>
      </c>
      <c r="G12487" s="67" t="s">
        <v>561</v>
      </c>
      <c r="H12487" s="69">
        <v>0.33</v>
      </c>
    </row>
    <row r="12488" spans="6:8">
      <c r="F12488" s="68" t="s">
        <v>124</v>
      </c>
      <c r="G12488" s="67" t="s">
        <v>561</v>
      </c>
      <c r="H12488" s="69">
        <v>-0.4</v>
      </c>
    </row>
    <row r="12489" spans="6:8">
      <c r="F12489" s="68" t="s">
        <v>123</v>
      </c>
      <c r="G12489" s="67" t="s">
        <v>561</v>
      </c>
      <c r="H12489" s="69">
        <v>-0.75</v>
      </c>
    </row>
    <row r="12490" spans="6:8">
      <c r="F12490" s="68" t="s">
        <v>122</v>
      </c>
      <c r="G12490" s="67" t="s">
        <v>561</v>
      </c>
      <c r="H12490" s="69">
        <v>-0.5</v>
      </c>
    </row>
    <row r="12491" spans="6:8">
      <c r="F12491" s="68" t="s">
        <v>420</v>
      </c>
      <c r="G12491" s="67" t="s">
        <v>561</v>
      </c>
      <c r="H12491" s="69">
        <v>3.3584090078904172</v>
      </c>
    </row>
    <row r="12492" spans="6:8">
      <c r="F12492" s="68" t="s">
        <v>251</v>
      </c>
      <c r="G12492" s="67" t="s">
        <v>561</v>
      </c>
      <c r="H12492" s="69">
        <v>0.24</v>
      </c>
    </row>
    <row r="12493" spans="6:8">
      <c r="F12493" s="68" t="s">
        <v>121</v>
      </c>
      <c r="G12493" s="67" t="s">
        <v>561</v>
      </c>
      <c r="H12493" s="69">
        <v>-0.5</v>
      </c>
    </row>
    <row r="12494" spans="6:8">
      <c r="F12494" s="68" t="s">
        <v>120</v>
      </c>
      <c r="G12494" s="67" t="s">
        <v>561</v>
      </c>
      <c r="H12494" s="69">
        <v>-0.6</v>
      </c>
    </row>
    <row r="12495" spans="6:8">
      <c r="F12495" s="68" t="s">
        <v>119</v>
      </c>
      <c r="G12495" s="67" t="s">
        <v>561</v>
      </c>
      <c r="H12495" s="69">
        <v>-0.55000000000000004</v>
      </c>
    </row>
    <row r="12496" spans="6:8">
      <c r="F12496" s="68" t="s">
        <v>119</v>
      </c>
      <c r="G12496" s="67" t="s">
        <v>562</v>
      </c>
      <c r="H12496" s="69">
        <v>-0.55000000000000004</v>
      </c>
    </row>
    <row r="12497" spans="6:8">
      <c r="F12497" s="68" t="s">
        <v>120</v>
      </c>
      <c r="G12497" s="67" t="s">
        <v>562</v>
      </c>
      <c r="H12497" s="69">
        <v>-0.6</v>
      </c>
    </row>
    <row r="12498" spans="6:8">
      <c r="F12498" s="68" t="s">
        <v>121</v>
      </c>
      <c r="G12498" s="67" t="s">
        <v>562</v>
      </c>
      <c r="H12498" s="69">
        <v>-0.5</v>
      </c>
    </row>
    <row r="12499" spans="6:8">
      <c r="F12499" s="68" t="s">
        <v>251</v>
      </c>
      <c r="G12499" s="67" t="s">
        <v>562</v>
      </c>
      <c r="H12499" s="69">
        <v>0.24</v>
      </c>
    </row>
    <row r="12500" spans="6:8">
      <c r="F12500" s="68" t="s">
        <v>420</v>
      </c>
      <c r="G12500" s="67" t="s">
        <v>562</v>
      </c>
      <c r="H12500" s="69">
        <v>3.3799296471468399</v>
      </c>
    </row>
    <row r="12501" spans="6:8">
      <c r="F12501" s="68" t="s">
        <v>122</v>
      </c>
      <c r="G12501" s="67" t="s">
        <v>562</v>
      </c>
      <c r="H12501" s="69">
        <v>-0.5</v>
      </c>
    </row>
    <row r="12502" spans="6:8">
      <c r="F12502" s="68" t="s">
        <v>123</v>
      </c>
      <c r="G12502" s="67" t="s">
        <v>562</v>
      </c>
      <c r="H12502" s="69">
        <v>-0.75</v>
      </c>
    </row>
    <row r="12503" spans="6:8">
      <c r="F12503" s="68" t="s">
        <v>124</v>
      </c>
      <c r="G12503" s="67" t="s">
        <v>562</v>
      </c>
      <c r="H12503" s="69">
        <v>-0.4</v>
      </c>
    </row>
    <row r="12504" spans="6:8">
      <c r="F12504" s="68" t="s">
        <v>252</v>
      </c>
      <c r="G12504" s="67" t="s">
        <v>562</v>
      </c>
      <c r="H12504" s="69">
        <v>0.33</v>
      </c>
    </row>
    <row r="12505" spans="6:8">
      <c r="F12505" s="68" t="s">
        <v>314</v>
      </c>
      <c r="G12505" s="67" t="s">
        <v>562</v>
      </c>
      <c r="H12505" s="69">
        <v>-0.2</v>
      </c>
    </row>
    <row r="12506" spans="6:8">
      <c r="F12506" s="68" t="s">
        <v>125</v>
      </c>
      <c r="G12506" s="67" t="s">
        <v>562</v>
      </c>
      <c r="H12506" s="69">
        <v>-0.3</v>
      </c>
    </row>
    <row r="12507" spans="6:8">
      <c r="F12507" s="68" t="s">
        <v>126</v>
      </c>
      <c r="G12507" s="67" t="s">
        <v>562</v>
      </c>
      <c r="H12507" s="69">
        <v>-0.65</v>
      </c>
    </row>
    <row r="12508" spans="6:8">
      <c r="F12508" s="68" t="s">
        <v>127</v>
      </c>
      <c r="G12508" s="67" t="s">
        <v>562</v>
      </c>
      <c r="H12508" s="69">
        <v>-0.3</v>
      </c>
    </row>
    <row r="12509" spans="6:8">
      <c r="F12509" s="68" t="s">
        <v>253</v>
      </c>
      <c r="G12509" s="67" t="s">
        <v>562</v>
      </c>
      <c r="H12509" s="69">
        <v>0.48</v>
      </c>
    </row>
    <row r="12510" spans="6:8">
      <c r="F12510" s="68" t="s">
        <v>315</v>
      </c>
      <c r="G12510" s="67" t="s">
        <v>562</v>
      </c>
      <c r="H12510" s="69">
        <v>-0.15</v>
      </c>
    </row>
    <row r="12511" spans="6:8">
      <c r="F12511" s="68" t="s">
        <v>128</v>
      </c>
      <c r="G12511" s="67" t="s">
        <v>562</v>
      </c>
      <c r="H12511" s="69">
        <v>-0.65</v>
      </c>
    </row>
    <row r="12512" spans="6:8">
      <c r="F12512" s="68" t="s">
        <v>129</v>
      </c>
      <c r="G12512" s="67" t="s">
        <v>562</v>
      </c>
      <c r="H12512" s="69">
        <v>-0.4</v>
      </c>
    </row>
    <row r="12513" spans="6:8">
      <c r="F12513" s="68" t="s">
        <v>254</v>
      </c>
      <c r="G12513" s="67" t="s">
        <v>562</v>
      </c>
      <c r="H12513" s="69">
        <v>0.66</v>
      </c>
    </row>
    <row r="12514" spans="6:8">
      <c r="F12514" s="68" t="s">
        <v>304</v>
      </c>
      <c r="G12514" s="67" t="s">
        <v>562</v>
      </c>
      <c r="H12514" s="69">
        <v>17.791666666666668</v>
      </c>
    </row>
    <row r="12515" spans="6:8">
      <c r="F12515" s="68" t="s">
        <v>421</v>
      </c>
      <c r="G12515" s="67" t="s">
        <v>562</v>
      </c>
      <c r="H12515" s="69">
        <v>2.4062560391625354</v>
      </c>
    </row>
    <row r="12516" spans="6:8">
      <c r="F12516" s="68" t="s">
        <v>130</v>
      </c>
      <c r="G12516" s="67" t="s">
        <v>562</v>
      </c>
      <c r="H12516" s="69">
        <v>-0.75</v>
      </c>
    </row>
    <row r="12517" spans="6:8">
      <c r="F12517" s="68" t="s">
        <v>131</v>
      </c>
      <c r="G12517" s="67" t="s">
        <v>562</v>
      </c>
      <c r="H12517" s="69">
        <v>-0.4</v>
      </c>
    </row>
    <row r="12518" spans="6:8">
      <c r="F12518" s="68" t="s">
        <v>255</v>
      </c>
      <c r="G12518" s="67" t="s">
        <v>562</v>
      </c>
      <c r="H12518" s="69">
        <v>0.83</v>
      </c>
    </row>
    <row r="12519" spans="6:8">
      <c r="F12519" s="68" t="s">
        <v>303</v>
      </c>
      <c r="G12519" s="67" t="s">
        <v>562</v>
      </c>
      <c r="H12519" s="69">
        <v>18.791666666666668</v>
      </c>
    </row>
    <row r="12520" spans="6:8">
      <c r="F12520" s="68" t="s">
        <v>422</v>
      </c>
      <c r="G12520" s="67" t="s">
        <v>562</v>
      </c>
      <c r="H12520" s="69">
        <v>2.4121054466847092</v>
      </c>
    </row>
    <row r="12521" spans="6:8">
      <c r="F12521" s="68" t="s">
        <v>132</v>
      </c>
      <c r="G12521" s="67" t="s">
        <v>562</v>
      </c>
      <c r="H12521" s="69">
        <v>-0.7</v>
      </c>
    </row>
    <row r="12522" spans="6:8">
      <c r="F12522" s="68" t="s">
        <v>133</v>
      </c>
      <c r="G12522" s="67" t="s">
        <v>562</v>
      </c>
      <c r="H12522" s="69">
        <v>-0.45</v>
      </c>
    </row>
    <row r="12523" spans="6:8">
      <c r="F12523" s="68" t="s">
        <v>256</v>
      </c>
      <c r="G12523" s="67" t="s">
        <v>562</v>
      </c>
      <c r="H12523" s="69">
        <v>0.95</v>
      </c>
    </row>
    <row r="12524" spans="6:8">
      <c r="F12524" s="68" t="s">
        <v>423</v>
      </c>
      <c r="G12524" s="67" t="s">
        <v>562</v>
      </c>
      <c r="H12524" s="69">
        <v>2.4526629794087373</v>
      </c>
    </row>
    <row r="12525" spans="6:8">
      <c r="F12525" s="68" t="s">
        <v>134</v>
      </c>
      <c r="G12525" s="67" t="s">
        <v>562</v>
      </c>
      <c r="H12525" s="69">
        <v>-0.65</v>
      </c>
    </row>
    <row r="12526" spans="6:8">
      <c r="F12526" s="68" t="s">
        <v>135</v>
      </c>
      <c r="G12526" s="67" t="s">
        <v>562</v>
      </c>
      <c r="H12526" s="69">
        <v>-0.55000000000000004</v>
      </c>
    </row>
    <row r="12527" spans="6:8">
      <c r="F12527" s="68" t="s">
        <v>257</v>
      </c>
      <c r="G12527" s="67" t="s">
        <v>562</v>
      </c>
      <c r="H12527" s="69">
        <v>1.01</v>
      </c>
    </row>
    <row r="12528" spans="6:8">
      <c r="F12528" s="68" t="s">
        <v>258</v>
      </c>
      <c r="G12528" s="67" t="s">
        <v>562</v>
      </c>
      <c r="H12528" s="69">
        <v>0.14000000000000001</v>
      </c>
    </row>
    <row r="12529" spans="6:8">
      <c r="F12529" s="68" t="s">
        <v>424</v>
      </c>
      <c r="G12529" s="67" t="s">
        <v>562</v>
      </c>
      <c r="H12529" s="69">
        <v>3.1810604778990559</v>
      </c>
    </row>
    <row r="12530" spans="6:8">
      <c r="F12530" s="68" t="s">
        <v>136</v>
      </c>
      <c r="G12530" s="67" t="s">
        <v>562</v>
      </c>
      <c r="H12530" s="69">
        <v>-0.6</v>
      </c>
    </row>
    <row r="12531" spans="6:8">
      <c r="F12531" s="68" t="s">
        <v>137</v>
      </c>
      <c r="G12531" s="67" t="s">
        <v>562</v>
      </c>
      <c r="H12531" s="69">
        <v>-0.6</v>
      </c>
    </row>
    <row r="12532" spans="6:8">
      <c r="F12532" s="68" t="s">
        <v>138</v>
      </c>
      <c r="G12532" s="67" t="s">
        <v>562</v>
      </c>
      <c r="H12532" s="69">
        <v>-0.6</v>
      </c>
    </row>
    <row r="12533" spans="6:8">
      <c r="F12533" s="68" t="s">
        <v>259</v>
      </c>
      <c r="G12533" s="67" t="s">
        <v>562</v>
      </c>
      <c r="H12533" s="69">
        <v>0.16</v>
      </c>
    </row>
    <row r="12534" spans="6:8">
      <c r="F12534" s="68" t="s">
        <v>425</v>
      </c>
      <c r="G12534" s="67" t="s">
        <v>562</v>
      </c>
      <c r="H12534" s="69">
        <v>3.1702661811000787</v>
      </c>
    </row>
    <row r="12535" spans="6:8">
      <c r="F12535" s="68" t="s">
        <v>425</v>
      </c>
      <c r="G12535" s="67" t="s">
        <v>563</v>
      </c>
      <c r="H12535" s="69">
        <v>3.13005583685384</v>
      </c>
    </row>
    <row r="12536" spans="6:8">
      <c r="F12536" s="68" t="s">
        <v>259</v>
      </c>
      <c r="G12536" s="67" t="s">
        <v>563</v>
      </c>
      <c r="H12536" s="69">
        <v>0.16</v>
      </c>
    </row>
    <row r="12537" spans="6:8">
      <c r="F12537" s="68" t="s">
        <v>138</v>
      </c>
      <c r="G12537" s="67" t="s">
        <v>563</v>
      </c>
      <c r="H12537" s="69">
        <v>-0.6</v>
      </c>
    </row>
    <row r="12538" spans="6:8">
      <c r="F12538" s="68" t="s">
        <v>137</v>
      </c>
      <c r="G12538" s="67" t="s">
        <v>563</v>
      </c>
      <c r="H12538" s="69">
        <v>-0.6</v>
      </c>
    </row>
    <row r="12539" spans="6:8">
      <c r="F12539" s="68" t="s">
        <v>136</v>
      </c>
      <c r="G12539" s="67" t="s">
        <v>563</v>
      </c>
      <c r="H12539" s="69">
        <v>-0.6</v>
      </c>
    </row>
    <row r="12540" spans="6:8">
      <c r="F12540" s="68" t="s">
        <v>424</v>
      </c>
      <c r="G12540" s="67" t="s">
        <v>563</v>
      </c>
      <c r="H12540" s="69">
        <v>3.142950369862163</v>
      </c>
    </row>
    <row r="12541" spans="6:8">
      <c r="F12541" s="68" t="s">
        <v>258</v>
      </c>
      <c r="G12541" s="67" t="s">
        <v>563</v>
      </c>
      <c r="H12541" s="69">
        <v>0.14000000000000001</v>
      </c>
    </row>
    <row r="12542" spans="6:8">
      <c r="F12542" s="68" t="s">
        <v>257</v>
      </c>
      <c r="G12542" s="67" t="s">
        <v>563</v>
      </c>
      <c r="H12542" s="69">
        <v>1.01</v>
      </c>
    </row>
    <row r="12543" spans="6:8">
      <c r="F12543" s="68" t="s">
        <v>135</v>
      </c>
      <c r="G12543" s="67" t="s">
        <v>563</v>
      </c>
      <c r="H12543" s="69">
        <v>-0.55000000000000004</v>
      </c>
    </row>
    <row r="12544" spans="6:8">
      <c r="F12544" s="68" t="s">
        <v>134</v>
      </c>
      <c r="G12544" s="67" t="s">
        <v>563</v>
      </c>
      <c r="H12544" s="69">
        <v>-0.65</v>
      </c>
    </row>
    <row r="12545" spans="6:8">
      <c r="F12545" s="68" t="s">
        <v>423</v>
      </c>
      <c r="G12545" s="67" t="s">
        <v>563</v>
      </c>
      <c r="H12545" s="69">
        <v>2.3923323383757911</v>
      </c>
    </row>
    <row r="12546" spans="6:8">
      <c r="F12546" s="68" t="s">
        <v>256</v>
      </c>
      <c r="G12546" s="67" t="s">
        <v>563</v>
      </c>
      <c r="H12546" s="69">
        <v>0.95</v>
      </c>
    </row>
    <row r="12547" spans="6:8">
      <c r="F12547" s="68" t="s">
        <v>133</v>
      </c>
      <c r="G12547" s="67" t="s">
        <v>563</v>
      </c>
      <c r="H12547" s="69">
        <v>-0.45</v>
      </c>
    </row>
    <row r="12548" spans="6:8">
      <c r="F12548" s="68" t="s">
        <v>132</v>
      </c>
      <c r="G12548" s="67" t="s">
        <v>563</v>
      </c>
      <c r="H12548" s="69">
        <v>-0.7</v>
      </c>
    </row>
    <row r="12549" spans="6:8">
      <c r="F12549" s="68" t="s">
        <v>422</v>
      </c>
      <c r="G12549" s="67" t="s">
        <v>563</v>
      </c>
      <c r="H12549" s="69">
        <v>2.3490035081086269</v>
      </c>
    </row>
    <row r="12550" spans="6:8">
      <c r="F12550" s="68" t="s">
        <v>303</v>
      </c>
      <c r="G12550" s="67" t="s">
        <v>563</v>
      </c>
      <c r="H12550" s="69">
        <v>19.083333333333332</v>
      </c>
    </row>
    <row r="12551" spans="6:8">
      <c r="F12551" s="68" t="s">
        <v>255</v>
      </c>
      <c r="G12551" s="67" t="s">
        <v>563</v>
      </c>
      <c r="H12551" s="69">
        <v>0.83</v>
      </c>
    </row>
    <row r="12552" spans="6:8">
      <c r="F12552" s="68" t="s">
        <v>131</v>
      </c>
      <c r="G12552" s="67" t="s">
        <v>563</v>
      </c>
      <c r="H12552" s="69">
        <v>-0.4</v>
      </c>
    </row>
    <row r="12553" spans="6:8">
      <c r="F12553" s="68" t="s">
        <v>130</v>
      </c>
      <c r="G12553" s="67" t="s">
        <v>563</v>
      </c>
      <c r="H12553" s="69">
        <v>-0.75</v>
      </c>
    </row>
    <row r="12554" spans="6:8">
      <c r="F12554" s="68" t="s">
        <v>421</v>
      </c>
      <c r="G12554" s="67" t="s">
        <v>563</v>
      </c>
      <c r="H12554" s="69">
        <v>2.3431652236415967</v>
      </c>
    </row>
    <row r="12555" spans="6:8">
      <c r="F12555" s="68" t="s">
        <v>304</v>
      </c>
      <c r="G12555" s="67" t="s">
        <v>563</v>
      </c>
      <c r="H12555" s="69">
        <v>18.083333333333332</v>
      </c>
    </row>
    <row r="12556" spans="6:8">
      <c r="F12556" s="68" t="s">
        <v>254</v>
      </c>
      <c r="G12556" s="67" t="s">
        <v>563</v>
      </c>
      <c r="H12556" s="69">
        <v>0.66</v>
      </c>
    </row>
    <row r="12557" spans="6:8">
      <c r="F12557" s="68" t="s">
        <v>129</v>
      </c>
      <c r="G12557" s="67" t="s">
        <v>563</v>
      </c>
      <c r="H12557" s="69">
        <v>-0.4</v>
      </c>
    </row>
    <row r="12558" spans="6:8">
      <c r="F12558" s="68" t="s">
        <v>128</v>
      </c>
      <c r="G12558" s="67" t="s">
        <v>563</v>
      </c>
      <c r="H12558" s="69">
        <v>-0.65</v>
      </c>
    </row>
    <row r="12559" spans="6:8">
      <c r="F12559" s="68" t="s">
        <v>315</v>
      </c>
      <c r="G12559" s="67" t="s">
        <v>563</v>
      </c>
      <c r="H12559" s="69">
        <v>-0.15</v>
      </c>
    </row>
    <row r="12560" spans="6:8">
      <c r="F12560" s="68" t="s">
        <v>253</v>
      </c>
      <c r="G12560" s="67" t="s">
        <v>563</v>
      </c>
      <c r="H12560" s="69">
        <v>0.48</v>
      </c>
    </row>
    <row r="12561" spans="6:8">
      <c r="F12561" s="68" t="s">
        <v>127</v>
      </c>
      <c r="G12561" s="67" t="s">
        <v>563</v>
      </c>
      <c r="H12561" s="69">
        <v>-0.3</v>
      </c>
    </row>
    <row r="12562" spans="6:8">
      <c r="F12562" s="68" t="s">
        <v>126</v>
      </c>
      <c r="G12562" s="67" t="s">
        <v>563</v>
      </c>
      <c r="H12562" s="69">
        <v>-0.65</v>
      </c>
    </row>
    <row r="12563" spans="6:8">
      <c r="F12563" s="68" t="s">
        <v>125</v>
      </c>
      <c r="G12563" s="67" t="s">
        <v>563</v>
      </c>
      <c r="H12563" s="69">
        <v>-0.3</v>
      </c>
    </row>
    <row r="12564" spans="6:8">
      <c r="F12564" s="68" t="s">
        <v>314</v>
      </c>
      <c r="G12564" s="67" t="s">
        <v>563</v>
      </c>
      <c r="H12564" s="69">
        <v>-0.2</v>
      </c>
    </row>
    <row r="12565" spans="6:8">
      <c r="F12565" s="68" t="s">
        <v>252</v>
      </c>
      <c r="G12565" s="67" t="s">
        <v>563</v>
      </c>
      <c r="H12565" s="69">
        <v>0.33</v>
      </c>
    </row>
    <row r="12566" spans="6:8">
      <c r="F12566" s="68" t="s">
        <v>124</v>
      </c>
      <c r="G12566" s="67" t="s">
        <v>563</v>
      </c>
      <c r="H12566" s="69">
        <v>-0.4</v>
      </c>
    </row>
    <row r="12567" spans="6:8">
      <c r="F12567" s="68" t="s">
        <v>123</v>
      </c>
      <c r="G12567" s="67" t="s">
        <v>563</v>
      </c>
      <c r="H12567" s="69">
        <v>-0.75</v>
      </c>
    </row>
    <row r="12568" spans="6:8">
      <c r="F12568" s="68" t="s">
        <v>122</v>
      </c>
      <c r="G12568" s="67" t="s">
        <v>563</v>
      </c>
      <c r="H12568" s="69">
        <v>-0.5</v>
      </c>
    </row>
    <row r="12569" spans="6:8">
      <c r="F12569" s="68" t="s">
        <v>420</v>
      </c>
      <c r="G12569" s="67" t="s">
        <v>563</v>
      </c>
      <c r="H12569" s="69">
        <v>3.3430017018066582</v>
      </c>
    </row>
    <row r="12570" spans="6:8">
      <c r="F12570" s="68" t="s">
        <v>251</v>
      </c>
      <c r="G12570" s="67" t="s">
        <v>563</v>
      </c>
      <c r="H12570" s="69">
        <v>0.24</v>
      </c>
    </row>
    <row r="12571" spans="6:8">
      <c r="F12571" s="68" t="s">
        <v>121</v>
      </c>
      <c r="G12571" s="67" t="s">
        <v>563</v>
      </c>
      <c r="H12571" s="69">
        <v>-0.5</v>
      </c>
    </row>
    <row r="12572" spans="6:8">
      <c r="F12572" s="68" t="s">
        <v>120</v>
      </c>
      <c r="G12572" s="67" t="s">
        <v>563</v>
      </c>
      <c r="H12572" s="69">
        <v>-0.6</v>
      </c>
    </row>
    <row r="12573" spans="6:8">
      <c r="F12573" s="68" t="s">
        <v>119</v>
      </c>
      <c r="G12573" s="67" t="s">
        <v>563</v>
      </c>
      <c r="H12573" s="69">
        <v>-0.55000000000000004</v>
      </c>
    </row>
    <row r="12574" spans="6:8">
      <c r="F12574" s="68" t="s">
        <v>119</v>
      </c>
      <c r="G12574" s="67" t="s">
        <v>564</v>
      </c>
      <c r="H12574" s="69">
        <v>-0.55000000000000004</v>
      </c>
    </row>
    <row r="12575" spans="6:8">
      <c r="F12575" s="68" t="s">
        <v>120</v>
      </c>
      <c r="G12575" s="67" t="s">
        <v>564</v>
      </c>
      <c r="H12575" s="69">
        <v>-0.6</v>
      </c>
    </row>
    <row r="12576" spans="6:8">
      <c r="F12576" s="68" t="s">
        <v>121</v>
      </c>
      <c r="G12576" s="67" t="s">
        <v>564</v>
      </c>
      <c r="H12576" s="69">
        <v>-0.5</v>
      </c>
    </row>
    <row r="12577" spans="6:8">
      <c r="F12577" s="68" t="s">
        <v>251</v>
      </c>
      <c r="G12577" s="67" t="s">
        <v>564</v>
      </c>
      <c r="H12577" s="69">
        <v>0.24</v>
      </c>
    </row>
    <row r="12578" spans="6:8">
      <c r="F12578" s="68" t="s">
        <v>420</v>
      </c>
      <c r="G12578" s="67" t="s">
        <v>564</v>
      </c>
      <c r="H12578" s="69">
        <v>3.3476105429498304</v>
      </c>
    </row>
    <row r="12579" spans="6:8">
      <c r="F12579" s="68" t="s">
        <v>122</v>
      </c>
      <c r="G12579" s="67" t="s">
        <v>564</v>
      </c>
      <c r="H12579" s="69">
        <v>-0.5</v>
      </c>
    </row>
    <row r="12580" spans="6:8">
      <c r="F12580" s="68" t="s">
        <v>123</v>
      </c>
      <c r="G12580" s="67" t="s">
        <v>564</v>
      </c>
      <c r="H12580" s="69">
        <v>-0.75</v>
      </c>
    </row>
    <row r="12581" spans="6:8">
      <c r="F12581" s="68" t="s">
        <v>124</v>
      </c>
      <c r="G12581" s="67" t="s">
        <v>564</v>
      </c>
      <c r="H12581" s="69">
        <v>-0.4</v>
      </c>
    </row>
    <row r="12582" spans="6:8">
      <c r="F12582" s="68" t="s">
        <v>252</v>
      </c>
      <c r="G12582" s="67" t="s">
        <v>564</v>
      </c>
      <c r="H12582" s="69">
        <v>0.33</v>
      </c>
    </row>
    <row r="12583" spans="6:8">
      <c r="F12583" s="68" t="s">
        <v>314</v>
      </c>
      <c r="G12583" s="67" t="s">
        <v>564</v>
      </c>
      <c r="H12583" s="69">
        <v>-0.2</v>
      </c>
    </row>
    <row r="12584" spans="6:8">
      <c r="F12584" s="68" t="s">
        <v>125</v>
      </c>
      <c r="G12584" s="67" t="s">
        <v>564</v>
      </c>
      <c r="H12584" s="69">
        <v>-0.3</v>
      </c>
    </row>
    <row r="12585" spans="6:8">
      <c r="F12585" s="68" t="s">
        <v>126</v>
      </c>
      <c r="G12585" s="67" t="s">
        <v>564</v>
      </c>
      <c r="H12585" s="69">
        <v>-0.65</v>
      </c>
    </row>
    <row r="12586" spans="6:8">
      <c r="F12586" s="68" t="s">
        <v>127</v>
      </c>
      <c r="G12586" s="67" t="s">
        <v>564</v>
      </c>
      <c r="H12586" s="69">
        <v>-0.3</v>
      </c>
    </row>
    <row r="12587" spans="6:8">
      <c r="F12587" s="68" t="s">
        <v>253</v>
      </c>
      <c r="G12587" s="67" t="s">
        <v>564</v>
      </c>
      <c r="H12587" s="69">
        <v>0.48</v>
      </c>
    </row>
    <row r="12588" spans="6:8">
      <c r="F12588" s="68" t="s">
        <v>315</v>
      </c>
      <c r="G12588" s="67" t="s">
        <v>564</v>
      </c>
      <c r="H12588" s="69">
        <v>-0.15</v>
      </c>
    </row>
    <row r="12589" spans="6:8">
      <c r="F12589" s="68" t="s">
        <v>128</v>
      </c>
      <c r="G12589" s="67" t="s">
        <v>564</v>
      </c>
      <c r="H12589" s="69">
        <v>-0.65</v>
      </c>
    </row>
    <row r="12590" spans="6:8">
      <c r="F12590" s="68" t="s">
        <v>129</v>
      </c>
      <c r="G12590" s="67" t="s">
        <v>564</v>
      </c>
      <c r="H12590" s="69">
        <v>-0.4</v>
      </c>
    </row>
    <row r="12591" spans="6:8">
      <c r="F12591" s="68" t="s">
        <v>254</v>
      </c>
      <c r="G12591" s="67" t="s">
        <v>564</v>
      </c>
      <c r="H12591" s="69">
        <v>0.66</v>
      </c>
    </row>
    <row r="12592" spans="6:8">
      <c r="F12592" s="68" t="s">
        <v>304</v>
      </c>
      <c r="G12592" s="67" t="s">
        <v>564</v>
      </c>
      <c r="H12592" s="69">
        <v>18.083333333333332</v>
      </c>
    </row>
    <row r="12593" spans="6:8">
      <c r="F12593" s="68" t="s">
        <v>421</v>
      </c>
      <c r="G12593" s="67" t="s">
        <v>564</v>
      </c>
      <c r="H12593" s="69">
        <v>2.3486849621501271</v>
      </c>
    </row>
    <row r="12594" spans="6:8">
      <c r="F12594" s="68" t="s">
        <v>130</v>
      </c>
      <c r="G12594" s="67" t="s">
        <v>564</v>
      </c>
      <c r="H12594" s="69">
        <v>-0.75</v>
      </c>
    </row>
    <row r="12595" spans="6:8">
      <c r="F12595" s="68" t="s">
        <v>131</v>
      </c>
      <c r="G12595" s="67" t="s">
        <v>564</v>
      </c>
      <c r="H12595" s="69">
        <v>-0.4</v>
      </c>
    </row>
    <row r="12596" spans="6:8">
      <c r="F12596" s="68" t="s">
        <v>255</v>
      </c>
      <c r="G12596" s="67" t="s">
        <v>564</v>
      </c>
      <c r="H12596" s="69">
        <v>0.83</v>
      </c>
    </row>
    <row r="12597" spans="6:8">
      <c r="F12597" s="68" t="s">
        <v>303</v>
      </c>
      <c r="G12597" s="67" t="s">
        <v>564</v>
      </c>
      <c r="H12597" s="69">
        <v>19.083333333333332</v>
      </c>
    </row>
    <row r="12598" spans="6:8">
      <c r="F12598" s="68" t="s">
        <v>422</v>
      </c>
      <c r="G12598" s="67" t="s">
        <v>564</v>
      </c>
      <c r="H12598" s="69">
        <v>2.354393744394967</v>
      </c>
    </row>
    <row r="12599" spans="6:8">
      <c r="F12599" s="68" t="s">
        <v>132</v>
      </c>
      <c r="G12599" s="67" t="s">
        <v>564</v>
      </c>
      <c r="H12599" s="69">
        <v>-0.7</v>
      </c>
    </row>
    <row r="12600" spans="6:8">
      <c r="F12600" s="68" t="s">
        <v>133</v>
      </c>
      <c r="G12600" s="67" t="s">
        <v>564</v>
      </c>
      <c r="H12600" s="69">
        <v>-0.45</v>
      </c>
    </row>
    <row r="12601" spans="6:8">
      <c r="F12601" s="68" t="s">
        <v>256</v>
      </c>
      <c r="G12601" s="67" t="s">
        <v>564</v>
      </c>
      <c r="H12601" s="69">
        <v>0.95</v>
      </c>
    </row>
    <row r="12602" spans="6:8">
      <c r="F12602" s="68" t="s">
        <v>423</v>
      </c>
      <c r="G12602" s="67" t="s">
        <v>564</v>
      </c>
      <c r="H12602" s="69">
        <v>2.3959409565430967</v>
      </c>
    </row>
    <row r="12603" spans="6:8">
      <c r="F12603" s="68" t="s">
        <v>134</v>
      </c>
      <c r="G12603" s="67" t="s">
        <v>564</v>
      </c>
      <c r="H12603" s="69">
        <v>-0.65</v>
      </c>
    </row>
    <row r="12604" spans="6:8">
      <c r="F12604" s="68" t="s">
        <v>135</v>
      </c>
      <c r="G12604" s="67" t="s">
        <v>564</v>
      </c>
      <c r="H12604" s="69">
        <v>-0.55000000000000004</v>
      </c>
    </row>
    <row r="12605" spans="6:8">
      <c r="F12605" s="68" t="s">
        <v>257</v>
      </c>
      <c r="G12605" s="67" t="s">
        <v>564</v>
      </c>
      <c r="H12605" s="69">
        <v>1.01</v>
      </c>
    </row>
    <row r="12606" spans="6:8">
      <c r="F12606" s="68" t="s">
        <v>258</v>
      </c>
      <c r="G12606" s="67" t="s">
        <v>564</v>
      </c>
      <c r="H12606" s="69">
        <v>0.14000000000000001</v>
      </c>
    </row>
    <row r="12607" spans="6:8">
      <c r="F12607" s="68" t="s">
        <v>424</v>
      </c>
      <c r="G12607" s="67" t="s">
        <v>564</v>
      </c>
      <c r="H12607" s="69">
        <v>3.13205551633291</v>
      </c>
    </row>
    <row r="12608" spans="6:8">
      <c r="F12608" s="68" t="s">
        <v>136</v>
      </c>
      <c r="G12608" s="67" t="s">
        <v>564</v>
      </c>
      <c r="H12608" s="69">
        <v>-0.6</v>
      </c>
    </row>
    <row r="12609" spans="6:8">
      <c r="F12609" s="68" t="s">
        <v>137</v>
      </c>
      <c r="G12609" s="67" t="s">
        <v>564</v>
      </c>
      <c r="H12609" s="69">
        <v>-0.6</v>
      </c>
    </row>
    <row r="12610" spans="6:8">
      <c r="F12610" s="68" t="s">
        <v>138</v>
      </c>
      <c r="G12610" s="67" t="s">
        <v>564</v>
      </c>
      <c r="H12610" s="69">
        <v>-0.6</v>
      </c>
    </row>
    <row r="12611" spans="6:8">
      <c r="F12611" s="68" t="s">
        <v>259</v>
      </c>
      <c r="G12611" s="67" t="s">
        <v>564</v>
      </c>
      <c r="H12611" s="69">
        <v>0.16</v>
      </c>
    </row>
    <row r="12612" spans="6:8">
      <c r="F12612" s="68" t="s">
        <v>425</v>
      </c>
      <c r="G12612" s="67" t="s">
        <v>564</v>
      </c>
      <c r="H12612" s="69">
        <v>3.1157296458970141</v>
      </c>
    </row>
    <row r="12613" spans="6:8">
      <c r="F12613" s="68" t="s">
        <v>425</v>
      </c>
      <c r="G12613" s="67" t="s">
        <v>565</v>
      </c>
      <c r="H12613" s="69">
        <v>3.192053080010826</v>
      </c>
    </row>
    <row r="12614" spans="6:8">
      <c r="F12614" s="68" t="s">
        <v>259</v>
      </c>
      <c r="G12614" s="67" t="s">
        <v>565</v>
      </c>
      <c r="H12614" s="69">
        <v>0.16</v>
      </c>
    </row>
    <row r="12615" spans="6:8">
      <c r="F12615" s="68" t="s">
        <v>138</v>
      </c>
      <c r="G12615" s="67" t="s">
        <v>565</v>
      </c>
      <c r="H12615" s="69">
        <v>-0.6</v>
      </c>
    </row>
    <row r="12616" spans="6:8">
      <c r="F12616" s="68" t="s">
        <v>137</v>
      </c>
      <c r="G12616" s="67" t="s">
        <v>565</v>
      </c>
      <c r="H12616" s="69">
        <v>-0.6</v>
      </c>
    </row>
    <row r="12617" spans="6:8">
      <c r="F12617" s="68" t="s">
        <v>136</v>
      </c>
      <c r="G12617" s="67" t="s">
        <v>565</v>
      </c>
      <c r="H12617" s="69">
        <v>-0.6</v>
      </c>
    </row>
    <row r="12618" spans="6:8">
      <c r="F12618" s="68" t="s">
        <v>424</v>
      </c>
      <c r="G12618" s="67" t="s">
        <v>565</v>
      </c>
      <c r="H12618" s="69">
        <v>3.1719808109869962</v>
      </c>
    </row>
    <row r="12619" spans="6:8">
      <c r="F12619" s="68" t="s">
        <v>258</v>
      </c>
      <c r="G12619" s="67" t="s">
        <v>565</v>
      </c>
      <c r="H12619" s="69">
        <v>0.14000000000000001</v>
      </c>
    </row>
    <row r="12620" spans="6:8">
      <c r="F12620" s="68" t="s">
        <v>257</v>
      </c>
      <c r="G12620" s="67" t="s">
        <v>565</v>
      </c>
      <c r="H12620" s="69">
        <v>1.01</v>
      </c>
    </row>
    <row r="12621" spans="6:8">
      <c r="F12621" s="68" t="s">
        <v>135</v>
      </c>
      <c r="G12621" s="67" t="s">
        <v>565</v>
      </c>
      <c r="H12621" s="69">
        <v>-0.55000000000000004</v>
      </c>
    </row>
    <row r="12622" spans="6:8">
      <c r="F12622" s="68" t="s">
        <v>134</v>
      </c>
      <c r="G12622" s="67" t="s">
        <v>565</v>
      </c>
      <c r="H12622" s="69">
        <v>-0.65</v>
      </c>
    </row>
    <row r="12623" spans="6:8">
      <c r="F12623" s="68" t="s">
        <v>423</v>
      </c>
      <c r="G12623" s="67" t="s">
        <v>565</v>
      </c>
      <c r="H12623" s="69">
        <v>2.4515125036042473</v>
      </c>
    </row>
    <row r="12624" spans="6:8">
      <c r="F12624" s="68" t="s">
        <v>256</v>
      </c>
      <c r="G12624" s="67" t="s">
        <v>565</v>
      </c>
      <c r="H12624" s="69">
        <v>0.95</v>
      </c>
    </row>
    <row r="12625" spans="6:8">
      <c r="F12625" s="68" t="s">
        <v>133</v>
      </c>
      <c r="G12625" s="67" t="s">
        <v>565</v>
      </c>
      <c r="H12625" s="69">
        <v>-0.45</v>
      </c>
    </row>
    <row r="12626" spans="6:8">
      <c r="F12626" s="68" t="s">
        <v>132</v>
      </c>
      <c r="G12626" s="67" t="s">
        <v>565</v>
      </c>
      <c r="H12626" s="69">
        <v>-0.7</v>
      </c>
    </row>
    <row r="12627" spans="6:8">
      <c r="F12627" s="68" t="s">
        <v>422</v>
      </c>
      <c r="G12627" s="67" t="s">
        <v>565</v>
      </c>
      <c r="H12627" s="69">
        <v>2.3270736657225122</v>
      </c>
    </row>
    <row r="12628" spans="6:8">
      <c r="F12628" s="68" t="s">
        <v>303</v>
      </c>
      <c r="G12628" s="67" t="s">
        <v>565</v>
      </c>
      <c r="H12628" s="69">
        <v>19.104166666666668</v>
      </c>
    </row>
    <row r="12629" spans="6:8">
      <c r="F12629" s="68" t="s">
        <v>255</v>
      </c>
      <c r="G12629" s="67" t="s">
        <v>565</v>
      </c>
      <c r="H12629" s="69">
        <v>0.83</v>
      </c>
    </row>
    <row r="12630" spans="6:8">
      <c r="F12630" s="68" t="s">
        <v>131</v>
      </c>
      <c r="G12630" s="67" t="s">
        <v>565</v>
      </c>
      <c r="H12630" s="69">
        <v>-0.4</v>
      </c>
    </row>
    <row r="12631" spans="6:8">
      <c r="F12631" s="68" t="s">
        <v>130</v>
      </c>
      <c r="G12631" s="67" t="s">
        <v>565</v>
      </c>
      <c r="H12631" s="69">
        <v>-0.75</v>
      </c>
    </row>
    <row r="12632" spans="6:8">
      <c r="F12632" s="68" t="s">
        <v>421</v>
      </c>
      <c r="G12632" s="67" t="s">
        <v>565</v>
      </c>
      <c r="H12632" s="69">
        <v>2.3204623039017491</v>
      </c>
    </row>
    <row r="12633" spans="6:8">
      <c r="F12633" s="68" t="s">
        <v>304</v>
      </c>
      <c r="G12633" s="67" t="s">
        <v>565</v>
      </c>
      <c r="H12633" s="69">
        <v>18.125</v>
      </c>
    </row>
    <row r="12634" spans="6:8">
      <c r="F12634" s="68" t="s">
        <v>254</v>
      </c>
      <c r="G12634" s="67" t="s">
        <v>565</v>
      </c>
      <c r="H12634" s="69">
        <v>0.66</v>
      </c>
    </row>
    <row r="12635" spans="6:8">
      <c r="F12635" s="68" t="s">
        <v>129</v>
      </c>
      <c r="G12635" s="67" t="s">
        <v>565</v>
      </c>
      <c r="H12635" s="69">
        <v>-0.4</v>
      </c>
    </row>
    <row r="12636" spans="6:8">
      <c r="F12636" s="68" t="s">
        <v>128</v>
      </c>
      <c r="G12636" s="67" t="s">
        <v>565</v>
      </c>
      <c r="H12636" s="69">
        <v>-0.65</v>
      </c>
    </row>
    <row r="12637" spans="6:8">
      <c r="F12637" s="68" t="s">
        <v>315</v>
      </c>
      <c r="G12637" s="67" t="s">
        <v>565</v>
      </c>
      <c r="H12637" s="69">
        <v>-0.15</v>
      </c>
    </row>
    <row r="12638" spans="6:8">
      <c r="F12638" s="68" t="s">
        <v>253</v>
      </c>
      <c r="G12638" s="67" t="s">
        <v>565</v>
      </c>
      <c r="H12638" s="69">
        <v>0.48</v>
      </c>
    </row>
    <row r="12639" spans="6:8">
      <c r="F12639" s="68" t="s">
        <v>127</v>
      </c>
      <c r="G12639" s="67" t="s">
        <v>565</v>
      </c>
      <c r="H12639" s="69">
        <v>-0.3</v>
      </c>
    </row>
    <row r="12640" spans="6:8">
      <c r="F12640" s="68" t="s">
        <v>126</v>
      </c>
      <c r="G12640" s="67" t="s">
        <v>565</v>
      </c>
      <c r="H12640" s="69">
        <v>-0.65</v>
      </c>
    </row>
    <row r="12641" spans="6:8">
      <c r="F12641" s="68" t="s">
        <v>125</v>
      </c>
      <c r="G12641" s="67" t="s">
        <v>565</v>
      </c>
      <c r="H12641" s="69">
        <v>-0.3</v>
      </c>
    </row>
    <row r="12642" spans="6:8">
      <c r="F12642" s="68" t="s">
        <v>314</v>
      </c>
      <c r="G12642" s="67" t="s">
        <v>565</v>
      </c>
      <c r="H12642" s="69">
        <v>-0.2</v>
      </c>
    </row>
    <row r="12643" spans="6:8">
      <c r="F12643" s="68" t="s">
        <v>252</v>
      </c>
      <c r="G12643" s="67" t="s">
        <v>565</v>
      </c>
      <c r="H12643" s="69">
        <v>0.33</v>
      </c>
    </row>
    <row r="12644" spans="6:8">
      <c r="F12644" s="68" t="s">
        <v>124</v>
      </c>
      <c r="G12644" s="67" t="s">
        <v>565</v>
      </c>
      <c r="H12644" s="69">
        <v>-0.4</v>
      </c>
    </row>
    <row r="12645" spans="6:8">
      <c r="F12645" s="68" t="s">
        <v>123</v>
      </c>
      <c r="G12645" s="67" t="s">
        <v>565</v>
      </c>
      <c r="H12645" s="69">
        <v>-0.75</v>
      </c>
    </row>
    <row r="12646" spans="6:8">
      <c r="F12646" s="68" t="s">
        <v>122</v>
      </c>
      <c r="G12646" s="67" t="s">
        <v>565</v>
      </c>
      <c r="H12646" s="69">
        <v>-0.5</v>
      </c>
    </row>
    <row r="12647" spans="6:8">
      <c r="F12647" s="68" t="s">
        <v>420</v>
      </c>
      <c r="G12647" s="67" t="s">
        <v>565</v>
      </c>
      <c r="H12647" s="69">
        <v>3.3874003692749177</v>
      </c>
    </row>
    <row r="12648" spans="6:8">
      <c r="F12648" s="68" t="s">
        <v>251</v>
      </c>
      <c r="G12648" s="67" t="s">
        <v>565</v>
      </c>
      <c r="H12648" s="69">
        <v>0.24</v>
      </c>
    </row>
    <row r="12649" spans="6:8">
      <c r="F12649" s="68" t="s">
        <v>121</v>
      </c>
      <c r="G12649" s="67" t="s">
        <v>565</v>
      </c>
      <c r="H12649" s="69">
        <v>-0.5</v>
      </c>
    </row>
    <row r="12650" spans="6:8">
      <c r="F12650" s="68" t="s">
        <v>120</v>
      </c>
      <c r="G12650" s="67" t="s">
        <v>565</v>
      </c>
      <c r="H12650" s="69">
        <v>-0.6</v>
      </c>
    </row>
    <row r="12651" spans="6:8">
      <c r="F12651" s="68" t="s">
        <v>119</v>
      </c>
      <c r="G12651" s="67" t="s">
        <v>565</v>
      </c>
      <c r="H12651" s="69">
        <v>-0.55000000000000004</v>
      </c>
    </row>
    <row r="12652" spans="6:8">
      <c r="F12652" s="68" t="s">
        <v>119</v>
      </c>
      <c r="G12652" s="67" t="s">
        <v>566</v>
      </c>
      <c r="H12652" s="69">
        <v>-0.45</v>
      </c>
    </row>
    <row r="12653" spans="6:8">
      <c r="F12653" s="68" t="s">
        <v>120</v>
      </c>
      <c r="G12653" s="67" t="s">
        <v>566</v>
      </c>
      <c r="H12653" s="69">
        <v>-0.6</v>
      </c>
    </row>
    <row r="12654" spans="6:8">
      <c r="F12654" s="68" t="s">
        <v>121</v>
      </c>
      <c r="G12654" s="67" t="s">
        <v>566</v>
      </c>
      <c r="H12654" s="69">
        <v>-0.5</v>
      </c>
    </row>
    <row r="12655" spans="6:8">
      <c r="F12655" s="68" t="s">
        <v>251</v>
      </c>
      <c r="G12655" s="67" t="s">
        <v>566</v>
      </c>
      <c r="H12655" s="69">
        <v>0.24</v>
      </c>
    </row>
    <row r="12656" spans="6:8">
      <c r="F12656" s="68" t="s">
        <v>420</v>
      </c>
      <c r="G12656" s="67" t="s">
        <v>566</v>
      </c>
      <c r="H12656" s="69">
        <v>3.4367814236357042</v>
      </c>
    </row>
    <row r="12657" spans="6:8">
      <c r="F12657" s="68" t="s">
        <v>122</v>
      </c>
      <c r="G12657" s="67" t="s">
        <v>566</v>
      </c>
      <c r="H12657" s="69">
        <v>-0.4</v>
      </c>
    </row>
    <row r="12658" spans="6:8">
      <c r="F12658" s="68" t="s">
        <v>123</v>
      </c>
      <c r="G12658" s="67" t="s">
        <v>566</v>
      </c>
      <c r="H12658" s="69">
        <v>-0.75</v>
      </c>
    </row>
    <row r="12659" spans="6:8">
      <c r="F12659" s="68" t="s">
        <v>124</v>
      </c>
      <c r="G12659" s="67" t="s">
        <v>566</v>
      </c>
      <c r="H12659" s="69">
        <v>-0.4</v>
      </c>
    </row>
    <row r="12660" spans="6:8">
      <c r="F12660" s="68" t="s">
        <v>252</v>
      </c>
      <c r="G12660" s="67" t="s">
        <v>566</v>
      </c>
      <c r="H12660" s="69">
        <v>0.34</v>
      </c>
    </row>
    <row r="12661" spans="6:8">
      <c r="F12661" s="68" t="s">
        <v>314</v>
      </c>
      <c r="G12661" s="67" t="s">
        <v>566</v>
      </c>
      <c r="H12661" s="69">
        <v>-0.15</v>
      </c>
    </row>
    <row r="12662" spans="6:8">
      <c r="F12662" s="68" t="s">
        <v>125</v>
      </c>
      <c r="G12662" s="67" t="s">
        <v>566</v>
      </c>
      <c r="H12662" s="69">
        <v>-0.25</v>
      </c>
    </row>
    <row r="12663" spans="6:8">
      <c r="F12663" s="68" t="s">
        <v>126</v>
      </c>
      <c r="G12663" s="67" t="s">
        <v>566</v>
      </c>
      <c r="H12663" s="69">
        <v>-0.6</v>
      </c>
    </row>
    <row r="12664" spans="6:8">
      <c r="F12664" s="68" t="s">
        <v>127</v>
      </c>
      <c r="G12664" s="67" t="s">
        <v>566</v>
      </c>
      <c r="H12664" s="69">
        <v>-0.4</v>
      </c>
    </row>
    <row r="12665" spans="6:8">
      <c r="F12665" s="68" t="s">
        <v>253</v>
      </c>
      <c r="G12665" s="67" t="s">
        <v>566</v>
      </c>
      <c r="H12665" s="69">
        <v>0.49</v>
      </c>
    </row>
    <row r="12666" spans="6:8">
      <c r="F12666" s="68" t="s">
        <v>315</v>
      </c>
      <c r="G12666" s="67" t="s">
        <v>566</v>
      </c>
      <c r="H12666" s="69">
        <v>-0.1</v>
      </c>
    </row>
    <row r="12667" spans="6:8">
      <c r="F12667" s="68" t="s">
        <v>128</v>
      </c>
      <c r="G12667" s="67" t="s">
        <v>566</v>
      </c>
      <c r="H12667" s="69">
        <v>-0.6</v>
      </c>
    </row>
    <row r="12668" spans="6:8">
      <c r="F12668" s="68" t="s">
        <v>129</v>
      </c>
      <c r="G12668" s="67" t="s">
        <v>566</v>
      </c>
      <c r="H12668" s="69">
        <v>-0.5</v>
      </c>
    </row>
    <row r="12669" spans="6:8">
      <c r="F12669" s="68" t="s">
        <v>254</v>
      </c>
      <c r="G12669" s="67" t="s">
        <v>566</v>
      </c>
      <c r="H12669" s="69">
        <v>0.67</v>
      </c>
    </row>
    <row r="12670" spans="6:8">
      <c r="F12670" s="68" t="s">
        <v>304</v>
      </c>
      <c r="G12670" s="67" t="s">
        <v>566</v>
      </c>
      <c r="H12670" s="69">
        <v>18.3125</v>
      </c>
    </row>
    <row r="12671" spans="6:8">
      <c r="F12671" s="68" t="s">
        <v>421</v>
      </c>
      <c r="G12671" s="67" t="s">
        <v>566</v>
      </c>
      <c r="H12671" s="69">
        <v>2.2994027855284926</v>
      </c>
    </row>
    <row r="12672" spans="6:8">
      <c r="F12672" s="68" t="s">
        <v>567</v>
      </c>
      <c r="G12672" s="67" t="s">
        <v>566</v>
      </c>
      <c r="H12672" s="69">
        <v>-0.4</v>
      </c>
    </row>
    <row r="12673" spans="6:8">
      <c r="F12673" s="68" t="s">
        <v>130</v>
      </c>
      <c r="G12673" s="67" t="s">
        <v>566</v>
      </c>
      <c r="H12673" s="69">
        <v>-0.7</v>
      </c>
    </row>
    <row r="12674" spans="6:8">
      <c r="F12674" s="68" t="s">
        <v>131</v>
      </c>
      <c r="G12674" s="67" t="s">
        <v>566</v>
      </c>
      <c r="H12674" s="69">
        <v>-0.4</v>
      </c>
    </row>
    <row r="12675" spans="6:8">
      <c r="F12675" s="68" t="s">
        <v>255</v>
      </c>
      <c r="G12675" s="67" t="s">
        <v>566</v>
      </c>
      <c r="H12675" s="69">
        <v>0.84</v>
      </c>
    </row>
    <row r="12676" spans="6:8">
      <c r="F12676" s="68" t="s">
        <v>303</v>
      </c>
      <c r="G12676" s="67" t="s">
        <v>566</v>
      </c>
      <c r="H12676" s="69">
        <v>19.25</v>
      </c>
    </row>
    <row r="12677" spans="6:8">
      <c r="F12677" s="68" t="s">
        <v>422</v>
      </c>
      <c r="G12677" s="67" t="s">
        <v>566</v>
      </c>
      <c r="H12677" s="69">
        <v>2.3066727778067175</v>
      </c>
    </row>
    <row r="12678" spans="6:8">
      <c r="F12678" s="68" t="s">
        <v>568</v>
      </c>
      <c r="G12678" s="67" t="s">
        <v>566</v>
      </c>
      <c r="H12678" s="69">
        <v>-0.1</v>
      </c>
    </row>
    <row r="12679" spans="6:8">
      <c r="F12679" s="68" t="s">
        <v>132</v>
      </c>
      <c r="G12679" s="67" t="s">
        <v>566</v>
      </c>
      <c r="H12679" s="69">
        <v>-0.65</v>
      </c>
    </row>
    <row r="12680" spans="6:8">
      <c r="F12680" s="68" t="s">
        <v>133</v>
      </c>
      <c r="G12680" s="67" t="s">
        <v>566</v>
      </c>
      <c r="H12680" s="69">
        <v>-0.5</v>
      </c>
    </row>
    <row r="12681" spans="6:8">
      <c r="F12681" s="68" t="s">
        <v>256</v>
      </c>
      <c r="G12681" s="67" t="s">
        <v>566</v>
      </c>
      <c r="H12681" s="69">
        <v>0.96</v>
      </c>
    </row>
    <row r="12682" spans="6:8">
      <c r="F12682" s="68" t="s">
        <v>423</v>
      </c>
      <c r="G12682" s="67" t="s">
        <v>566</v>
      </c>
      <c r="H12682" s="69">
        <v>2.5026970100641144</v>
      </c>
    </row>
    <row r="12683" spans="6:8">
      <c r="F12683" s="68" t="s">
        <v>569</v>
      </c>
      <c r="G12683" s="67" t="s">
        <v>566</v>
      </c>
      <c r="H12683" s="69">
        <v>-0.1</v>
      </c>
    </row>
    <row r="12684" spans="6:8">
      <c r="F12684" s="68" t="s">
        <v>134</v>
      </c>
      <c r="G12684" s="67" t="s">
        <v>566</v>
      </c>
      <c r="H12684" s="69">
        <v>-0.6</v>
      </c>
    </row>
    <row r="12685" spans="6:8">
      <c r="F12685" s="68" t="s">
        <v>135</v>
      </c>
      <c r="G12685" s="67" t="s">
        <v>566</v>
      </c>
      <c r="H12685" s="69">
        <v>-0.6</v>
      </c>
    </row>
    <row r="12686" spans="6:8">
      <c r="F12686" s="68" t="s">
        <v>257</v>
      </c>
      <c r="G12686" s="67" t="s">
        <v>566</v>
      </c>
      <c r="H12686" s="69">
        <v>1.02</v>
      </c>
    </row>
    <row r="12687" spans="6:8">
      <c r="F12687" s="68" t="s">
        <v>258</v>
      </c>
      <c r="G12687" s="67" t="s">
        <v>566</v>
      </c>
      <c r="H12687" s="69">
        <v>0.14000000000000001</v>
      </c>
    </row>
    <row r="12688" spans="6:8">
      <c r="F12688" s="68" t="s">
        <v>424</v>
      </c>
      <c r="G12688" s="67" t="s">
        <v>566</v>
      </c>
      <c r="H12688" s="69">
        <v>3.2249091923530759</v>
      </c>
    </row>
    <row r="12689" spans="6:8">
      <c r="F12689" s="68" t="s">
        <v>136</v>
      </c>
      <c r="G12689" s="67" t="s">
        <v>566</v>
      </c>
      <c r="H12689" s="69">
        <v>-0.55000000000000004</v>
      </c>
    </row>
    <row r="12690" spans="6:8">
      <c r="F12690" s="68" t="s">
        <v>137</v>
      </c>
      <c r="G12690" s="67" t="s">
        <v>566</v>
      </c>
      <c r="H12690" s="69">
        <v>-0.6</v>
      </c>
    </row>
    <row r="12691" spans="6:8">
      <c r="F12691" s="68" t="s">
        <v>138</v>
      </c>
      <c r="G12691" s="67" t="s">
        <v>566</v>
      </c>
      <c r="H12691" s="69">
        <v>-0.6</v>
      </c>
    </row>
    <row r="12692" spans="6:8">
      <c r="F12692" s="68" t="s">
        <v>259</v>
      </c>
      <c r="G12692" s="67" t="s">
        <v>566</v>
      </c>
      <c r="H12692" s="69">
        <v>0.16</v>
      </c>
    </row>
    <row r="12693" spans="6:8">
      <c r="F12693" s="68" t="s">
        <v>425</v>
      </c>
      <c r="G12693" s="67" t="s">
        <v>566</v>
      </c>
      <c r="H12693" s="69">
        <v>3.2456082042430445</v>
      </c>
    </row>
    <row r="12694" spans="6:8">
      <c r="F12694" s="68" t="s">
        <v>425</v>
      </c>
      <c r="G12694" s="67" t="s">
        <v>570</v>
      </c>
      <c r="H12694" s="69">
        <v>3.1889224584589648</v>
      </c>
    </row>
    <row r="12695" spans="6:8">
      <c r="F12695" s="68" t="s">
        <v>259</v>
      </c>
      <c r="G12695" s="67" t="s">
        <v>570</v>
      </c>
      <c r="H12695" s="69">
        <v>0.16</v>
      </c>
    </row>
    <row r="12696" spans="6:8">
      <c r="F12696" s="68" t="s">
        <v>138</v>
      </c>
      <c r="G12696" s="67" t="s">
        <v>570</v>
      </c>
      <c r="H12696" s="69">
        <v>-0.6</v>
      </c>
    </row>
    <row r="12697" spans="6:8">
      <c r="F12697" s="68" t="s">
        <v>137</v>
      </c>
      <c r="G12697" s="67" t="s">
        <v>570</v>
      </c>
      <c r="H12697" s="69">
        <v>-0.6</v>
      </c>
    </row>
    <row r="12698" spans="6:8">
      <c r="F12698" s="68" t="s">
        <v>136</v>
      </c>
      <c r="G12698" s="67" t="s">
        <v>570</v>
      </c>
      <c r="H12698" s="69">
        <v>-0.55000000000000004</v>
      </c>
    </row>
    <row r="12699" spans="6:8">
      <c r="F12699" s="68" t="s">
        <v>424</v>
      </c>
      <c r="G12699" s="67" t="s">
        <v>570</v>
      </c>
      <c r="H12699" s="69">
        <v>3.1713180356356396</v>
      </c>
    </row>
    <row r="12700" spans="6:8">
      <c r="F12700" s="68" t="s">
        <v>258</v>
      </c>
      <c r="G12700" s="67" t="s">
        <v>570</v>
      </c>
      <c r="H12700" s="69">
        <v>0.14000000000000001</v>
      </c>
    </row>
    <row r="12701" spans="6:8">
      <c r="F12701" s="68" t="s">
        <v>257</v>
      </c>
      <c r="G12701" s="67" t="s">
        <v>570</v>
      </c>
      <c r="H12701" s="69">
        <v>1.02</v>
      </c>
    </row>
    <row r="12702" spans="6:8">
      <c r="F12702" s="68" t="s">
        <v>135</v>
      </c>
      <c r="G12702" s="67" t="s">
        <v>570</v>
      </c>
      <c r="H12702" s="69">
        <v>-0.6</v>
      </c>
    </row>
    <row r="12703" spans="6:8">
      <c r="F12703" s="68" t="s">
        <v>134</v>
      </c>
      <c r="G12703" s="67" t="s">
        <v>570</v>
      </c>
      <c r="H12703" s="69">
        <v>-0.6</v>
      </c>
    </row>
    <row r="12704" spans="6:8">
      <c r="F12704" s="68" t="s">
        <v>569</v>
      </c>
      <c r="G12704" s="67" t="s">
        <v>570</v>
      </c>
      <c r="H12704" s="69">
        <v>-0.1</v>
      </c>
    </row>
    <row r="12705" spans="6:8">
      <c r="F12705" s="68" t="s">
        <v>423</v>
      </c>
      <c r="G12705" s="67" t="s">
        <v>570</v>
      </c>
      <c r="H12705" s="69">
        <v>2.4534367858713324</v>
      </c>
    </row>
    <row r="12706" spans="6:8">
      <c r="F12706" s="68" t="s">
        <v>256</v>
      </c>
      <c r="G12706" s="67" t="s">
        <v>570</v>
      </c>
      <c r="H12706" s="69">
        <v>0.96</v>
      </c>
    </row>
    <row r="12707" spans="6:8">
      <c r="F12707" s="68" t="s">
        <v>133</v>
      </c>
      <c r="G12707" s="67" t="s">
        <v>570</v>
      </c>
      <c r="H12707" s="69">
        <v>-0.5</v>
      </c>
    </row>
    <row r="12708" spans="6:8">
      <c r="F12708" s="68" t="s">
        <v>132</v>
      </c>
      <c r="G12708" s="67" t="s">
        <v>570</v>
      </c>
      <c r="H12708" s="69">
        <v>-0.65</v>
      </c>
    </row>
    <row r="12709" spans="6:8">
      <c r="F12709" s="68" t="s">
        <v>568</v>
      </c>
      <c r="G12709" s="67" t="s">
        <v>570</v>
      </c>
      <c r="H12709" s="69">
        <v>-0.1</v>
      </c>
    </row>
    <row r="12710" spans="6:8">
      <c r="F12710" s="68" t="s">
        <v>422</v>
      </c>
      <c r="G12710" s="67" t="s">
        <v>570</v>
      </c>
      <c r="H12710" s="69">
        <v>2.3246708483676937</v>
      </c>
    </row>
    <row r="12711" spans="6:8">
      <c r="F12711" s="68" t="s">
        <v>303</v>
      </c>
      <c r="G12711" s="67" t="s">
        <v>570</v>
      </c>
      <c r="H12711" s="69">
        <v>19.520833333333332</v>
      </c>
    </row>
    <row r="12712" spans="6:8">
      <c r="F12712" s="68" t="s">
        <v>255</v>
      </c>
      <c r="G12712" s="67" t="s">
        <v>570</v>
      </c>
      <c r="H12712" s="69">
        <v>0.84</v>
      </c>
    </row>
    <row r="12713" spans="6:8">
      <c r="F12713" s="68" t="s">
        <v>131</v>
      </c>
      <c r="G12713" s="67" t="s">
        <v>570</v>
      </c>
      <c r="H12713" s="69">
        <v>-0.4</v>
      </c>
    </row>
    <row r="12714" spans="6:8">
      <c r="F12714" s="68" t="s">
        <v>130</v>
      </c>
      <c r="G12714" s="67" t="s">
        <v>570</v>
      </c>
      <c r="H12714" s="69">
        <v>-0.7</v>
      </c>
    </row>
    <row r="12715" spans="6:8">
      <c r="F12715" s="68" t="s">
        <v>567</v>
      </c>
      <c r="G12715" s="67" t="s">
        <v>570</v>
      </c>
      <c r="H12715" s="69">
        <v>-0.4</v>
      </c>
    </row>
    <row r="12716" spans="6:8">
      <c r="F12716" s="68" t="s">
        <v>421</v>
      </c>
      <c r="G12716" s="67" t="s">
        <v>570</v>
      </c>
      <c r="H12716" s="69">
        <v>2.3179812311068471</v>
      </c>
    </row>
    <row r="12717" spans="6:8">
      <c r="F12717" s="68" t="s">
        <v>304</v>
      </c>
      <c r="G12717" s="67" t="s">
        <v>570</v>
      </c>
      <c r="H12717" s="69">
        <v>18.583333333333332</v>
      </c>
    </row>
    <row r="12718" spans="6:8">
      <c r="F12718" s="68" t="s">
        <v>254</v>
      </c>
      <c r="G12718" s="67" t="s">
        <v>570</v>
      </c>
      <c r="H12718" s="69">
        <v>0.67</v>
      </c>
    </row>
    <row r="12719" spans="6:8">
      <c r="F12719" s="68" t="s">
        <v>129</v>
      </c>
      <c r="G12719" s="67" t="s">
        <v>570</v>
      </c>
      <c r="H12719" s="69">
        <v>-0.5</v>
      </c>
    </row>
    <row r="12720" spans="6:8">
      <c r="F12720" s="68" t="s">
        <v>128</v>
      </c>
      <c r="G12720" s="67" t="s">
        <v>570</v>
      </c>
      <c r="H12720" s="69">
        <v>-0.6</v>
      </c>
    </row>
    <row r="12721" spans="6:8">
      <c r="F12721" s="68" t="s">
        <v>315</v>
      </c>
      <c r="G12721" s="67" t="s">
        <v>570</v>
      </c>
      <c r="H12721" s="69">
        <v>-0.1</v>
      </c>
    </row>
    <row r="12722" spans="6:8">
      <c r="F12722" s="68" t="s">
        <v>253</v>
      </c>
      <c r="G12722" s="67" t="s">
        <v>570</v>
      </c>
      <c r="H12722" s="69">
        <v>0.49</v>
      </c>
    </row>
    <row r="12723" spans="6:8">
      <c r="F12723" s="68" t="s">
        <v>127</v>
      </c>
      <c r="G12723" s="67" t="s">
        <v>570</v>
      </c>
      <c r="H12723" s="69">
        <v>-0.4</v>
      </c>
    </row>
    <row r="12724" spans="6:8">
      <c r="F12724" s="68" t="s">
        <v>126</v>
      </c>
      <c r="G12724" s="67" t="s">
        <v>570</v>
      </c>
      <c r="H12724" s="69">
        <v>-0.6</v>
      </c>
    </row>
    <row r="12725" spans="6:8">
      <c r="F12725" s="68" t="s">
        <v>125</v>
      </c>
      <c r="G12725" s="67" t="s">
        <v>570</v>
      </c>
      <c r="H12725" s="69">
        <v>-0.25</v>
      </c>
    </row>
    <row r="12726" spans="6:8">
      <c r="F12726" s="68" t="s">
        <v>314</v>
      </c>
      <c r="G12726" s="67" t="s">
        <v>570</v>
      </c>
      <c r="H12726" s="69">
        <v>-0.15</v>
      </c>
    </row>
    <row r="12727" spans="6:8">
      <c r="F12727" s="68" t="s">
        <v>252</v>
      </c>
      <c r="G12727" s="67" t="s">
        <v>570</v>
      </c>
      <c r="H12727" s="69">
        <v>0.34</v>
      </c>
    </row>
    <row r="12728" spans="6:8">
      <c r="F12728" s="68" t="s">
        <v>124</v>
      </c>
      <c r="G12728" s="67" t="s">
        <v>570</v>
      </c>
      <c r="H12728" s="69">
        <v>-0.4</v>
      </c>
    </row>
    <row r="12729" spans="6:8">
      <c r="F12729" s="68" t="s">
        <v>123</v>
      </c>
      <c r="G12729" s="67" t="s">
        <v>570</v>
      </c>
      <c r="H12729" s="69">
        <v>-0.75</v>
      </c>
    </row>
    <row r="12730" spans="6:8">
      <c r="F12730" s="68" t="s">
        <v>122</v>
      </c>
      <c r="G12730" s="67" t="s">
        <v>570</v>
      </c>
      <c r="H12730" s="69">
        <v>-0.4</v>
      </c>
    </row>
    <row r="12731" spans="6:8">
      <c r="F12731" s="68" t="s">
        <v>420</v>
      </c>
      <c r="G12731" s="67" t="s">
        <v>570</v>
      </c>
      <c r="H12731" s="69">
        <v>3.3963820586764282</v>
      </c>
    </row>
    <row r="12732" spans="6:8">
      <c r="F12732" s="68" t="s">
        <v>251</v>
      </c>
      <c r="G12732" s="67" t="s">
        <v>570</v>
      </c>
      <c r="H12732" s="69">
        <v>0.24</v>
      </c>
    </row>
    <row r="12733" spans="6:8">
      <c r="F12733" s="68" t="s">
        <v>121</v>
      </c>
      <c r="G12733" s="67" t="s">
        <v>570</v>
      </c>
      <c r="H12733" s="69">
        <v>-0.5</v>
      </c>
    </row>
    <row r="12734" spans="6:8">
      <c r="F12734" s="68" t="s">
        <v>120</v>
      </c>
      <c r="G12734" s="67" t="s">
        <v>570</v>
      </c>
      <c r="H12734" s="69">
        <v>-0.6</v>
      </c>
    </row>
    <row r="12735" spans="6:8">
      <c r="F12735" s="68" t="s">
        <v>119</v>
      </c>
      <c r="G12735" s="67" t="s">
        <v>570</v>
      </c>
      <c r="H12735" s="69">
        <v>-0.45</v>
      </c>
    </row>
    <row r="12736" spans="6:8">
      <c r="F12736" s="68" t="s">
        <v>119</v>
      </c>
      <c r="G12736" s="67" t="s">
        <v>571</v>
      </c>
      <c r="H12736" s="69">
        <v>-0.45</v>
      </c>
    </row>
    <row r="12737" spans="6:8">
      <c r="F12737" s="68" t="s">
        <v>120</v>
      </c>
      <c r="G12737" s="67" t="s">
        <v>571</v>
      </c>
      <c r="H12737" s="69">
        <v>-0.6</v>
      </c>
    </row>
    <row r="12738" spans="6:8">
      <c r="F12738" s="68" t="s">
        <v>121</v>
      </c>
      <c r="G12738" s="67" t="s">
        <v>571</v>
      </c>
      <c r="H12738" s="69">
        <v>-0.5</v>
      </c>
    </row>
    <row r="12739" spans="6:8">
      <c r="F12739" s="68" t="s">
        <v>251</v>
      </c>
      <c r="G12739" s="67" t="s">
        <v>571</v>
      </c>
      <c r="H12739" s="69">
        <v>0.24</v>
      </c>
    </row>
    <row r="12740" spans="6:8">
      <c r="F12740" s="68" t="s">
        <v>420</v>
      </c>
      <c r="G12740" s="67" t="s">
        <v>571</v>
      </c>
      <c r="H12740" s="69">
        <v>3.42404687499962</v>
      </c>
    </row>
    <row r="12741" spans="6:8">
      <c r="F12741" s="68" t="s">
        <v>122</v>
      </c>
      <c r="G12741" s="67" t="s">
        <v>571</v>
      </c>
      <c r="H12741" s="69">
        <v>-0.4</v>
      </c>
    </row>
    <row r="12742" spans="6:8">
      <c r="F12742" s="68" t="s">
        <v>123</v>
      </c>
      <c r="G12742" s="67" t="s">
        <v>571</v>
      </c>
      <c r="H12742" s="69">
        <v>-0.75</v>
      </c>
    </row>
    <row r="12743" spans="6:8">
      <c r="F12743" s="68" t="s">
        <v>124</v>
      </c>
      <c r="G12743" s="67" t="s">
        <v>571</v>
      </c>
      <c r="H12743" s="69">
        <v>-0.4</v>
      </c>
    </row>
    <row r="12744" spans="6:8">
      <c r="F12744" s="68" t="s">
        <v>252</v>
      </c>
      <c r="G12744" s="67" t="s">
        <v>571</v>
      </c>
      <c r="H12744" s="69">
        <v>0.34</v>
      </c>
    </row>
    <row r="12745" spans="6:8">
      <c r="F12745" s="68" t="s">
        <v>314</v>
      </c>
      <c r="G12745" s="67" t="s">
        <v>571</v>
      </c>
      <c r="H12745" s="69">
        <v>-0.15</v>
      </c>
    </row>
    <row r="12746" spans="6:8">
      <c r="F12746" s="68" t="s">
        <v>125</v>
      </c>
      <c r="G12746" s="67" t="s">
        <v>571</v>
      </c>
      <c r="H12746" s="69">
        <v>-0.25</v>
      </c>
    </row>
    <row r="12747" spans="6:8">
      <c r="F12747" s="68" t="s">
        <v>126</v>
      </c>
      <c r="G12747" s="67" t="s">
        <v>571</v>
      </c>
      <c r="H12747" s="69">
        <v>-0.6</v>
      </c>
    </row>
    <row r="12748" spans="6:8">
      <c r="F12748" s="68" t="s">
        <v>127</v>
      </c>
      <c r="G12748" s="67" t="s">
        <v>571</v>
      </c>
      <c r="H12748" s="69">
        <v>-0.4</v>
      </c>
    </row>
    <row r="12749" spans="6:8">
      <c r="F12749" s="68" t="s">
        <v>253</v>
      </c>
      <c r="G12749" s="67" t="s">
        <v>571</v>
      </c>
      <c r="H12749" s="69">
        <v>0.49</v>
      </c>
    </row>
    <row r="12750" spans="6:8">
      <c r="F12750" s="68" t="s">
        <v>315</v>
      </c>
      <c r="G12750" s="67" t="s">
        <v>571</v>
      </c>
      <c r="H12750" s="69">
        <v>-0.1</v>
      </c>
    </row>
    <row r="12751" spans="6:8">
      <c r="F12751" s="68" t="s">
        <v>128</v>
      </c>
      <c r="G12751" s="67" t="s">
        <v>571</v>
      </c>
      <c r="H12751" s="69">
        <v>-0.6</v>
      </c>
    </row>
    <row r="12752" spans="6:8">
      <c r="F12752" s="68" t="s">
        <v>129</v>
      </c>
      <c r="G12752" s="67" t="s">
        <v>571</v>
      </c>
      <c r="H12752" s="69">
        <v>-0.5</v>
      </c>
    </row>
    <row r="12753" spans="6:8">
      <c r="F12753" s="68" t="s">
        <v>254</v>
      </c>
      <c r="G12753" s="67" t="s">
        <v>571</v>
      </c>
      <c r="H12753" s="69">
        <v>0.67</v>
      </c>
    </row>
    <row r="12754" spans="6:8">
      <c r="F12754" s="68" t="s">
        <v>304</v>
      </c>
      <c r="G12754" s="67" t="s">
        <v>571</v>
      </c>
      <c r="H12754" s="69">
        <v>18.5</v>
      </c>
    </row>
    <row r="12755" spans="6:8">
      <c r="F12755" s="68" t="s">
        <v>421</v>
      </c>
      <c r="G12755" s="67" t="s">
        <v>571</v>
      </c>
      <c r="H12755" s="69">
        <v>2.4620669182950028</v>
      </c>
    </row>
    <row r="12756" spans="6:8">
      <c r="F12756" s="68" t="s">
        <v>567</v>
      </c>
      <c r="G12756" s="67" t="s">
        <v>571</v>
      </c>
      <c r="H12756" s="69">
        <v>-0.4</v>
      </c>
    </row>
    <row r="12757" spans="6:8">
      <c r="F12757" s="68" t="s">
        <v>130</v>
      </c>
      <c r="G12757" s="67" t="s">
        <v>571</v>
      </c>
      <c r="H12757" s="69">
        <v>-0.7</v>
      </c>
    </row>
    <row r="12758" spans="6:8">
      <c r="F12758" s="68" t="s">
        <v>131</v>
      </c>
      <c r="G12758" s="67" t="s">
        <v>571</v>
      </c>
      <c r="H12758" s="69">
        <v>-0.4</v>
      </c>
    </row>
    <row r="12759" spans="6:8">
      <c r="F12759" s="68" t="s">
        <v>255</v>
      </c>
      <c r="G12759" s="67" t="s">
        <v>571</v>
      </c>
      <c r="H12759" s="69">
        <v>0.84</v>
      </c>
    </row>
    <row r="12760" spans="6:8">
      <c r="F12760" s="68" t="s">
        <v>303</v>
      </c>
      <c r="G12760" s="67" t="s">
        <v>571</v>
      </c>
      <c r="H12760" s="69">
        <v>19.385416666666668</v>
      </c>
    </row>
    <row r="12761" spans="6:8">
      <c r="F12761" s="68" t="s">
        <v>422</v>
      </c>
      <c r="G12761" s="67" t="s">
        <v>571</v>
      </c>
      <c r="H12761" s="69">
        <v>2.4679407978807522</v>
      </c>
    </row>
    <row r="12762" spans="6:8">
      <c r="F12762" s="68" t="s">
        <v>568</v>
      </c>
      <c r="G12762" s="67" t="s">
        <v>571</v>
      </c>
      <c r="H12762" s="69">
        <v>-0.1</v>
      </c>
    </row>
    <row r="12763" spans="6:8">
      <c r="F12763" s="68" t="s">
        <v>132</v>
      </c>
      <c r="G12763" s="67" t="s">
        <v>571</v>
      </c>
      <c r="H12763" s="69">
        <v>-0.65</v>
      </c>
    </row>
    <row r="12764" spans="6:8">
      <c r="F12764" s="68" t="s">
        <v>133</v>
      </c>
      <c r="G12764" s="67" t="s">
        <v>571</v>
      </c>
      <c r="H12764" s="69">
        <v>-0.5</v>
      </c>
    </row>
    <row r="12765" spans="6:8">
      <c r="F12765" s="68" t="s">
        <v>256</v>
      </c>
      <c r="G12765" s="67" t="s">
        <v>571</v>
      </c>
      <c r="H12765" s="69">
        <v>0.96</v>
      </c>
    </row>
    <row r="12766" spans="6:8">
      <c r="F12766" s="68" t="s">
        <v>423</v>
      </c>
      <c r="G12766" s="67" t="s">
        <v>571</v>
      </c>
      <c r="H12766" s="69">
        <v>2.4824175661625425</v>
      </c>
    </row>
    <row r="12767" spans="6:8">
      <c r="F12767" s="68" t="s">
        <v>569</v>
      </c>
      <c r="G12767" s="67" t="s">
        <v>571</v>
      </c>
      <c r="H12767" s="69">
        <v>-0.1</v>
      </c>
    </row>
    <row r="12768" spans="6:8">
      <c r="F12768" s="68" t="s">
        <v>134</v>
      </c>
      <c r="G12768" s="67" t="s">
        <v>571</v>
      </c>
      <c r="H12768" s="69">
        <v>-0.6</v>
      </c>
    </row>
    <row r="12769" spans="6:8">
      <c r="F12769" s="68" t="s">
        <v>135</v>
      </c>
      <c r="G12769" s="67" t="s">
        <v>571</v>
      </c>
      <c r="H12769" s="69">
        <v>-0.6</v>
      </c>
    </row>
    <row r="12770" spans="6:8">
      <c r="F12770" s="68" t="s">
        <v>257</v>
      </c>
      <c r="G12770" s="67" t="s">
        <v>571</v>
      </c>
      <c r="H12770" s="69">
        <v>1.02</v>
      </c>
    </row>
    <row r="12771" spans="6:8">
      <c r="F12771" s="68" t="s">
        <v>258</v>
      </c>
      <c r="G12771" s="67" t="s">
        <v>571</v>
      </c>
      <c r="H12771" s="69">
        <v>0.14000000000000001</v>
      </c>
    </row>
    <row r="12772" spans="6:8">
      <c r="F12772" s="68" t="s">
        <v>424</v>
      </c>
      <c r="G12772" s="67" t="s">
        <v>571</v>
      </c>
      <c r="H12772" s="69">
        <v>3.2064575490987401</v>
      </c>
    </row>
    <row r="12773" spans="6:8">
      <c r="F12773" s="68" t="s">
        <v>136</v>
      </c>
      <c r="G12773" s="67" t="s">
        <v>571</v>
      </c>
      <c r="H12773" s="69">
        <v>-0.55000000000000004</v>
      </c>
    </row>
    <row r="12774" spans="6:8">
      <c r="F12774" s="68" t="s">
        <v>137</v>
      </c>
      <c r="G12774" s="67" t="s">
        <v>571</v>
      </c>
      <c r="H12774" s="69">
        <v>-0.6</v>
      </c>
    </row>
    <row r="12775" spans="6:8">
      <c r="F12775" s="68" t="s">
        <v>138</v>
      </c>
      <c r="G12775" s="67" t="s">
        <v>571</v>
      </c>
      <c r="H12775" s="69">
        <v>-0.6</v>
      </c>
    </row>
    <row r="12776" spans="6:8">
      <c r="F12776" s="68" t="s">
        <v>259</v>
      </c>
      <c r="G12776" s="67" t="s">
        <v>571</v>
      </c>
      <c r="H12776" s="69">
        <v>0.16</v>
      </c>
    </row>
    <row r="12777" spans="6:8">
      <c r="F12777" s="68" t="s">
        <v>425</v>
      </c>
      <c r="G12777" s="67" t="s">
        <v>571</v>
      </c>
      <c r="H12777" s="69">
        <v>3.2214832242608793</v>
      </c>
    </row>
    <row r="12778" spans="6:8">
      <c r="F12778" s="68" t="s">
        <v>425</v>
      </c>
      <c r="G12778" s="67" t="s">
        <v>572</v>
      </c>
      <c r="H12778" s="69">
        <v>3.1935295958413601</v>
      </c>
    </row>
    <row r="12779" spans="6:8">
      <c r="F12779" s="68" t="s">
        <v>259</v>
      </c>
      <c r="G12779" s="67" t="s">
        <v>572</v>
      </c>
      <c r="H12779" s="69">
        <v>0.16</v>
      </c>
    </row>
    <row r="12780" spans="6:8">
      <c r="F12780" s="68" t="s">
        <v>138</v>
      </c>
      <c r="G12780" s="67" t="s">
        <v>572</v>
      </c>
      <c r="H12780" s="69">
        <v>-0.6</v>
      </c>
    </row>
    <row r="12781" spans="6:8">
      <c r="F12781" s="68" t="s">
        <v>137</v>
      </c>
      <c r="G12781" s="67" t="s">
        <v>572</v>
      </c>
      <c r="H12781" s="69">
        <v>-0.6</v>
      </c>
    </row>
    <row r="12782" spans="6:8">
      <c r="F12782" s="68" t="s">
        <v>136</v>
      </c>
      <c r="G12782" s="67" t="s">
        <v>572</v>
      </c>
      <c r="H12782" s="69">
        <v>-0.55000000000000004</v>
      </c>
    </row>
    <row r="12783" spans="6:8">
      <c r="F12783" s="68" t="s">
        <v>424</v>
      </c>
      <c r="G12783" s="67" t="s">
        <v>572</v>
      </c>
      <c r="H12783" s="69">
        <v>3.184119339642999</v>
      </c>
    </row>
    <row r="12784" spans="6:8">
      <c r="F12784" s="68" t="s">
        <v>258</v>
      </c>
      <c r="G12784" s="67" t="s">
        <v>572</v>
      </c>
      <c r="H12784" s="69">
        <v>0.14000000000000001</v>
      </c>
    </row>
    <row r="12785" spans="6:8">
      <c r="F12785" s="68" t="s">
        <v>257</v>
      </c>
      <c r="G12785" s="67" t="s">
        <v>572</v>
      </c>
      <c r="H12785" s="69">
        <v>1.02</v>
      </c>
    </row>
    <row r="12786" spans="6:8">
      <c r="F12786" s="68" t="s">
        <v>135</v>
      </c>
      <c r="G12786" s="67" t="s">
        <v>572</v>
      </c>
      <c r="H12786" s="69">
        <v>-0.6</v>
      </c>
    </row>
    <row r="12787" spans="6:8">
      <c r="F12787" s="68" t="s">
        <v>134</v>
      </c>
      <c r="G12787" s="67" t="s">
        <v>572</v>
      </c>
      <c r="H12787" s="69">
        <v>-0.6</v>
      </c>
    </row>
    <row r="12788" spans="6:8">
      <c r="F12788" s="68" t="s">
        <v>569</v>
      </c>
      <c r="G12788" s="67" t="s">
        <v>572</v>
      </c>
      <c r="H12788" s="69">
        <v>-0.1</v>
      </c>
    </row>
    <row r="12789" spans="6:8">
      <c r="F12789" s="68" t="s">
        <v>423</v>
      </c>
      <c r="G12789" s="67" t="s">
        <v>572</v>
      </c>
      <c r="H12789" s="69">
        <v>2.4590893587352003</v>
      </c>
    </row>
    <row r="12790" spans="6:8">
      <c r="F12790" s="68" t="s">
        <v>256</v>
      </c>
      <c r="G12790" s="67" t="s">
        <v>572</v>
      </c>
      <c r="H12790" s="69">
        <v>0.96</v>
      </c>
    </row>
    <row r="12791" spans="6:8">
      <c r="F12791" s="68" t="s">
        <v>133</v>
      </c>
      <c r="G12791" s="67" t="s">
        <v>572</v>
      </c>
      <c r="H12791" s="69">
        <v>-0.5</v>
      </c>
    </row>
    <row r="12792" spans="6:8">
      <c r="F12792" s="68" t="s">
        <v>132</v>
      </c>
      <c r="G12792" s="67" t="s">
        <v>572</v>
      </c>
      <c r="H12792" s="69">
        <v>-0.65</v>
      </c>
    </row>
    <row r="12793" spans="6:8">
      <c r="F12793" s="68" t="s">
        <v>568</v>
      </c>
      <c r="G12793" s="67" t="s">
        <v>572</v>
      </c>
      <c r="H12793" s="69">
        <v>-0.1</v>
      </c>
    </row>
    <row r="12794" spans="6:8">
      <c r="F12794" s="68" t="s">
        <v>422</v>
      </c>
      <c r="G12794" s="67" t="s">
        <v>572</v>
      </c>
      <c r="H12794" s="69">
        <v>2.4434289684580168</v>
      </c>
    </row>
    <row r="12795" spans="6:8">
      <c r="F12795" s="68" t="s">
        <v>303</v>
      </c>
      <c r="G12795" s="67" t="s">
        <v>572</v>
      </c>
      <c r="H12795" s="69">
        <v>19.375</v>
      </c>
    </row>
    <row r="12796" spans="6:8">
      <c r="F12796" s="68" t="s">
        <v>255</v>
      </c>
      <c r="G12796" s="67" t="s">
        <v>572</v>
      </c>
      <c r="H12796" s="69">
        <v>0.84</v>
      </c>
    </row>
    <row r="12797" spans="6:8">
      <c r="F12797" s="68" t="s">
        <v>131</v>
      </c>
      <c r="G12797" s="67" t="s">
        <v>572</v>
      </c>
      <c r="H12797" s="69">
        <v>-0.4</v>
      </c>
    </row>
    <row r="12798" spans="6:8">
      <c r="F12798" s="68" t="s">
        <v>130</v>
      </c>
      <c r="G12798" s="67" t="s">
        <v>572</v>
      </c>
      <c r="H12798" s="69">
        <v>-0.7</v>
      </c>
    </row>
    <row r="12799" spans="6:8">
      <c r="F12799" s="68" t="s">
        <v>567</v>
      </c>
      <c r="G12799" s="67" t="s">
        <v>572</v>
      </c>
      <c r="H12799" s="69">
        <v>-0.4</v>
      </c>
    </row>
    <row r="12800" spans="6:8">
      <c r="F12800" s="68" t="s">
        <v>421</v>
      </c>
      <c r="G12800" s="67" t="s">
        <v>572</v>
      </c>
      <c r="H12800" s="69">
        <v>2.4377052077094952</v>
      </c>
    </row>
    <row r="12801" spans="6:8">
      <c r="F12801" s="68" t="s">
        <v>304</v>
      </c>
      <c r="G12801" s="67" t="s">
        <v>572</v>
      </c>
      <c r="H12801" s="69">
        <v>18.375</v>
      </c>
    </row>
    <row r="12802" spans="6:8">
      <c r="F12802" s="68" t="s">
        <v>254</v>
      </c>
      <c r="G12802" s="67" t="s">
        <v>572</v>
      </c>
      <c r="H12802" s="69">
        <v>0.67</v>
      </c>
    </row>
    <row r="12803" spans="6:8">
      <c r="F12803" s="68" t="s">
        <v>129</v>
      </c>
      <c r="G12803" s="67" t="s">
        <v>572</v>
      </c>
      <c r="H12803" s="69">
        <v>-0.5</v>
      </c>
    </row>
    <row r="12804" spans="6:8">
      <c r="F12804" s="68" t="s">
        <v>128</v>
      </c>
      <c r="G12804" s="67" t="s">
        <v>572</v>
      </c>
      <c r="H12804" s="69">
        <v>-0.6</v>
      </c>
    </row>
    <row r="12805" spans="6:8">
      <c r="F12805" s="68" t="s">
        <v>315</v>
      </c>
      <c r="G12805" s="67" t="s">
        <v>572</v>
      </c>
      <c r="H12805" s="69">
        <v>-0.1</v>
      </c>
    </row>
    <row r="12806" spans="6:8">
      <c r="F12806" s="68" t="s">
        <v>253</v>
      </c>
      <c r="G12806" s="67" t="s">
        <v>572</v>
      </c>
      <c r="H12806" s="69">
        <v>0.49</v>
      </c>
    </row>
    <row r="12807" spans="6:8">
      <c r="F12807" s="68" t="s">
        <v>127</v>
      </c>
      <c r="G12807" s="67" t="s">
        <v>572</v>
      </c>
      <c r="H12807" s="69">
        <v>-0.4</v>
      </c>
    </row>
    <row r="12808" spans="6:8">
      <c r="F12808" s="68" t="s">
        <v>126</v>
      </c>
      <c r="G12808" s="67" t="s">
        <v>572</v>
      </c>
      <c r="H12808" s="69">
        <v>-0.6</v>
      </c>
    </row>
    <row r="12809" spans="6:8">
      <c r="F12809" s="68" t="s">
        <v>125</v>
      </c>
      <c r="G12809" s="67" t="s">
        <v>572</v>
      </c>
      <c r="H12809" s="69">
        <v>-0.25</v>
      </c>
    </row>
    <row r="12810" spans="6:8">
      <c r="F12810" s="68" t="s">
        <v>314</v>
      </c>
      <c r="G12810" s="67" t="s">
        <v>572</v>
      </c>
      <c r="H12810" s="69">
        <v>-0.15</v>
      </c>
    </row>
    <row r="12811" spans="6:8">
      <c r="F12811" s="68" t="s">
        <v>252</v>
      </c>
      <c r="G12811" s="67" t="s">
        <v>572</v>
      </c>
      <c r="H12811" s="69">
        <v>0.34</v>
      </c>
    </row>
    <row r="12812" spans="6:8">
      <c r="F12812" s="68" t="s">
        <v>124</v>
      </c>
      <c r="G12812" s="67" t="s">
        <v>572</v>
      </c>
      <c r="H12812" s="69">
        <v>-0.4</v>
      </c>
    </row>
    <row r="12813" spans="6:8">
      <c r="F12813" s="68" t="s">
        <v>123</v>
      </c>
      <c r="G12813" s="67" t="s">
        <v>572</v>
      </c>
      <c r="H12813" s="69">
        <v>-0.75</v>
      </c>
    </row>
    <row r="12814" spans="6:8">
      <c r="F12814" s="68" t="s">
        <v>122</v>
      </c>
      <c r="G12814" s="67" t="s">
        <v>572</v>
      </c>
      <c r="H12814" s="69">
        <v>-0.4</v>
      </c>
    </row>
    <row r="12815" spans="6:8">
      <c r="F12815" s="68" t="s">
        <v>420</v>
      </c>
      <c r="G12815" s="67" t="s">
        <v>572</v>
      </c>
      <c r="H12815" s="69">
        <v>3.4022510541238393</v>
      </c>
    </row>
    <row r="12816" spans="6:8">
      <c r="F12816" s="68" t="s">
        <v>251</v>
      </c>
      <c r="G12816" s="67" t="s">
        <v>572</v>
      </c>
      <c r="H12816" s="69">
        <v>0.24</v>
      </c>
    </row>
    <row r="12817" spans="6:8">
      <c r="F12817" s="68" t="s">
        <v>121</v>
      </c>
      <c r="G12817" s="67" t="s">
        <v>572</v>
      </c>
      <c r="H12817" s="69">
        <v>-0.5</v>
      </c>
    </row>
    <row r="12818" spans="6:8">
      <c r="F12818" s="68" t="s">
        <v>120</v>
      </c>
      <c r="G12818" s="67" t="s">
        <v>572</v>
      </c>
      <c r="H12818" s="69">
        <v>-0.6</v>
      </c>
    </row>
    <row r="12819" spans="6:8">
      <c r="F12819" s="68" t="s">
        <v>119</v>
      </c>
      <c r="G12819" s="67" t="s">
        <v>572</v>
      </c>
      <c r="H12819" s="69">
        <v>-0.45</v>
      </c>
    </row>
    <row r="12820" spans="6:8">
      <c r="F12820" s="68" t="s">
        <v>119</v>
      </c>
      <c r="G12820" s="67" t="s">
        <v>573</v>
      </c>
      <c r="H12820" s="69">
        <v>-0.45</v>
      </c>
    </row>
    <row r="12821" spans="6:8">
      <c r="F12821" s="68" t="s">
        <v>120</v>
      </c>
      <c r="G12821" s="67" t="s">
        <v>573</v>
      </c>
      <c r="H12821" s="69">
        <v>-0.6</v>
      </c>
    </row>
    <row r="12822" spans="6:8">
      <c r="F12822" s="68" t="s">
        <v>121</v>
      </c>
      <c r="G12822" s="67" t="s">
        <v>573</v>
      </c>
      <c r="H12822" s="69">
        <v>-0.5</v>
      </c>
    </row>
    <row r="12823" spans="6:8">
      <c r="F12823" s="68" t="s">
        <v>251</v>
      </c>
      <c r="G12823" s="67" t="s">
        <v>573</v>
      </c>
      <c r="H12823" s="69">
        <v>0.24</v>
      </c>
    </row>
    <row r="12824" spans="6:8">
      <c r="F12824" s="68" t="s">
        <v>420</v>
      </c>
      <c r="G12824" s="67" t="s">
        <v>573</v>
      </c>
      <c r="H12824" s="69">
        <v>3.4208462339079038</v>
      </c>
    </row>
    <row r="12825" spans="6:8">
      <c r="F12825" s="68" t="s">
        <v>122</v>
      </c>
      <c r="G12825" s="67" t="s">
        <v>573</v>
      </c>
      <c r="H12825" s="69">
        <v>-0.4</v>
      </c>
    </row>
    <row r="12826" spans="6:8">
      <c r="F12826" s="68" t="s">
        <v>123</v>
      </c>
      <c r="G12826" s="67" t="s">
        <v>573</v>
      </c>
      <c r="H12826" s="69">
        <v>-0.75</v>
      </c>
    </row>
    <row r="12827" spans="6:8">
      <c r="F12827" s="68" t="s">
        <v>124</v>
      </c>
      <c r="G12827" s="67" t="s">
        <v>573</v>
      </c>
      <c r="H12827" s="69">
        <v>-0.4</v>
      </c>
    </row>
    <row r="12828" spans="6:8">
      <c r="F12828" s="68" t="s">
        <v>252</v>
      </c>
      <c r="G12828" s="67" t="s">
        <v>573</v>
      </c>
      <c r="H12828" s="69">
        <v>0.34</v>
      </c>
    </row>
    <row r="12829" spans="6:8">
      <c r="F12829" s="68" t="s">
        <v>314</v>
      </c>
      <c r="G12829" s="67" t="s">
        <v>573</v>
      </c>
      <c r="H12829" s="69">
        <v>-0.15</v>
      </c>
    </row>
    <row r="12830" spans="6:8">
      <c r="F12830" s="68" t="s">
        <v>125</v>
      </c>
      <c r="G12830" s="67" t="s">
        <v>573</v>
      </c>
      <c r="H12830" s="69">
        <v>-0.25</v>
      </c>
    </row>
    <row r="12831" spans="6:8">
      <c r="F12831" s="68" t="s">
        <v>126</v>
      </c>
      <c r="G12831" s="67" t="s">
        <v>573</v>
      </c>
      <c r="H12831" s="69">
        <v>-0.6</v>
      </c>
    </row>
    <row r="12832" spans="6:8">
      <c r="F12832" s="68" t="s">
        <v>127</v>
      </c>
      <c r="G12832" s="67" t="s">
        <v>573</v>
      </c>
      <c r="H12832" s="69">
        <v>-0.4</v>
      </c>
    </row>
    <row r="12833" spans="6:8">
      <c r="F12833" s="68" t="s">
        <v>253</v>
      </c>
      <c r="G12833" s="67" t="s">
        <v>573</v>
      </c>
      <c r="H12833" s="69">
        <v>0.49</v>
      </c>
    </row>
    <row r="12834" spans="6:8">
      <c r="F12834" s="68" t="s">
        <v>315</v>
      </c>
      <c r="G12834" s="67" t="s">
        <v>573</v>
      </c>
      <c r="H12834" s="69">
        <v>-0.1</v>
      </c>
    </row>
    <row r="12835" spans="6:8">
      <c r="F12835" s="68" t="s">
        <v>128</v>
      </c>
      <c r="G12835" s="67" t="s">
        <v>573</v>
      </c>
      <c r="H12835" s="69">
        <v>-0.6</v>
      </c>
    </row>
    <row r="12836" spans="6:8">
      <c r="F12836" s="68" t="s">
        <v>129</v>
      </c>
      <c r="G12836" s="67" t="s">
        <v>573</v>
      </c>
      <c r="H12836" s="69">
        <v>-0.5</v>
      </c>
    </row>
    <row r="12837" spans="6:8">
      <c r="F12837" s="68" t="s">
        <v>254</v>
      </c>
      <c r="G12837" s="67" t="s">
        <v>573</v>
      </c>
      <c r="H12837" s="69">
        <v>0.67</v>
      </c>
    </row>
    <row r="12838" spans="6:8">
      <c r="F12838" s="68" t="s">
        <v>304</v>
      </c>
      <c r="G12838" s="67" t="s">
        <v>573</v>
      </c>
      <c r="H12838" s="69">
        <v>18.5</v>
      </c>
    </row>
    <row r="12839" spans="6:8">
      <c r="F12839" s="68" t="s">
        <v>421</v>
      </c>
      <c r="G12839" s="67" t="s">
        <v>573</v>
      </c>
      <c r="H12839" s="69">
        <v>2.4479588106730787</v>
      </c>
    </row>
    <row r="12840" spans="6:8">
      <c r="F12840" s="68" t="s">
        <v>567</v>
      </c>
      <c r="G12840" s="67" t="s">
        <v>573</v>
      </c>
      <c r="H12840" s="69">
        <v>-0.4</v>
      </c>
    </row>
    <row r="12841" spans="6:8">
      <c r="F12841" s="68" t="s">
        <v>130</v>
      </c>
      <c r="G12841" s="67" t="s">
        <v>573</v>
      </c>
      <c r="H12841" s="69">
        <v>-0.7</v>
      </c>
    </row>
    <row r="12842" spans="6:8">
      <c r="F12842" s="68" t="s">
        <v>131</v>
      </c>
      <c r="G12842" s="67" t="s">
        <v>573</v>
      </c>
      <c r="H12842" s="69">
        <v>-0.4</v>
      </c>
    </row>
    <row r="12843" spans="6:8">
      <c r="F12843" s="68" t="s">
        <v>255</v>
      </c>
      <c r="G12843" s="67" t="s">
        <v>573</v>
      </c>
      <c r="H12843" s="69">
        <v>0.84</v>
      </c>
    </row>
    <row r="12844" spans="6:8">
      <c r="F12844" s="68" t="s">
        <v>303</v>
      </c>
      <c r="G12844" s="67" t="s">
        <v>573</v>
      </c>
      <c r="H12844" s="69">
        <v>19.5</v>
      </c>
    </row>
    <row r="12845" spans="6:8">
      <c r="F12845" s="68" t="s">
        <v>422</v>
      </c>
      <c r="G12845" s="67" t="s">
        <v>573</v>
      </c>
      <c r="H12845" s="69">
        <v>2.453737141854706</v>
      </c>
    </row>
    <row r="12846" spans="6:8">
      <c r="F12846" s="68" t="s">
        <v>568</v>
      </c>
      <c r="G12846" s="67" t="s">
        <v>573</v>
      </c>
      <c r="H12846" s="69">
        <v>-0.1</v>
      </c>
    </row>
    <row r="12847" spans="6:8">
      <c r="F12847" s="68" t="s">
        <v>132</v>
      </c>
      <c r="G12847" s="67" t="s">
        <v>573</v>
      </c>
      <c r="H12847" s="69">
        <v>-0.65</v>
      </c>
    </row>
    <row r="12848" spans="6:8">
      <c r="F12848" s="68" t="s">
        <v>133</v>
      </c>
      <c r="G12848" s="67" t="s">
        <v>573</v>
      </c>
      <c r="H12848" s="69">
        <v>-0.5</v>
      </c>
    </row>
    <row r="12849" spans="6:8">
      <c r="F12849" s="68" t="s">
        <v>256</v>
      </c>
      <c r="G12849" s="67" t="s">
        <v>573</v>
      </c>
      <c r="H12849" s="69">
        <v>0.96</v>
      </c>
    </row>
    <row r="12850" spans="6:8">
      <c r="F12850" s="68" t="s">
        <v>423</v>
      </c>
      <c r="G12850" s="67" t="s">
        <v>573</v>
      </c>
      <c r="H12850" s="69">
        <v>2.4726227573760973</v>
      </c>
    </row>
    <row r="12851" spans="6:8">
      <c r="F12851" s="68" t="s">
        <v>569</v>
      </c>
      <c r="G12851" s="67" t="s">
        <v>573</v>
      </c>
      <c r="H12851" s="69">
        <v>-0.1</v>
      </c>
    </row>
    <row r="12852" spans="6:8">
      <c r="F12852" s="68" t="s">
        <v>134</v>
      </c>
      <c r="G12852" s="67" t="s">
        <v>573</v>
      </c>
      <c r="H12852" s="69">
        <v>-0.6</v>
      </c>
    </row>
    <row r="12853" spans="6:8">
      <c r="F12853" s="68" t="s">
        <v>135</v>
      </c>
      <c r="G12853" s="67" t="s">
        <v>573</v>
      </c>
      <c r="H12853" s="69">
        <v>-0.6</v>
      </c>
    </row>
    <row r="12854" spans="6:8">
      <c r="F12854" s="68" t="s">
        <v>257</v>
      </c>
      <c r="G12854" s="67" t="s">
        <v>573</v>
      </c>
      <c r="H12854" s="69">
        <v>1.02</v>
      </c>
    </row>
    <row r="12855" spans="6:8">
      <c r="F12855" s="68" t="s">
        <v>258</v>
      </c>
      <c r="G12855" s="67" t="s">
        <v>573</v>
      </c>
      <c r="H12855" s="69">
        <v>0.14000000000000001</v>
      </c>
    </row>
    <row r="12856" spans="6:8">
      <c r="F12856" s="68" t="s">
        <v>424</v>
      </c>
      <c r="G12856" s="67" t="s">
        <v>573</v>
      </c>
      <c r="H12856" s="69">
        <v>3.2061682961269877</v>
      </c>
    </row>
    <row r="12857" spans="6:8">
      <c r="F12857" s="68" t="s">
        <v>136</v>
      </c>
      <c r="G12857" s="67" t="s">
        <v>573</v>
      </c>
      <c r="H12857" s="69">
        <v>-0.55000000000000004</v>
      </c>
    </row>
    <row r="12858" spans="6:8">
      <c r="F12858" s="68" t="s">
        <v>137</v>
      </c>
      <c r="G12858" s="67" t="s">
        <v>573</v>
      </c>
      <c r="H12858" s="69">
        <v>-0.6</v>
      </c>
    </row>
    <row r="12859" spans="6:8">
      <c r="F12859" s="68" t="s">
        <v>138</v>
      </c>
      <c r="G12859" s="67" t="s">
        <v>573</v>
      </c>
      <c r="H12859" s="69">
        <v>-0.6</v>
      </c>
    </row>
    <row r="12860" spans="6:8">
      <c r="F12860" s="68" t="s">
        <v>259</v>
      </c>
      <c r="G12860" s="67" t="s">
        <v>573</v>
      </c>
      <c r="H12860" s="69">
        <v>0.16</v>
      </c>
    </row>
    <row r="12861" spans="6:8">
      <c r="F12861" s="68" t="s">
        <v>425</v>
      </c>
      <c r="G12861" s="67" t="s">
        <v>573</v>
      </c>
      <c r="H12861" s="69">
        <v>3.2147766477066853</v>
      </c>
    </row>
    <row r="12862" spans="6:8">
      <c r="F12862" s="68" t="s">
        <v>425</v>
      </c>
      <c r="G12862" s="67" t="s">
        <v>574</v>
      </c>
      <c r="H12862" s="69">
        <v>3.2294489164945706</v>
      </c>
    </row>
    <row r="12863" spans="6:8">
      <c r="F12863" s="68" t="s">
        <v>259</v>
      </c>
      <c r="G12863" s="67" t="s">
        <v>574</v>
      </c>
      <c r="H12863" s="69">
        <v>0.16</v>
      </c>
    </row>
    <row r="12864" spans="6:8">
      <c r="F12864" s="68" t="s">
        <v>138</v>
      </c>
      <c r="G12864" s="67" t="s">
        <v>574</v>
      </c>
      <c r="H12864" s="69">
        <v>-0.6</v>
      </c>
    </row>
    <row r="12865" spans="6:8">
      <c r="F12865" s="68" t="s">
        <v>137</v>
      </c>
      <c r="G12865" s="67" t="s">
        <v>574</v>
      </c>
      <c r="H12865" s="69">
        <v>-0.6</v>
      </c>
    </row>
    <row r="12866" spans="6:8">
      <c r="F12866" s="68" t="s">
        <v>136</v>
      </c>
      <c r="G12866" s="67" t="s">
        <v>574</v>
      </c>
      <c r="H12866" s="69">
        <v>-0.55000000000000004</v>
      </c>
    </row>
    <row r="12867" spans="6:8">
      <c r="F12867" s="68" t="s">
        <v>424</v>
      </c>
      <c r="G12867" s="67" t="s">
        <v>574</v>
      </c>
      <c r="H12867" s="69">
        <v>3.2217577322235069</v>
      </c>
    </row>
    <row r="12868" spans="6:8">
      <c r="F12868" s="68" t="s">
        <v>258</v>
      </c>
      <c r="G12868" s="67" t="s">
        <v>574</v>
      </c>
      <c r="H12868" s="69">
        <v>0.14000000000000001</v>
      </c>
    </row>
    <row r="12869" spans="6:8">
      <c r="F12869" s="68" t="s">
        <v>257</v>
      </c>
      <c r="G12869" s="67" t="s">
        <v>574</v>
      </c>
      <c r="H12869" s="69">
        <v>1.02</v>
      </c>
    </row>
    <row r="12870" spans="6:8">
      <c r="F12870" s="68" t="s">
        <v>135</v>
      </c>
      <c r="G12870" s="67" t="s">
        <v>574</v>
      </c>
      <c r="H12870" s="69">
        <v>-0.6</v>
      </c>
    </row>
    <row r="12871" spans="6:8">
      <c r="F12871" s="68" t="s">
        <v>134</v>
      </c>
      <c r="G12871" s="67" t="s">
        <v>574</v>
      </c>
      <c r="H12871" s="69">
        <v>-0.6</v>
      </c>
    </row>
    <row r="12872" spans="6:8">
      <c r="F12872" s="68" t="s">
        <v>569</v>
      </c>
      <c r="G12872" s="67" t="s">
        <v>574</v>
      </c>
      <c r="H12872" s="69">
        <v>-0.1</v>
      </c>
    </row>
    <row r="12873" spans="6:8">
      <c r="F12873" s="68" t="s">
        <v>423</v>
      </c>
      <c r="G12873" s="67" t="s">
        <v>574</v>
      </c>
      <c r="H12873" s="69">
        <v>2.5073044862753857</v>
      </c>
    </row>
    <row r="12874" spans="6:8">
      <c r="F12874" s="68" t="s">
        <v>256</v>
      </c>
      <c r="G12874" s="67" t="s">
        <v>574</v>
      </c>
      <c r="H12874" s="69">
        <v>0.96</v>
      </c>
    </row>
    <row r="12875" spans="6:8">
      <c r="F12875" s="68" t="s">
        <v>133</v>
      </c>
      <c r="G12875" s="67" t="s">
        <v>574</v>
      </c>
      <c r="H12875" s="69">
        <v>-0.5</v>
      </c>
    </row>
    <row r="12876" spans="6:8">
      <c r="F12876" s="68" t="s">
        <v>132</v>
      </c>
      <c r="G12876" s="67" t="s">
        <v>574</v>
      </c>
      <c r="H12876" s="69">
        <v>-0.65</v>
      </c>
    </row>
    <row r="12877" spans="6:8">
      <c r="F12877" s="68" t="s">
        <v>568</v>
      </c>
      <c r="G12877" s="67" t="s">
        <v>574</v>
      </c>
      <c r="H12877" s="69">
        <v>-0.1</v>
      </c>
    </row>
    <row r="12878" spans="6:8">
      <c r="F12878" s="68" t="s">
        <v>422</v>
      </c>
      <c r="G12878" s="67" t="s">
        <v>574</v>
      </c>
      <c r="H12878" s="69">
        <v>2.4837944808535184</v>
      </c>
    </row>
    <row r="12879" spans="6:8">
      <c r="F12879" s="68" t="s">
        <v>303</v>
      </c>
      <c r="G12879" s="67" t="s">
        <v>574</v>
      </c>
      <c r="H12879" s="69">
        <v>19.520833333333332</v>
      </c>
    </row>
    <row r="12880" spans="6:8">
      <c r="F12880" s="68" t="s">
        <v>255</v>
      </c>
      <c r="G12880" s="67" t="s">
        <v>574</v>
      </c>
      <c r="H12880" s="69">
        <v>0.84</v>
      </c>
    </row>
    <row r="12881" spans="6:8">
      <c r="F12881" s="68" t="s">
        <v>131</v>
      </c>
      <c r="G12881" s="67" t="s">
        <v>574</v>
      </c>
      <c r="H12881" s="69">
        <v>-0.4</v>
      </c>
    </row>
    <row r="12882" spans="6:8">
      <c r="F12882" s="68" t="s">
        <v>130</v>
      </c>
      <c r="G12882" s="67" t="s">
        <v>574</v>
      </c>
      <c r="H12882" s="69">
        <v>-0.7</v>
      </c>
    </row>
    <row r="12883" spans="6:8">
      <c r="F12883" s="68" t="s">
        <v>567</v>
      </c>
      <c r="G12883" s="67" t="s">
        <v>574</v>
      </c>
      <c r="H12883" s="69">
        <v>-0.4</v>
      </c>
    </row>
    <row r="12884" spans="6:8">
      <c r="F12884" s="68" t="s">
        <v>421</v>
      </c>
      <c r="G12884" s="67" t="s">
        <v>574</v>
      </c>
      <c r="H12884" s="69">
        <v>2.4780805582607091</v>
      </c>
    </row>
    <row r="12885" spans="6:8">
      <c r="F12885" s="68" t="s">
        <v>304</v>
      </c>
      <c r="G12885" s="67" t="s">
        <v>574</v>
      </c>
      <c r="H12885" s="69">
        <v>18.520833333333332</v>
      </c>
    </row>
    <row r="12886" spans="6:8">
      <c r="F12886" s="68" t="s">
        <v>254</v>
      </c>
      <c r="G12886" s="67" t="s">
        <v>574</v>
      </c>
      <c r="H12886" s="69">
        <v>0.67</v>
      </c>
    </row>
    <row r="12887" spans="6:8">
      <c r="F12887" s="68" t="s">
        <v>129</v>
      </c>
      <c r="G12887" s="67" t="s">
        <v>574</v>
      </c>
      <c r="H12887" s="69">
        <v>-0.5</v>
      </c>
    </row>
    <row r="12888" spans="6:8">
      <c r="F12888" s="68" t="s">
        <v>128</v>
      </c>
      <c r="G12888" s="67" t="s">
        <v>574</v>
      </c>
      <c r="H12888" s="69">
        <v>-0.6</v>
      </c>
    </row>
    <row r="12889" spans="6:8">
      <c r="F12889" s="68" t="s">
        <v>315</v>
      </c>
      <c r="G12889" s="67" t="s">
        <v>574</v>
      </c>
      <c r="H12889" s="69">
        <v>-0.1</v>
      </c>
    </row>
    <row r="12890" spans="6:8">
      <c r="F12890" s="68" t="s">
        <v>253</v>
      </c>
      <c r="G12890" s="67" t="s">
        <v>574</v>
      </c>
      <c r="H12890" s="69">
        <v>0.49</v>
      </c>
    </row>
    <row r="12891" spans="6:8">
      <c r="F12891" s="68" t="s">
        <v>127</v>
      </c>
      <c r="G12891" s="67" t="s">
        <v>574</v>
      </c>
      <c r="H12891" s="69">
        <v>-0.4</v>
      </c>
    </row>
    <row r="12892" spans="6:8">
      <c r="F12892" s="68" t="s">
        <v>126</v>
      </c>
      <c r="G12892" s="67" t="s">
        <v>574</v>
      </c>
      <c r="H12892" s="69">
        <v>-0.6</v>
      </c>
    </row>
    <row r="12893" spans="6:8">
      <c r="F12893" s="68" t="s">
        <v>125</v>
      </c>
      <c r="G12893" s="67" t="s">
        <v>574</v>
      </c>
      <c r="H12893" s="69">
        <v>-0.25</v>
      </c>
    </row>
    <row r="12894" spans="6:8">
      <c r="F12894" s="68" t="s">
        <v>314</v>
      </c>
      <c r="G12894" s="67" t="s">
        <v>574</v>
      </c>
      <c r="H12894" s="69">
        <v>-0.15</v>
      </c>
    </row>
    <row r="12895" spans="6:8">
      <c r="F12895" s="68" t="s">
        <v>252</v>
      </c>
      <c r="G12895" s="67" t="s">
        <v>574</v>
      </c>
      <c r="H12895" s="69">
        <v>0.34</v>
      </c>
    </row>
    <row r="12896" spans="6:8">
      <c r="F12896" s="68" t="s">
        <v>124</v>
      </c>
      <c r="G12896" s="67" t="s">
        <v>574</v>
      </c>
      <c r="H12896" s="69">
        <v>-0.4</v>
      </c>
    </row>
    <row r="12897" spans="6:8">
      <c r="F12897" s="68" t="s">
        <v>123</v>
      </c>
      <c r="G12897" s="67" t="s">
        <v>574</v>
      </c>
      <c r="H12897" s="69">
        <v>-0.75</v>
      </c>
    </row>
    <row r="12898" spans="6:8">
      <c r="F12898" s="68" t="s">
        <v>122</v>
      </c>
      <c r="G12898" s="67" t="s">
        <v>574</v>
      </c>
      <c r="H12898" s="69">
        <v>-0.4</v>
      </c>
    </row>
    <row r="12899" spans="6:8">
      <c r="F12899" s="68" t="s">
        <v>420</v>
      </c>
      <c r="G12899" s="67" t="s">
        <v>574</v>
      </c>
      <c r="H12899" s="69">
        <v>3.4409874974018262</v>
      </c>
    </row>
    <row r="12900" spans="6:8">
      <c r="F12900" s="68" t="s">
        <v>251</v>
      </c>
      <c r="G12900" s="67" t="s">
        <v>574</v>
      </c>
      <c r="H12900" s="69">
        <v>0.24</v>
      </c>
    </row>
    <row r="12901" spans="6:8">
      <c r="F12901" s="68" t="s">
        <v>121</v>
      </c>
      <c r="G12901" s="67" t="s">
        <v>574</v>
      </c>
      <c r="H12901" s="69">
        <v>-0.5</v>
      </c>
    </row>
    <row r="12902" spans="6:8">
      <c r="F12902" s="68" t="s">
        <v>120</v>
      </c>
      <c r="G12902" s="67" t="s">
        <v>574</v>
      </c>
      <c r="H12902" s="69">
        <v>-0.6</v>
      </c>
    </row>
    <row r="12903" spans="6:8">
      <c r="F12903" s="68" t="s">
        <v>119</v>
      </c>
      <c r="G12903" s="67" t="s">
        <v>574</v>
      </c>
      <c r="H12903" s="69">
        <v>-0.45</v>
      </c>
    </row>
    <row r="12904" spans="6:8">
      <c r="F12904" s="68" t="s">
        <v>119</v>
      </c>
      <c r="G12904" s="67" t="s">
        <v>575</v>
      </c>
      <c r="H12904" s="69">
        <v>-0.45</v>
      </c>
    </row>
    <row r="12905" spans="6:8">
      <c r="F12905" s="68" t="s">
        <v>120</v>
      </c>
      <c r="G12905" s="67" t="s">
        <v>575</v>
      </c>
      <c r="H12905" s="69">
        <v>-0.6</v>
      </c>
    </row>
    <row r="12906" spans="6:8">
      <c r="F12906" s="68" t="s">
        <v>121</v>
      </c>
      <c r="G12906" s="67" t="s">
        <v>575</v>
      </c>
      <c r="H12906" s="69">
        <v>-0.5</v>
      </c>
    </row>
    <row r="12907" spans="6:8">
      <c r="F12907" s="68" t="s">
        <v>251</v>
      </c>
      <c r="G12907" s="67" t="s">
        <v>575</v>
      </c>
      <c r="H12907" s="69">
        <v>0.24</v>
      </c>
    </row>
    <row r="12908" spans="6:8">
      <c r="F12908" s="68" t="s">
        <v>420</v>
      </c>
      <c r="G12908" s="67" t="s">
        <v>575</v>
      </c>
      <c r="H12908" s="69">
        <v>3.4238152467223948</v>
      </c>
    </row>
    <row r="12909" spans="6:8">
      <c r="F12909" s="68" t="s">
        <v>122</v>
      </c>
      <c r="G12909" s="67" t="s">
        <v>575</v>
      </c>
      <c r="H12909" s="69">
        <v>-0.4</v>
      </c>
    </row>
    <row r="12910" spans="6:8">
      <c r="F12910" s="68" t="s">
        <v>123</v>
      </c>
      <c r="G12910" s="67" t="s">
        <v>575</v>
      </c>
      <c r="H12910" s="69">
        <v>-0.75</v>
      </c>
    </row>
    <row r="12911" spans="6:8">
      <c r="F12911" s="68" t="s">
        <v>124</v>
      </c>
      <c r="G12911" s="67" t="s">
        <v>575</v>
      </c>
      <c r="H12911" s="69">
        <v>-0.4</v>
      </c>
    </row>
    <row r="12912" spans="6:8">
      <c r="F12912" s="68" t="s">
        <v>252</v>
      </c>
      <c r="G12912" s="67" t="s">
        <v>575</v>
      </c>
      <c r="H12912" s="69">
        <v>0.34</v>
      </c>
    </row>
    <row r="12913" spans="6:8">
      <c r="F12913" s="68" t="s">
        <v>314</v>
      </c>
      <c r="G12913" s="67" t="s">
        <v>575</v>
      </c>
      <c r="H12913" s="69">
        <v>-0.15</v>
      </c>
    </row>
    <row r="12914" spans="6:8">
      <c r="F12914" s="68" t="s">
        <v>125</v>
      </c>
      <c r="G12914" s="67" t="s">
        <v>575</v>
      </c>
      <c r="H12914" s="69">
        <v>-0.25</v>
      </c>
    </row>
    <row r="12915" spans="6:8">
      <c r="F12915" s="68" t="s">
        <v>126</v>
      </c>
      <c r="G12915" s="67" t="s">
        <v>575</v>
      </c>
      <c r="H12915" s="69">
        <v>-0.6</v>
      </c>
    </row>
    <row r="12916" spans="6:8">
      <c r="F12916" s="68" t="s">
        <v>127</v>
      </c>
      <c r="G12916" s="67" t="s">
        <v>575</v>
      </c>
      <c r="H12916" s="69">
        <v>-0.4</v>
      </c>
    </row>
    <row r="12917" spans="6:8">
      <c r="F12917" s="68" t="s">
        <v>253</v>
      </c>
      <c r="G12917" s="67" t="s">
        <v>575</v>
      </c>
      <c r="H12917" s="69">
        <v>0.49</v>
      </c>
    </row>
    <row r="12918" spans="6:8">
      <c r="F12918" s="68" t="s">
        <v>315</v>
      </c>
      <c r="G12918" s="67" t="s">
        <v>575</v>
      </c>
      <c r="H12918" s="69">
        <v>-0.1</v>
      </c>
    </row>
    <row r="12919" spans="6:8">
      <c r="F12919" s="68" t="s">
        <v>128</v>
      </c>
      <c r="G12919" s="67" t="s">
        <v>575</v>
      </c>
      <c r="H12919" s="69">
        <v>-0.6</v>
      </c>
    </row>
    <row r="12920" spans="6:8">
      <c r="F12920" s="68" t="s">
        <v>129</v>
      </c>
      <c r="G12920" s="67" t="s">
        <v>575</v>
      </c>
      <c r="H12920" s="69">
        <v>-0.5</v>
      </c>
    </row>
    <row r="12921" spans="6:8">
      <c r="F12921" s="68" t="s">
        <v>254</v>
      </c>
      <c r="G12921" s="67" t="s">
        <v>575</v>
      </c>
      <c r="H12921" s="69">
        <v>0.67</v>
      </c>
    </row>
    <row r="12922" spans="6:8">
      <c r="F12922" s="68" t="s">
        <v>304</v>
      </c>
      <c r="G12922" s="67" t="s">
        <v>575</v>
      </c>
      <c r="H12922" s="69">
        <v>18.4375</v>
      </c>
    </row>
    <row r="12923" spans="6:8">
      <c r="F12923" s="68" t="s">
        <v>421</v>
      </c>
      <c r="G12923" s="67" t="s">
        <v>575</v>
      </c>
      <c r="H12923" s="69">
        <v>2.4626027241718695</v>
      </c>
    </row>
    <row r="12924" spans="6:8">
      <c r="F12924" s="68" t="s">
        <v>567</v>
      </c>
      <c r="G12924" s="67" t="s">
        <v>575</v>
      </c>
      <c r="H12924" s="69">
        <v>-0.4</v>
      </c>
    </row>
    <row r="12925" spans="6:8">
      <c r="F12925" s="68" t="s">
        <v>130</v>
      </c>
      <c r="G12925" s="67" t="s">
        <v>575</v>
      </c>
      <c r="H12925" s="69">
        <v>-0.7</v>
      </c>
    </row>
    <row r="12926" spans="6:8">
      <c r="F12926" s="68" t="s">
        <v>131</v>
      </c>
      <c r="G12926" s="67" t="s">
        <v>575</v>
      </c>
      <c r="H12926" s="69">
        <v>-0.4</v>
      </c>
    </row>
    <row r="12927" spans="6:8">
      <c r="F12927" s="68" t="s">
        <v>255</v>
      </c>
      <c r="G12927" s="67" t="s">
        <v>575</v>
      </c>
      <c r="H12927" s="69">
        <v>0.84</v>
      </c>
    </row>
    <row r="12928" spans="6:8">
      <c r="F12928" s="68" t="s">
        <v>303</v>
      </c>
      <c r="G12928" s="67" t="s">
        <v>575</v>
      </c>
      <c r="H12928" s="69">
        <v>19.447916666666668</v>
      </c>
    </row>
    <row r="12929" spans="6:8">
      <c r="F12929" s="68" t="s">
        <v>422</v>
      </c>
      <c r="G12929" s="67" t="s">
        <v>575</v>
      </c>
      <c r="H12929" s="69">
        <v>2.4682661623776969</v>
      </c>
    </row>
    <row r="12930" spans="6:8">
      <c r="F12930" s="68" t="s">
        <v>568</v>
      </c>
      <c r="G12930" s="67" t="s">
        <v>575</v>
      </c>
      <c r="H12930" s="69">
        <v>-0.1</v>
      </c>
    </row>
    <row r="12931" spans="6:8">
      <c r="F12931" s="68" t="s">
        <v>132</v>
      </c>
      <c r="G12931" s="67" t="s">
        <v>575</v>
      </c>
      <c r="H12931" s="69">
        <v>-0.65</v>
      </c>
    </row>
    <row r="12932" spans="6:8">
      <c r="F12932" s="68" t="s">
        <v>133</v>
      </c>
      <c r="G12932" s="67" t="s">
        <v>575</v>
      </c>
      <c r="H12932" s="69">
        <v>-0.5</v>
      </c>
    </row>
    <row r="12933" spans="6:8">
      <c r="F12933" s="68" t="s">
        <v>256</v>
      </c>
      <c r="G12933" s="67" t="s">
        <v>575</v>
      </c>
      <c r="H12933" s="69">
        <v>0.96</v>
      </c>
    </row>
    <row r="12934" spans="6:8">
      <c r="F12934" s="68" t="s">
        <v>423</v>
      </c>
      <c r="G12934" s="67" t="s">
        <v>575</v>
      </c>
      <c r="H12934" s="69">
        <v>2.490813987114171</v>
      </c>
    </row>
    <row r="12935" spans="6:8">
      <c r="F12935" s="68" t="s">
        <v>569</v>
      </c>
      <c r="G12935" s="67" t="s">
        <v>575</v>
      </c>
      <c r="H12935" s="69">
        <v>-0.1</v>
      </c>
    </row>
    <row r="12936" spans="6:8">
      <c r="F12936" s="68" t="s">
        <v>134</v>
      </c>
      <c r="G12936" s="67" t="s">
        <v>575</v>
      </c>
      <c r="H12936" s="69">
        <v>-0.6</v>
      </c>
    </row>
    <row r="12937" spans="6:8">
      <c r="F12937" s="68" t="s">
        <v>135</v>
      </c>
      <c r="G12937" s="67" t="s">
        <v>575</v>
      </c>
      <c r="H12937" s="69">
        <v>-0.6</v>
      </c>
    </row>
    <row r="12938" spans="6:8">
      <c r="F12938" s="68" t="s">
        <v>257</v>
      </c>
      <c r="G12938" s="67" t="s">
        <v>575</v>
      </c>
      <c r="H12938" s="69">
        <v>1.02</v>
      </c>
    </row>
    <row r="12939" spans="6:8">
      <c r="F12939" s="68" t="s">
        <v>258</v>
      </c>
      <c r="G12939" s="67" t="s">
        <v>575</v>
      </c>
      <c r="H12939" s="69">
        <v>0.14000000000000001</v>
      </c>
    </row>
    <row r="12940" spans="6:8">
      <c r="F12940" s="68" t="s">
        <v>424</v>
      </c>
      <c r="G12940" s="67" t="s">
        <v>575</v>
      </c>
      <c r="H12940" s="69">
        <v>3.2025559315606245</v>
      </c>
    </row>
    <row r="12941" spans="6:8">
      <c r="F12941" s="68" t="s">
        <v>136</v>
      </c>
      <c r="G12941" s="67" t="s">
        <v>575</v>
      </c>
      <c r="H12941" s="69">
        <v>-0.55000000000000004</v>
      </c>
    </row>
    <row r="12942" spans="6:8">
      <c r="F12942" s="68" t="s">
        <v>137</v>
      </c>
      <c r="G12942" s="67" t="s">
        <v>575</v>
      </c>
      <c r="H12942" s="69">
        <v>-0.6</v>
      </c>
    </row>
    <row r="12943" spans="6:8">
      <c r="F12943" s="68" t="s">
        <v>138</v>
      </c>
      <c r="G12943" s="67" t="s">
        <v>575</v>
      </c>
      <c r="H12943" s="69">
        <v>-0.6</v>
      </c>
    </row>
    <row r="12944" spans="6:8">
      <c r="F12944" s="68" t="s">
        <v>259</v>
      </c>
      <c r="G12944" s="67" t="s">
        <v>575</v>
      </c>
      <c r="H12944" s="69">
        <v>0.16</v>
      </c>
    </row>
    <row r="12945" spans="6:8">
      <c r="F12945" s="68" t="s">
        <v>425</v>
      </c>
      <c r="G12945" s="67" t="s">
        <v>575</v>
      </c>
      <c r="H12945" s="69">
        <v>3.2095367690077037</v>
      </c>
    </row>
    <row r="12946" spans="6:8">
      <c r="F12946" s="68" t="s">
        <v>425</v>
      </c>
      <c r="G12946" s="67" t="s">
        <v>576</v>
      </c>
      <c r="H12946" s="69">
        <v>3.2198490019020198</v>
      </c>
    </row>
    <row r="12947" spans="6:8">
      <c r="F12947" s="68" t="s">
        <v>259</v>
      </c>
      <c r="G12947" s="67" t="s">
        <v>576</v>
      </c>
      <c r="H12947" s="69">
        <v>0.16</v>
      </c>
    </row>
    <row r="12948" spans="6:8">
      <c r="F12948" s="68" t="s">
        <v>138</v>
      </c>
      <c r="G12948" s="67" t="s">
        <v>576</v>
      </c>
      <c r="H12948" s="69">
        <v>-0.6</v>
      </c>
    </row>
    <row r="12949" spans="6:8">
      <c r="F12949" s="68" t="s">
        <v>137</v>
      </c>
      <c r="G12949" s="67" t="s">
        <v>576</v>
      </c>
      <c r="H12949" s="69">
        <v>-0.6</v>
      </c>
    </row>
    <row r="12950" spans="6:8">
      <c r="F12950" s="68" t="s">
        <v>136</v>
      </c>
      <c r="G12950" s="67" t="s">
        <v>576</v>
      </c>
      <c r="H12950" s="69">
        <v>-0.55000000000000004</v>
      </c>
    </row>
    <row r="12951" spans="6:8">
      <c r="F12951" s="68" t="s">
        <v>424</v>
      </c>
      <c r="G12951" s="67" t="s">
        <v>576</v>
      </c>
      <c r="H12951" s="69">
        <v>3.2169374105898374</v>
      </c>
    </row>
    <row r="12952" spans="6:8">
      <c r="F12952" s="68" t="s">
        <v>258</v>
      </c>
      <c r="G12952" s="67" t="s">
        <v>576</v>
      </c>
      <c r="H12952" s="69">
        <v>0.14000000000000001</v>
      </c>
    </row>
    <row r="12953" spans="6:8">
      <c r="F12953" s="68" t="s">
        <v>257</v>
      </c>
      <c r="G12953" s="67" t="s">
        <v>576</v>
      </c>
      <c r="H12953" s="69">
        <v>1.02</v>
      </c>
    </row>
    <row r="12954" spans="6:8">
      <c r="F12954" s="68" t="s">
        <v>135</v>
      </c>
      <c r="G12954" s="67" t="s">
        <v>576</v>
      </c>
      <c r="H12954" s="69">
        <v>-0.6</v>
      </c>
    </row>
    <row r="12955" spans="6:8">
      <c r="F12955" s="68" t="s">
        <v>134</v>
      </c>
      <c r="G12955" s="67" t="s">
        <v>576</v>
      </c>
      <c r="H12955" s="69">
        <v>-0.6</v>
      </c>
    </row>
    <row r="12956" spans="6:8">
      <c r="F12956" s="68" t="s">
        <v>569</v>
      </c>
      <c r="G12956" s="67" t="s">
        <v>576</v>
      </c>
      <c r="H12956" s="69">
        <v>-0.1</v>
      </c>
    </row>
    <row r="12957" spans="6:8">
      <c r="F12957" s="68" t="s">
        <v>423</v>
      </c>
      <c r="G12957" s="67" t="s">
        <v>576</v>
      </c>
      <c r="H12957" s="69">
        <v>2.5037076530049163</v>
      </c>
    </row>
    <row r="12958" spans="6:8">
      <c r="F12958" s="68" t="s">
        <v>256</v>
      </c>
      <c r="G12958" s="67" t="s">
        <v>576</v>
      </c>
      <c r="H12958" s="69">
        <v>0.96</v>
      </c>
    </row>
    <row r="12959" spans="6:8">
      <c r="F12959" s="68" t="s">
        <v>133</v>
      </c>
      <c r="G12959" s="67" t="s">
        <v>576</v>
      </c>
      <c r="H12959" s="69">
        <v>-0.5</v>
      </c>
    </row>
    <row r="12960" spans="6:8">
      <c r="F12960" s="68" t="s">
        <v>132</v>
      </c>
      <c r="G12960" s="67" t="s">
        <v>576</v>
      </c>
      <c r="H12960" s="69">
        <v>-0.65</v>
      </c>
    </row>
    <row r="12961" spans="6:8">
      <c r="F12961" s="68" t="s">
        <v>568</v>
      </c>
      <c r="G12961" s="67" t="s">
        <v>576</v>
      </c>
      <c r="H12961" s="69">
        <v>-0.1</v>
      </c>
    </row>
    <row r="12962" spans="6:8">
      <c r="F12962" s="68" t="s">
        <v>422</v>
      </c>
      <c r="G12962" s="67" t="s">
        <v>576</v>
      </c>
      <c r="H12962" s="69">
        <v>2.4767224935019261</v>
      </c>
    </row>
    <row r="12963" spans="6:8">
      <c r="F12963" s="68" t="s">
        <v>303</v>
      </c>
      <c r="G12963" s="67" t="s">
        <v>576</v>
      </c>
      <c r="H12963" s="69">
        <v>19.40625</v>
      </c>
    </row>
    <row r="12964" spans="6:8">
      <c r="F12964" s="68" t="s">
        <v>255</v>
      </c>
      <c r="G12964" s="67" t="s">
        <v>576</v>
      </c>
      <c r="H12964" s="69">
        <v>0.84</v>
      </c>
    </row>
    <row r="12965" spans="6:8">
      <c r="F12965" s="68" t="s">
        <v>131</v>
      </c>
      <c r="G12965" s="67" t="s">
        <v>576</v>
      </c>
      <c r="H12965" s="69">
        <v>-0.4</v>
      </c>
    </row>
    <row r="12966" spans="6:8">
      <c r="F12966" s="68" t="s">
        <v>130</v>
      </c>
      <c r="G12966" s="67" t="s">
        <v>576</v>
      </c>
      <c r="H12966" s="69">
        <v>-0.7</v>
      </c>
    </row>
    <row r="12967" spans="6:8">
      <c r="F12967" s="68" t="s">
        <v>567</v>
      </c>
      <c r="G12967" s="67" t="s">
        <v>576</v>
      </c>
      <c r="H12967" s="69">
        <v>-0.4</v>
      </c>
    </row>
    <row r="12968" spans="6:8">
      <c r="F12968" s="68" t="s">
        <v>421</v>
      </c>
      <c r="G12968" s="67" t="s">
        <v>576</v>
      </c>
      <c r="H12968" s="69">
        <v>2.4711399120137312</v>
      </c>
    </row>
    <row r="12969" spans="6:8">
      <c r="F12969" s="68" t="s">
        <v>304</v>
      </c>
      <c r="G12969" s="67" t="s">
        <v>576</v>
      </c>
      <c r="H12969" s="69">
        <v>18.385416666666668</v>
      </c>
    </row>
    <row r="12970" spans="6:8">
      <c r="F12970" s="68" t="s">
        <v>254</v>
      </c>
      <c r="G12970" s="67" t="s">
        <v>576</v>
      </c>
      <c r="H12970" s="69">
        <v>0.67</v>
      </c>
    </row>
    <row r="12971" spans="6:8">
      <c r="F12971" s="68" t="s">
        <v>129</v>
      </c>
      <c r="G12971" s="67" t="s">
        <v>576</v>
      </c>
      <c r="H12971" s="69">
        <v>-0.5</v>
      </c>
    </row>
    <row r="12972" spans="6:8">
      <c r="F12972" s="68" t="s">
        <v>128</v>
      </c>
      <c r="G12972" s="67" t="s">
        <v>576</v>
      </c>
      <c r="H12972" s="69">
        <v>-0.6</v>
      </c>
    </row>
    <row r="12973" spans="6:8">
      <c r="F12973" s="68" t="s">
        <v>315</v>
      </c>
      <c r="G12973" s="67" t="s">
        <v>576</v>
      </c>
      <c r="H12973" s="69">
        <v>-0.1</v>
      </c>
    </row>
    <row r="12974" spans="6:8">
      <c r="F12974" s="68" t="s">
        <v>253</v>
      </c>
      <c r="G12974" s="67" t="s">
        <v>576</v>
      </c>
      <c r="H12974" s="69">
        <v>0.49</v>
      </c>
    </row>
    <row r="12975" spans="6:8">
      <c r="F12975" s="68" t="s">
        <v>127</v>
      </c>
      <c r="G12975" s="67" t="s">
        <v>576</v>
      </c>
      <c r="H12975" s="69">
        <v>-0.4</v>
      </c>
    </row>
    <row r="12976" spans="6:8">
      <c r="F12976" s="68" t="s">
        <v>126</v>
      </c>
      <c r="G12976" s="67" t="s">
        <v>576</v>
      </c>
      <c r="H12976" s="69">
        <v>-0.6</v>
      </c>
    </row>
    <row r="12977" spans="6:8">
      <c r="F12977" s="68" t="s">
        <v>125</v>
      </c>
      <c r="G12977" s="67" t="s">
        <v>576</v>
      </c>
      <c r="H12977" s="69">
        <v>-0.25</v>
      </c>
    </row>
    <row r="12978" spans="6:8">
      <c r="F12978" s="68" t="s">
        <v>314</v>
      </c>
      <c r="G12978" s="67" t="s">
        <v>576</v>
      </c>
      <c r="H12978" s="69">
        <v>-0.15</v>
      </c>
    </row>
    <row r="12979" spans="6:8">
      <c r="F12979" s="68" t="s">
        <v>252</v>
      </c>
      <c r="G12979" s="67" t="s">
        <v>576</v>
      </c>
      <c r="H12979" s="69">
        <v>0.34</v>
      </c>
    </row>
    <row r="12980" spans="6:8">
      <c r="F12980" s="68" t="s">
        <v>124</v>
      </c>
      <c r="G12980" s="67" t="s">
        <v>576</v>
      </c>
      <c r="H12980" s="69">
        <v>-0.4</v>
      </c>
    </row>
    <row r="12981" spans="6:8">
      <c r="F12981" s="68" t="s">
        <v>123</v>
      </c>
      <c r="G12981" s="67" t="s">
        <v>576</v>
      </c>
      <c r="H12981" s="69">
        <v>-0.75</v>
      </c>
    </row>
    <row r="12982" spans="6:8">
      <c r="F12982" s="68" t="s">
        <v>122</v>
      </c>
      <c r="G12982" s="67" t="s">
        <v>576</v>
      </c>
      <c r="H12982" s="69">
        <v>-0.4</v>
      </c>
    </row>
    <row r="12983" spans="6:8">
      <c r="F12983" s="68" t="s">
        <v>420</v>
      </c>
      <c r="G12983" s="67" t="s">
        <v>576</v>
      </c>
      <c r="H12983" s="69">
        <v>3.4298763218775008</v>
      </c>
    </row>
    <row r="12984" spans="6:8">
      <c r="F12984" s="68" t="s">
        <v>251</v>
      </c>
      <c r="G12984" s="67" t="s">
        <v>576</v>
      </c>
      <c r="H12984" s="69">
        <v>0.24</v>
      </c>
    </row>
    <row r="12985" spans="6:8">
      <c r="F12985" s="68" t="s">
        <v>121</v>
      </c>
      <c r="G12985" s="67" t="s">
        <v>576</v>
      </c>
      <c r="H12985" s="69">
        <v>-0.5</v>
      </c>
    </row>
    <row r="12986" spans="6:8">
      <c r="F12986" s="68" t="s">
        <v>120</v>
      </c>
      <c r="G12986" s="67" t="s">
        <v>576</v>
      </c>
      <c r="H12986" s="69">
        <v>-0.6</v>
      </c>
    </row>
    <row r="12987" spans="6:8">
      <c r="F12987" s="68" t="s">
        <v>119</v>
      </c>
      <c r="G12987" s="67" t="s">
        <v>576</v>
      </c>
      <c r="H12987" s="69">
        <v>-0.45</v>
      </c>
    </row>
    <row r="12988" spans="6:8">
      <c r="F12988" s="68" t="s">
        <v>119</v>
      </c>
      <c r="G12988" s="67" t="s">
        <v>577</v>
      </c>
      <c r="H12988" s="69">
        <v>-0.45</v>
      </c>
    </row>
    <row r="12989" spans="6:8">
      <c r="F12989" s="68" t="s">
        <v>120</v>
      </c>
      <c r="G12989" s="67" t="s">
        <v>577</v>
      </c>
      <c r="H12989" s="69">
        <v>-0.6</v>
      </c>
    </row>
    <row r="12990" spans="6:8">
      <c r="F12990" s="68" t="s">
        <v>121</v>
      </c>
      <c r="G12990" s="67" t="s">
        <v>577</v>
      </c>
      <c r="H12990" s="69">
        <v>-0.5</v>
      </c>
    </row>
    <row r="12991" spans="6:8">
      <c r="F12991" s="68" t="s">
        <v>251</v>
      </c>
      <c r="G12991" s="67" t="s">
        <v>577</v>
      </c>
      <c r="H12991" s="69">
        <v>0.24</v>
      </c>
    </row>
    <row r="12992" spans="6:8">
      <c r="F12992" s="68" t="s">
        <v>420</v>
      </c>
      <c r="G12992" s="67" t="s">
        <v>577</v>
      </c>
      <c r="H12992" s="69">
        <v>3.3762483730993775</v>
      </c>
    </row>
    <row r="12993" spans="6:8">
      <c r="F12993" s="68" t="s">
        <v>122</v>
      </c>
      <c r="G12993" s="67" t="s">
        <v>577</v>
      </c>
      <c r="H12993" s="69">
        <v>-0.4</v>
      </c>
    </row>
    <row r="12994" spans="6:8">
      <c r="F12994" s="68" t="s">
        <v>123</v>
      </c>
      <c r="G12994" s="67" t="s">
        <v>577</v>
      </c>
      <c r="H12994" s="69">
        <v>-0.75</v>
      </c>
    </row>
    <row r="12995" spans="6:8">
      <c r="F12995" s="68" t="s">
        <v>124</v>
      </c>
      <c r="G12995" s="67" t="s">
        <v>577</v>
      </c>
      <c r="H12995" s="69">
        <v>-0.4</v>
      </c>
    </row>
    <row r="12996" spans="6:8">
      <c r="F12996" s="68" t="s">
        <v>252</v>
      </c>
      <c r="G12996" s="67" t="s">
        <v>577</v>
      </c>
      <c r="H12996" s="69">
        <v>0.34</v>
      </c>
    </row>
    <row r="12997" spans="6:8">
      <c r="F12997" s="68" t="s">
        <v>314</v>
      </c>
      <c r="G12997" s="67" t="s">
        <v>577</v>
      </c>
      <c r="H12997" s="69">
        <v>-0.15</v>
      </c>
    </row>
    <row r="12998" spans="6:8">
      <c r="F12998" s="68" t="s">
        <v>125</v>
      </c>
      <c r="G12998" s="67" t="s">
        <v>577</v>
      </c>
      <c r="H12998" s="69">
        <v>-0.25</v>
      </c>
    </row>
    <row r="12999" spans="6:8">
      <c r="F12999" s="68" t="s">
        <v>126</v>
      </c>
      <c r="G12999" s="67" t="s">
        <v>577</v>
      </c>
      <c r="H12999" s="69">
        <v>-0.6</v>
      </c>
    </row>
    <row r="13000" spans="6:8">
      <c r="F13000" s="68" t="s">
        <v>127</v>
      </c>
      <c r="G13000" s="67" t="s">
        <v>577</v>
      </c>
      <c r="H13000" s="69">
        <v>-0.4</v>
      </c>
    </row>
    <row r="13001" spans="6:8">
      <c r="F13001" s="68" t="s">
        <v>253</v>
      </c>
      <c r="G13001" s="67" t="s">
        <v>577</v>
      </c>
      <c r="H13001" s="69">
        <v>0.49</v>
      </c>
    </row>
    <row r="13002" spans="6:8">
      <c r="F13002" s="68" t="s">
        <v>315</v>
      </c>
      <c r="G13002" s="67" t="s">
        <v>577</v>
      </c>
      <c r="H13002" s="69">
        <v>-0.1</v>
      </c>
    </row>
    <row r="13003" spans="6:8">
      <c r="F13003" s="68" t="s">
        <v>128</v>
      </c>
      <c r="G13003" s="67" t="s">
        <v>577</v>
      </c>
      <c r="H13003" s="69">
        <v>-0.6</v>
      </c>
    </row>
    <row r="13004" spans="6:8">
      <c r="F13004" s="68" t="s">
        <v>129</v>
      </c>
      <c r="G13004" s="67" t="s">
        <v>577</v>
      </c>
      <c r="H13004" s="69">
        <v>-0.5</v>
      </c>
    </row>
    <row r="13005" spans="6:8">
      <c r="F13005" s="68" t="s">
        <v>254</v>
      </c>
      <c r="G13005" s="67" t="s">
        <v>577</v>
      </c>
      <c r="H13005" s="69">
        <v>0.67</v>
      </c>
    </row>
    <row r="13006" spans="6:8">
      <c r="F13006" s="68" t="s">
        <v>304</v>
      </c>
      <c r="G13006" s="67" t="s">
        <v>577</v>
      </c>
      <c r="H13006" s="69">
        <v>18.3125</v>
      </c>
    </row>
    <row r="13007" spans="6:8">
      <c r="F13007" s="68" t="s">
        <v>421</v>
      </c>
      <c r="G13007" s="67" t="s">
        <v>577</v>
      </c>
      <c r="H13007" s="69">
        <v>2.4180117072467588</v>
      </c>
    </row>
    <row r="13008" spans="6:8">
      <c r="F13008" s="68" t="s">
        <v>567</v>
      </c>
      <c r="G13008" s="67" t="s">
        <v>577</v>
      </c>
      <c r="H13008" s="69">
        <v>-0.4</v>
      </c>
    </row>
    <row r="13009" spans="6:8">
      <c r="F13009" s="68" t="s">
        <v>130</v>
      </c>
      <c r="G13009" s="67" t="s">
        <v>577</v>
      </c>
      <c r="H13009" s="69">
        <v>-0.7</v>
      </c>
    </row>
    <row r="13010" spans="6:8">
      <c r="F13010" s="68" t="s">
        <v>131</v>
      </c>
      <c r="G13010" s="67" t="s">
        <v>577</v>
      </c>
      <c r="H13010" s="69">
        <v>-0.4</v>
      </c>
    </row>
    <row r="13011" spans="6:8">
      <c r="F13011" s="68" t="s">
        <v>255</v>
      </c>
      <c r="G13011" s="67" t="s">
        <v>577</v>
      </c>
      <c r="H13011" s="69">
        <v>0.84</v>
      </c>
    </row>
    <row r="13012" spans="6:8">
      <c r="F13012" s="68" t="s">
        <v>303</v>
      </c>
      <c r="G13012" s="67" t="s">
        <v>577</v>
      </c>
      <c r="H13012" s="69">
        <v>19.34375</v>
      </c>
    </row>
    <row r="13013" spans="6:8">
      <c r="F13013" s="68" t="s">
        <v>422</v>
      </c>
      <c r="G13013" s="67" t="s">
        <v>577</v>
      </c>
      <c r="H13013" s="69">
        <v>2.4236008598699232</v>
      </c>
    </row>
    <row r="13014" spans="6:8">
      <c r="F13014" s="68" t="s">
        <v>568</v>
      </c>
      <c r="G13014" s="67" t="s">
        <v>577</v>
      </c>
      <c r="H13014" s="69">
        <v>-0.1</v>
      </c>
    </row>
    <row r="13015" spans="6:8">
      <c r="F13015" s="68" t="s">
        <v>132</v>
      </c>
      <c r="G13015" s="67" t="s">
        <v>577</v>
      </c>
      <c r="H13015" s="69">
        <v>-0.65</v>
      </c>
    </row>
    <row r="13016" spans="6:8">
      <c r="F13016" s="68" t="s">
        <v>133</v>
      </c>
      <c r="G13016" s="67" t="s">
        <v>577</v>
      </c>
      <c r="H13016" s="69">
        <v>-0.5</v>
      </c>
    </row>
    <row r="13017" spans="6:8">
      <c r="F13017" s="68" t="s">
        <v>256</v>
      </c>
      <c r="G13017" s="67" t="s">
        <v>577</v>
      </c>
      <c r="H13017" s="69">
        <v>0.96</v>
      </c>
    </row>
    <row r="13018" spans="6:8">
      <c r="F13018" s="68" t="s">
        <v>423</v>
      </c>
      <c r="G13018" s="67" t="s">
        <v>577</v>
      </c>
      <c r="H13018" s="69">
        <v>2.4444178708239228</v>
      </c>
    </row>
    <row r="13019" spans="6:8">
      <c r="F13019" s="68" t="s">
        <v>569</v>
      </c>
      <c r="G13019" s="67" t="s">
        <v>577</v>
      </c>
      <c r="H13019" s="69">
        <v>-0.1</v>
      </c>
    </row>
    <row r="13020" spans="6:8">
      <c r="F13020" s="68" t="s">
        <v>134</v>
      </c>
      <c r="G13020" s="67" t="s">
        <v>577</v>
      </c>
      <c r="H13020" s="69">
        <v>-0.6</v>
      </c>
    </row>
    <row r="13021" spans="6:8">
      <c r="F13021" s="68" t="s">
        <v>135</v>
      </c>
      <c r="G13021" s="67" t="s">
        <v>577</v>
      </c>
      <c r="H13021" s="69">
        <v>-0.6</v>
      </c>
    </row>
    <row r="13022" spans="6:8">
      <c r="F13022" s="68" t="s">
        <v>257</v>
      </c>
      <c r="G13022" s="67" t="s">
        <v>577</v>
      </c>
      <c r="H13022" s="69">
        <v>1.02</v>
      </c>
    </row>
    <row r="13023" spans="6:8">
      <c r="F13023" s="68" t="s">
        <v>258</v>
      </c>
      <c r="G13023" s="67" t="s">
        <v>577</v>
      </c>
      <c r="H13023" s="69">
        <v>0.14000000000000001</v>
      </c>
    </row>
    <row r="13024" spans="6:8">
      <c r="F13024" s="68" t="s">
        <v>424</v>
      </c>
      <c r="G13024" s="67" t="s">
        <v>577</v>
      </c>
      <c r="H13024" s="69">
        <v>3.1629189446854333</v>
      </c>
    </row>
    <row r="13025" spans="6:8">
      <c r="F13025" s="68" t="s">
        <v>136</v>
      </c>
      <c r="G13025" s="67" t="s">
        <v>577</v>
      </c>
      <c r="H13025" s="69">
        <v>-0.55000000000000004</v>
      </c>
    </row>
    <row r="13026" spans="6:8">
      <c r="F13026" s="68" t="s">
        <v>137</v>
      </c>
      <c r="G13026" s="67" t="s">
        <v>577</v>
      </c>
      <c r="H13026" s="69">
        <v>-0.6</v>
      </c>
    </row>
    <row r="13027" spans="6:8">
      <c r="F13027" s="68" t="s">
        <v>138</v>
      </c>
      <c r="G13027" s="67" t="s">
        <v>577</v>
      </c>
      <c r="H13027" s="69">
        <v>-0.6</v>
      </c>
    </row>
    <row r="13028" spans="6:8">
      <c r="F13028" s="68" t="s">
        <v>259</v>
      </c>
      <c r="G13028" s="67" t="s">
        <v>577</v>
      </c>
      <c r="H13028" s="69">
        <v>0.16</v>
      </c>
    </row>
    <row r="13029" spans="6:8">
      <c r="F13029" s="68" t="s">
        <v>425</v>
      </c>
      <c r="G13029" s="67" t="s">
        <v>577</v>
      </c>
      <c r="H13029" s="69">
        <v>3.1615260333147877</v>
      </c>
    </row>
    <row r="13030" spans="6:8">
      <c r="F13030" s="68" t="s">
        <v>425</v>
      </c>
      <c r="G13030" s="67" t="s">
        <v>578</v>
      </c>
      <c r="H13030" s="69">
        <v>3.1435699486677127</v>
      </c>
    </row>
    <row r="13031" spans="6:8">
      <c r="F13031" s="68" t="s">
        <v>259</v>
      </c>
      <c r="G13031" s="67" t="s">
        <v>578</v>
      </c>
      <c r="H13031" s="69">
        <v>0.16</v>
      </c>
    </row>
    <row r="13032" spans="6:8">
      <c r="F13032" s="68" t="s">
        <v>138</v>
      </c>
      <c r="G13032" s="67" t="s">
        <v>578</v>
      </c>
      <c r="H13032" s="69">
        <v>-0.6</v>
      </c>
    </row>
    <row r="13033" spans="6:8">
      <c r="F13033" s="68" t="s">
        <v>137</v>
      </c>
      <c r="G13033" s="67" t="s">
        <v>578</v>
      </c>
      <c r="H13033" s="69">
        <v>-0.6</v>
      </c>
    </row>
    <row r="13034" spans="6:8">
      <c r="F13034" s="68" t="s">
        <v>136</v>
      </c>
      <c r="G13034" s="67" t="s">
        <v>578</v>
      </c>
      <c r="H13034" s="69">
        <v>-0.55000000000000004</v>
      </c>
    </row>
    <row r="13035" spans="6:8">
      <c r="F13035" s="68" t="s">
        <v>424</v>
      </c>
      <c r="G13035" s="67" t="s">
        <v>578</v>
      </c>
      <c r="H13035" s="69">
        <v>3.1461650791107409</v>
      </c>
    </row>
    <row r="13036" spans="6:8">
      <c r="F13036" s="68" t="s">
        <v>258</v>
      </c>
      <c r="G13036" s="67" t="s">
        <v>578</v>
      </c>
      <c r="H13036" s="69">
        <v>0.14000000000000001</v>
      </c>
    </row>
    <row r="13037" spans="6:8">
      <c r="F13037" s="68" t="s">
        <v>257</v>
      </c>
      <c r="G13037" s="67" t="s">
        <v>578</v>
      </c>
      <c r="H13037" s="69">
        <v>1.02</v>
      </c>
    </row>
    <row r="13038" spans="6:8">
      <c r="F13038" s="68" t="s">
        <v>135</v>
      </c>
      <c r="G13038" s="67" t="s">
        <v>578</v>
      </c>
      <c r="H13038" s="69">
        <v>-0.6</v>
      </c>
    </row>
    <row r="13039" spans="6:8">
      <c r="F13039" s="68" t="s">
        <v>134</v>
      </c>
      <c r="G13039" s="67" t="s">
        <v>578</v>
      </c>
      <c r="H13039" s="69">
        <v>-0.6</v>
      </c>
    </row>
    <row r="13040" spans="6:8">
      <c r="F13040" s="68" t="s">
        <v>569</v>
      </c>
      <c r="G13040" s="67" t="s">
        <v>578</v>
      </c>
      <c r="H13040" s="69">
        <v>-0.1</v>
      </c>
    </row>
    <row r="13041" spans="6:8">
      <c r="F13041" s="68" t="s">
        <v>423</v>
      </c>
      <c r="G13041" s="67" t="s">
        <v>578</v>
      </c>
      <c r="H13041" s="69">
        <v>2.4052935635586525</v>
      </c>
    </row>
    <row r="13042" spans="6:8">
      <c r="F13042" s="68" t="s">
        <v>256</v>
      </c>
      <c r="G13042" s="67" t="s">
        <v>578</v>
      </c>
      <c r="H13042" s="69">
        <v>0.96</v>
      </c>
    </row>
    <row r="13043" spans="6:8">
      <c r="F13043" s="68" t="s">
        <v>133</v>
      </c>
      <c r="G13043" s="67" t="s">
        <v>578</v>
      </c>
      <c r="H13043" s="69">
        <v>-0.5</v>
      </c>
    </row>
    <row r="13044" spans="6:8">
      <c r="F13044" s="68" t="s">
        <v>132</v>
      </c>
      <c r="G13044" s="67" t="s">
        <v>578</v>
      </c>
      <c r="H13044" s="69">
        <v>-0.65</v>
      </c>
    </row>
    <row r="13045" spans="6:8">
      <c r="F13045" s="68" t="s">
        <v>568</v>
      </c>
      <c r="G13045" s="67" t="s">
        <v>578</v>
      </c>
      <c r="H13045" s="69">
        <v>-0.1</v>
      </c>
    </row>
    <row r="13046" spans="6:8">
      <c r="F13046" s="68" t="s">
        <v>422</v>
      </c>
      <c r="G13046" s="67" t="s">
        <v>578</v>
      </c>
      <c r="H13046" s="69">
        <v>2.4018071943909369</v>
      </c>
    </row>
    <row r="13047" spans="6:8">
      <c r="F13047" s="68" t="s">
        <v>303</v>
      </c>
      <c r="G13047" s="67" t="s">
        <v>578</v>
      </c>
      <c r="H13047" s="69">
        <v>19.385416666666668</v>
      </c>
    </row>
    <row r="13048" spans="6:8">
      <c r="F13048" s="68" t="s">
        <v>255</v>
      </c>
      <c r="G13048" s="67" t="s">
        <v>578</v>
      </c>
      <c r="H13048" s="69">
        <v>0.84</v>
      </c>
    </row>
    <row r="13049" spans="6:8">
      <c r="F13049" s="68" t="s">
        <v>131</v>
      </c>
      <c r="G13049" s="67" t="s">
        <v>578</v>
      </c>
      <c r="H13049" s="69">
        <v>-0.4</v>
      </c>
    </row>
    <row r="13050" spans="6:8">
      <c r="F13050" s="68" t="s">
        <v>130</v>
      </c>
      <c r="G13050" s="67" t="s">
        <v>578</v>
      </c>
      <c r="H13050" s="69">
        <v>-0.7</v>
      </c>
    </row>
    <row r="13051" spans="6:8">
      <c r="F13051" s="68" t="s">
        <v>567</v>
      </c>
      <c r="G13051" s="67" t="s">
        <v>578</v>
      </c>
      <c r="H13051" s="69">
        <v>-0.4</v>
      </c>
    </row>
    <row r="13052" spans="6:8">
      <c r="F13052" s="68" t="s">
        <v>421</v>
      </c>
      <c r="G13052" s="67" t="s">
        <v>578</v>
      </c>
      <c r="H13052" s="69">
        <v>2.3963530255806997</v>
      </c>
    </row>
    <row r="13053" spans="6:8">
      <c r="F13053" s="68" t="s">
        <v>304</v>
      </c>
      <c r="G13053" s="67" t="s">
        <v>578</v>
      </c>
      <c r="H13053" s="69">
        <v>18.28125</v>
      </c>
    </row>
    <row r="13054" spans="6:8">
      <c r="F13054" s="68" t="s">
        <v>254</v>
      </c>
      <c r="G13054" s="67" t="s">
        <v>578</v>
      </c>
      <c r="H13054" s="69">
        <v>0.67</v>
      </c>
    </row>
    <row r="13055" spans="6:8">
      <c r="F13055" s="68" t="s">
        <v>129</v>
      </c>
      <c r="G13055" s="67" t="s">
        <v>578</v>
      </c>
      <c r="H13055" s="69">
        <v>-0.5</v>
      </c>
    </row>
    <row r="13056" spans="6:8">
      <c r="F13056" s="68" t="s">
        <v>128</v>
      </c>
      <c r="G13056" s="67" t="s">
        <v>578</v>
      </c>
      <c r="H13056" s="69">
        <v>-0.6</v>
      </c>
    </row>
    <row r="13057" spans="6:8">
      <c r="F13057" s="68" t="s">
        <v>315</v>
      </c>
      <c r="G13057" s="67" t="s">
        <v>578</v>
      </c>
      <c r="H13057" s="69">
        <v>-0.1</v>
      </c>
    </row>
    <row r="13058" spans="6:8">
      <c r="F13058" s="68" t="s">
        <v>253</v>
      </c>
      <c r="G13058" s="67" t="s">
        <v>578</v>
      </c>
      <c r="H13058" s="69">
        <v>0.49</v>
      </c>
    </row>
    <row r="13059" spans="6:8">
      <c r="F13059" s="68" t="s">
        <v>127</v>
      </c>
      <c r="G13059" s="67" t="s">
        <v>578</v>
      </c>
      <c r="H13059" s="69">
        <v>-0.4</v>
      </c>
    </row>
    <row r="13060" spans="6:8">
      <c r="F13060" s="68" t="s">
        <v>126</v>
      </c>
      <c r="G13060" s="67" t="s">
        <v>578</v>
      </c>
      <c r="H13060" s="69">
        <v>-0.6</v>
      </c>
    </row>
    <row r="13061" spans="6:8">
      <c r="F13061" s="68" t="s">
        <v>125</v>
      </c>
      <c r="G13061" s="67" t="s">
        <v>578</v>
      </c>
      <c r="H13061" s="69">
        <v>-0.25</v>
      </c>
    </row>
    <row r="13062" spans="6:8">
      <c r="F13062" s="68" t="s">
        <v>314</v>
      </c>
      <c r="G13062" s="67" t="s">
        <v>578</v>
      </c>
      <c r="H13062" s="69">
        <v>-0.15</v>
      </c>
    </row>
    <row r="13063" spans="6:8">
      <c r="F13063" s="68" t="s">
        <v>252</v>
      </c>
      <c r="G13063" s="67" t="s">
        <v>578</v>
      </c>
      <c r="H13063" s="69">
        <v>0.34</v>
      </c>
    </row>
    <row r="13064" spans="6:8">
      <c r="F13064" s="68" t="s">
        <v>124</v>
      </c>
      <c r="G13064" s="67" t="s">
        <v>578</v>
      </c>
      <c r="H13064" s="69">
        <v>-0.4</v>
      </c>
    </row>
    <row r="13065" spans="6:8">
      <c r="F13065" s="68" t="s">
        <v>123</v>
      </c>
      <c r="G13065" s="67" t="s">
        <v>578</v>
      </c>
      <c r="H13065" s="69">
        <v>-0.75</v>
      </c>
    </row>
    <row r="13066" spans="6:8">
      <c r="F13066" s="68" t="s">
        <v>122</v>
      </c>
      <c r="G13066" s="67" t="s">
        <v>578</v>
      </c>
      <c r="H13066" s="69">
        <v>-0.4</v>
      </c>
    </row>
    <row r="13067" spans="6:8">
      <c r="F13067" s="68" t="s">
        <v>420</v>
      </c>
      <c r="G13067" s="67" t="s">
        <v>578</v>
      </c>
      <c r="H13067" s="69">
        <v>3.361855616503906</v>
      </c>
    </row>
    <row r="13068" spans="6:8">
      <c r="F13068" s="68" t="s">
        <v>251</v>
      </c>
      <c r="G13068" s="67" t="s">
        <v>578</v>
      </c>
      <c r="H13068" s="69">
        <v>0.24</v>
      </c>
    </row>
    <row r="13069" spans="6:8">
      <c r="F13069" s="68" t="s">
        <v>121</v>
      </c>
      <c r="G13069" s="67" t="s">
        <v>578</v>
      </c>
      <c r="H13069" s="69">
        <v>-0.5</v>
      </c>
    </row>
    <row r="13070" spans="6:8">
      <c r="F13070" s="68" t="s">
        <v>120</v>
      </c>
      <c r="G13070" s="67" t="s">
        <v>578</v>
      </c>
      <c r="H13070" s="69">
        <v>-0.6</v>
      </c>
    </row>
    <row r="13071" spans="6:8">
      <c r="F13071" s="68" t="s">
        <v>119</v>
      </c>
      <c r="G13071" s="67" t="s">
        <v>578</v>
      </c>
      <c r="H13071" s="69">
        <v>-0.45</v>
      </c>
    </row>
    <row r="13072" spans="6:8">
      <c r="F13072" s="68" t="s">
        <v>119</v>
      </c>
      <c r="G13072" s="67" t="s">
        <v>579</v>
      </c>
      <c r="H13072" s="69">
        <v>-0.45</v>
      </c>
    </row>
    <row r="13073" spans="6:8">
      <c r="F13073" s="68" t="s">
        <v>120</v>
      </c>
      <c r="G13073" s="67" t="s">
        <v>579</v>
      </c>
      <c r="H13073" s="69">
        <v>-0.6</v>
      </c>
    </row>
    <row r="13074" spans="6:8">
      <c r="F13074" s="68" t="s">
        <v>121</v>
      </c>
      <c r="G13074" s="67" t="s">
        <v>579</v>
      </c>
      <c r="H13074" s="69">
        <v>-0.5</v>
      </c>
    </row>
    <row r="13075" spans="6:8">
      <c r="F13075" s="68" t="s">
        <v>251</v>
      </c>
      <c r="G13075" s="67" t="s">
        <v>579</v>
      </c>
      <c r="H13075" s="69">
        <v>0.24</v>
      </c>
    </row>
    <row r="13076" spans="6:8">
      <c r="F13076" s="68" t="s">
        <v>420</v>
      </c>
      <c r="G13076" s="67" t="s">
        <v>579</v>
      </c>
      <c r="H13076" s="69">
        <v>3.3370205659412733</v>
      </c>
    </row>
    <row r="13077" spans="6:8">
      <c r="F13077" s="68" t="s">
        <v>122</v>
      </c>
      <c r="G13077" s="67" t="s">
        <v>579</v>
      </c>
      <c r="H13077" s="69">
        <v>-0.4</v>
      </c>
    </row>
    <row r="13078" spans="6:8">
      <c r="F13078" s="68" t="s">
        <v>123</v>
      </c>
      <c r="G13078" s="67" t="s">
        <v>579</v>
      </c>
      <c r="H13078" s="69">
        <v>-0.75</v>
      </c>
    </row>
    <row r="13079" spans="6:8">
      <c r="F13079" s="68" t="s">
        <v>124</v>
      </c>
      <c r="G13079" s="67" t="s">
        <v>579</v>
      </c>
      <c r="H13079" s="69">
        <v>-0.4</v>
      </c>
    </row>
    <row r="13080" spans="6:8">
      <c r="F13080" s="68" t="s">
        <v>252</v>
      </c>
      <c r="G13080" s="67" t="s">
        <v>579</v>
      </c>
      <c r="H13080" s="69">
        <v>0.34</v>
      </c>
    </row>
    <row r="13081" spans="6:8">
      <c r="F13081" s="68" t="s">
        <v>314</v>
      </c>
      <c r="G13081" s="67" t="s">
        <v>579</v>
      </c>
      <c r="H13081" s="69">
        <v>-0.15</v>
      </c>
    </row>
    <row r="13082" spans="6:8">
      <c r="F13082" s="68" t="s">
        <v>125</v>
      </c>
      <c r="G13082" s="67" t="s">
        <v>579</v>
      </c>
      <c r="H13082" s="69">
        <v>-0.25</v>
      </c>
    </row>
    <row r="13083" spans="6:8">
      <c r="F13083" s="68" t="s">
        <v>126</v>
      </c>
      <c r="G13083" s="67" t="s">
        <v>579</v>
      </c>
      <c r="H13083" s="69">
        <v>-0.6</v>
      </c>
    </row>
    <row r="13084" spans="6:8">
      <c r="F13084" s="68" t="s">
        <v>127</v>
      </c>
      <c r="G13084" s="67" t="s">
        <v>579</v>
      </c>
      <c r="H13084" s="69">
        <v>-0.4</v>
      </c>
    </row>
    <row r="13085" spans="6:8">
      <c r="F13085" s="68" t="s">
        <v>253</v>
      </c>
      <c r="G13085" s="67" t="s">
        <v>579</v>
      </c>
      <c r="H13085" s="69">
        <v>0.49</v>
      </c>
    </row>
    <row r="13086" spans="6:8">
      <c r="F13086" s="68" t="s">
        <v>315</v>
      </c>
      <c r="G13086" s="67" t="s">
        <v>579</v>
      </c>
      <c r="H13086" s="69">
        <v>-0.1</v>
      </c>
    </row>
    <row r="13087" spans="6:8">
      <c r="F13087" s="68" t="s">
        <v>128</v>
      </c>
      <c r="G13087" s="67" t="s">
        <v>579</v>
      </c>
      <c r="H13087" s="69">
        <v>-0.6</v>
      </c>
    </row>
    <row r="13088" spans="6:8">
      <c r="F13088" s="68" t="s">
        <v>129</v>
      </c>
      <c r="G13088" s="67" t="s">
        <v>579</v>
      </c>
      <c r="H13088" s="69">
        <v>-0.5</v>
      </c>
    </row>
    <row r="13089" spans="6:8">
      <c r="F13089" s="68" t="s">
        <v>254</v>
      </c>
      <c r="G13089" s="67" t="s">
        <v>579</v>
      </c>
      <c r="H13089" s="69">
        <v>0.67</v>
      </c>
    </row>
    <row r="13090" spans="6:8">
      <c r="F13090" s="68" t="s">
        <v>304</v>
      </c>
      <c r="G13090" s="67" t="s">
        <v>579</v>
      </c>
      <c r="H13090" s="69">
        <v>18.333333333333332</v>
      </c>
    </row>
    <row r="13091" spans="6:8">
      <c r="F13091" s="68" t="s">
        <v>421</v>
      </c>
      <c r="G13091" s="67" t="s">
        <v>579</v>
      </c>
      <c r="H13091" s="69">
        <v>2.3697789099446087</v>
      </c>
    </row>
    <row r="13092" spans="6:8">
      <c r="F13092" s="68" t="s">
        <v>567</v>
      </c>
      <c r="G13092" s="67" t="s">
        <v>579</v>
      </c>
      <c r="H13092" s="69">
        <v>-0.4</v>
      </c>
    </row>
    <row r="13093" spans="6:8">
      <c r="F13093" s="68" t="s">
        <v>130</v>
      </c>
      <c r="G13093" s="67" t="s">
        <v>579</v>
      </c>
      <c r="H13093" s="69">
        <v>-0.7</v>
      </c>
    </row>
    <row r="13094" spans="6:8">
      <c r="F13094" s="68" t="s">
        <v>131</v>
      </c>
      <c r="G13094" s="67" t="s">
        <v>579</v>
      </c>
      <c r="H13094" s="69">
        <v>-0.4</v>
      </c>
    </row>
    <row r="13095" spans="6:8">
      <c r="F13095" s="68" t="s">
        <v>255</v>
      </c>
      <c r="G13095" s="67" t="s">
        <v>579</v>
      </c>
      <c r="H13095" s="69">
        <v>0.84</v>
      </c>
    </row>
    <row r="13096" spans="6:8">
      <c r="F13096" s="68" t="s">
        <v>303</v>
      </c>
      <c r="G13096" s="67" t="s">
        <v>579</v>
      </c>
      <c r="H13096" s="69">
        <v>19.479166666666668</v>
      </c>
    </row>
    <row r="13097" spans="6:8">
      <c r="F13097" s="68" t="s">
        <v>422</v>
      </c>
      <c r="G13097" s="67" t="s">
        <v>579</v>
      </c>
      <c r="H13097" s="69">
        <v>2.3752560302058079</v>
      </c>
    </row>
    <row r="13098" spans="6:8">
      <c r="F13098" s="68" t="s">
        <v>568</v>
      </c>
      <c r="G13098" s="67" t="s">
        <v>579</v>
      </c>
      <c r="H13098" s="69">
        <v>-0.1</v>
      </c>
    </row>
    <row r="13099" spans="6:8">
      <c r="F13099" s="68" t="s">
        <v>132</v>
      </c>
      <c r="G13099" s="67" t="s">
        <v>579</v>
      </c>
      <c r="H13099" s="69">
        <v>-0.65</v>
      </c>
    </row>
    <row r="13100" spans="6:8">
      <c r="F13100" s="68" t="s">
        <v>133</v>
      </c>
      <c r="G13100" s="67" t="s">
        <v>579</v>
      </c>
      <c r="H13100" s="69">
        <v>-0.5</v>
      </c>
    </row>
    <row r="13101" spans="6:8">
      <c r="F13101" s="68" t="s">
        <v>256</v>
      </c>
      <c r="G13101" s="67" t="s">
        <v>579</v>
      </c>
      <c r="H13101" s="69">
        <v>0.96</v>
      </c>
    </row>
    <row r="13102" spans="6:8">
      <c r="F13102" s="68" t="s">
        <v>423</v>
      </c>
      <c r="G13102" s="67" t="s">
        <v>579</v>
      </c>
      <c r="H13102" s="69">
        <v>2.374593600648911</v>
      </c>
    </row>
    <row r="13103" spans="6:8">
      <c r="F13103" s="68" t="s">
        <v>569</v>
      </c>
      <c r="G13103" s="67" t="s">
        <v>579</v>
      </c>
      <c r="H13103" s="69">
        <v>-0.1</v>
      </c>
    </row>
    <row r="13104" spans="6:8">
      <c r="F13104" s="68" t="s">
        <v>134</v>
      </c>
      <c r="G13104" s="67" t="s">
        <v>579</v>
      </c>
      <c r="H13104" s="69">
        <v>-0.6</v>
      </c>
    </row>
    <row r="13105" spans="6:8">
      <c r="F13105" s="68" t="s">
        <v>135</v>
      </c>
      <c r="G13105" s="67" t="s">
        <v>579</v>
      </c>
      <c r="H13105" s="69">
        <v>-0.6</v>
      </c>
    </row>
    <row r="13106" spans="6:8">
      <c r="F13106" s="68" t="s">
        <v>257</v>
      </c>
      <c r="G13106" s="67" t="s">
        <v>579</v>
      </c>
      <c r="H13106" s="69">
        <v>1.02</v>
      </c>
    </row>
    <row r="13107" spans="6:8">
      <c r="F13107" s="68" t="s">
        <v>258</v>
      </c>
      <c r="G13107" s="67" t="s">
        <v>579</v>
      </c>
      <c r="H13107" s="69">
        <v>0.14000000000000001</v>
      </c>
    </row>
    <row r="13108" spans="6:8">
      <c r="F13108" s="68" t="s">
        <v>424</v>
      </c>
      <c r="G13108" s="67" t="s">
        <v>579</v>
      </c>
      <c r="H13108" s="69">
        <v>3.1189575516662682</v>
      </c>
    </row>
    <row r="13109" spans="6:8">
      <c r="F13109" s="68" t="s">
        <v>136</v>
      </c>
      <c r="G13109" s="67" t="s">
        <v>579</v>
      </c>
      <c r="H13109" s="69">
        <v>-0.55000000000000004</v>
      </c>
    </row>
    <row r="13110" spans="6:8">
      <c r="F13110" s="68" t="s">
        <v>137</v>
      </c>
      <c r="G13110" s="67" t="s">
        <v>579</v>
      </c>
      <c r="H13110" s="69">
        <v>-0.6</v>
      </c>
    </row>
    <row r="13111" spans="6:8">
      <c r="F13111" s="68" t="s">
        <v>138</v>
      </c>
      <c r="G13111" s="67" t="s">
        <v>579</v>
      </c>
      <c r="H13111" s="69">
        <v>-0.6</v>
      </c>
    </row>
    <row r="13112" spans="6:8">
      <c r="F13112" s="68" t="s">
        <v>259</v>
      </c>
      <c r="G13112" s="67" t="s">
        <v>579</v>
      </c>
      <c r="H13112" s="69">
        <v>0.16</v>
      </c>
    </row>
    <row r="13113" spans="6:8">
      <c r="F13113" s="68" t="s">
        <v>425</v>
      </c>
      <c r="G13113" s="67" t="s">
        <v>579</v>
      </c>
      <c r="H13113" s="69">
        <v>3.1143104990601245</v>
      </c>
    </row>
    <row r="13114" spans="6:8">
      <c r="F13114" s="68" t="s">
        <v>425</v>
      </c>
      <c r="G13114" s="67" t="s">
        <v>580</v>
      </c>
      <c r="H13114" s="69">
        <v>3.1243600468962907</v>
      </c>
    </row>
    <row r="13115" spans="6:8">
      <c r="F13115" s="68" t="s">
        <v>259</v>
      </c>
      <c r="G13115" s="67" t="s">
        <v>580</v>
      </c>
      <c r="H13115" s="69">
        <v>0.16</v>
      </c>
    </row>
    <row r="13116" spans="6:8">
      <c r="F13116" s="68" t="s">
        <v>138</v>
      </c>
      <c r="G13116" s="67" t="s">
        <v>580</v>
      </c>
      <c r="H13116" s="69">
        <v>-0.6</v>
      </c>
    </row>
    <row r="13117" spans="6:8">
      <c r="F13117" s="68" t="s">
        <v>137</v>
      </c>
      <c r="G13117" s="67" t="s">
        <v>580</v>
      </c>
      <c r="H13117" s="69">
        <v>-0.6</v>
      </c>
    </row>
    <row r="13118" spans="6:8">
      <c r="F13118" s="68" t="s">
        <v>136</v>
      </c>
      <c r="G13118" s="67" t="s">
        <v>580</v>
      </c>
      <c r="H13118" s="69">
        <v>-0.55000000000000004</v>
      </c>
    </row>
    <row r="13119" spans="6:8">
      <c r="F13119" s="68" t="s">
        <v>424</v>
      </c>
      <c r="G13119" s="67" t="s">
        <v>580</v>
      </c>
      <c r="H13119" s="69">
        <v>3.1295417068473164</v>
      </c>
    </row>
    <row r="13120" spans="6:8">
      <c r="F13120" s="68" t="s">
        <v>258</v>
      </c>
      <c r="G13120" s="67" t="s">
        <v>580</v>
      </c>
      <c r="H13120" s="69">
        <v>0.14000000000000001</v>
      </c>
    </row>
    <row r="13121" spans="6:8">
      <c r="F13121" s="68" t="s">
        <v>257</v>
      </c>
      <c r="G13121" s="67" t="s">
        <v>580</v>
      </c>
      <c r="H13121" s="69">
        <v>1.02</v>
      </c>
    </row>
    <row r="13122" spans="6:8">
      <c r="F13122" s="68" t="s">
        <v>135</v>
      </c>
      <c r="G13122" s="67" t="s">
        <v>580</v>
      </c>
      <c r="H13122" s="69">
        <v>-0.6</v>
      </c>
    </row>
    <row r="13123" spans="6:8">
      <c r="F13123" s="68" t="s">
        <v>134</v>
      </c>
      <c r="G13123" s="67" t="s">
        <v>580</v>
      </c>
      <c r="H13123" s="69">
        <v>-0.6</v>
      </c>
    </row>
    <row r="13124" spans="6:8">
      <c r="F13124" s="68" t="s">
        <v>569</v>
      </c>
      <c r="G13124" s="67" t="s">
        <v>580</v>
      </c>
      <c r="H13124" s="69">
        <v>-0.1</v>
      </c>
    </row>
    <row r="13125" spans="6:8">
      <c r="F13125" s="68" t="s">
        <v>423</v>
      </c>
      <c r="G13125" s="67" t="s">
        <v>580</v>
      </c>
      <c r="H13125" s="69">
        <v>2.3890476668564808</v>
      </c>
    </row>
    <row r="13126" spans="6:8">
      <c r="F13126" s="68" t="s">
        <v>256</v>
      </c>
      <c r="G13126" s="67" t="s">
        <v>580</v>
      </c>
      <c r="H13126" s="69">
        <v>0.96</v>
      </c>
    </row>
    <row r="13127" spans="6:8">
      <c r="F13127" s="68" t="s">
        <v>133</v>
      </c>
      <c r="G13127" s="67" t="s">
        <v>580</v>
      </c>
      <c r="H13127" s="69">
        <v>-0.5</v>
      </c>
    </row>
    <row r="13128" spans="6:8">
      <c r="F13128" s="68" t="s">
        <v>132</v>
      </c>
      <c r="G13128" s="67" t="s">
        <v>580</v>
      </c>
      <c r="H13128" s="69">
        <v>-0.65</v>
      </c>
    </row>
    <row r="13129" spans="6:8">
      <c r="F13129" s="68" t="s">
        <v>568</v>
      </c>
      <c r="G13129" s="67" t="s">
        <v>580</v>
      </c>
      <c r="H13129" s="69">
        <v>-0.1</v>
      </c>
    </row>
    <row r="13130" spans="6:8">
      <c r="F13130" s="68" t="s">
        <v>422</v>
      </c>
      <c r="G13130" s="67" t="s">
        <v>580</v>
      </c>
      <c r="H13130" s="69">
        <v>2.3831327798923052</v>
      </c>
    </row>
    <row r="13131" spans="6:8">
      <c r="F13131" s="68" t="s">
        <v>303</v>
      </c>
      <c r="G13131" s="67" t="s">
        <v>580</v>
      </c>
      <c r="H13131" s="69">
        <v>19.489583333333332</v>
      </c>
    </row>
    <row r="13132" spans="6:8">
      <c r="F13132" s="68" t="s">
        <v>255</v>
      </c>
      <c r="G13132" s="67" t="s">
        <v>580</v>
      </c>
      <c r="H13132" s="69">
        <v>0.84</v>
      </c>
    </row>
    <row r="13133" spans="6:8">
      <c r="F13133" s="68" t="s">
        <v>131</v>
      </c>
      <c r="G13133" s="67" t="s">
        <v>580</v>
      </c>
      <c r="H13133" s="69">
        <v>-0.4</v>
      </c>
    </row>
    <row r="13134" spans="6:8">
      <c r="F13134" s="68" t="s">
        <v>130</v>
      </c>
      <c r="G13134" s="67" t="s">
        <v>580</v>
      </c>
      <c r="H13134" s="69">
        <v>-0.7</v>
      </c>
    </row>
    <row r="13135" spans="6:8">
      <c r="F13135" s="68" t="s">
        <v>567</v>
      </c>
      <c r="G13135" s="67" t="s">
        <v>580</v>
      </c>
      <c r="H13135" s="69">
        <v>-0.4</v>
      </c>
    </row>
    <row r="13136" spans="6:8">
      <c r="F13136" s="68" t="s">
        <v>421</v>
      </c>
      <c r="G13136" s="67" t="s">
        <v>580</v>
      </c>
      <c r="H13136" s="69">
        <v>2.3776935716133707</v>
      </c>
    </row>
    <row r="13137" spans="6:8">
      <c r="F13137" s="68" t="s">
        <v>304</v>
      </c>
      <c r="G13137" s="67" t="s">
        <v>580</v>
      </c>
      <c r="H13137" s="69">
        <v>18.34375</v>
      </c>
    </row>
    <row r="13138" spans="6:8">
      <c r="F13138" s="68" t="s">
        <v>254</v>
      </c>
      <c r="G13138" s="67" t="s">
        <v>580</v>
      </c>
      <c r="H13138" s="69">
        <v>0.67</v>
      </c>
    </row>
    <row r="13139" spans="6:8">
      <c r="F13139" s="68" t="s">
        <v>129</v>
      </c>
      <c r="G13139" s="67" t="s">
        <v>580</v>
      </c>
      <c r="H13139" s="69">
        <v>-0.5</v>
      </c>
    </row>
    <row r="13140" spans="6:8">
      <c r="F13140" s="68" t="s">
        <v>128</v>
      </c>
      <c r="G13140" s="67" t="s">
        <v>580</v>
      </c>
      <c r="H13140" s="69">
        <v>-0.6</v>
      </c>
    </row>
    <row r="13141" spans="6:8">
      <c r="F13141" s="68" t="s">
        <v>315</v>
      </c>
      <c r="G13141" s="67" t="s">
        <v>580</v>
      </c>
      <c r="H13141" s="69">
        <v>-0.1</v>
      </c>
    </row>
    <row r="13142" spans="6:8">
      <c r="F13142" s="68" t="s">
        <v>253</v>
      </c>
      <c r="G13142" s="67" t="s">
        <v>580</v>
      </c>
      <c r="H13142" s="69">
        <v>0.49</v>
      </c>
    </row>
    <row r="13143" spans="6:8">
      <c r="F13143" s="68" t="s">
        <v>127</v>
      </c>
      <c r="G13143" s="67" t="s">
        <v>580</v>
      </c>
      <c r="H13143" s="69">
        <v>-0.4</v>
      </c>
    </row>
    <row r="13144" spans="6:8">
      <c r="F13144" s="68" t="s">
        <v>126</v>
      </c>
      <c r="G13144" s="67" t="s">
        <v>580</v>
      </c>
      <c r="H13144" s="69">
        <v>-0.6</v>
      </c>
    </row>
    <row r="13145" spans="6:8">
      <c r="F13145" s="68" t="s">
        <v>125</v>
      </c>
      <c r="G13145" s="67" t="s">
        <v>580</v>
      </c>
      <c r="H13145" s="69">
        <v>-0.25</v>
      </c>
    </row>
    <row r="13146" spans="6:8">
      <c r="F13146" s="68" t="s">
        <v>314</v>
      </c>
      <c r="G13146" s="67" t="s">
        <v>580</v>
      </c>
      <c r="H13146" s="69">
        <v>-0.15</v>
      </c>
    </row>
    <row r="13147" spans="6:8">
      <c r="F13147" s="68" t="s">
        <v>252</v>
      </c>
      <c r="G13147" s="67" t="s">
        <v>580</v>
      </c>
      <c r="H13147" s="69">
        <v>0.34</v>
      </c>
    </row>
    <row r="13148" spans="6:8">
      <c r="F13148" s="68" t="s">
        <v>124</v>
      </c>
      <c r="G13148" s="67" t="s">
        <v>580</v>
      </c>
      <c r="H13148" s="69">
        <v>-0.4</v>
      </c>
    </row>
    <row r="13149" spans="6:8">
      <c r="F13149" s="68" t="s">
        <v>123</v>
      </c>
      <c r="G13149" s="67" t="s">
        <v>580</v>
      </c>
      <c r="H13149" s="69">
        <v>-0.75</v>
      </c>
    </row>
    <row r="13150" spans="6:8">
      <c r="F13150" s="68" t="s">
        <v>122</v>
      </c>
      <c r="G13150" s="67" t="s">
        <v>580</v>
      </c>
      <c r="H13150" s="69">
        <v>-0.4</v>
      </c>
    </row>
    <row r="13151" spans="6:8">
      <c r="F13151" s="68" t="s">
        <v>420</v>
      </c>
      <c r="G13151" s="67" t="s">
        <v>580</v>
      </c>
      <c r="H13151" s="69">
        <v>3.3514861848066957</v>
      </c>
    </row>
    <row r="13152" spans="6:8">
      <c r="F13152" s="68" t="s">
        <v>251</v>
      </c>
      <c r="G13152" s="67" t="s">
        <v>580</v>
      </c>
      <c r="H13152" s="69">
        <v>0.24</v>
      </c>
    </row>
    <row r="13153" spans="6:8">
      <c r="F13153" s="68" t="s">
        <v>121</v>
      </c>
      <c r="G13153" s="67" t="s">
        <v>580</v>
      </c>
      <c r="H13153" s="69">
        <v>-0.5</v>
      </c>
    </row>
    <row r="13154" spans="6:8">
      <c r="F13154" s="68" t="s">
        <v>120</v>
      </c>
      <c r="G13154" s="67" t="s">
        <v>580</v>
      </c>
      <c r="H13154" s="69">
        <v>-0.6</v>
      </c>
    </row>
    <row r="13155" spans="6:8">
      <c r="F13155" s="68" t="s">
        <v>119</v>
      </c>
      <c r="G13155" s="67" t="s">
        <v>580</v>
      </c>
      <c r="H13155" s="69">
        <v>-0.45</v>
      </c>
    </row>
    <row r="13156" spans="6:8">
      <c r="F13156" s="68" t="s">
        <v>119</v>
      </c>
      <c r="G13156" s="67" t="s">
        <v>581</v>
      </c>
      <c r="H13156" s="69">
        <v>-0.45</v>
      </c>
    </row>
    <row r="13157" spans="6:8">
      <c r="F13157" s="68" t="s">
        <v>120</v>
      </c>
      <c r="G13157" s="67" t="s">
        <v>581</v>
      </c>
      <c r="H13157" s="69">
        <v>-0.6</v>
      </c>
    </row>
    <row r="13158" spans="6:8">
      <c r="F13158" s="68" t="s">
        <v>121</v>
      </c>
      <c r="G13158" s="67" t="s">
        <v>581</v>
      </c>
      <c r="H13158" s="69">
        <v>-0.5</v>
      </c>
    </row>
    <row r="13159" spans="6:8">
      <c r="F13159" s="68" t="s">
        <v>251</v>
      </c>
      <c r="G13159" s="67" t="s">
        <v>581</v>
      </c>
      <c r="H13159" s="69">
        <v>0.24</v>
      </c>
    </row>
    <row r="13160" spans="6:8">
      <c r="F13160" s="68" t="s">
        <v>420</v>
      </c>
      <c r="G13160" s="67" t="s">
        <v>581</v>
      </c>
      <c r="H13160" s="69">
        <v>3.3252988178555487</v>
      </c>
    </row>
    <row r="13161" spans="6:8">
      <c r="F13161" s="68" t="s">
        <v>122</v>
      </c>
      <c r="G13161" s="67" t="s">
        <v>581</v>
      </c>
      <c r="H13161" s="69">
        <v>-0.4</v>
      </c>
    </row>
    <row r="13162" spans="6:8">
      <c r="F13162" s="68" t="s">
        <v>123</v>
      </c>
      <c r="G13162" s="67" t="s">
        <v>581</v>
      </c>
      <c r="H13162" s="69">
        <v>-0.75</v>
      </c>
    </row>
    <row r="13163" spans="6:8">
      <c r="F13163" s="68" t="s">
        <v>124</v>
      </c>
      <c r="G13163" s="67" t="s">
        <v>581</v>
      </c>
      <c r="H13163" s="69">
        <v>-0.4</v>
      </c>
    </row>
    <row r="13164" spans="6:8">
      <c r="F13164" s="68" t="s">
        <v>252</v>
      </c>
      <c r="G13164" s="67" t="s">
        <v>581</v>
      </c>
      <c r="H13164" s="69">
        <v>0.34</v>
      </c>
    </row>
    <row r="13165" spans="6:8">
      <c r="F13165" s="68" t="s">
        <v>314</v>
      </c>
      <c r="G13165" s="67" t="s">
        <v>581</v>
      </c>
      <c r="H13165" s="69">
        <v>-0.15</v>
      </c>
    </row>
    <row r="13166" spans="6:8">
      <c r="F13166" s="68" t="s">
        <v>125</v>
      </c>
      <c r="G13166" s="67" t="s">
        <v>581</v>
      </c>
      <c r="H13166" s="69">
        <v>-0.25</v>
      </c>
    </row>
    <row r="13167" spans="6:8">
      <c r="F13167" s="68" t="s">
        <v>126</v>
      </c>
      <c r="G13167" s="67" t="s">
        <v>581</v>
      </c>
      <c r="H13167" s="69">
        <v>-0.6</v>
      </c>
    </row>
    <row r="13168" spans="6:8">
      <c r="F13168" s="68" t="s">
        <v>127</v>
      </c>
      <c r="G13168" s="67" t="s">
        <v>581</v>
      </c>
      <c r="H13168" s="69">
        <v>-0.4</v>
      </c>
    </row>
    <row r="13169" spans="6:8">
      <c r="F13169" s="68" t="s">
        <v>253</v>
      </c>
      <c r="G13169" s="67" t="s">
        <v>581</v>
      </c>
      <c r="H13169" s="69">
        <v>0.49</v>
      </c>
    </row>
    <row r="13170" spans="6:8">
      <c r="F13170" s="68" t="s">
        <v>315</v>
      </c>
      <c r="G13170" s="67" t="s">
        <v>581</v>
      </c>
      <c r="H13170" s="69">
        <v>-0.1</v>
      </c>
    </row>
    <row r="13171" spans="6:8">
      <c r="F13171" s="68" t="s">
        <v>128</v>
      </c>
      <c r="G13171" s="67" t="s">
        <v>581</v>
      </c>
      <c r="H13171" s="69">
        <v>-0.6</v>
      </c>
    </row>
    <row r="13172" spans="6:8">
      <c r="F13172" s="68" t="s">
        <v>129</v>
      </c>
      <c r="G13172" s="67" t="s">
        <v>581</v>
      </c>
      <c r="H13172" s="69">
        <v>-0.5</v>
      </c>
    </row>
    <row r="13173" spans="6:8">
      <c r="F13173" s="68" t="s">
        <v>254</v>
      </c>
      <c r="G13173" s="67" t="s">
        <v>581</v>
      </c>
      <c r="H13173" s="69">
        <v>0.67</v>
      </c>
    </row>
    <row r="13174" spans="6:8">
      <c r="F13174" s="68" t="s">
        <v>304</v>
      </c>
      <c r="G13174" s="67" t="s">
        <v>581</v>
      </c>
      <c r="H13174" s="69">
        <v>18.333333333333332</v>
      </c>
    </row>
    <row r="13175" spans="6:8">
      <c r="F13175" s="68" t="s">
        <v>421</v>
      </c>
      <c r="G13175" s="67" t="s">
        <v>581</v>
      </c>
      <c r="H13175" s="69">
        <v>2.3450143126153566</v>
      </c>
    </row>
    <row r="13176" spans="6:8">
      <c r="F13176" s="68" t="s">
        <v>567</v>
      </c>
      <c r="G13176" s="67" t="s">
        <v>581</v>
      </c>
      <c r="H13176" s="69">
        <v>-0.4</v>
      </c>
    </row>
    <row r="13177" spans="6:8">
      <c r="F13177" s="68" t="s">
        <v>130</v>
      </c>
      <c r="G13177" s="67" t="s">
        <v>581</v>
      </c>
      <c r="H13177" s="69">
        <v>-0.7</v>
      </c>
    </row>
    <row r="13178" spans="6:8">
      <c r="F13178" s="68" t="s">
        <v>131</v>
      </c>
      <c r="G13178" s="67" t="s">
        <v>581</v>
      </c>
      <c r="H13178" s="69">
        <v>-0.4</v>
      </c>
    </row>
    <row r="13179" spans="6:8">
      <c r="F13179" s="68" t="s">
        <v>255</v>
      </c>
      <c r="G13179" s="67" t="s">
        <v>581</v>
      </c>
      <c r="H13179" s="69">
        <v>0.84</v>
      </c>
    </row>
    <row r="13180" spans="6:8">
      <c r="F13180" s="68" t="s">
        <v>303</v>
      </c>
      <c r="G13180" s="67" t="s">
        <v>581</v>
      </c>
      <c r="H13180" s="69">
        <v>19.4375</v>
      </c>
    </row>
    <row r="13181" spans="6:8">
      <c r="F13181" s="68" t="s">
        <v>422</v>
      </c>
      <c r="G13181" s="67" t="s">
        <v>581</v>
      </c>
      <c r="H13181" s="69">
        <v>2.3504339196594781</v>
      </c>
    </row>
    <row r="13182" spans="6:8">
      <c r="F13182" s="68" t="s">
        <v>568</v>
      </c>
      <c r="G13182" s="67" t="s">
        <v>581</v>
      </c>
      <c r="H13182" s="69">
        <v>-0.1</v>
      </c>
    </row>
    <row r="13183" spans="6:8">
      <c r="F13183" s="68" t="s">
        <v>132</v>
      </c>
      <c r="G13183" s="67" t="s">
        <v>581</v>
      </c>
      <c r="H13183" s="69">
        <v>-0.65</v>
      </c>
    </row>
    <row r="13184" spans="6:8">
      <c r="F13184" s="68" t="s">
        <v>133</v>
      </c>
      <c r="G13184" s="67" t="s">
        <v>581</v>
      </c>
      <c r="H13184" s="69">
        <v>-0.5</v>
      </c>
    </row>
    <row r="13185" spans="6:8">
      <c r="F13185" s="68" t="s">
        <v>256</v>
      </c>
      <c r="G13185" s="67" t="s">
        <v>581</v>
      </c>
      <c r="H13185" s="69">
        <v>0.96</v>
      </c>
    </row>
    <row r="13186" spans="6:8">
      <c r="F13186" s="68" t="s">
        <v>423</v>
      </c>
      <c r="G13186" s="67" t="s">
        <v>581</v>
      </c>
      <c r="H13186" s="69">
        <v>2.3565183114551136</v>
      </c>
    </row>
    <row r="13187" spans="6:8">
      <c r="F13187" s="68" t="s">
        <v>569</v>
      </c>
      <c r="G13187" s="67" t="s">
        <v>581</v>
      </c>
      <c r="H13187" s="69">
        <v>-0.1</v>
      </c>
    </row>
    <row r="13188" spans="6:8">
      <c r="F13188" s="68" t="s">
        <v>134</v>
      </c>
      <c r="G13188" s="67" t="s">
        <v>581</v>
      </c>
      <c r="H13188" s="69">
        <v>-0.6</v>
      </c>
    </row>
    <row r="13189" spans="6:8">
      <c r="F13189" s="68" t="s">
        <v>135</v>
      </c>
      <c r="G13189" s="67" t="s">
        <v>581</v>
      </c>
      <c r="H13189" s="69">
        <v>-0.6</v>
      </c>
    </row>
    <row r="13190" spans="6:8">
      <c r="F13190" s="68" t="s">
        <v>257</v>
      </c>
      <c r="G13190" s="67" t="s">
        <v>581</v>
      </c>
      <c r="H13190" s="69">
        <v>1.02</v>
      </c>
    </row>
    <row r="13191" spans="6:8">
      <c r="F13191" s="68" t="s">
        <v>258</v>
      </c>
      <c r="G13191" s="67" t="s">
        <v>581</v>
      </c>
      <c r="H13191" s="69">
        <v>0.14000000000000001</v>
      </c>
    </row>
    <row r="13192" spans="6:8">
      <c r="F13192" s="68" t="s">
        <v>424</v>
      </c>
      <c r="G13192" s="67" t="s">
        <v>581</v>
      </c>
      <c r="H13192" s="69">
        <v>3.1042893206335354</v>
      </c>
    </row>
    <row r="13193" spans="6:8">
      <c r="F13193" s="68" t="s">
        <v>136</v>
      </c>
      <c r="G13193" s="67" t="s">
        <v>581</v>
      </c>
      <c r="H13193" s="69">
        <v>-0.55000000000000004</v>
      </c>
    </row>
    <row r="13194" spans="6:8">
      <c r="F13194" s="68" t="s">
        <v>137</v>
      </c>
      <c r="G13194" s="67" t="s">
        <v>581</v>
      </c>
      <c r="H13194" s="69">
        <v>-0.6</v>
      </c>
    </row>
    <row r="13195" spans="6:8">
      <c r="F13195" s="68" t="s">
        <v>138</v>
      </c>
      <c r="G13195" s="67" t="s">
        <v>581</v>
      </c>
      <c r="H13195" s="69">
        <v>-0.6</v>
      </c>
    </row>
    <row r="13196" spans="6:8">
      <c r="F13196" s="68" t="s">
        <v>259</v>
      </c>
      <c r="G13196" s="67" t="s">
        <v>581</v>
      </c>
      <c r="H13196" s="69">
        <v>0.16</v>
      </c>
    </row>
    <row r="13197" spans="6:8">
      <c r="F13197" s="68" t="s">
        <v>425</v>
      </c>
      <c r="G13197" s="67" t="s">
        <v>581</v>
      </c>
      <c r="H13197" s="69">
        <v>3.0945523930419494</v>
      </c>
    </row>
    <row r="13198" spans="6:8">
      <c r="F13198" s="68" t="s">
        <v>425</v>
      </c>
      <c r="G13198" s="67" t="s">
        <v>582</v>
      </c>
      <c r="H13198" s="69">
        <v>3.1800957363167903</v>
      </c>
    </row>
    <row r="13199" spans="6:8">
      <c r="F13199" s="68" t="s">
        <v>259</v>
      </c>
      <c r="G13199" s="67" t="s">
        <v>582</v>
      </c>
      <c r="H13199" s="69">
        <v>0.16</v>
      </c>
    </row>
    <row r="13200" spans="6:8">
      <c r="F13200" s="68" t="s">
        <v>138</v>
      </c>
      <c r="G13200" s="67" t="s">
        <v>582</v>
      </c>
      <c r="H13200" s="69">
        <v>-0.6</v>
      </c>
    </row>
    <row r="13201" spans="6:8">
      <c r="F13201" s="68" t="s">
        <v>137</v>
      </c>
      <c r="G13201" s="67" t="s">
        <v>582</v>
      </c>
      <c r="H13201" s="69">
        <v>-0.6</v>
      </c>
    </row>
    <row r="13202" spans="6:8">
      <c r="F13202" s="68" t="s">
        <v>136</v>
      </c>
      <c r="G13202" s="67" t="s">
        <v>582</v>
      </c>
      <c r="H13202" s="69">
        <v>-0.55000000000000004</v>
      </c>
    </row>
    <row r="13203" spans="6:8">
      <c r="F13203" s="68" t="s">
        <v>424</v>
      </c>
      <c r="G13203" s="67" t="s">
        <v>582</v>
      </c>
      <c r="H13203" s="69">
        <v>3.1901352295286678</v>
      </c>
    </row>
    <row r="13204" spans="6:8">
      <c r="F13204" s="68" t="s">
        <v>258</v>
      </c>
      <c r="G13204" s="67" t="s">
        <v>582</v>
      </c>
      <c r="H13204" s="69">
        <v>0.14000000000000001</v>
      </c>
    </row>
    <row r="13205" spans="6:8">
      <c r="F13205" s="68" t="s">
        <v>257</v>
      </c>
      <c r="G13205" s="67" t="s">
        <v>582</v>
      </c>
      <c r="H13205" s="69">
        <v>1.02</v>
      </c>
    </row>
    <row r="13206" spans="6:8">
      <c r="F13206" s="68" t="s">
        <v>135</v>
      </c>
      <c r="G13206" s="67" t="s">
        <v>582</v>
      </c>
      <c r="H13206" s="69">
        <v>-0.6</v>
      </c>
    </row>
    <row r="13207" spans="6:8">
      <c r="F13207" s="68" t="s">
        <v>134</v>
      </c>
      <c r="G13207" s="67" t="s">
        <v>582</v>
      </c>
      <c r="H13207" s="69">
        <v>-0.6</v>
      </c>
    </row>
    <row r="13208" spans="6:8">
      <c r="F13208" s="68" t="s">
        <v>569</v>
      </c>
      <c r="G13208" s="67" t="s">
        <v>582</v>
      </c>
      <c r="H13208" s="69">
        <v>-0.1</v>
      </c>
    </row>
    <row r="13209" spans="6:8">
      <c r="F13209" s="68" t="s">
        <v>423</v>
      </c>
      <c r="G13209" s="67" t="s">
        <v>582</v>
      </c>
      <c r="H13209" s="69">
        <v>2.4303919582009392</v>
      </c>
    </row>
    <row r="13210" spans="6:8">
      <c r="F13210" s="68" t="s">
        <v>256</v>
      </c>
      <c r="G13210" s="67" t="s">
        <v>582</v>
      </c>
      <c r="H13210" s="69">
        <v>0.96</v>
      </c>
    </row>
    <row r="13211" spans="6:8">
      <c r="F13211" s="68" t="s">
        <v>133</v>
      </c>
      <c r="G13211" s="67" t="s">
        <v>582</v>
      </c>
      <c r="H13211" s="69">
        <v>-0.5</v>
      </c>
    </row>
    <row r="13212" spans="6:8">
      <c r="F13212" s="68" t="s">
        <v>132</v>
      </c>
      <c r="G13212" s="67" t="s">
        <v>582</v>
      </c>
      <c r="H13212" s="69">
        <v>-0.65</v>
      </c>
    </row>
    <row r="13213" spans="6:8">
      <c r="F13213" s="68" t="s">
        <v>568</v>
      </c>
      <c r="G13213" s="67" t="s">
        <v>582</v>
      </c>
      <c r="H13213" s="69">
        <v>-0.1</v>
      </c>
    </row>
    <row r="13214" spans="6:8">
      <c r="F13214" s="68" t="s">
        <v>422</v>
      </c>
      <c r="G13214" s="67" t="s">
        <v>582</v>
      </c>
      <c r="H13214" s="69">
        <v>2.4084615173121549</v>
      </c>
    </row>
    <row r="13215" spans="6:8">
      <c r="F13215" s="68" t="s">
        <v>303</v>
      </c>
      <c r="G13215" s="67" t="s">
        <v>582</v>
      </c>
      <c r="H13215" s="69">
        <v>19.4375</v>
      </c>
    </row>
    <row r="13216" spans="6:8">
      <c r="F13216" s="68" t="s">
        <v>255</v>
      </c>
      <c r="G13216" s="67" t="s">
        <v>582</v>
      </c>
      <c r="H13216" s="69">
        <v>0.84</v>
      </c>
    </row>
    <row r="13217" spans="6:8">
      <c r="F13217" s="68" t="s">
        <v>131</v>
      </c>
      <c r="G13217" s="67" t="s">
        <v>582</v>
      </c>
      <c r="H13217" s="69">
        <v>-0.4</v>
      </c>
    </row>
    <row r="13218" spans="6:8">
      <c r="F13218" s="68" t="s">
        <v>130</v>
      </c>
      <c r="G13218" s="67" t="s">
        <v>582</v>
      </c>
      <c r="H13218" s="69">
        <v>-0.7</v>
      </c>
    </row>
    <row r="13219" spans="6:8">
      <c r="F13219" s="68" t="s">
        <v>567</v>
      </c>
      <c r="G13219" s="67" t="s">
        <v>582</v>
      </c>
      <c r="H13219" s="69">
        <v>-0.4</v>
      </c>
    </row>
    <row r="13220" spans="6:8">
      <c r="F13220" s="68" t="s">
        <v>421</v>
      </c>
      <c r="G13220" s="67" t="s">
        <v>582</v>
      </c>
      <c r="H13220" s="69">
        <v>2.4029359779409898</v>
      </c>
    </row>
    <row r="13221" spans="6:8">
      <c r="F13221" s="68" t="s">
        <v>304</v>
      </c>
      <c r="G13221" s="67" t="s">
        <v>582</v>
      </c>
      <c r="H13221" s="69">
        <v>18.34375</v>
      </c>
    </row>
    <row r="13222" spans="6:8">
      <c r="F13222" s="68" t="s">
        <v>254</v>
      </c>
      <c r="G13222" s="67" t="s">
        <v>582</v>
      </c>
      <c r="H13222" s="69">
        <v>0.67</v>
      </c>
    </row>
    <row r="13223" spans="6:8">
      <c r="F13223" s="68" t="s">
        <v>129</v>
      </c>
      <c r="G13223" s="67" t="s">
        <v>582</v>
      </c>
      <c r="H13223" s="69">
        <v>-0.5</v>
      </c>
    </row>
    <row r="13224" spans="6:8">
      <c r="F13224" s="68" t="s">
        <v>128</v>
      </c>
      <c r="G13224" s="67" t="s">
        <v>582</v>
      </c>
      <c r="H13224" s="69">
        <v>-0.6</v>
      </c>
    </row>
    <row r="13225" spans="6:8">
      <c r="F13225" s="68" t="s">
        <v>315</v>
      </c>
      <c r="G13225" s="67" t="s">
        <v>582</v>
      </c>
      <c r="H13225" s="69">
        <v>-0.1</v>
      </c>
    </row>
    <row r="13226" spans="6:8">
      <c r="F13226" s="68" t="s">
        <v>253</v>
      </c>
      <c r="G13226" s="67" t="s">
        <v>582</v>
      </c>
      <c r="H13226" s="69">
        <v>0.49</v>
      </c>
    </row>
    <row r="13227" spans="6:8">
      <c r="F13227" s="68" t="s">
        <v>127</v>
      </c>
      <c r="G13227" s="67" t="s">
        <v>582</v>
      </c>
      <c r="H13227" s="69">
        <v>-0.4</v>
      </c>
    </row>
    <row r="13228" spans="6:8">
      <c r="F13228" s="68" t="s">
        <v>126</v>
      </c>
      <c r="G13228" s="67" t="s">
        <v>582</v>
      </c>
      <c r="H13228" s="69">
        <v>-0.6</v>
      </c>
    </row>
    <row r="13229" spans="6:8">
      <c r="F13229" s="68" t="s">
        <v>125</v>
      </c>
      <c r="G13229" s="67" t="s">
        <v>582</v>
      </c>
      <c r="H13229" s="69">
        <v>-0.25</v>
      </c>
    </row>
    <row r="13230" spans="6:8">
      <c r="F13230" s="68" t="s">
        <v>314</v>
      </c>
      <c r="G13230" s="67" t="s">
        <v>582</v>
      </c>
      <c r="H13230" s="69">
        <v>-0.15</v>
      </c>
    </row>
    <row r="13231" spans="6:8">
      <c r="F13231" s="68" t="s">
        <v>252</v>
      </c>
      <c r="G13231" s="67" t="s">
        <v>582</v>
      </c>
      <c r="H13231" s="69">
        <v>0.34</v>
      </c>
    </row>
    <row r="13232" spans="6:8">
      <c r="F13232" s="68" t="s">
        <v>124</v>
      </c>
      <c r="G13232" s="67" t="s">
        <v>582</v>
      </c>
      <c r="H13232" s="69">
        <v>-0.4</v>
      </c>
    </row>
    <row r="13233" spans="6:8">
      <c r="F13233" s="68" t="s">
        <v>123</v>
      </c>
      <c r="G13233" s="67" t="s">
        <v>582</v>
      </c>
      <c r="H13233" s="69">
        <v>-0.75</v>
      </c>
    </row>
    <row r="13234" spans="6:8">
      <c r="F13234" s="68" t="s">
        <v>122</v>
      </c>
      <c r="G13234" s="67" t="s">
        <v>582</v>
      </c>
      <c r="H13234" s="69">
        <v>-0.4</v>
      </c>
    </row>
    <row r="13235" spans="6:8">
      <c r="F13235" s="68" t="s">
        <v>420</v>
      </c>
      <c r="G13235" s="67" t="s">
        <v>582</v>
      </c>
      <c r="H13235" s="69">
        <v>3.3983132593490506</v>
      </c>
    </row>
    <row r="13236" spans="6:8">
      <c r="F13236" s="68" t="s">
        <v>251</v>
      </c>
      <c r="G13236" s="67" t="s">
        <v>582</v>
      </c>
      <c r="H13236" s="69">
        <v>0.24</v>
      </c>
    </row>
    <row r="13237" spans="6:8">
      <c r="F13237" s="68" t="s">
        <v>121</v>
      </c>
      <c r="G13237" s="67" t="s">
        <v>582</v>
      </c>
      <c r="H13237" s="69">
        <v>-0.5</v>
      </c>
    </row>
    <row r="13238" spans="6:8">
      <c r="F13238" s="68" t="s">
        <v>120</v>
      </c>
      <c r="G13238" s="67" t="s">
        <v>582</v>
      </c>
      <c r="H13238" s="69">
        <v>-0.6</v>
      </c>
    </row>
    <row r="13239" spans="6:8">
      <c r="F13239" s="68" t="s">
        <v>119</v>
      </c>
      <c r="G13239" s="67" t="s">
        <v>582</v>
      </c>
      <c r="H13239" s="69">
        <v>-0.45</v>
      </c>
    </row>
    <row r="13240" spans="6:8">
      <c r="F13240" s="68" t="s">
        <v>119</v>
      </c>
      <c r="G13240" s="67" t="s">
        <v>583</v>
      </c>
      <c r="H13240" s="69">
        <v>-0.45</v>
      </c>
    </row>
    <row r="13241" spans="6:8">
      <c r="F13241" s="68" t="s">
        <v>120</v>
      </c>
      <c r="G13241" s="67" t="s">
        <v>583</v>
      </c>
      <c r="H13241" s="69">
        <v>-0.6</v>
      </c>
    </row>
    <row r="13242" spans="6:8">
      <c r="F13242" s="68" t="s">
        <v>121</v>
      </c>
      <c r="G13242" s="67" t="s">
        <v>583</v>
      </c>
      <c r="H13242" s="69">
        <v>-0.5</v>
      </c>
    </row>
    <row r="13243" spans="6:8">
      <c r="F13243" s="68" t="s">
        <v>251</v>
      </c>
      <c r="G13243" s="67" t="s">
        <v>583</v>
      </c>
      <c r="H13243" s="69">
        <v>0.24</v>
      </c>
    </row>
    <row r="13244" spans="6:8">
      <c r="F13244" s="68" t="s">
        <v>420</v>
      </c>
      <c r="G13244" s="67" t="s">
        <v>583</v>
      </c>
      <c r="H13244" s="69">
        <v>3.4015185118039248</v>
      </c>
    </row>
    <row r="13245" spans="6:8">
      <c r="F13245" s="68" t="s">
        <v>122</v>
      </c>
      <c r="G13245" s="67" t="s">
        <v>583</v>
      </c>
      <c r="H13245" s="69">
        <v>-0.4</v>
      </c>
    </row>
    <row r="13246" spans="6:8">
      <c r="F13246" s="68" t="s">
        <v>123</v>
      </c>
      <c r="G13246" s="67" t="s">
        <v>583</v>
      </c>
      <c r="H13246" s="69">
        <v>-0.75</v>
      </c>
    </row>
    <row r="13247" spans="6:8">
      <c r="F13247" s="68" t="s">
        <v>124</v>
      </c>
      <c r="G13247" s="67" t="s">
        <v>583</v>
      </c>
      <c r="H13247" s="69">
        <v>-0.4</v>
      </c>
    </row>
    <row r="13248" spans="6:8">
      <c r="F13248" s="68" t="s">
        <v>252</v>
      </c>
      <c r="G13248" s="67" t="s">
        <v>583</v>
      </c>
      <c r="H13248" s="69">
        <v>0.34</v>
      </c>
    </row>
    <row r="13249" spans="6:8">
      <c r="F13249" s="68" t="s">
        <v>314</v>
      </c>
      <c r="G13249" s="67" t="s">
        <v>583</v>
      </c>
      <c r="H13249" s="69">
        <v>-0.15</v>
      </c>
    </row>
    <row r="13250" spans="6:8">
      <c r="F13250" s="68" t="s">
        <v>125</v>
      </c>
      <c r="G13250" s="67" t="s">
        <v>583</v>
      </c>
      <c r="H13250" s="69">
        <v>-0.25</v>
      </c>
    </row>
    <row r="13251" spans="6:8">
      <c r="F13251" s="68" t="s">
        <v>126</v>
      </c>
      <c r="G13251" s="67" t="s">
        <v>583</v>
      </c>
      <c r="H13251" s="69">
        <v>-0.6</v>
      </c>
    </row>
    <row r="13252" spans="6:8">
      <c r="F13252" s="68" t="s">
        <v>127</v>
      </c>
      <c r="G13252" s="67" t="s">
        <v>583</v>
      </c>
      <c r="H13252" s="69">
        <v>-0.4</v>
      </c>
    </row>
    <row r="13253" spans="6:8">
      <c r="F13253" s="68" t="s">
        <v>253</v>
      </c>
      <c r="G13253" s="67" t="s">
        <v>583</v>
      </c>
      <c r="H13253" s="69">
        <v>0.49</v>
      </c>
    </row>
    <row r="13254" spans="6:8">
      <c r="F13254" s="68" t="s">
        <v>315</v>
      </c>
      <c r="G13254" s="67" t="s">
        <v>583</v>
      </c>
      <c r="H13254" s="69">
        <v>-0.1</v>
      </c>
    </row>
    <row r="13255" spans="6:8">
      <c r="F13255" s="68" t="s">
        <v>128</v>
      </c>
      <c r="G13255" s="67" t="s">
        <v>583</v>
      </c>
      <c r="H13255" s="69">
        <v>-0.6</v>
      </c>
    </row>
    <row r="13256" spans="6:8">
      <c r="F13256" s="68" t="s">
        <v>129</v>
      </c>
      <c r="G13256" s="67" t="s">
        <v>583</v>
      </c>
      <c r="H13256" s="69">
        <v>-0.5</v>
      </c>
    </row>
    <row r="13257" spans="6:8">
      <c r="F13257" s="68" t="s">
        <v>254</v>
      </c>
      <c r="G13257" s="67" t="s">
        <v>583</v>
      </c>
      <c r="H13257" s="69">
        <v>0.67</v>
      </c>
    </row>
    <row r="13258" spans="6:8">
      <c r="F13258" s="68" t="s">
        <v>304</v>
      </c>
      <c r="G13258" s="67" t="s">
        <v>583</v>
      </c>
      <c r="H13258" s="69">
        <v>18.291666666666668</v>
      </c>
    </row>
    <row r="13259" spans="6:8">
      <c r="F13259" s="68" t="s">
        <v>421</v>
      </c>
      <c r="G13259" s="67" t="s">
        <v>583</v>
      </c>
      <c r="H13259" s="69">
        <v>2.4060792388413521</v>
      </c>
    </row>
    <row r="13260" spans="6:8">
      <c r="F13260" s="68" t="s">
        <v>567</v>
      </c>
      <c r="G13260" s="67" t="s">
        <v>583</v>
      </c>
      <c r="H13260" s="69">
        <v>-0.4</v>
      </c>
    </row>
    <row r="13261" spans="6:8">
      <c r="F13261" s="68" t="s">
        <v>130</v>
      </c>
      <c r="G13261" s="67" t="s">
        <v>583</v>
      </c>
      <c r="H13261" s="69">
        <v>-0.7</v>
      </c>
    </row>
    <row r="13262" spans="6:8">
      <c r="F13262" s="68" t="s">
        <v>131</v>
      </c>
      <c r="G13262" s="67" t="s">
        <v>583</v>
      </c>
      <c r="H13262" s="69">
        <v>-0.4</v>
      </c>
    </row>
    <row r="13263" spans="6:8">
      <c r="F13263" s="68" t="s">
        <v>255</v>
      </c>
      <c r="G13263" s="67" t="s">
        <v>583</v>
      </c>
      <c r="H13263" s="69">
        <v>0.84</v>
      </c>
    </row>
    <row r="13264" spans="6:8">
      <c r="F13264" s="68" t="s">
        <v>303</v>
      </c>
      <c r="G13264" s="67" t="s">
        <v>583</v>
      </c>
      <c r="H13264" s="69">
        <v>19.395833333333332</v>
      </c>
    </row>
    <row r="13265" spans="6:8">
      <c r="F13265" s="68" t="s">
        <v>422</v>
      </c>
      <c r="G13265" s="67" t="s">
        <v>583</v>
      </c>
      <c r="H13265" s="69">
        <v>2.4115837037774757</v>
      </c>
    </row>
    <row r="13266" spans="6:8">
      <c r="F13266" s="68" t="s">
        <v>568</v>
      </c>
      <c r="G13266" s="67" t="s">
        <v>583</v>
      </c>
      <c r="H13266" s="69">
        <v>-0.1</v>
      </c>
    </row>
    <row r="13267" spans="6:8">
      <c r="F13267" s="68" t="s">
        <v>132</v>
      </c>
      <c r="G13267" s="67" t="s">
        <v>583</v>
      </c>
      <c r="H13267" s="69">
        <v>-0.65</v>
      </c>
    </row>
    <row r="13268" spans="6:8">
      <c r="F13268" s="68" t="s">
        <v>133</v>
      </c>
      <c r="G13268" s="67" t="s">
        <v>583</v>
      </c>
      <c r="H13268" s="69">
        <v>-0.5</v>
      </c>
    </row>
    <row r="13269" spans="6:8">
      <c r="F13269" s="68" t="s">
        <v>256</v>
      </c>
      <c r="G13269" s="67" t="s">
        <v>583</v>
      </c>
      <c r="H13269" s="69">
        <v>0.96</v>
      </c>
    </row>
    <row r="13270" spans="6:8">
      <c r="F13270" s="68" t="s">
        <v>423</v>
      </c>
      <c r="G13270" s="67" t="s">
        <v>583</v>
      </c>
      <c r="H13270" s="69">
        <v>2.4465927929105735</v>
      </c>
    </row>
    <row r="13271" spans="6:8">
      <c r="F13271" s="68" t="s">
        <v>569</v>
      </c>
      <c r="G13271" s="67" t="s">
        <v>583</v>
      </c>
      <c r="H13271" s="69">
        <v>-0.1</v>
      </c>
    </row>
    <row r="13272" spans="6:8">
      <c r="F13272" s="68" t="s">
        <v>134</v>
      </c>
      <c r="G13272" s="67" t="s">
        <v>583</v>
      </c>
      <c r="H13272" s="69">
        <v>-0.6</v>
      </c>
    </row>
    <row r="13273" spans="6:8">
      <c r="F13273" s="68" t="s">
        <v>135</v>
      </c>
      <c r="G13273" s="67" t="s">
        <v>583</v>
      </c>
      <c r="H13273" s="69">
        <v>-0.6</v>
      </c>
    </row>
    <row r="13274" spans="6:8">
      <c r="F13274" s="68" t="s">
        <v>257</v>
      </c>
      <c r="G13274" s="67" t="s">
        <v>583</v>
      </c>
      <c r="H13274" s="69">
        <v>1.02</v>
      </c>
    </row>
    <row r="13275" spans="6:8">
      <c r="F13275" s="68" t="s">
        <v>258</v>
      </c>
      <c r="G13275" s="67" t="s">
        <v>583</v>
      </c>
      <c r="H13275" s="69">
        <v>0.14000000000000001</v>
      </c>
    </row>
    <row r="13276" spans="6:8">
      <c r="F13276" s="68" t="s">
        <v>424</v>
      </c>
      <c r="G13276" s="67" t="s">
        <v>583</v>
      </c>
      <c r="H13276" s="69">
        <v>3.1924889086977437</v>
      </c>
    </row>
    <row r="13277" spans="6:8">
      <c r="F13277" s="68" t="s">
        <v>136</v>
      </c>
      <c r="G13277" s="67" t="s">
        <v>583</v>
      </c>
      <c r="H13277" s="69">
        <v>-0.55000000000000004</v>
      </c>
    </row>
    <row r="13278" spans="6:8">
      <c r="F13278" s="68" t="s">
        <v>137</v>
      </c>
      <c r="G13278" s="67" t="s">
        <v>583</v>
      </c>
      <c r="H13278" s="69">
        <v>-0.6</v>
      </c>
    </row>
    <row r="13279" spans="6:8">
      <c r="F13279" s="68" t="s">
        <v>138</v>
      </c>
      <c r="G13279" s="67" t="s">
        <v>583</v>
      </c>
      <c r="H13279" s="69">
        <v>-0.6</v>
      </c>
    </row>
    <row r="13280" spans="6:8">
      <c r="F13280" s="68" t="s">
        <v>259</v>
      </c>
      <c r="G13280" s="67" t="s">
        <v>583</v>
      </c>
      <c r="H13280" s="69">
        <v>0.16</v>
      </c>
    </row>
    <row r="13281" spans="6:8">
      <c r="F13281" s="68" t="s">
        <v>425</v>
      </c>
      <c r="G13281" s="67" t="s">
        <v>583</v>
      </c>
      <c r="H13281" s="69">
        <v>3.1804194083685733</v>
      </c>
    </row>
    <row r="13282" spans="6:8">
      <c r="F13282" s="68" t="s">
        <v>425</v>
      </c>
      <c r="G13282" s="67" t="s">
        <v>584</v>
      </c>
      <c r="H13282" s="69">
        <v>3.1940218067993964</v>
      </c>
    </row>
    <row r="13283" spans="6:8">
      <c r="F13283" s="68" t="s">
        <v>259</v>
      </c>
      <c r="G13283" s="67" t="s">
        <v>584</v>
      </c>
      <c r="H13283" s="69">
        <v>0.16</v>
      </c>
    </row>
    <row r="13284" spans="6:8">
      <c r="F13284" s="68" t="s">
        <v>138</v>
      </c>
      <c r="G13284" s="67" t="s">
        <v>584</v>
      </c>
      <c r="H13284" s="69">
        <v>-0.6</v>
      </c>
    </row>
    <row r="13285" spans="6:8">
      <c r="F13285" s="68" t="s">
        <v>137</v>
      </c>
      <c r="G13285" s="67" t="s">
        <v>584</v>
      </c>
      <c r="H13285" s="69">
        <v>-0.6</v>
      </c>
    </row>
    <row r="13286" spans="6:8">
      <c r="F13286" s="68" t="s">
        <v>136</v>
      </c>
      <c r="G13286" s="67" t="s">
        <v>584</v>
      </c>
      <c r="H13286" s="69">
        <v>-0.55000000000000004</v>
      </c>
    </row>
    <row r="13287" spans="6:8">
      <c r="F13287" s="68" t="s">
        <v>424</v>
      </c>
      <c r="G13287" s="67" t="s">
        <v>584</v>
      </c>
      <c r="H13287" s="69">
        <v>3.2087199309357217</v>
      </c>
    </row>
    <row r="13288" spans="6:8">
      <c r="F13288" s="68" t="s">
        <v>258</v>
      </c>
      <c r="G13288" s="67" t="s">
        <v>584</v>
      </c>
      <c r="H13288" s="69">
        <v>0.14000000000000001</v>
      </c>
    </row>
    <row r="13289" spans="6:8">
      <c r="F13289" s="68" t="s">
        <v>257</v>
      </c>
      <c r="G13289" s="67" t="s">
        <v>584</v>
      </c>
      <c r="H13289" s="69">
        <v>1.02</v>
      </c>
    </row>
    <row r="13290" spans="6:8">
      <c r="F13290" s="68" t="s">
        <v>135</v>
      </c>
      <c r="G13290" s="67" t="s">
        <v>584</v>
      </c>
      <c r="H13290" s="69">
        <v>-0.6</v>
      </c>
    </row>
    <row r="13291" spans="6:8">
      <c r="F13291" s="68" t="s">
        <v>134</v>
      </c>
      <c r="G13291" s="67" t="s">
        <v>584</v>
      </c>
      <c r="H13291" s="69">
        <v>-0.6</v>
      </c>
    </row>
    <row r="13292" spans="6:8">
      <c r="F13292" s="68" t="s">
        <v>569</v>
      </c>
      <c r="G13292" s="67" t="s">
        <v>584</v>
      </c>
      <c r="H13292" s="69">
        <v>-0.1</v>
      </c>
    </row>
    <row r="13293" spans="6:8">
      <c r="F13293" s="68" t="s">
        <v>423</v>
      </c>
      <c r="G13293" s="67" t="s">
        <v>584</v>
      </c>
      <c r="H13293" s="69">
        <v>2.4756749747190554</v>
      </c>
    </row>
    <row r="13294" spans="6:8">
      <c r="F13294" s="68" t="s">
        <v>256</v>
      </c>
      <c r="G13294" s="67" t="s">
        <v>584</v>
      </c>
      <c r="H13294" s="69">
        <v>0.96</v>
      </c>
    </row>
    <row r="13295" spans="6:8">
      <c r="F13295" s="68" t="s">
        <v>133</v>
      </c>
      <c r="G13295" s="67" t="s">
        <v>584</v>
      </c>
      <c r="H13295" s="69">
        <v>-0.5</v>
      </c>
    </row>
    <row r="13296" spans="6:8">
      <c r="F13296" s="68" t="s">
        <v>132</v>
      </c>
      <c r="G13296" s="67" t="s">
        <v>584</v>
      </c>
      <c r="H13296" s="69">
        <v>-0.65</v>
      </c>
    </row>
    <row r="13297" spans="6:8">
      <c r="F13297" s="68" t="s">
        <v>568</v>
      </c>
      <c r="G13297" s="67" t="s">
        <v>584</v>
      </c>
      <c r="H13297" s="69">
        <v>-0.1</v>
      </c>
    </row>
    <row r="13298" spans="6:8">
      <c r="F13298" s="68" t="s">
        <v>422</v>
      </c>
      <c r="G13298" s="67" t="s">
        <v>584</v>
      </c>
      <c r="H13298" s="69">
        <v>2.4382175764006142</v>
      </c>
    </row>
    <row r="13299" spans="6:8">
      <c r="F13299" s="68" t="s">
        <v>303</v>
      </c>
      <c r="G13299" s="67" t="s">
        <v>584</v>
      </c>
      <c r="H13299" s="69">
        <v>19.489583333333332</v>
      </c>
    </row>
    <row r="13300" spans="6:8">
      <c r="F13300" s="68" t="s">
        <v>255</v>
      </c>
      <c r="G13300" s="67" t="s">
        <v>584</v>
      </c>
      <c r="H13300" s="69">
        <v>0.84</v>
      </c>
    </row>
    <row r="13301" spans="6:8">
      <c r="F13301" s="68" t="s">
        <v>131</v>
      </c>
      <c r="G13301" s="67" t="s">
        <v>584</v>
      </c>
      <c r="H13301" s="69">
        <v>-0.4</v>
      </c>
    </row>
    <row r="13302" spans="6:8">
      <c r="F13302" s="68" t="s">
        <v>130</v>
      </c>
      <c r="G13302" s="67" t="s">
        <v>584</v>
      </c>
      <c r="H13302" s="69">
        <v>-0.7</v>
      </c>
    </row>
    <row r="13303" spans="6:8">
      <c r="F13303" s="68" t="s">
        <v>567</v>
      </c>
      <c r="G13303" s="67" t="s">
        <v>584</v>
      </c>
      <c r="H13303" s="69">
        <v>-0.4</v>
      </c>
    </row>
    <row r="13304" spans="6:8">
      <c r="F13304" s="68" t="s">
        <v>421</v>
      </c>
      <c r="G13304" s="67" t="s">
        <v>584</v>
      </c>
      <c r="H13304" s="69">
        <v>2.4327083212885015</v>
      </c>
    </row>
    <row r="13305" spans="6:8">
      <c r="F13305" s="68" t="s">
        <v>304</v>
      </c>
      <c r="G13305" s="67" t="s">
        <v>584</v>
      </c>
      <c r="H13305" s="69">
        <v>18.375</v>
      </c>
    </row>
    <row r="13306" spans="6:8">
      <c r="F13306" s="68" t="s">
        <v>254</v>
      </c>
      <c r="G13306" s="67" t="s">
        <v>584</v>
      </c>
      <c r="H13306" s="69">
        <v>0.67</v>
      </c>
    </row>
    <row r="13307" spans="6:8">
      <c r="F13307" s="68" t="s">
        <v>129</v>
      </c>
      <c r="G13307" s="67" t="s">
        <v>584</v>
      </c>
      <c r="H13307" s="69">
        <v>-0.5</v>
      </c>
    </row>
    <row r="13308" spans="6:8">
      <c r="F13308" s="68" t="s">
        <v>128</v>
      </c>
      <c r="G13308" s="67" t="s">
        <v>584</v>
      </c>
      <c r="H13308" s="69">
        <v>-0.6</v>
      </c>
    </row>
    <row r="13309" spans="6:8">
      <c r="F13309" s="68" t="s">
        <v>315</v>
      </c>
      <c r="G13309" s="67" t="s">
        <v>584</v>
      </c>
      <c r="H13309" s="69">
        <v>-0.1</v>
      </c>
    </row>
    <row r="13310" spans="6:8">
      <c r="F13310" s="68" t="s">
        <v>253</v>
      </c>
      <c r="G13310" s="67" t="s">
        <v>584</v>
      </c>
      <c r="H13310" s="69">
        <v>0.49</v>
      </c>
    </row>
    <row r="13311" spans="6:8">
      <c r="F13311" s="68" t="s">
        <v>127</v>
      </c>
      <c r="G13311" s="67" t="s">
        <v>584</v>
      </c>
      <c r="H13311" s="69">
        <v>-0.4</v>
      </c>
    </row>
    <row r="13312" spans="6:8">
      <c r="F13312" s="68" t="s">
        <v>126</v>
      </c>
      <c r="G13312" s="67" t="s">
        <v>584</v>
      </c>
      <c r="H13312" s="69">
        <v>-0.6</v>
      </c>
    </row>
    <row r="13313" spans="6:8">
      <c r="F13313" s="68" t="s">
        <v>125</v>
      </c>
      <c r="G13313" s="67" t="s">
        <v>584</v>
      </c>
      <c r="H13313" s="69">
        <v>-0.25</v>
      </c>
    </row>
    <row r="13314" spans="6:8">
      <c r="F13314" s="68" t="s">
        <v>314</v>
      </c>
      <c r="G13314" s="67" t="s">
        <v>584</v>
      </c>
      <c r="H13314" s="69">
        <v>-0.15</v>
      </c>
    </row>
    <row r="13315" spans="6:8">
      <c r="F13315" s="68" t="s">
        <v>252</v>
      </c>
      <c r="G13315" s="67" t="s">
        <v>584</v>
      </c>
      <c r="H13315" s="69">
        <v>0.34</v>
      </c>
    </row>
    <row r="13316" spans="6:8">
      <c r="F13316" s="68" t="s">
        <v>124</v>
      </c>
      <c r="G13316" s="67" t="s">
        <v>584</v>
      </c>
      <c r="H13316" s="69">
        <v>-0.4</v>
      </c>
    </row>
    <row r="13317" spans="6:8">
      <c r="F13317" s="68" t="s">
        <v>123</v>
      </c>
      <c r="G13317" s="67" t="s">
        <v>584</v>
      </c>
      <c r="H13317" s="69">
        <v>-0.75</v>
      </c>
    </row>
    <row r="13318" spans="6:8">
      <c r="F13318" s="68" t="s">
        <v>122</v>
      </c>
      <c r="G13318" s="67" t="s">
        <v>584</v>
      </c>
      <c r="H13318" s="69">
        <v>-0.4</v>
      </c>
    </row>
    <row r="13319" spans="6:8">
      <c r="F13319" s="68" t="s">
        <v>420</v>
      </c>
      <c r="G13319" s="67" t="s">
        <v>584</v>
      </c>
      <c r="H13319" s="69">
        <v>3.4237035729301368</v>
      </c>
    </row>
    <row r="13320" spans="6:8">
      <c r="F13320" s="68" t="s">
        <v>251</v>
      </c>
      <c r="G13320" s="67" t="s">
        <v>584</v>
      </c>
      <c r="H13320" s="69">
        <v>0.24</v>
      </c>
    </row>
    <row r="13321" spans="6:8">
      <c r="F13321" s="68" t="s">
        <v>121</v>
      </c>
      <c r="G13321" s="67" t="s">
        <v>584</v>
      </c>
      <c r="H13321" s="69">
        <v>-0.5</v>
      </c>
    </row>
    <row r="13322" spans="6:8">
      <c r="F13322" s="68" t="s">
        <v>120</v>
      </c>
      <c r="G13322" s="67" t="s">
        <v>584</v>
      </c>
      <c r="H13322" s="69">
        <v>-0.6</v>
      </c>
    </row>
    <row r="13323" spans="6:8">
      <c r="F13323" s="68" t="s">
        <v>119</v>
      </c>
      <c r="G13323" s="67" t="s">
        <v>584</v>
      </c>
      <c r="H13323" s="69">
        <v>-0.45</v>
      </c>
    </row>
    <row r="13324" spans="6:8">
      <c r="F13324" s="68" t="s">
        <v>119</v>
      </c>
      <c r="G13324" s="67" t="s">
        <v>585</v>
      </c>
      <c r="H13324" s="69">
        <v>-0.6</v>
      </c>
    </row>
    <row r="13325" spans="6:8">
      <c r="F13325" s="68" t="s">
        <v>120</v>
      </c>
      <c r="G13325" s="67" t="s">
        <v>585</v>
      </c>
      <c r="H13325" s="69">
        <v>-0.65</v>
      </c>
    </row>
    <row r="13326" spans="6:8">
      <c r="F13326" s="68" t="s">
        <v>121</v>
      </c>
      <c r="G13326" s="67" t="s">
        <v>585</v>
      </c>
      <c r="H13326" s="69">
        <v>-0.55000000000000004</v>
      </c>
    </row>
    <row r="13327" spans="6:8">
      <c r="F13327" s="68" t="s">
        <v>251</v>
      </c>
      <c r="G13327" s="67" t="s">
        <v>585</v>
      </c>
      <c r="H13327" s="69">
        <v>0.27</v>
      </c>
    </row>
    <row r="13328" spans="6:8">
      <c r="F13328" s="68" t="s">
        <v>420</v>
      </c>
      <c r="G13328" s="67" t="s">
        <v>585</v>
      </c>
      <c r="H13328" s="69">
        <v>3.461366770597385</v>
      </c>
    </row>
    <row r="13329" spans="6:8">
      <c r="F13329" s="68" t="s">
        <v>122</v>
      </c>
      <c r="G13329" s="67" t="s">
        <v>585</v>
      </c>
      <c r="H13329" s="69">
        <v>-0.55000000000000004</v>
      </c>
    </row>
    <row r="13330" spans="6:8">
      <c r="F13330" s="68" t="s">
        <v>123</v>
      </c>
      <c r="G13330" s="67" t="s">
        <v>585</v>
      </c>
      <c r="H13330" s="69">
        <v>-0.77</v>
      </c>
    </row>
    <row r="13331" spans="6:8">
      <c r="F13331" s="68" t="s">
        <v>124</v>
      </c>
      <c r="G13331" s="67" t="s">
        <v>585</v>
      </c>
      <c r="H13331" s="69">
        <v>-0.45</v>
      </c>
    </row>
    <row r="13332" spans="6:8">
      <c r="F13332" s="68" t="s">
        <v>252</v>
      </c>
      <c r="G13332" s="67" t="s">
        <v>585</v>
      </c>
      <c r="H13332" s="69">
        <v>0.38</v>
      </c>
    </row>
    <row r="13333" spans="6:8">
      <c r="F13333" s="68" t="s">
        <v>314</v>
      </c>
      <c r="G13333" s="67" t="s">
        <v>585</v>
      </c>
      <c r="H13333" s="69">
        <v>-0.32</v>
      </c>
    </row>
    <row r="13334" spans="6:8">
      <c r="F13334" s="68" t="s">
        <v>125</v>
      </c>
      <c r="G13334" s="67" t="s">
        <v>585</v>
      </c>
      <c r="H13334" s="69">
        <v>-0.42</v>
      </c>
    </row>
    <row r="13335" spans="6:8">
      <c r="F13335" s="68" t="s">
        <v>126</v>
      </c>
      <c r="G13335" s="67" t="s">
        <v>585</v>
      </c>
      <c r="H13335" s="69">
        <v>-0.77</v>
      </c>
    </row>
    <row r="13336" spans="6:8">
      <c r="F13336" s="68" t="s">
        <v>127</v>
      </c>
      <c r="G13336" s="67" t="s">
        <v>585</v>
      </c>
      <c r="H13336" s="69">
        <v>-0.4</v>
      </c>
    </row>
    <row r="13337" spans="6:8">
      <c r="F13337" s="68" t="s">
        <v>253</v>
      </c>
      <c r="G13337" s="67" t="s">
        <v>585</v>
      </c>
      <c r="H13337" s="69">
        <v>0.5</v>
      </c>
    </row>
    <row r="13338" spans="6:8">
      <c r="F13338" s="68" t="s">
        <v>315</v>
      </c>
      <c r="G13338" s="67" t="s">
        <v>585</v>
      </c>
      <c r="H13338" s="69">
        <v>-0.13</v>
      </c>
    </row>
    <row r="13339" spans="6:8">
      <c r="F13339" s="68" t="s">
        <v>128</v>
      </c>
      <c r="G13339" s="67" t="s">
        <v>585</v>
      </c>
      <c r="H13339" s="69">
        <v>-0.7</v>
      </c>
    </row>
    <row r="13340" spans="6:8">
      <c r="F13340" s="68" t="s">
        <v>129</v>
      </c>
      <c r="G13340" s="67" t="s">
        <v>585</v>
      </c>
      <c r="H13340" s="69">
        <v>-0.55000000000000004</v>
      </c>
    </row>
    <row r="13341" spans="6:8">
      <c r="F13341" s="68" t="s">
        <v>254</v>
      </c>
      <c r="G13341" s="67" t="s">
        <v>585</v>
      </c>
      <c r="H13341" s="69">
        <v>0.67</v>
      </c>
    </row>
    <row r="13342" spans="6:8">
      <c r="F13342" s="68" t="s">
        <v>304</v>
      </c>
      <c r="G13342" s="67" t="s">
        <v>585</v>
      </c>
      <c r="H13342" s="69">
        <v>18.479166666666668</v>
      </c>
    </row>
    <row r="13343" spans="6:8">
      <c r="F13343" s="68" t="s">
        <v>421</v>
      </c>
      <c r="G13343" s="67" t="s">
        <v>585</v>
      </c>
      <c r="H13343" s="69">
        <v>2.4600082130576517</v>
      </c>
    </row>
    <row r="13344" spans="6:8">
      <c r="F13344" s="68" t="s">
        <v>567</v>
      </c>
      <c r="G13344" s="67" t="s">
        <v>585</v>
      </c>
      <c r="H13344" s="69">
        <v>-0.53</v>
      </c>
    </row>
    <row r="13345" spans="6:8">
      <c r="F13345" s="68" t="s">
        <v>130</v>
      </c>
      <c r="G13345" s="67" t="s">
        <v>585</v>
      </c>
      <c r="H13345" s="69">
        <v>-0.8</v>
      </c>
    </row>
    <row r="13346" spans="6:8">
      <c r="F13346" s="68" t="s">
        <v>131</v>
      </c>
      <c r="G13346" s="67" t="s">
        <v>585</v>
      </c>
      <c r="H13346" s="69">
        <v>-0.53</v>
      </c>
    </row>
    <row r="13347" spans="6:8">
      <c r="F13347" s="68" t="s">
        <v>255</v>
      </c>
      <c r="G13347" s="67" t="s">
        <v>585</v>
      </c>
      <c r="H13347" s="69">
        <v>0.84</v>
      </c>
    </row>
    <row r="13348" spans="6:8">
      <c r="F13348" s="68" t="s">
        <v>303</v>
      </c>
      <c r="G13348" s="67" t="s">
        <v>585</v>
      </c>
      <c r="H13348" s="69">
        <v>19.614583333333332</v>
      </c>
    </row>
    <row r="13349" spans="6:8">
      <c r="F13349" s="68" t="s">
        <v>422</v>
      </c>
      <c r="G13349" s="67" t="s">
        <v>585</v>
      </c>
      <c r="H13349" s="69">
        <v>2.4656656542601407</v>
      </c>
    </row>
    <row r="13350" spans="6:8">
      <c r="F13350" s="68" t="s">
        <v>568</v>
      </c>
      <c r="G13350" s="67" t="s">
        <v>585</v>
      </c>
      <c r="H13350" s="69">
        <v>-0.22</v>
      </c>
    </row>
    <row r="13351" spans="6:8">
      <c r="F13351" s="68" t="s">
        <v>132</v>
      </c>
      <c r="G13351" s="67" t="s">
        <v>585</v>
      </c>
      <c r="H13351" s="69">
        <v>-0.7</v>
      </c>
    </row>
    <row r="13352" spans="6:8">
      <c r="F13352" s="68" t="s">
        <v>133</v>
      </c>
      <c r="G13352" s="67" t="s">
        <v>585</v>
      </c>
      <c r="H13352" s="69">
        <v>-0.61</v>
      </c>
    </row>
    <row r="13353" spans="6:8">
      <c r="F13353" s="68" t="s">
        <v>256</v>
      </c>
      <c r="G13353" s="67" t="s">
        <v>585</v>
      </c>
      <c r="H13353" s="69">
        <v>0.98</v>
      </c>
    </row>
    <row r="13354" spans="6:8">
      <c r="F13354" s="68" t="s">
        <v>423</v>
      </c>
      <c r="G13354" s="67" t="s">
        <v>585</v>
      </c>
      <c r="H13354" s="69">
        <v>2.5087540550691401</v>
      </c>
    </row>
    <row r="13355" spans="6:8">
      <c r="F13355" s="68" t="s">
        <v>569</v>
      </c>
      <c r="G13355" s="67" t="s">
        <v>585</v>
      </c>
      <c r="H13355" s="69">
        <v>-0.08</v>
      </c>
    </row>
    <row r="13356" spans="6:8">
      <c r="F13356" s="68" t="s">
        <v>134</v>
      </c>
      <c r="G13356" s="67" t="s">
        <v>585</v>
      </c>
      <c r="H13356" s="69">
        <v>-0.65</v>
      </c>
    </row>
    <row r="13357" spans="6:8">
      <c r="F13357" s="68" t="s">
        <v>135</v>
      </c>
      <c r="G13357" s="67" t="s">
        <v>585</v>
      </c>
      <c r="H13357" s="69">
        <v>-0.68</v>
      </c>
    </row>
    <row r="13358" spans="6:8">
      <c r="F13358" s="68" t="s">
        <v>257</v>
      </c>
      <c r="G13358" s="67" t="s">
        <v>585</v>
      </c>
      <c r="H13358" s="69">
        <v>1.02</v>
      </c>
    </row>
    <row r="13359" spans="6:8">
      <c r="F13359" s="68" t="s">
        <v>258</v>
      </c>
      <c r="G13359" s="67" t="s">
        <v>585</v>
      </c>
      <c r="H13359" s="69">
        <v>0.15</v>
      </c>
    </row>
    <row r="13360" spans="6:8">
      <c r="F13360" s="68" t="s">
        <v>424</v>
      </c>
      <c r="G13360" s="67" t="s">
        <v>585</v>
      </c>
      <c r="H13360" s="69">
        <v>3.249329650197641</v>
      </c>
    </row>
    <row r="13361" spans="6:8">
      <c r="F13361" s="68" t="s">
        <v>136</v>
      </c>
      <c r="G13361" s="67" t="s">
        <v>585</v>
      </c>
      <c r="H13361" s="69">
        <v>-0.7</v>
      </c>
    </row>
    <row r="13362" spans="6:8">
      <c r="F13362" s="68" t="s">
        <v>137</v>
      </c>
      <c r="G13362" s="67" t="s">
        <v>585</v>
      </c>
      <c r="H13362" s="69">
        <v>-0.6</v>
      </c>
    </row>
    <row r="13363" spans="6:8">
      <c r="F13363" s="68" t="s">
        <v>138</v>
      </c>
      <c r="G13363" s="67" t="s">
        <v>585</v>
      </c>
      <c r="H13363" s="69">
        <v>-0.6</v>
      </c>
    </row>
    <row r="13364" spans="6:8">
      <c r="F13364" s="68" t="s">
        <v>259</v>
      </c>
      <c r="G13364" s="67" t="s">
        <v>585</v>
      </c>
      <c r="H13364" s="69">
        <v>0.17</v>
      </c>
    </row>
    <row r="13365" spans="6:8">
      <c r="F13365" s="68" t="s">
        <v>425</v>
      </c>
      <c r="G13365" s="67" t="s">
        <v>585</v>
      </c>
      <c r="H13365" s="69">
        <v>3.2338860224918164</v>
      </c>
    </row>
    <row r="13366" spans="6:8">
      <c r="F13366" s="68" t="s">
        <v>425</v>
      </c>
      <c r="G13366" s="67" t="s">
        <v>586</v>
      </c>
      <c r="H13366" s="69">
        <v>3.2138773918963359</v>
      </c>
    </row>
    <row r="13367" spans="6:8">
      <c r="F13367" s="68" t="s">
        <v>259</v>
      </c>
      <c r="G13367" s="67" t="s">
        <v>586</v>
      </c>
      <c r="H13367" s="69">
        <v>0.17</v>
      </c>
    </row>
    <row r="13368" spans="6:8">
      <c r="F13368" s="68" t="s">
        <v>138</v>
      </c>
      <c r="G13368" s="67" t="s">
        <v>586</v>
      </c>
      <c r="H13368" s="69">
        <v>-0.6</v>
      </c>
    </row>
    <row r="13369" spans="6:8">
      <c r="F13369" s="68" t="s">
        <v>137</v>
      </c>
      <c r="G13369" s="67" t="s">
        <v>586</v>
      </c>
      <c r="H13369" s="69">
        <v>-0.6</v>
      </c>
    </row>
    <row r="13370" spans="6:8">
      <c r="F13370" s="68" t="s">
        <v>136</v>
      </c>
      <c r="G13370" s="67" t="s">
        <v>586</v>
      </c>
      <c r="H13370" s="69">
        <v>-0.7</v>
      </c>
    </row>
    <row r="13371" spans="6:8">
      <c r="F13371" s="68" t="s">
        <v>424</v>
      </c>
      <c r="G13371" s="67" t="s">
        <v>586</v>
      </c>
      <c r="H13371" s="69">
        <v>3.2325892685170832</v>
      </c>
    </row>
    <row r="13372" spans="6:8">
      <c r="F13372" s="68" t="s">
        <v>258</v>
      </c>
      <c r="G13372" s="67" t="s">
        <v>586</v>
      </c>
      <c r="H13372" s="69">
        <v>0.15</v>
      </c>
    </row>
    <row r="13373" spans="6:8">
      <c r="F13373" s="68" t="s">
        <v>257</v>
      </c>
      <c r="G13373" s="67" t="s">
        <v>586</v>
      </c>
      <c r="H13373" s="69">
        <v>1.02</v>
      </c>
    </row>
    <row r="13374" spans="6:8">
      <c r="F13374" s="68" t="s">
        <v>135</v>
      </c>
      <c r="G13374" s="67" t="s">
        <v>586</v>
      </c>
      <c r="H13374" s="69">
        <v>-0.68</v>
      </c>
    </row>
    <row r="13375" spans="6:8">
      <c r="F13375" s="68" t="s">
        <v>134</v>
      </c>
      <c r="G13375" s="67" t="s">
        <v>586</v>
      </c>
      <c r="H13375" s="69">
        <v>-0.65</v>
      </c>
    </row>
    <row r="13376" spans="6:8">
      <c r="F13376" s="68" t="s">
        <v>569</v>
      </c>
      <c r="G13376" s="67" t="s">
        <v>586</v>
      </c>
      <c r="H13376" s="69">
        <v>-0.08</v>
      </c>
    </row>
    <row r="13377" spans="6:8">
      <c r="F13377" s="68" t="s">
        <v>423</v>
      </c>
      <c r="G13377" s="67" t="s">
        <v>586</v>
      </c>
      <c r="H13377" s="69">
        <v>2.4985435667078448</v>
      </c>
    </row>
    <row r="13378" spans="6:8">
      <c r="F13378" s="68" t="s">
        <v>256</v>
      </c>
      <c r="G13378" s="67" t="s">
        <v>586</v>
      </c>
      <c r="H13378" s="69">
        <v>0.98</v>
      </c>
    </row>
    <row r="13379" spans="6:8">
      <c r="F13379" s="68" t="s">
        <v>133</v>
      </c>
      <c r="G13379" s="67" t="s">
        <v>586</v>
      </c>
      <c r="H13379" s="69">
        <v>-0.61</v>
      </c>
    </row>
    <row r="13380" spans="6:8">
      <c r="F13380" s="68" t="s">
        <v>132</v>
      </c>
      <c r="G13380" s="67" t="s">
        <v>586</v>
      </c>
      <c r="H13380" s="69">
        <v>-0.7</v>
      </c>
    </row>
    <row r="13381" spans="6:8">
      <c r="F13381" s="68" t="s">
        <v>568</v>
      </c>
      <c r="G13381" s="67" t="s">
        <v>586</v>
      </c>
      <c r="H13381" s="69">
        <v>-0.22</v>
      </c>
    </row>
    <row r="13382" spans="6:8">
      <c r="F13382" s="68" t="s">
        <v>422</v>
      </c>
      <c r="G13382" s="67" t="s">
        <v>586</v>
      </c>
      <c r="H13382" s="69">
        <v>2.452972815581278</v>
      </c>
    </row>
    <row r="13383" spans="6:8">
      <c r="F13383" s="68" t="s">
        <v>303</v>
      </c>
      <c r="G13383" s="67" t="s">
        <v>586</v>
      </c>
      <c r="H13383" s="69">
        <v>19.572916666666668</v>
      </c>
    </row>
    <row r="13384" spans="6:8">
      <c r="F13384" s="68" t="s">
        <v>255</v>
      </c>
      <c r="G13384" s="67" t="s">
        <v>586</v>
      </c>
      <c r="H13384" s="69">
        <v>0.84</v>
      </c>
    </row>
    <row r="13385" spans="6:8">
      <c r="F13385" s="68" t="s">
        <v>131</v>
      </c>
      <c r="G13385" s="67" t="s">
        <v>586</v>
      </c>
      <c r="H13385" s="69">
        <v>-0.53</v>
      </c>
    </row>
    <row r="13386" spans="6:8">
      <c r="F13386" s="68" t="s">
        <v>130</v>
      </c>
      <c r="G13386" s="67" t="s">
        <v>586</v>
      </c>
      <c r="H13386" s="69">
        <v>-0.8</v>
      </c>
    </row>
    <row r="13387" spans="6:8">
      <c r="F13387" s="68" t="s">
        <v>567</v>
      </c>
      <c r="G13387" s="67" t="s">
        <v>586</v>
      </c>
      <c r="H13387" s="69">
        <v>-0.53</v>
      </c>
    </row>
    <row r="13388" spans="6:8">
      <c r="F13388" s="68" t="s">
        <v>421</v>
      </c>
      <c r="G13388" s="67" t="s">
        <v>586</v>
      </c>
      <c r="H13388" s="69">
        <v>2.4473734047679052</v>
      </c>
    </row>
    <row r="13389" spans="6:8">
      <c r="F13389" s="68" t="s">
        <v>304</v>
      </c>
      <c r="G13389" s="67" t="s">
        <v>586</v>
      </c>
      <c r="H13389" s="69">
        <v>18.4375</v>
      </c>
    </row>
    <row r="13390" spans="6:8">
      <c r="F13390" s="68" t="s">
        <v>254</v>
      </c>
      <c r="G13390" s="67" t="s">
        <v>586</v>
      </c>
      <c r="H13390" s="69">
        <v>0.67</v>
      </c>
    </row>
    <row r="13391" spans="6:8">
      <c r="F13391" s="68" t="s">
        <v>129</v>
      </c>
      <c r="G13391" s="67" t="s">
        <v>586</v>
      </c>
      <c r="H13391" s="69">
        <v>-0.55000000000000004</v>
      </c>
    </row>
    <row r="13392" spans="6:8">
      <c r="F13392" s="68" t="s">
        <v>128</v>
      </c>
      <c r="G13392" s="67" t="s">
        <v>586</v>
      </c>
      <c r="H13392" s="69">
        <v>-0.7</v>
      </c>
    </row>
    <row r="13393" spans="6:8">
      <c r="F13393" s="68" t="s">
        <v>315</v>
      </c>
      <c r="G13393" s="67" t="s">
        <v>586</v>
      </c>
      <c r="H13393" s="69">
        <v>-0.13</v>
      </c>
    </row>
    <row r="13394" spans="6:8">
      <c r="F13394" s="68" t="s">
        <v>253</v>
      </c>
      <c r="G13394" s="67" t="s">
        <v>586</v>
      </c>
      <c r="H13394" s="69">
        <v>0.5</v>
      </c>
    </row>
    <row r="13395" spans="6:8">
      <c r="F13395" s="68" t="s">
        <v>127</v>
      </c>
      <c r="G13395" s="67" t="s">
        <v>586</v>
      </c>
      <c r="H13395" s="69">
        <v>-0.4</v>
      </c>
    </row>
    <row r="13396" spans="6:8">
      <c r="F13396" s="68" t="s">
        <v>126</v>
      </c>
      <c r="G13396" s="67" t="s">
        <v>586</v>
      </c>
      <c r="H13396" s="69">
        <v>-0.77</v>
      </c>
    </row>
    <row r="13397" spans="6:8">
      <c r="F13397" s="68" t="s">
        <v>125</v>
      </c>
      <c r="G13397" s="67" t="s">
        <v>586</v>
      </c>
      <c r="H13397" s="69">
        <v>-0.42</v>
      </c>
    </row>
    <row r="13398" spans="6:8">
      <c r="F13398" s="68" t="s">
        <v>314</v>
      </c>
      <c r="G13398" s="67" t="s">
        <v>586</v>
      </c>
      <c r="H13398" s="69">
        <v>-0.32</v>
      </c>
    </row>
    <row r="13399" spans="6:8">
      <c r="F13399" s="68" t="s">
        <v>252</v>
      </c>
      <c r="G13399" s="67" t="s">
        <v>586</v>
      </c>
      <c r="H13399" s="69">
        <v>0.38</v>
      </c>
    </row>
    <row r="13400" spans="6:8">
      <c r="F13400" s="68" t="s">
        <v>124</v>
      </c>
      <c r="G13400" s="67" t="s">
        <v>586</v>
      </c>
      <c r="H13400" s="69">
        <v>-0.45</v>
      </c>
    </row>
    <row r="13401" spans="6:8">
      <c r="F13401" s="68" t="s">
        <v>123</v>
      </c>
      <c r="G13401" s="67" t="s">
        <v>586</v>
      </c>
      <c r="H13401" s="69">
        <v>-0.77</v>
      </c>
    </row>
    <row r="13402" spans="6:8">
      <c r="F13402" s="68" t="s">
        <v>122</v>
      </c>
      <c r="G13402" s="67" t="s">
        <v>586</v>
      </c>
      <c r="H13402" s="69">
        <v>-0.55000000000000004</v>
      </c>
    </row>
    <row r="13403" spans="6:8">
      <c r="F13403" s="68" t="s">
        <v>420</v>
      </c>
      <c r="G13403" s="67" t="s">
        <v>586</v>
      </c>
      <c r="H13403" s="69">
        <v>3.4465671397565512</v>
      </c>
    </row>
    <row r="13404" spans="6:8">
      <c r="F13404" s="68" t="s">
        <v>251</v>
      </c>
      <c r="G13404" s="67" t="s">
        <v>586</v>
      </c>
      <c r="H13404" s="69">
        <v>0.27</v>
      </c>
    </row>
    <row r="13405" spans="6:8">
      <c r="F13405" s="68" t="s">
        <v>121</v>
      </c>
      <c r="G13405" s="67" t="s">
        <v>586</v>
      </c>
      <c r="H13405" s="69">
        <v>-0.55000000000000004</v>
      </c>
    </row>
    <row r="13406" spans="6:8">
      <c r="F13406" s="68" t="s">
        <v>120</v>
      </c>
      <c r="G13406" s="67" t="s">
        <v>586</v>
      </c>
      <c r="H13406" s="69">
        <v>-0.65</v>
      </c>
    </row>
    <row r="13407" spans="6:8">
      <c r="F13407" s="68" t="s">
        <v>119</v>
      </c>
      <c r="G13407" s="67" t="s">
        <v>586</v>
      </c>
      <c r="H13407" s="69">
        <v>-0.6</v>
      </c>
    </row>
    <row r="13408" spans="6:8">
      <c r="F13408" s="68" t="s">
        <v>119</v>
      </c>
      <c r="G13408" s="67" t="s">
        <v>587</v>
      </c>
      <c r="H13408" s="69">
        <v>-0.6</v>
      </c>
    </row>
    <row r="13409" spans="6:8">
      <c r="F13409" s="68" t="s">
        <v>120</v>
      </c>
      <c r="G13409" s="67" t="s">
        <v>587</v>
      </c>
      <c r="H13409" s="69">
        <v>-0.65</v>
      </c>
    </row>
    <row r="13410" spans="6:8">
      <c r="F13410" s="68" t="s">
        <v>121</v>
      </c>
      <c r="G13410" s="67" t="s">
        <v>587</v>
      </c>
      <c r="H13410" s="69">
        <v>-0.55000000000000004</v>
      </c>
    </row>
    <row r="13411" spans="6:8">
      <c r="F13411" s="68" t="s">
        <v>251</v>
      </c>
      <c r="G13411" s="67" t="s">
        <v>587</v>
      </c>
      <c r="H13411" s="69">
        <v>0.27</v>
      </c>
    </row>
    <row r="13412" spans="6:8">
      <c r="F13412" s="68" t="s">
        <v>420</v>
      </c>
      <c r="G13412" s="67" t="s">
        <v>587</v>
      </c>
      <c r="H13412" s="69">
        <v>3.443849365550955</v>
      </c>
    </row>
    <row r="13413" spans="6:8">
      <c r="F13413" s="68" t="s">
        <v>122</v>
      </c>
      <c r="G13413" s="67" t="s">
        <v>587</v>
      </c>
      <c r="H13413" s="69">
        <v>-0.55000000000000004</v>
      </c>
    </row>
    <row r="13414" spans="6:8">
      <c r="F13414" s="68" t="s">
        <v>123</v>
      </c>
      <c r="G13414" s="67" t="s">
        <v>587</v>
      </c>
      <c r="H13414" s="69">
        <v>-0.77</v>
      </c>
    </row>
    <row r="13415" spans="6:8">
      <c r="F13415" s="68" t="s">
        <v>124</v>
      </c>
      <c r="G13415" s="67" t="s">
        <v>587</v>
      </c>
      <c r="H13415" s="69">
        <v>-0.45</v>
      </c>
    </row>
    <row r="13416" spans="6:8">
      <c r="F13416" s="68" t="s">
        <v>252</v>
      </c>
      <c r="G13416" s="67" t="s">
        <v>587</v>
      </c>
      <c r="H13416" s="69">
        <v>0.38</v>
      </c>
    </row>
    <row r="13417" spans="6:8">
      <c r="F13417" s="68" t="s">
        <v>314</v>
      </c>
      <c r="G13417" s="67" t="s">
        <v>587</v>
      </c>
      <c r="H13417" s="69">
        <v>-0.32</v>
      </c>
    </row>
    <row r="13418" spans="6:8">
      <c r="F13418" s="68" t="s">
        <v>125</v>
      </c>
      <c r="G13418" s="67" t="s">
        <v>587</v>
      </c>
      <c r="H13418" s="69">
        <v>-0.42</v>
      </c>
    </row>
    <row r="13419" spans="6:8">
      <c r="F13419" s="68" t="s">
        <v>126</v>
      </c>
      <c r="G13419" s="67" t="s">
        <v>587</v>
      </c>
      <c r="H13419" s="69">
        <v>-0.77</v>
      </c>
    </row>
    <row r="13420" spans="6:8">
      <c r="F13420" s="68" t="s">
        <v>127</v>
      </c>
      <c r="G13420" s="67" t="s">
        <v>587</v>
      </c>
      <c r="H13420" s="69">
        <v>-0.4</v>
      </c>
    </row>
    <row r="13421" spans="6:8">
      <c r="F13421" s="68" t="s">
        <v>253</v>
      </c>
      <c r="G13421" s="67" t="s">
        <v>587</v>
      </c>
      <c r="H13421" s="69">
        <v>0.5</v>
      </c>
    </row>
    <row r="13422" spans="6:8">
      <c r="F13422" s="68" t="s">
        <v>315</v>
      </c>
      <c r="G13422" s="67" t="s">
        <v>587</v>
      </c>
      <c r="H13422" s="69">
        <v>-0.13</v>
      </c>
    </row>
    <row r="13423" spans="6:8">
      <c r="F13423" s="68" t="s">
        <v>128</v>
      </c>
      <c r="G13423" s="67" t="s">
        <v>587</v>
      </c>
      <c r="H13423" s="69">
        <v>-0.7</v>
      </c>
    </row>
    <row r="13424" spans="6:8">
      <c r="F13424" s="68" t="s">
        <v>129</v>
      </c>
      <c r="G13424" s="67" t="s">
        <v>587</v>
      </c>
      <c r="H13424" s="69">
        <v>-0.55000000000000004</v>
      </c>
    </row>
    <row r="13425" spans="6:8">
      <c r="F13425" s="68" t="s">
        <v>254</v>
      </c>
      <c r="G13425" s="67" t="s">
        <v>587</v>
      </c>
      <c r="H13425" s="69">
        <v>0.67</v>
      </c>
    </row>
    <row r="13426" spans="6:8">
      <c r="F13426" s="68" t="s">
        <v>304</v>
      </c>
      <c r="G13426" s="67" t="s">
        <v>587</v>
      </c>
      <c r="H13426" s="69">
        <v>18.4375</v>
      </c>
    </row>
    <row r="13427" spans="6:8">
      <c r="F13427" s="68" t="s">
        <v>421</v>
      </c>
      <c r="G13427" s="67" t="s">
        <v>587</v>
      </c>
      <c r="H13427" s="69">
        <v>2.4407205983123959</v>
      </c>
    </row>
    <row r="13428" spans="6:8">
      <c r="F13428" s="68" t="s">
        <v>567</v>
      </c>
      <c r="G13428" s="67" t="s">
        <v>587</v>
      </c>
      <c r="H13428" s="69">
        <v>-0.53</v>
      </c>
    </row>
    <row r="13429" spans="6:8">
      <c r="F13429" s="68" t="s">
        <v>130</v>
      </c>
      <c r="G13429" s="67" t="s">
        <v>587</v>
      </c>
      <c r="H13429" s="69">
        <v>-0.8</v>
      </c>
    </row>
    <row r="13430" spans="6:8">
      <c r="F13430" s="68" t="s">
        <v>131</v>
      </c>
      <c r="G13430" s="67" t="s">
        <v>587</v>
      </c>
      <c r="H13430" s="69">
        <v>-0.53</v>
      </c>
    </row>
    <row r="13431" spans="6:8">
      <c r="F13431" s="68" t="s">
        <v>255</v>
      </c>
      <c r="G13431" s="67" t="s">
        <v>587</v>
      </c>
      <c r="H13431" s="69">
        <v>0.84</v>
      </c>
    </row>
    <row r="13432" spans="6:8">
      <c r="F13432" s="68" t="s">
        <v>303</v>
      </c>
      <c r="G13432" s="67" t="s">
        <v>587</v>
      </c>
      <c r="H13432" s="69">
        <v>19.53125</v>
      </c>
    </row>
    <row r="13433" spans="6:8">
      <c r="F13433" s="68" t="s">
        <v>422</v>
      </c>
      <c r="G13433" s="67" t="s">
        <v>587</v>
      </c>
      <c r="H13433" s="69">
        <v>2.4468718114596388</v>
      </c>
    </row>
    <row r="13434" spans="6:8">
      <c r="F13434" s="68" t="s">
        <v>568</v>
      </c>
      <c r="G13434" s="67" t="s">
        <v>587</v>
      </c>
      <c r="H13434" s="69">
        <v>-0.22</v>
      </c>
    </row>
    <row r="13435" spans="6:8">
      <c r="F13435" s="68" t="s">
        <v>132</v>
      </c>
      <c r="G13435" s="67" t="s">
        <v>587</v>
      </c>
      <c r="H13435" s="69">
        <v>-0.7</v>
      </c>
    </row>
    <row r="13436" spans="6:8">
      <c r="F13436" s="68" t="s">
        <v>133</v>
      </c>
      <c r="G13436" s="67" t="s">
        <v>587</v>
      </c>
      <c r="H13436" s="69">
        <v>-0.61</v>
      </c>
    </row>
    <row r="13437" spans="6:8">
      <c r="F13437" s="68" t="s">
        <v>256</v>
      </c>
      <c r="G13437" s="67" t="s">
        <v>587</v>
      </c>
      <c r="H13437" s="69">
        <v>0.98</v>
      </c>
    </row>
    <row r="13438" spans="6:8">
      <c r="F13438" s="68" t="s">
        <v>423</v>
      </c>
      <c r="G13438" s="67" t="s">
        <v>587</v>
      </c>
      <c r="H13438" s="69">
        <v>2.5017554109085349</v>
      </c>
    </row>
    <row r="13439" spans="6:8">
      <c r="F13439" s="68" t="s">
        <v>569</v>
      </c>
      <c r="G13439" s="67" t="s">
        <v>587</v>
      </c>
      <c r="H13439" s="69">
        <v>-0.08</v>
      </c>
    </row>
    <row r="13440" spans="6:8">
      <c r="F13440" s="68" t="s">
        <v>134</v>
      </c>
      <c r="G13440" s="67" t="s">
        <v>587</v>
      </c>
      <c r="H13440" s="69">
        <v>-0.65</v>
      </c>
    </row>
    <row r="13441" spans="6:8">
      <c r="F13441" s="68" t="s">
        <v>135</v>
      </c>
      <c r="G13441" s="67" t="s">
        <v>587</v>
      </c>
      <c r="H13441" s="69">
        <v>-0.68</v>
      </c>
    </row>
    <row r="13442" spans="6:8">
      <c r="F13442" s="68" t="s">
        <v>257</v>
      </c>
      <c r="G13442" s="67" t="s">
        <v>587</v>
      </c>
      <c r="H13442" s="69">
        <v>1.02</v>
      </c>
    </row>
    <row r="13443" spans="6:8">
      <c r="F13443" s="68" t="s">
        <v>258</v>
      </c>
      <c r="G13443" s="67" t="s">
        <v>587</v>
      </c>
      <c r="H13443" s="69">
        <v>0.15</v>
      </c>
    </row>
    <row r="13444" spans="6:8">
      <c r="F13444" s="68" t="s">
        <v>424</v>
      </c>
      <c r="G13444" s="67" t="s">
        <v>587</v>
      </c>
      <c r="H13444" s="69">
        <v>3.2336647271142382</v>
      </c>
    </row>
    <row r="13445" spans="6:8">
      <c r="F13445" s="68" t="s">
        <v>136</v>
      </c>
      <c r="G13445" s="67" t="s">
        <v>587</v>
      </c>
      <c r="H13445" s="69">
        <v>-0.7</v>
      </c>
    </row>
    <row r="13446" spans="6:8">
      <c r="F13446" s="68" t="s">
        <v>137</v>
      </c>
      <c r="G13446" s="67" t="s">
        <v>587</v>
      </c>
      <c r="H13446" s="69">
        <v>-0.6</v>
      </c>
    </row>
    <row r="13447" spans="6:8">
      <c r="F13447" s="68" t="s">
        <v>138</v>
      </c>
      <c r="G13447" s="67" t="s">
        <v>587</v>
      </c>
      <c r="H13447" s="69">
        <v>-0.6</v>
      </c>
    </row>
    <row r="13448" spans="6:8">
      <c r="F13448" s="68" t="s">
        <v>259</v>
      </c>
      <c r="G13448" s="67" t="s">
        <v>587</v>
      </c>
      <c r="H13448" s="69">
        <v>0.17</v>
      </c>
    </row>
    <row r="13449" spans="6:8">
      <c r="F13449" s="68" t="s">
        <v>425</v>
      </c>
      <c r="G13449" s="67" t="s">
        <v>587</v>
      </c>
      <c r="H13449" s="69">
        <v>3.253134086959486</v>
      </c>
    </row>
    <row r="13450" spans="6:8">
      <c r="F13450" s="68" t="s">
        <v>425</v>
      </c>
      <c r="G13450" s="67" t="s">
        <v>588</v>
      </c>
      <c r="H13450" s="69">
        <v>3.2166922535139975</v>
      </c>
    </row>
    <row r="13451" spans="6:8">
      <c r="F13451" s="68" t="s">
        <v>259</v>
      </c>
      <c r="G13451" s="67" t="s">
        <v>588</v>
      </c>
      <c r="H13451" s="69">
        <v>0.17</v>
      </c>
    </row>
    <row r="13452" spans="6:8">
      <c r="F13452" s="68" t="s">
        <v>138</v>
      </c>
      <c r="G13452" s="67" t="s">
        <v>588</v>
      </c>
      <c r="H13452" s="69">
        <v>-0.6</v>
      </c>
    </row>
    <row r="13453" spans="6:8">
      <c r="F13453" s="68" t="s">
        <v>137</v>
      </c>
      <c r="G13453" s="67" t="s">
        <v>588</v>
      </c>
      <c r="H13453" s="69">
        <v>-0.6</v>
      </c>
    </row>
    <row r="13454" spans="6:8">
      <c r="F13454" s="68" t="s">
        <v>136</v>
      </c>
      <c r="G13454" s="67" t="s">
        <v>588</v>
      </c>
      <c r="H13454" s="69">
        <v>-0.7</v>
      </c>
    </row>
    <row r="13455" spans="6:8">
      <c r="F13455" s="68" t="s">
        <v>424</v>
      </c>
      <c r="G13455" s="67" t="s">
        <v>588</v>
      </c>
      <c r="H13455" s="69">
        <v>3.1981924324563593</v>
      </c>
    </row>
    <row r="13456" spans="6:8">
      <c r="F13456" s="68" t="s">
        <v>258</v>
      </c>
      <c r="G13456" s="67" t="s">
        <v>588</v>
      </c>
      <c r="H13456" s="69">
        <v>0.15</v>
      </c>
    </row>
    <row r="13457" spans="6:8">
      <c r="F13457" s="68" t="s">
        <v>257</v>
      </c>
      <c r="G13457" s="67" t="s">
        <v>588</v>
      </c>
      <c r="H13457" s="69">
        <v>1.02</v>
      </c>
    </row>
    <row r="13458" spans="6:8">
      <c r="F13458" s="68" t="s">
        <v>135</v>
      </c>
      <c r="G13458" s="67" t="s">
        <v>588</v>
      </c>
      <c r="H13458" s="69">
        <v>-0.68</v>
      </c>
    </row>
    <row r="13459" spans="6:8">
      <c r="F13459" s="68" t="s">
        <v>134</v>
      </c>
      <c r="G13459" s="67" t="s">
        <v>588</v>
      </c>
      <c r="H13459" s="69">
        <v>-0.65</v>
      </c>
    </row>
    <row r="13460" spans="6:8">
      <c r="F13460" s="68" t="s">
        <v>569</v>
      </c>
      <c r="G13460" s="67" t="s">
        <v>588</v>
      </c>
      <c r="H13460" s="69">
        <v>-0.08</v>
      </c>
    </row>
    <row r="13461" spans="6:8">
      <c r="F13461" s="68" t="s">
        <v>423</v>
      </c>
      <c r="G13461" s="67" t="s">
        <v>588</v>
      </c>
      <c r="H13461" s="69">
        <v>2.4631743835215492</v>
      </c>
    </row>
    <row r="13462" spans="6:8">
      <c r="F13462" s="68" t="s">
        <v>256</v>
      </c>
      <c r="G13462" s="67" t="s">
        <v>588</v>
      </c>
      <c r="H13462" s="69">
        <v>0.98</v>
      </c>
    </row>
    <row r="13463" spans="6:8">
      <c r="F13463" s="68" t="s">
        <v>133</v>
      </c>
      <c r="G13463" s="67" t="s">
        <v>588</v>
      </c>
      <c r="H13463" s="69">
        <v>-0.61</v>
      </c>
    </row>
    <row r="13464" spans="6:8">
      <c r="F13464" s="68" t="s">
        <v>132</v>
      </c>
      <c r="G13464" s="67" t="s">
        <v>588</v>
      </c>
      <c r="H13464" s="69">
        <v>-0.7</v>
      </c>
    </row>
    <row r="13465" spans="6:8">
      <c r="F13465" s="68" t="s">
        <v>568</v>
      </c>
      <c r="G13465" s="67" t="s">
        <v>588</v>
      </c>
      <c r="H13465" s="69">
        <v>-0.22</v>
      </c>
    </row>
    <row r="13466" spans="6:8">
      <c r="F13466" s="68" t="s">
        <v>422</v>
      </c>
      <c r="G13466" s="67" t="s">
        <v>588</v>
      </c>
      <c r="H13466" s="69">
        <v>2.4515554907091008</v>
      </c>
    </row>
    <row r="13467" spans="6:8">
      <c r="F13467" s="68" t="s">
        <v>303</v>
      </c>
      <c r="G13467" s="67" t="s">
        <v>588</v>
      </c>
      <c r="H13467" s="69">
        <v>19.395833333333332</v>
      </c>
    </row>
    <row r="13468" spans="6:8">
      <c r="F13468" s="68" t="s">
        <v>255</v>
      </c>
      <c r="G13468" s="67" t="s">
        <v>588</v>
      </c>
      <c r="H13468" s="69">
        <v>0.84</v>
      </c>
    </row>
    <row r="13469" spans="6:8">
      <c r="F13469" s="68" t="s">
        <v>131</v>
      </c>
      <c r="G13469" s="67" t="s">
        <v>588</v>
      </c>
      <c r="H13469" s="69">
        <v>-0.53</v>
      </c>
    </row>
    <row r="13470" spans="6:8">
      <c r="F13470" s="68" t="s">
        <v>130</v>
      </c>
      <c r="G13470" s="67" t="s">
        <v>588</v>
      </c>
      <c r="H13470" s="69">
        <v>-0.8</v>
      </c>
    </row>
    <row r="13471" spans="6:8">
      <c r="F13471" s="68" t="s">
        <v>567</v>
      </c>
      <c r="G13471" s="67" t="s">
        <v>588</v>
      </c>
      <c r="H13471" s="69">
        <v>-0.53</v>
      </c>
    </row>
    <row r="13472" spans="6:8">
      <c r="F13472" s="68" t="s">
        <v>421</v>
      </c>
      <c r="G13472" s="67" t="s">
        <v>588</v>
      </c>
      <c r="H13472" s="69">
        <v>2.4458276156482217</v>
      </c>
    </row>
    <row r="13473" spans="6:8">
      <c r="F13473" s="68" t="s">
        <v>304</v>
      </c>
      <c r="G13473" s="67" t="s">
        <v>588</v>
      </c>
      <c r="H13473" s="69">
        <v>18.34375</v>
      </c>
    </row>
    <row r="13474" spans="6:8">
      <c r="F13474" s="68" t="s">
        <v>254</v>
      </c>
      <c r="G13474" s="67" t="s">
        <v>588</v>
      </c>
      <c r="H13474" s="69">
        <v>0.67</v>
      </c>
    </row>
    <row r="13475" spans="6:8">
      <c r="F13475" s="68" t="s">
        <v>129</v>
      </c>
      <c r="G13475" s="67" t="s">
        <v>588</v>
      </c>
      <c r="H13475" s="69">
        <v>-0.55000000000000004</v>
      </c>
    </row>
    <row r="13476" spans="6:8">
      <c r="F13476" s="68" t="s">
        <v>128</v>
      </c>
      <c r="G13476" s="67" t="s">
        <v>588</v>
      </c>
      <c r="H13476" s="69">
        <v>-0.7</v>
      </c>
    </row>
    <row r="13477" spans="6:8">
      <c r="F13477" s="68" t="s">
        <v>315</v>
      </c>
      <c r="G13477" s="67" t="s">
        <v>588</v>
      </c>
      <c r="H13477" s="69">
        <v>-0.13</v>
      </c>
    </row>
    <row r="13478" spans="6:8">
      <c r="F13478" s="68" t="s">
        <v>253</v>
      </c>
      <c r="G13478" s="67" t="s">
        <v>588</v>
      </c>
      <c r="H13478" s="69">
        <v>0.5</v>
      </c>
    </row>
    <row r="13479" spans="6:8">
      <c r="F13479" s="68" t="s">
        <v>127</v>
      </c>
      <c r="G13479" s="67" t="s">
        <v>588</v>
      </c>
      <c r="H13479" s="69">
        <v>-0.4</v>
      </c>
    </row>
    <row r="13480" spans="6:8">
      <c r="F13480" s="68" t="s">
        <v>126</v>
      </c>
      <c r="G13480" s="67" t="s">
        <v>588</v>
      </c>
      <c r="H13480" s="69">
        <v>-0.77</v>
      </c>
    </row>
    <row r="13481" spans="6:8">
      <c r="F13481" s="68" t="s">
        <v>125</v>
      </c>
      <c r="G13481" s="67" t="s">
        <v>588</v>
      </c>
      <c r="H13481" s="69">
        <v>-0.42</v>
      </c>
    </row>
    <row r="13482" spans="6:8">
      <c r="F13482" s="68" t="s">
        <v>314</v>
      </c>
      <c r="G13482" s="67" t="s">
        <v>588</v>
      </c>
      <c r="H13482" s="69">
        <v>-0.32</v>
      </c>
    </row>
    <row r="13483" spans="6:8">
      <c r="F13483" s="68" t="s">
        <v>252</v>
      </c>
      <c r="G13483" s="67" t="s">
        <v>588</v>
      </c>
      <c r="H13483" s="69">
        <v>0.38</v>
      </c>
    </row>
    <row r="13484" spans="6:8">
      <c r="F13484" s="68" t="s">
        <v>124</v>
      </c>
      <c r="G13484" s="67" t="s">
        <v>588</v>
      </c>
      <c r="H13484" s="69">
        <v>-0.45</v>
      </c>
    </row>
    <row r="13485" spans="6:8">
      <c r="F13485" s="68" t="s">
        <v>123</v>
      </c>
      <c r="G13485" s="67" t="s">
        <v>588</v>
      </c>
      <c r="H13485" s="69">
        <v>-0.77</v>
      </c>
    </row>
    <row r="13486" spans="6:8">
      <c r="F13486" s="68" t="s">
        <v>122</v>
      </c>
      <c r="G13486" s="67" t="s">
        <v>588</v>
      </c>
      <c r="H13486" s="69">
        <v>-0.55000000000000004</v>
      </c>
    </row>
    <row r="13487" spans="6:8">
      <c r="F13487" s="68" t="s">
        <v>420</v>
      </c>
      <c r="G13487" s="67" t="s">
        <v>588</v>
      </c>
      <c r="H13487" s="69">
        <v>3.4085893370598086</v>
      </c>
    </row>
    <row r="13488" spans="6:8">
      <c r="F13488" s="68" t="s">
        <v>251</v>
      </c>
      <c r="G13488" s="67" t="s">
        <v>588</v>
      </c>
      <c r="H13488" s="69">
        <v>0.27</v>
      </c>
    </row>
    <row r="13489" spans="6:8">
      <c r="F13489" s="68" t="s">
        <v>121</v>
      </c>
      <c r="G13489" s="67" t="s">
        <v>588</v>
      </c>
      <c r="H13489" s="69">
        <v>-0.55000000000000004</v>
      </c>
    </row>
    <row r="13490" spans="6:8">
      <c r="F13490" s="68" t="s">
        <v>120</v>
      </c>
      <c r="G13490" s="67" t="s">
        <v>588</v>
      </c>
      <c r="H13490" s="69">
        <v>-0.65</v>
      </c>
    </row>
    <row r="13491" spans="6:8">
      <c r="F13491" s="68" t="s">
        <v>119</v>
      </c>
      <c r="G13491" s="67" t="s">
        <v>588</v>
      </c>
      <c r="H13491" s="69">
        <v>-0.6</v>
      </c>
    </row>
    <row r="13492" spans="6:8">
      <c r="F13492" s="68" t="s">
        <v>119</v>
      </c>
      <c r="G13492" s="67" t="s">
        <v>589</v>
      </c>
      <c r="H13492" s="69">
        <v>-0.6</v>
      </c>
    </row>
    <row r="13493" spans="6:8">
      <c r="F13493" s="68" t="s">
        <v>120</v>
      </c>
      <c r="G13493" s="67" t="s">
        <v>589</v>
      </c>
      <c r="H13493" s="69">
        <v>-0.65</v>
      </c>
    </row>
    <row r="13494" spans="6:8">
      <c r="F13494" s="68" t="s">
        <v>121</v>
      </c>
      <c r="G13494" s="67" t="s">
        <v>589</v>
      </c>
      <c r="H13494" s="69">
        <v>-0.55000000000000004</v>
      </c>
    </row>
    <row r="13495" spans="6:8">
      <c r="F13495" s="68" t="s">
        <v>251</v>
      </c>
      <c r="G13495" s="67" t="s">
        <v>589</v>
      </c>
      <c r="H13495" s="69">
        <v>0.27</v>
      </c>
    </row>
    <row r="13496" spans="6:8">
      <c r="F13496" s="68" t="s">
        <v>420</v>
      </c>
      <c r="G13496" s="67" t="s">
        <v>589</v>
      </c>
      <c r="H13496" s="69">
        <v>3.3484387597519927</v>
      </c>
    </row>
    <row r="13497" spans="6:8">
      <c r="F13497" s="68" t="s">
        <v>122</v>
      </c>
      <c r="G13497" s="67" t="s">
        <v>589</v>
      </c>
      <c r="H13497" s="69">
        <v>-0.55000000000000004</v>
      </c>
    </row>
    <row r="13498" spans="6:8">
      <c r="F13498" s="68" t="s">
        <v>123</v>
      </c>
      <c r="G13498" s="67" t="s">
        <v>589</v>
      </c>
      <c r="H13498" s="69">
        <v>-0.77</v>
      </c>
    </row>
    <row r="13499" spans="6:8">
      <c r="F13499" s="68" t="s">
        <v>124</v>
      </c>
      <c r="G13499" s="67" t="s">
        <v>589</v>
      </c>
      <c r="H13499" s="69">
        <v>-0.45</v>
      </c>
    </row>
    <row r="13500" spans="6:8">
      <c r="F13500" s="68" t="s">
        <v>252</v>
      </c>
      <c r="G13500" s="67" t="s">
        <v>589</v>
      </c>
      <c r="H13500" s="69">
        <v>0.38</v>
      </c>
    </row>
    <row r="13501" spans="6:8">
      <c r="F13501" s="68" t="s">
        <v>314</v>
      </c>
      <c r="G13501" s="67" t="s">
        <v>589</v>
      </c>
      <c r="H13501" s="69">
        <v>-0.32</v>
      </c>
    </row>
    <row r="13502" spans="6:8">
      <c r="F13502" s="68" t="s">
        <v>125</v>
      </c>
      <c r="G13502" s="67" t="s">
        <v>589</v>
      </c>
      <c r="H13502" s="69">
        <v>-0.42</v>
      </c>
    </row>
    <row r="13503" spans="6:8">
      <c r="F13503" s="68" t="s">
        <v>126</v>
      </c>
      <c r="G13503" s="67" t="s">
        <v>589</v>
      </c>
      <c r="H13503" s="69">
        <v>-0.77</v>
      </c>
    </row>
    <row r="13504" spans="6:8">
      <c r="F13504" s="68" t="s">
        <v>127</v>
      </c>
      <c r="G13504" s="67" t="s">
        <v>589</v>
      </c>
      <c r="H13504" s="69">
        <v>-0.4</v>
      </c>
    </row>
    <row r="13505" spans="6:8">
      <c r="F13505" s="68" t="s">
        <v>253</v>
      </c>
      <c r="G13505" s="67" t="s">
        <v>589</v>
      </c>
      <c r="H13505" s="69">
        <v>0.5</v>
      </c>
    </row>
    <row r="13506" spans="6:8">
      <c r="F13506" s="68" t="s">
        <v>315</v>
      </c>
      <c r="G13506" s="67" t="s">
        <v>589</v>
      </c>
      <c r="H13506" s="69">
        <v>-0.13</v>
      </c>
    </row>
    <row r="13507" spans="6:8">
      <c r="F13507" s="68" t="s">
        <v>128</v>
      </c>
      <c r="G13507" s="67" t="s">
        <v>589</v>
      </c>
      <c r="H13507" s="69">
        <v>-0.7</v>
      </c>
    </row>
    <row r="13508" spans="6:8">
      <c r="F13508" s="68" t="s">
        <v>129</v>
      </c>
      <c r="G13508" s="67" t="s">
        <v>589</v>
      </c>
      <c r="H13508" s="69">
        <v>-0.55000000000000004</v>
      </c>
    </row>
    <row r="13509" spans="6:8">
      <c r="F13509" s="68" t="s">
        <v>254</v>
      </c>
      <c r="G13509" s="67" t="s">
        <v>589</v>
      </c>
      <c r="H13509" s="69">
        <v>0.67</v>
      </c>
    </row>
    <row r="13510" spans="6:8">
      <c r="F13510" s="68" t="s">
        <v>304</v>
      </c>
      <c r="G13510" s="67" t="s">
        <v>589</v>
      </c>
      <c r="H13510" s="69">
        <v>18.135416666666668</v>
      </c>
    </row>
    <row r="13511" spans="6:8">
      <c r="F13511" s="68" t="s">
        <v>421</v>
      </c>
      <c r="G13511" s="67" t="s">
        <v>589</v>
      </c>
      <c r="H13511" s="69">
        <v>2.4508686470142926</v>
      </c>
    </row>
    <row r="13512" spans="6:8">
      <c r="F13512" s="68" t="s">
        <v>567</v>
      </c>
      <c r="G13512" s="67" t="s">
        <v>589</v>
      </c>
      <c r="H13512" s="69">
        <v>-0.53</v>
      </c>
    </row>
    <row r="13513" spans="6:8">
      <c r="F13513" s="68" t="s">
        <v>130</v>
      </c>
      <c r="G13513" s="67" t="s">
        <v>589</v>
      </c>
      <c r="H13513" s="69">
        <v>-0.8</v>
      </c>
    </row>
    <row r="13514" spans="6:8">
      <c r="F13514" s="68" t="s">
        <v>131</v>
      </c>
      <c r="G13514" s="67" t="s">
        <v>589</v>
      </c>
      <c r="H13514" s="69">
        <v>-0.53</v>
      </c>
    </row>
    <row r="13515" spans="6:8">
      <c r="F13515" s="68" t="s">
        <v>255</v>
      </c>
      <c r="G13515" s="67" t="s">
        <v>589</v>
      </c>
      <c r="H13515" s="69">
        <v>0.84</v>
      </c>
    </row>
    <row r="13516" spans="6:8">
      <c r="F13516" s="68" t="s">
        <v>303</v>
      </c>
      <c r="G13516" s="67" t="s">
        <v>589</v>
      </c>
      <c r="H13516" s="69">
        <v>19.270833333333332</v>
      </c>
    </row>
    <row r="13517" spans="6:8">
      <c r="F13517" s="68" t="s">
        <v>422</v>
      </c>
      <c r="G13517" s="67" t="s">
        <v>589</v>
      </c>
      <c r="H13517" s="69">
        <v>2.4561770198028299</v>
      </c>
    </row>
    <row r="13518" spans="6:8">
      <c r="F13518" s="68" t="s">
        <v>568</v>
      </c>
      <c r="G13518" s="67" t="s">
        <v>589</v>
      </c>
      <c r="H13518" s="69">
        <v>-0.22</v>
      </c>
    </row>
    <row r="13519" spans="6:8">
      <c r="F13519" s="68" t="s">
        <v>132</v>
      </c>
      <c r="G13519" s="67" t="s">
        <v>589</v>
      </c>
      <c r="H13519" s="69">
        <v>-0.7</v>
      </c>
    </row>
    <row r="13520" spans="6:8">
      <c r="F13520" s="68" t="s">
        <v>133</v>
      </c>
      <c r="G13520" s="67" t="s">
        <v>589</v>
      </c>
      <c r="H13520" s="69">
        <v>-0.61</v>
      </c>
    </row>
    <row r="13521" spans="6:8">
      <c r="F13521" s="68" t="s">
        <v>256</v>
      </c>
      <c r="G13521" s="67" t="s">
        <v>589</v>
      </c>
      <c r="H13521" s="69">
        <v>0.98</v>
      </c>
    </row>
    <row r="13522" spans="6:8">
      <c r="F13522" s="68" t="s">
        <v>423</v>
      </c>
      <c r="G13522" s="67" t="s">
        <v>589</v>
      </c>
      <c r="H13522" s="69">
        <v>2.4176474462510367</v>
      </c>
    </row>
    <row r="13523" spans="6:8">
      <c r="F13523" s="68" t="s">
        <v>569</v>
      </c>
      <c r="G13523" s="67" t="s">
        <v>589</v>
      </c>
      <c r="H13523" s="69">
        <v>-0.08</v>
      </c>
    </row>
    <row r="13524" spans="6:8">
      <c r="F13524" s="68" t="s">
        <v>134</v>
      </c>
      <c r="G13524" s="67" t="s">
        <v>589</v>
      </c>
      <c r="H13524" s="69">
        <v>-0.65</v>
      </c>
    </row>
    <row r="13525" spans="6:8">
      <c r="F13525" s="68" t="s">
        <v>135</v>
      </c>
      <c r="G13525" s="67" t="s">
        <v>589</v>
      </c>
      <c r="H13525" s="69">
        <v>-0.68</v>
      </c>
    </row>
    <row r="13526" spans="6:8">
      <c r="F13526" s="68" t="s">
        <v>257</v>
      </c>
      <c r="G13526" s="67" t="s">
        <v>589</v>
      </c>
      <c r="H13526" s="69">
        <v>1.02</v>
      </c>
    </row>
    <row r="13527" spans="6:8">
      <c r="F13527" s="68" t="s">
        <v>258</v>
      </c>
      <c r="G13527" s="67" t="s">
        <v>589</v>
      </c>
      <c r="H13527" s="69">
        <v>0.15</v>
      </c>
    </row>
    <row r="13528" spans="6:8">
      <c r="F13528" s="68" t="s">
        <v>424</v>
      </c>
      <c r="G13528" s="67" t="s">
        <v>589</v>
      </c>
      <c r="H13528" s="69">
        <v>3.1229315754352172</v>
      </c>
    </row>
    <row r="13529" spans="6:8">
      <c r="F13529" s="68" t="s">
        <v>136</v>
      </c>
      <c r="G13529" s="67" t="s">
        <v>589</v>
      </c>
      <c r="H13529" s="69">
        <v>-0.7</v>
      </c>
    </row>
    <row r="13530" spans="6:8">
      <c r="F13530" s="68" t="s">
        <v>137</v>
      </c>
      <c r="G13530" s="67" t="s">
        <v>589</v>
      </c>
      <c r="H13530" s="69">
        <v>-0.6</v>
      </c>
    </row>
    <row r="13531" spans="6:8">
      <c r="F13531" s="68" t="s">
        <v>138</v>
      </c>
      <c r="G13531" s="67" t="s">
        <v>589</v>
      </c>
      <c r="H13531" s="69">
        <v>-0.6</v>
      </c>
    </row>
    <row r="13532" spans="6:8">
      <c r="F13532" s="68" t="s">
        <v>259</v>
      </c>
      <c r="G13532" s="67" t="s">
        <v>589</v>
      </c>
      <c r="H13532" s="69">
        <v>0.17</v>
      </c>
    </row>
    <row r="13533" spans="6:8">
      <c r="F13533" s="68" t="s">
        <v>425</v>
      </c>
      <c r="G13533" s="67" t="s">
        <v>589</v>
      </c>
      <c r="H13533" s="69">
        <v>3.1390846906356629</v>
      </c>
    </row>
    <row r="13534" spans="6:8">
      <c r="F13534" s="68" t="s">
        <v>425</v>
      </c>
      <c r="G13534" s="67" t="s">
        <v>590</v>
      </c>
      <c r="H13534" s="69">
        <v>3.158481071922159</v>
      </c>
    </row>
    <row r="13535" spans="6:8">
      <c r="F13535" s="68" t="s">
        <v>259</v>
      </c>
      <c r="G13535" s="67" t="s">
        <v>590</v>
      </c>
      <c r="H13535" s="69">
        <v>0.17</v>
      </c>
    </row>
    <row r="13536" spans="6:8">
      <c r="F13536" s="68" t="s">
        <v>138</v>
      </c>
      <c r="G13536" s="67" t="s">
        <v>590</v>
      </c>
      <c r="H13536" s="69">
        <v>-0.6</v>
      </c>
    </row>
    <row r="13537" spans="6:8">
      <c r="F13537" s="68" t="s">
        <v>137</v>
      </c>
      <c r="G13537" s="67" t="s">
        <v>590</v>
      </c>
      <c r="H13537" s="69">
        <v>-0.6</v>
      </c>
    </row>
    <row r="13538" spans="6:8">
      <c r="F13538" s="68" t="s">
        <v>136</v>
      </c>
      <c r="G13538" s="67" t="s">
        <v>590</v>
      </c>
      <c r="H13538" s="69">
        <v>-0.68</v>
      </c>
    </row>
    <row r="13539" spans="6:8">
      <c r="F13539" s="68" t="s">
        <v>424</v>
      </c>
      <c r="G13539" s="67" t="s">
        <v>590</v>
      </c>
      <c r="H13539" s="69">
        <v>3.1431911286569747</v>
      </c>
    </row>
    <row r="13540" spans="6:8">
      <c r="F13540" s="68" t="s">
        <v>258</v>
      </c>
      <c r="G13540" s="67" t="s">
        <v>590</v>
      </c>
      <c r="H13540" s="69">
        <v>0.15</v>
      </c>
    </row>
    <row r="13541" spans="6:8">
      <c r="F13541" s="68" t="s">
        <v>257</v>
      </c>
      <c r="G13541" s="67" t="s">
        <v>590</v>
      </c>
      <c r="H13541" s="69">
        <v>1.02</v>
      </c>
    </row>
    <row r="13542" spans="6:8">
      <c r="F13542" s="68" t="s">
        <v>135</v>
      </c>
      <c r="G13542" s="67" t="s">
        <v>590</v>
      </c>
      <c r="H13542" s="69">
        <v>-0.7</v>
      </c>
    </row>
    <row r="13543" spans="6:8">
      <c r="F13543" s="68" t="s">
        <v>134</v>
      </c>
      <c r="G13543" s="67" t="s">
        <v>590</v>
      </c>
      <c r="H13543" s="69">
        <v>-0.65</v>
      </c>
    </row>
    <row r="13544" spans="6:8">
      <c r="F13544" s="68" t="s">
        <v>569</v>
      </c>
      <c r="G13544" s="67" t="s">
        <v>590</v>
      </c>
      <c r="H13544" s="69">
        <v>-0.06</v>
      </c>
    </row>
    <row r="13545" spans="6:8">
      <c r="F13545" s="68" t="s">
        <v>423</v>
      </c>
      <c r="G13545" s="67" t="s">
        <v>590</v>
      </c>
      <c r="H13545" s="69">
        <v>2.4232153608567231</v>
      </c>
    </row>
    <row r="13546" spans="6:8">
      <c r="F13546" s="68" t="s">
        <v>256</v>
      </c>
      <c r="G13546" s="67" t="s">
        <v>590</v>
      </c>
      <c r="H13546" s="69">
        <v>0.98</v>
      </c>
    </row>
    <row r="13547" spans="6:8">
      <c r="F13547" s="68" t="s">
        <v>133</v>
      </c>
      <c r="G13547" s="67" t="s">
        <v>590</v>
      </c>
      <c r="H13547" s="69">
        <v>-0.61</v>
      </c>
    </row>
    <row r="13548" spans="6:8">
      <c r="F13548" s="68" t="s">
        <v>132</v>
      </c>
      <c r="G13548" s="67" t="s">
        <v>590</v>
      </c>
      <c r="H13548" s="69">
        <v>-0.7</v>
      </c>
    </row>
    <row r="13549" spans="6:8">
      <c r="F13549" s="68" t="s">
        <v>568</v>
      </c>
      <c r="G13549" s="67" t="s">
        <v>590</v>
      </c>
      <c r="H13549" s="69">
        <v>-0.2</v>
      </c>
    </row>
    <row r="13550" spans="6:8">
      <c r="F13550" s="68" t="s">
        <v>422</v>
      </c>
      <c r="G13550" s="67" t="s">
        <v>590</v>
      </c>
      <c r="H13550" s="69">
        <v>2.4150387884962043</v>
      </c>
    </row>
    <row r="13551" spans="6:8">
      <c r="F13551" s="68" t="s">
        <v>303</v>
      </c>
      <c r="G13551" s="67" t="s">
        <v>590</v>
      </c>
      <c r="H13551" s="69">
        <v>19.53125</v>
      </c>
    </row>
    <row r="13552" spans="6:8">
      <c r="F13552" s="68" t="s">
        <v>255</v>
      </c>
      <c r="G13552" s="67" t="s">
        <v>590</v>
      </c>
      <c r="H13552" s="69">
        <v>0.84</v>
      </c>
    </row>
    <row r="13553" spans="6:8">
      <c r="F13553" s="68" t="s">
        <v>131</v>
      </c>
      <c r="G13553" s="67" t="s">
        <v>590</v>
      </c>
      <c r="H13553" s="69">
        <v>-0.53</v>
      </c>
    </row>
    <row r="13554" spans="6:8">
      <c r="F13554" s="68" t="s">
        <v>130</v>
      </c>
      <c r="G13554" s="67" t="s">
        <v>590</v>
      </c>
      <c r="H13554" s="69">
        <v>-0.8</v>
      </c>
    </row>
    <row r="13555" spans="6:8">
      <c r="F13555" s="68" t="s">
        <v>567</v>
      </c>
      <c r="G13555" s="67" t="s">
        <v>590</v>
      </c>
      <c r="H13555" s="69">
        <v>-0.51</v>
      </c>
    </row>
    <row r="13556" spans="6:8">
      <c r="F13556" s="68" t="s">
        <v>421</v>
      </c>
      <c r="G13556" s="67" t="s">
        <v>590</v>
      </c>
      <c r="H13556" s="69">
        <v>2.4093520393249968</v>
      </c>
    </row>
    <row r="13557" spans="6:8">
      <c r="F13557" s="68" t="s">
        <v>304</v>
      </c>
      <c r="G13557" s="67" t="s">
        <v>590</v>
      </c>
      <c r="H13557" s="69">
        <v>18.40625</v>
      </c>
    </row>
    <row r="13558" spans="6:8">
      <c r="F13558" s="68" t="s">
        <v>254</v>
      </c>
      <c r="G13558" s="67" t="s">
        <v>590</v>
      </c>
      <c r="H13558" s="69">
        <v>0.67</v>
      </c>
    </row>
    <row r="13559" spans="6:8">
      <c r="F13559" s="68" t="s">
        <v>129</v>
      </c>
      <c r="G13559" s="67" t="s">
        <v>590</v>
      </c>
      <c r="H13559" s="69">
        <v>-0.55000000000000004</v>
      </c>
    </row>
    <row r="13560" spans="6:8">
      <c r="F13560" s="68" t="s">
        <v>128</v>
      </c>
      <c r="G13560" s="67" t="s">
        <v>590</v>
      </c>
      <c r="H13560" s="69">
        <v>-0.7</v>
      </c>
    </row>
    <row r="13561" spans="6:8">
      <c r="F13561" s="68" t="s">
        <v>315</v>
      </c>
      <c r="G13561" s="67" t="s">
        <v>590</v>
      </c>
      <c r="H13561" s="69">
        <v>-0.11</v>
      </c>
    </row>
    <row r="13562" spans="6:8">
      <c r="F13562" s="68" t="s">
        <v>253</v>
      </c>
      <c r="G13562" s="67" t="s">
        <v>590</v>
      </c>
      <c r="H13562" s="69">
        <v>0.5</v>
      </c>
    </row>
    <row r="13563" spans="6:8">
      <c r="F13563" s="68" t="s">
        <v>127</v>
      </c>
      <c r="G13563" s="67" t="s">
        <v>590</v>
      </c>
      <c r="H13563" s="69">
        <v>-0.4</v>
      </c>
    </row>
    <row r="13564" spans="6:8">
      <c r="F13564" s="68" t="s">
        <v>126</v>
      </c>
      <c r="G13564" s="67" t="s">
        <v>590</v>
      </c>
      <c r="H13564" s="69">
        <v>-0.77</v>
      </c>
    </row>
    <row r="13565" spans="6:8">
      <c r="F13565" s="68" t="s">
        <v>125</v>
      </c>
      <c r="G13565" s="67" t="s">
        <v>590</v>
      </c>
      <c r="H13565" s="69">
        <v>-0.4</v>
      </c>
    </row>
    <row r="13566" spans="6:8">
      <c r="F13566" s="68" t="s">
        <v>314</v>
      </c>
      <c r="G13566" s="67" t="s">
        <v>590</v>
      </c>
      <c r="H13566" s="69">
        <v>-0.3</v>
      </c>
    </row>
    <row r="13567" spans="6:8">
      <c r="F13567" s="68" t="s">
        <v>252</v>
      </c>
      <c r="G13567" s="67" t="s">
        <v>590</v>
      </c>
      <c r="H13567" s="69">
        <v>0.38</v>
      </c>
    </row>
    <row r="13568" spans="6:8">
      <c r="F13568" s="68" t="s">
        <v>124</v>
      </c>
      <c r="G13568" s="67" t="s">
        <v>590</v>
      </c>
      <c r="H13568" s="69">
        <v>-0.45</v>
      </c>
    </row>
    <row r="13569" spans="6:8">
      <c r="F13569" s="68" t="s">
        <v>123</v>
      </c>
      <c r="G13569" s="67" t="s">
        <v>590</v>
      </c>
      <c r="H13569" s="69">
        <v>-0.77</v>
      </c>
    </row>
    <row r="13570" spans="6:8">
      <c r="F13570" s="68" t="s">
        <v>122</v>
      </c>
      <c r="G13570" s="67" t="s">
        <v>590</v>
      </c>
      <c r="H13570" s="69">
        <v>-0.53</v>
      </c>
    </row>
    <row r="13571" spans="6:8">
      <c r="F13571" s="68" t="s">
        <v>420</v>
      </c>
      <c r="G13571" s="67" t="s">
        <v>590</v>
      </c>
      <c r="H13571" s="69">
        <v>3.363487529927367</v>
      </c>
    </row>
    <row r="13572" spans="6:8">
      <c r="F13572" s="68" t="s">
        <v>251</v>
      </c>
      <c r="G13572" s="67" t="s">
        <v>590</v>
      </c>
      <c r="H13572" s="69">
        <v>0.27</v>
      </c>
    </row>
    <row r="13573" spans="6:8">
      <c r="F13573" s="68" t="s">
        <v>121</v>
      </c>
      <c r="G13573" s="67" t="s">
        <v>590</v>
      </c>
      <c r="H13573" s="69">
        <v>-0.55000000000000004</v>
      </c>
    </row>
    <row r="13574" spans="6:8">
      <c r="F13574" s="68" t="s">
        <v>120</v>
      </c>
      <c r="G13574" s="67" t="s">
        <v>590</v>
      </c>
      <c r="H13574" s="69">
        <v>-0.65</v>
      </c>
    </row>
    <row r="13575" spans="6:8">
      <c r="F13575" s="68" t="s">
        <v>119</v>
      </c>
      <c r="G13575" s="67" t="s">
        <v>590</v>
      </c>
      <c r="H13575" s="69">
        <v>-0.57999999999999996</v>
      </c>
    </row>
    <row r="13576" spans="6:8">
      <c r="F13576" s="68" t="s">
        <v>119</v>
      </c>
      <c r="G13576" s="67" t="s">
        <v>591</v>
      </c>
      <c r="H13576" s="69">
        <v>-0.57999999999999996</v>
      </c>
    </row>
    <row r="13577" spans="6:8">
      <c r="F13577" s="68" t="s">
        <v>120</v>
      </c>
      <c r="G13577" s="67" t="s">
        <v>591</v>
      </c>
      <c r="H13577" s="69">
        <v>-0.65</v>
      </c>
    </row>
    <row r="13578" spans="6:8">
      <c r="F13578" s="68" t="s">
        <v>121</v>
      </c>
      <c r="G13578" s="67" t="s">
        <v>591</v>
      </c>
      <c r="H13578" s="69">
        <v>-0.55000000000000004</v>
      </c>
    </row>
    <row r="13579" spans="6:8">
      <c r="F13579" s="68" t="s">
        <v>251</v>
      </c>
      <c r="G13579" s="67" t="s">
        <v>591</v>
      </c>
      <c r="H13579" s="69">
        <v>0.27</v>
      </c>
    </row>
    <row r="13580" spans="6:8">
      <c r="F13580" s="68" t="s">
        <v>420</v>
      </c>
      <c r="G13580" s="67" t="s">
        <v>591</v>
      </c>
      <c r="H13580" s="69">
        <v>3.417461722958981</v>
      </c>
    </row>
    <row r="13581" spans="6:8">
      <c r="F13581" s="68" t="s">
        <v>122</v>
      </c>
      <c r="G13581" s="67" t="s">
        <v>591</v>
      </c>
      <c r="H13581" s="69">
        <v>-0.53</v>
      </c>
    </row>
    <row r="13582" spans="6:8">
      <c r="F13582" s="68" t="s">
        <v>123</v>
      </c>
      <c r="G13582" s="67" t="s">
        <v>591</v>
      </c>
      <c r="H13582" s="69">
        <v>-0.77</v>
      </c>
    </row>
    <row r="13583" spans="6:8">
      <c r="F13583" s="68" t="s">
        <v>124</v>
      </c>
      <c r="G13583" s="67" t="s">
        <v>591</v>
      </c>
      <c r="H13583" s="69">
        <v>-0.45</v>
      </c>
    </row>
    <row r="13584" spans="6:8">
      <c r="F13584" s="68" t="s">
        <v>252</v>
      </c>
      <c r="G13584" s="67" t="s">
        <v>591</v>
      </c>
      <c r="H13584" s="69">
        <v>0.38</v>
      </c>
    </row>
    <row r="13585" spans="6:8">
      <c r="F13585" s="68" t="s">
        <v>314</v>
      </c>
      <c r="G13585" s="67" t="s">
        <v>591</v>
      </c>
      <c r="H13585" s="69">
        <v>-0.3</v>
      </c>
    </row>
    <row r="13586" spans="6:8">
      <c r="F13586" s="68" t="s">
        <v>125</v>
      </c>
      <c r="G13586" s="67" t="s">
        <v>591</v>
      </c>
      <c r="H13586" s="69">
        <v>-0.4</v>
      </c>
    </row>
    <row r="13587" spans="6:8">
      <c r="F13587" s="68" t="s">
        <v>126</v>
      </c>
      <c r="G13587" s="67" t="s">
        <v>591</v>
      </c>
      <c r="H13587" s="69">
        <v>-0.77</v>
      </c>
    </row>
    <row r="13588" spans="6:8">
      <c r="F13588" s="68" t="s">
        <v>127</v>
      </c>
      <c r="G13588" s="67" t="s">
        <v>591</v>
      </c>
      <c r="H13588" s="69">
        <v>-0.4</v>
      </c>
    </row>
    <row r="13589" spans="6:8">
      <c r="F13589" s="68" t="s">
        <v>253</v>
      </c>
      <c r="G13589" s="67" t="s">
        <v>591</v>
      </c>
      <c r="H13589" s="69">
        <v>0.5</v>
      </c>
    </row>
    <row r="13590" spans="6:8">
      <c r="F13590" s="68" t="s">
        <v>315</v>
      </c>
      <c r="G13590" s="67" t="s">
        <v>591</v>
      </c>
      <c r="H13590" s="69">
        <v>-0.11</v>
      </c>
    </row>
    <row r="13591" spans="6:8">
      <c r="F13591" s="68" t="s">
        <v>128</v>
      </c>
      <c r="G13591" s="67" t="s">
        <v>591</v>
      </c>
      <c r="H13591" s="69">
        <v>-0.7</v>
      </c>
    </row>
    <row r="13592" spans="6:8">
      <c r="F13592" s="68" t="s">
        <v>129</v>
      </c>
      <c r="G13592" s="67" t="s">
        <v>591</v>
      </c>
      <c r="H13592" s="69">
        <v>-0.55000000000000004</v>
      </c>
    </row>
    <row r="13593" spans="6:8">
      <c r="F13593" s="68" t="s">
        <v>254</v>
      </c>
      <c r="G13593" s="67" t="s">
        <v>591</v>
      </c>
      <c r="H13593" s="69">
        <v>0.67</v>
      </c>
    </row>
    <row r="13594" spans="6:8">
      <c r="F13594" s="68" t="s">
        <v>304</v>
      </c>
      <c r="G13594" s="67" t="s">
        <v>591</v>
      </c>
      <c r="H13594" s="69">
        <v>18.28125</v>
      </c>
    </row>
    <row r="13595" spans="6:8">
      <c r="F13595" s="68" t="s">
        <v>421</v>
      </c>
      <c r="G13595" s="67" t="s">
        <v>591</v>
      </c>
      <c r="H13595" s="69">
        <v>2.4532843758774181</v>
      </c>
    </row>
    <row r="13596" spans="6:8">
      <c r="F13596" s="68" t="s">
        <v>567</v>
      </c>
      <c r="G13596" s="67" t="s">
        <v>591</v>
      </c>
      <c r="H13596" s="69">
        <v>-0.51</v>
      </c>
    </row>
    <row r="13597" spans="6:8">
      <c r="F13597" s="68" t="s">
        <v>130</v>
      </c>
      <c r="G13597" s="67" t="s">
        <v>591</v>
      </c>
      <c r="H13597" s="69">
        <v>-0.8</v>
      </c>
    </row>
    <row r="13598" spans="6:8">
      <c r="F13598" s="68" t="s">
        <v>131</v>
      </c>
      <c r="G13598" s="67" t="s">
        <v>591</v>
      </c>
      <c r="H13598" s="69">
        <v>-0.53</v>
      </c>
    </row>
    <row r="13599" spans="6:8">
      <c r="F13599" s="68" t="s">
        <v>255</v>
      </c>
      <c r="G13599" s="67" t="s">
        <v>591</v>
      </c>
      <c r="H13599" s="69">
        <v>0.84</v>
      </c>
    </row>
    <row r="13600" spans="6:8">
      <c r="F13600" s="68" t="s">
        <v>303</v>
      </c>
      <c r="G13600" s="67" t="s">
        <v>591</v>
      </c>
      <c r="H13600" s="69">
        <v>19.458333333333332</v>
      </c>
    </row>
    <row r="13601" spans="6:8">
      <c r="F13601" s="68" t="s">
        <v>422</v>
      </c>
      <c r="G13601" s="67" t="s">
        <v>591</v>
      </c>
      <c r="H13601" s="69">
        <v>2.459075341362027</v>
      </c>
    </row>
    <row r="13602" spans="6:8">
      <c r="F13602" s="68" t="s">
        <v>568</v>
      </c>
      <c r="G13602" s="67" t="s">
        <v>591</v>
      </c>
      <c r="H13602" s="69">
        <v>-0.2</v>
      </c>
    </row>
    <row r="13603" spans="6:8">
      <c r="F13603" s="68" t="s">
        <v>132</v>
      </c>
      <c r="G13603" s="67" t="s">
        <v>591</v>
      </c>
      <c r="H13603" s="69">
        <v>-0.7</v>
      </c>
    </row>
    <row r="13604" spans="6:8">
      <c r="F13604" s="68" t="s">
        <v>133</v>
      </c>
      <c r="G13604" s="67" t="s">
        <v>591</v>
      </c>
      <c r="H13604" s="69">
        <v>-0.61</v>
      </c>
    </row>
    <row r="13605" spans="6:8">
      <c r="F13605" s="68" t="s">
        <v>256</v>
      </c>
      <c r="G13605" s="67" t="s">
        <v>591</v>
      </c>
      <c r="H13605" s="69">
        <v>0.98</v>
      </c>
    </row>
    <row r="13606" spans="6:8">
      <c r="F13606" s="68" t="s">
        <v>423</v>
      </c>
      <c r="G13606" s="67" t="s">
        <v>591</v>
      </c>
      <c r="H13606" s="69">
        <v>2.475444877713473</v>
      </c>
    </row>
    <row r="13607" spans="6:8">
      <c r="F13607" s="68" t="s">
        <v>569</v>
      </c>
      <c r="G13607" s="67" t="s">
        <v>591</v>
      </c>
      <c r="H13607" s="69">
        <v>-0.06</v>
      </c>
    </row>
    <row r="13608" spans="6:8">
      <c r="F13608" s="68" t="s">
        <v>134</v>
      </c>
      <c r="G13608" s="67" t="s">
        <v>591</v>
      </c>
      <c r="H13608" s="69">
        <v>-0.65</v>
      </c>
    </row>
    <row r="13609" spans="6:8">
      <c r="F13609" s="68" t="s">
        <v>135</v>
      </c>
      <c r="G13609" s="67" t="s">
        <v>591</v>
      </c>
      <c r="H13609" s="69">
        <v>-0.7</v>
      </c>
    </row>
    <row r="13610" spans="6:8">
      <c r="F13610" s="68" t="s">
        <v>257</v>
      </c>
      <c r="G13610" s="67" t="s">
        <v>591</v>
      </c>
      <c r="H13610" s="69">
        <v>1.02</v>
      </c>
    </row>
    <row r="13611" spans="6:8">
      <c r="F13611" s="68" t="s">
        <v>258</v>
      </c>
      <c r="G13611" s="67" t="s">
        <v>591</v>
      </c>
      <c r="H13611" s="69">
        <v>0.15</v>
      </c>
    </row>
    <row r="13612" spans="6:8">
      <c r="F13612" s="68" t="s">
        <v>424</v>
      </c>
      <c r="G13612" s="67" t="s">
        <v>591</v>
      </c>
      <c r="H13612" s="69">
        <v>3.2138732295381445</v>
      </c>
    </row>
    <row r="13613" spans="6:8">
      <c r="F13613" s="68" t="s">
        <v>136</v>
      </c>
      <c r="G13613" s="67" t="s">
        <v>591</v>
      </c>
      <c r="H13613" s="69">
        <v>-0.68</v>
      </c>
    </row>
    <row r="13614" spans="6:8">
      <c r="F13614" s="68" t="s">
        <v>137</v>
      </c>
      <c r="G13614" s="67" t="s">
        <v>591</v>
      </c>
      <c r="H13614" s="69">
        <v>-0.6</v>
      </c>
    </row>
    <row r="13615" spans="6:8">
      <c r="F13615" s="68" t="s">
        <v>138</v>
      </c>
      <c r="G13615" s="67" t="s">
        <v>591</v>
      </c>
      <c r="H13615" s="69">
        <v>-0.6</v>
      </c>
    </row>
    <row r="13616" spans="6:8">
      <c r="F13616" s="68" t="s">
        <v>259</v>
      </c>
      <c r="G13616" s="67" t="s">
        <v>591</v>
      </c>
      <c r="H13616" s="69">
        <v>0.17</v>
      </c>
    </row>
    <row r="13617" spans="6:8">
      <c r="F13617" s="68" t="s">
        <v>425</v>
      </c>
      <c r="G13617" s="67" t="s">
        <v>591</v>
      </c>
      <c r="H13617" s="69">
        <v>3.2260189164119879</v>
      </c>
    </row>
    <row r="13618" spans="6:8">
      <c r="F13618" s="68" t="s">
        <v>425</v>
      </c>
      <c r="G13618" s="67" t="s">
        <v>592</v>
      </c>
      <c r="H13618" s="69">
        <v>3.1961746452751072</v>
      </c>
    </row>
    <row r="13619" spans="6:8">
      <c r="F13619" s="68" t="s">
        <v>259</v>
      </c>
      <c r="G13619" s="67" t="s">
        <v>592</v>
      </c>
      <c r="H13619" s="69">
        <v>0.17</v>
      </c>
    </row>
    <row r="13620" spans="6:8">
      <c r="F13620" s="68" t="s">
        <v>138</v>
      </c>
      <c r="G13620" s="67" t="s">
        <v>592</v>
      </c>
      <c r="H13620" s="69">
        <v>-0.6</v>
      </c>
    </row>
    <row r="13621" spans="6:8">
      <c r="F13621" s="68" t="s">
        <v>137</v>
      </c>
      <c r="G13621" s="67" t="s">
        <v>592</v>
      </c>
      <c r="H13621" s="69">
        <v>-0.6</v>
      </c>
    </row>
    <row r="13622" spans="6:8">
      <c r="F13622" s="68" t="s">
        <v>136</v>
      </c>
      <c r="G13622" s="67" t="s">
        <v>592</v>
      </c>
      <c r="H13622" s="69">
        <v>-0.68</v>
      </c>
    </row>
    <row r="13623" spans="6:8">
      <c r="F13623" s="68" t="s">
        <v>424</v>
      </c>
      <c r="G13623" s="67" t="s">
        <v>592</v>
      </c>
      <c r="H13623" s="69">
        <v>3.1860437878014292</v>
      </c>
    </row>
    <row r="13624" spans="6:8">
      <c r="F13624" s="68" t="s">
        <v>258</v>
      </c>
      <c r="G13624" s="67" t="s">
        <v>592</v>
      </c>
      <c r="H13624" s="69">
        <v>0.15</v>
      </c>
    </row>
    <row r="13625" spans="6:8">
      <c r="F13625" s="68" t="s">
        <v>257</v>
      </c>
      <c r="G13625" s="67" t="s">
        <v>592</v>
      </c>
      <c r="H13625" s="69">
        <v>1.02</v>
      </c>
    </row>
    <row r="13626" spans="6:8">
      <c r="F13626" s="68" t="s">
        <v>135</v>
      </c>
      <c r="G13626" s="67" t="s">
        <v>592</v>
      </c>
      <c r="H13626" s="69">
        <v>-0.7</v>
      </c>
    </row>
    <row r="13627" spans="6:8">
      <c r="F13627" s="68" t="s">
        <v>134</v>
      </c>
      <c r="G13627" s="67" t="s">
        <v>592</v>
      </c>
      <c r="H13627" s="69">
        <v>-0.65</v>
      </c>
    </row>
    <row r="13628" spans="6:8">
      <c r="F13628" s="68" t="s">
        <v>569</v>
      </c>
      <c r="G13628" s="67" t="s">
        <v>592</v>
      </c>
      <c r="H13628" s="69">
        <v>-0.06</v>
      </c>
    </row>
    <row r="13629" spans="6:8">
      <c r="F13629" s="68" t="s">
        <v>423</v>
      </c>
      <c r="G13629" s="67" t="s">
        <v>592</v>
      </c>
      <c r="H13629" s="69">
        <v>2.4423292853157808</v>
      </c>
    </row>
    <row r="13630" spans="6:8">
      <c r="F13630" s="68" t="s">
        <v>256</v>
      </c>
      <c r="G13630" s="67" t="s">
        <v>592</v>
      </c>
      <c r="H13630" s="69">
        <v>0.98</v>
      </c>
    </row>
    <row r="13631" spans="6:8">
      <c r="F13631" s="68" t="s">
        <v>133</v>
      </c>
      <c r="G13631" s="67" t="s">
        <v>592</v>
      </c>
      <c r="H13631" s="69">
        <v>-0.61</v>
      </c>
    </row>
    <row r="13632" spans="6:8">
      <c r="F13632" s="68" t="s">
        <v>132</v>
      </c>
      <c r="G13632" s="67" t="s">
        <v>592</v>
      </c>
      <c r="H13632" s="69">
        <v>-0.7</v>
      </c>
    </row>
    <row r="13633" spans="6:8">
      <c r="F13633" s="68" t="s">
        <v>568</v>
      </c>
      <c r="G13633" s="67" t="s">
        <v>592</v>
      </c>
      <c r="H13633" s="69">
        <v>-0.2</v>
      </c>
    </row>
    <row r="13634" spans="6:8">
      <c r="F13634" s="68" t="s">
        <v>422</v>
      </c>
      <c r="G13634" s="67" t="s">
        <v>592</v>
      </c>
      <c r="H13634" s="69">
        <v>2.4277057980116368</v>
      </c>
    </row>
    <row r="13635" spans="6:8">
      <c r="F13635" s="68" t="s">
        <v>303</v>
      </c>
      <c r="G13635" s="67" t="s">
        <v>592</v>
      </c>
      <c r="H13635" s="69">
        <v>19.427083333333332</v>
      </c>
    </row>
    <row r="13636" spans="6:8">
      <c r="F13636" s="68" t="s">
        <v>255</v>
      </c>
      <c r="G13636" s="67" t="s">
        <v>592</v>
      </c>
      <c r="H13636" s="69">
        <v>0.84</v>
      </c>
    </row>
    <row r="13637" spans="6:8">
      <c r="F13637" s="68" t="s">
        <v>131</v>
      </c>
      <c r="G13637" s="67" t="s">
        <v>592</v>
      </c>
      <c r="H13637" s="69">
        <v>-0.53</v>
      </c>
    </row>
    <row r="13638" spans="6:8">
      <c r="F13638" s="68" t="s">
        <v>130</v>
      </c>
      <c r="G13638" s="67" t="s">
        <v>592</v>
      </c>
      <c r="H13638" s="69">
        <v>-0.8</v>
      </c>
    </row>
    <row r="13639" spans="6:8">
      <c r="F13639" s="68" t="s">
        <v>567</v>
      </c>
      <c r="G13639" s="67" t="s">
        <v>592</v>
      </c>
      <c r="H13639" s="69">
        <v>-0.51</v>
      </c>
    </row>
    <row r="13640" spans="6:8">
      <c r="F13640" s="68" t="s">
        <v>421</v>
      </c>
      <c r="G13640" s="67" t="s">
        <v>592</v>
      </c>
      <c r="H13640" s="69">
        <v>2.4219435063502548</v>
      </c>
    </row>
    <row r="13641" spans="6:8">
      <c r="F13641" s="68" t="s">
        <v>304</v>
      </c>
      <c r="G13641" s="67" t="s">
        <v>592</v>
      </c>
      <c r="H13641" s="69">
        <v>18.239583333333332</v>
      </c>
    </row>
    <row r="13642" spans="6:8">
      <c r="F13642" s="68" t="s">
        <v>254</v>
      </c>
      <c r="G13642" s="67" t="s">
        <v>592</v>
      </c>
      <c r="H13642" s="69">
        <v>0.67</v>
      </c>
    </row>
    <row r="13643" spans="6:8">
      <c r="F13643" s="68" t="s">
        <v>129</v>
      </c>
      <c r="G13643" s="67" t="s">
        <v>592</v>
      </c>
      <c r="H13643" s="69">
        <v>-0.55000000000000004</v>
      </c>
    </row>
    <row r="13644" spans="6:8">
      <c r="F13644" s="68" t="s">
        <v>128</v>
      </c>
      <c r="G13644" s="67" t="s">
        <v>592</v>
      </c>
      <c r="H13644" s="69">
        <v>-0.7</v>
      </c>
    </row>
    <row r="13645" spans="6:8">
      <c r="F13645" s="68" t="s">
        <v>315</v>
      </c>
      <c r="G13645" s="67" t="s">
        <v>592</v>
      </c>
      <c r="H13645" s="69">
        <v>-0.11</v>
      </c>
    </row>
    <row r="13646" spans="6:8">
      <c r="F13646" s="68" t="s">
        <v>253</v>
      </c>
      <c r="G13646" s="67" t="s">
        <v>592</v>
      </c>
      <c r="H13646" s="69">
        <v>0.5</v>
      </c>
    </row>
    <row r="13647" spans="6:8">
      <c r="F13647" s="68" t="s">
        <v>127</v>
      </c>
      <c r="G13647" s="67" t="s">
        <v>592</v>
      </c>
      <c r="H13647" s="69">
        <v>-0.4</v>
      </c>
    </row>
    <row r="13648" spans="6:8">
      <c r="F13648" s="68" t="s">
        <v>126</v>
      </c>
      <c r="G13648" s="67" t="s">
        <v>592</v>
      </c>
      <c r="H13648" s="69">
        <v>-0.77</v>
      </c>
    </row>
    <row r="13649" spans="6:8">
      <c r="F13649" s="68" t="s">
        <v>125</v>
      </c>
      <c r="G13649" s="67" t="s">
        <v>592</v>
      </c>
      <c r="H13649" s="69">
        <v>-0.4</v>
      </c>
    </row>
    <row r="13650" spans="6:8">
      <c r="F13650" s="68" t="s">
        <v>314</v>
      </c>
      <c r="G13650" s="67" t="s">
        <v>592</v>
      </c>
      <c r="H13650" s="69">
        <v>-0.3</v>
      </c>
    </row>
    <row r="13651" spans="6:8">
      <c r="F13651" s="68" t="s">
        <v>252</v>
      </c>
      <c r="G13651" s="67" t="s">
        <v>592</v>
      </c>
      <c r="H13651" s="69">
        <v>0.38</v>
      </c>
    </row>
    <row r="13652" spans="6:8">
      <c r="F13652" s="68" t="s">
        <v>124</v>
      </c>
      <c r="G13652" s="67" t="s">
        <v>592</v>
      </c>
      <c r="H13652" s="69">
        <v>-0.45</v>
      </c>
    </row>
    <row r="13653" spans="6:8">
      <c r="F13653" s="68" t="s">
        <v>123</v>
      </c>
      <c r="G13653" s="67" t="s">
        <v>592</v>
      </c>
      <c r="H13653" s="69">
        <v>-0.77</v>
      </c>
    </row>
    <row r="13654" spans="6:8">
      <c r="F13654" s="68" t="s">
        <v>122</v>
      </c>
      <c r="G13654" s="67" t="s">
        <v>592</v>
      </c>
      <c r="H13654" s="69">
        <v>-0.53</v>
      </c>
    </row>
    <row r="13655" spans="6:8">
      <c r="F13655" s="68" t="s">
        <v>420</v>
      </c>
      <c r="G13655" s="67" t="s">
        <v>592</v>
      </c>
      <c r="H13655" s="69">
        <v>3.3942283451593447</v>
      </c>
    </row>
    <row r="13656" spans="6:8">
      <c r="F13656" s="68" t="s">
        <v>251</v>
      </c>
      <c r="G13656" s="67" t="s">
        <v>592</v>
      </c>
      <c r="H13656" s="69">
        <v>0.27</v>
      </c>
    </row>
    <row r="13657" spans="6:8">
      <c r="F13657" s="68" t="s">
        <v>121</v>
      </c>
      <c r="G13657" s="67" t="s">
        <v>592</v>
      </c>
      <c r="H13657" s="69">
        <v>-0.55000000000000004</v>
      </c>
    </row>
    <row r="13658" spans="6:8">
      <c r="F13658" s="68" t="s">
        <v>120</v>
      </c>
      <c r="G13658" s="67" t="s">
        <v>592</v>
      </c>
      <c r="H13658" s="69">
        <v>-0.65</v>
      </c>
    </row>
    <row r="13659" spans="6:8">
      <c r="F13659" s="68" t="s">
        <v>119</v>
      </c>
      <c r="G13659" s="67" t="s">
        <v>592</v>
      </c>
      <c r="H13659" s="69">
        <v>-0.57999999999999996</v>
      </c>
    </row>
    <row r="13660" spans="6:8">
      <c r="F13660" s="68" t="s">
        <v>119</v>
      </c>
      <c r="G13660" s="67" t="s">
        <v>593</v>
      </c>
      <c r="H13660" s="69">
        <v>-0.57999999999999996</v>
      </c>
    </row>
    <row r="13661" spans="6:8">
      <c r="F13661" s="68" t="s">
        <v>120</v>
      </c>
      <c r="G13661" s="67" t="s">
        <v>593</v>
      </c>
      <c r="H13661" s="69">
        <v>-0.65</v>
      </c>
    </row>
    <row r="13662" spans="6:8">
      <c r="F13662" s="68" t="s">
        <v>121</v>
      </c>
      <c r="G13662" s="67" t="s">
        <v>593</v>
      </c>
      <c r="H13662" s="69">
        <v>-0.55000000000000004</v>
      </c>
    </row>
    <row r="13663" spans="6:8">
      <c r="F13663" s="68" t="s">
        <v>251</v>
      </c>
      <c r="G13663" s="67" t="s">
        <v>593</v>
      </c>
      <c r="H13663" s="69">
        <v>0.27</v>
      </c>
    </row>
    <row r="13664" spans="6:8">
      <c r="F13664" s="68" t="s">
        <v>420</v>
      </c>
      <c r="G13664" s="67" t="s">
        <v>593</v>
      </c>
      <c r="H13664" s="69">
        <v>3.4724096295378981</v>
      </c>
    </row>
    <row r="13665" spans="6:8">
      <c r="F13665" s="68" t="s">
        <v>122</v>
      </c>
      <c r="G13665" s="67" t="s">
        <v>593</v>
      </c>
      <c r="H13665" s="69">
        <v>-0.53</v>
      </c>
    </row>
    <row r="13666" spans="6:8">
      <c r="F13666" s="68" t="s">
        <v>123</v>
      </c>
      <c r="G13666" s="67" t="s">
        <v>593</v>
      </c>
      <c r="H13666" s="69">
        <v>-0.77</v>
      </c>
    </row>
    <row r="13667" spans="6:8">
      <c r="F13667" s="68" t="s">
        <v>124</v>
      </c>
      <c r="G13667" s="67" t="s">
        <v>593</v>
      </c>
      <c r="H13667" s="69">
        <v>-0.45</v>
      </c>
    </row>
    <row r="13668" spans="6:8">
      <c r="F13668" s="68" t="s">
        <v>252</v>
      </c>
      <c r="G13668" s="67" t="s">
        <v>593</v>
      </c>
      <c r="H13668" s="69">
        <v>0.38</v>
      </c>
    </row>
    <row r="13669" spans="6:8">
      <c r="F13669" s="68" t="s">
        <v>314</v>
      </c>
      <c r="G13669" s="67" t="s">
        <v>593</v>
      </c>
      <c r="H13669" s="69">
        <v>-0.3</v>
      </c>
    </row>
    <row r="13670" spans="6:8">
      <c r="F13670" s="68" t="s">
        <v>125</v>
      </c>
      <c r="G13670" s="67" t="s">
        <v>593</v>
      </c>
      <c r="H13670" s="69">
        <v>-0.4</v>
      </c>
    </row>
    <row r="13671" spans="6:8">
      <c r="F13671" s="68" t="s">
        <v>126</v>
      </c>
      <c r="G13671" s="67" t="s">
        <v>593</v>
      </c>
      <c r="H13671" s="69">
        <v>-0.77</v>
      </c>
    </row>
    <row r="13672" spans="6:8">
      <c r="F13672" s="68" t="s">
        <v>127</v>
      </c>
      <c r="G13672" s="67" t="s">
        <v>593</v>
      </c>
      <c r="H13672" s="69">
        <v>-0.4</v>
      </c>
    </row>
    <row r="13673" spans="6:8">
      <c r="F13673" s="68" t="s">
        <v>253</v>
      </c>
      <c r="G13673" s="67" t="s">
        <v>593</v>
      </c>
      <c r="H13673" s="69">
        <v>0.5</v>
      </c>
    </row>
    <row r="13674" spans="6:8">
      <c r="F13674" s="68" t="s">
        <v>315</v>
      </c>
      <c r="G13674" s="67" t="s">
        <v>593</v>
      </c>
      <c r="H13674" s="69">
        <v>-0.11</v>
      </c>
    </row>
    <row r="13675" spans="6:8">
      <c r="F13675" s="68" t="s">
        <v>128</v>
      </c>
      <c r="G13675" s="67" t="s">
        <v>593</v>
      </c>
      <c r="H13675" s="69">
        <v>-0.7</v>
      </c>
    </row>
    <row r="13676" spans="6:8">
      <c r="F13676" s="68" t="s">
        <v>129</v>
      </c>
      <c r="G13676" s="67" t="s">
        <v>593</v>
      </c>
      <c r="H13676" s="69">
        <v>-0.55000000000000004</v>
      </c>
    </row>
    <row r="13677" spans="6:8">
      <c r="F13677" s="68" t="s">
        <v>254</v>
      </c>
      <c r="G13677" s="67" t="s">
        <v>593</v>
      </c>
      <c r="H13677" s="69">
        <v>0.67</v>
      </c>
    </row>
    <row r="13678" spans="6:8">
      <c r="F13678" s="68" t="s">
        <v>304</v>
      </c>
      <c r="G13678" s="67" t="s">
        <v>593</v>
      </c>
      <c r="H13678" s="69">
        <v>18.177083333333332</v>
      </c>
    </row>
    <row r="13679" spans="6:8">
      <c r="F13679" s="68" t="s">
        <v>421</v>
      </c>
      <c r="G13679" s="67" t="s">
        <v>593</v>
      </c>
      <c r="H13679" s="69">
        <v>2.5197578154460221</v>
      </c>
    </row>
    <row r="13680" spans="6:8">
      <c r="F13680" s="68" t="s">
        <v>567</v>
      </c>
      <c r="G13680" s="67" t="s">
        <v>593</v>
      </c>
      <c r="H13680" s="69">
        <v>-0.51</v>
      </c>
    </row>
    <row r="13681" spans="6:8">
      <c r="F13681" s="68" t="s">
        <v>130</v>
      </c>
      <c r="G13681" s="67" t="s">
        <v>593</v>
      </c>
      <c r="H13681" s="69">
        <v>-0.8</v>
      </c>
    </row>
    <row r="13682" spans="6:8">
      <c r="F13682" s="68" t="s">
        <v>131</v>
      </c>
      <c r="G13682" s="67" t="s">
        <v>593</v>
      </c>
      <c r="H13682" s="69">
        <v>-0.53</v>
      </c>
    </row>
    <row r="13683" spans="6:8">
      <c r="F13683" s="68" t="s">
        <v>255</v>
      </c>
      <c r="G13683" s="67" t="s">
        <v>593</v>
      </c>
      <c r="H13683" s="69">
        <v>0.84</v>
      </c>
    </row>
    <row r="13684" spans="6:8">
      <c r="F13684" s="68" t="s">
        <v>303</v>
      </c>
      <c r="G13684" s="67" t="s">
        <v>593</v>
      </c>
      <c r="H13684" s="69">
        <v>19.364583333333332</v>
      </c>
    </row>
    <row r="13685" spans="6:8">
      <c r="F13685" s="68" t="s">
        <v>422</v>
      </c>
      <c r="G13685" s="67" t="s">
        <v>593</v>
      </c>
      <c r="H13685" s="69">
        <v>2.5256136735418266</v>
      </c>
    </row>
    <row r="13686" spans="6:8">
      <c r="F13686" s="68" t="s">
        <v>568</v>
      </c>
      <c r="G13686" s="67" t="s">
        <v>593</v>
      </c>
      <c r="H13686" s="69">
        <v>-0.2</v>
      </c>
    </row>
    <row r="13687" spans="6:8">
      <c r="F13687" s="68" t="s">
        <v>132</v>
      </c>
      <c r="G13687" s="67" t="s">
        <v>593</v>
      </c>
      <c r="H13687" s="69">
        <v>-0.7</v>
      </c>
    </row>
    <row r="13688" spans="6:8">
      <c r="F13688" s="68" t="s">
        <v>133</v>
      </c>
      <c r="G13688" s="67" t="s">
        <v>593</v>
      </c>
      <c r="H13688" s="69">
        <v>-0.61</v>
      </c>
    </row>
    <row r="13689" spans="6:8">
      <c r="F13689" s="68" t="s">
        <v>256</v>
      </c>
      <c r="G13689" s="67" t="s">
        <v>593</v>
      </c>
      <c r="H13689" s="69">
        <v>0.98</v>
      </c>
    </row>
    <row r="13690" spans="6:8">
      <c r="F13690" s="68" t="s">
        <v>423</v>
      </c>
      <c r="G13690" s="67" t="s">
        <v>593</v>
      </c>
      <c r="H13690" s="69">
        <v>2.5534396137405491</v>
      </c>
    </row>
    <row r="13691" spans="6:8">
      <c r="F13691" s="68" t="s">
        <v>569</v>
      </c>
      <c r="G13691" s="67" t="s">
        <v>593</v>
      </c>
      <c r="H13691" s="69">
        <v>-0.06</v>
      </c>
    </row>
    <row r="13692" spans="6:8">
      <c r="F13692" s="68" t="s">
        <v>134</v>
      </c>
      <c r="G13692" s="67" t="s">
        <v>593</v>
      </c>
      <c r="H13692" s="69">
        <v>-0.65</v>
      </c>
    </row>
    <row r="13693" spans="6:8">
      <c r="F13693" s="68" t="s">
        <v>135</v>
      </c>
      <c r="G13693" s="67" t="s">
        <v>593</v>
      </c>
      <c r="H13693" s="69">
        <v>-0.7</v>
      </c>
    </row>
    <row r="13694" spans="6:8">
      <c r="F13694" s="68" t="s">
        <v>257</v>
      </c>
      <c r="G13694" s="67" t="s">
        <v>593</v>
      </c>
      <c r="H13694" s="69">
        <v>1.02</v>
      </c>
    </row>
    <row r="13695" spans="6:8">
      <c r="F13695" s="68" t="s">
        <v>258</v>
      </c>
      <c r="G13695" s="67" t="s">
        <v>593</v>
      </c>
      <c r="H13695" s="69">
        <v>0.15</v>
      </c>
    </row>
    <row r="13696" spans="6:8">
      <c r="F13696" s="68" t="s">
        <v>424</v>
      </c>
      <c r="G13696" s="67" t="s">
        <v>593</v>
      </c>
      <c r="H13696" s="69">
        <v>3.2672026042913416</v>
      </c>
    </row>
    <row r="13697" spans="6:8">
      <c r="F13697" s="68" t="s">
        <v>136</v>
      </c>
      <c r="G13697" s="67" t="s">
        <v>593</v>
      </c>
      <c r="H13697" s="69">
        <v>-0.68</v>
      </c>
    </row>
    <row r="13698" spans="6:8">
      <c r="F13698" s="68" t="s">
        <v>137</v>
      </c>
      <c r="G13698" s="67" t="s">
        <v>593</v>
      </c>
      <c r="H13698" s="69">
        <v>-0.6</v>
      </c>
    </row>
    <row r="13699" spans="6:8">
      <c r="F13699" s="68" t="s">
        <v>138</v>
      </c>
      <c r="G13699" s="67" t="s">
        <v>593</v>
      </c>
      <c r="H13699" s="69">
        <v>-0.6</v>
      </c>
    </row>
    <row r="13700" spans="6:8">
      <c r="F13700" s="68" t="s">
        <v>259</v>
      </c>
      <c r="G13700" s="67" t="s">
        <v>593</v>
      </c>
      <c r="H13700" s="69">
        <v>0.17</v>
      </c>
    </row>
    <row r="13701" spans="6:8">
      <c r="F13701" s="68" t="s">
        <v>425</v>
      </c>
      <c r="G13701" s="67" t="s">
        <v>593</v>
      </c>
      <c r="H13701" s="69">
        <v>3.2770879438436928</v>
      </c>
    </row>
    <row r="13702" spans="6:8">
      <c r="F13702" s="68" t="s">
        <v>425</v>
      </c>
      <c r="G13702" s="67" t="s">
        <v>594</v>
      </c>
      <c r="H13702" s="69">
        <v>3.2867255443198129</v>
      </c>
    </row>
    <row r="13703" spans="6:8">
      <c r="F13703" s="68" t="s">
        <v>259</v>
      </c>
      <c r="G13703" s="67" t="s">
        <v>594</v>
      </c>
      <c r="H13703" s="69">
        <v>0.17</v>
      </c>
    </row>
    <row r="13704" spans="6:8">
      <c r="F13704" s="68" t="s">
        <v>138</v>
      </c>
      <c r="G13704" s="67" t="s">
        <v>594</v>
      </c>
      <c r="H13704" s="69">
        <v>-0.6</v>
      </c>
    </row>
    <row r="13705" spans="6:8">
      <c r="F13705" s="68" t="s">
        <v>137</v>
      </c>
      <c r="G13705" s="67" t="s">
        <v>594</v>
      </c>
      <c r="H13705" s="69">
        <v>-0.6</v>
      </c>
    </row>
    <row r="13706" spans="6:8">
      <c r="F13706" s="68" t="s">
        <v>136</v>
      </c>
      <c r="G13706" s="67" t="s">
        <v>594</v>
      </c>
      <c r="H13706" s="69">
        <v>-0.68</v>
      </c>
    </row>
    <row r="13707" spans="6:8">
      <c r="F13707" s="68" t="s">
        <v>424</v>
      </c>
      <c r="G13707" s="67" t="s">
        <v>594</v>
      </c>
      <c r="H13707" s="69">
        <v>3.277748561554672</v>
      </c>
    </row>
    <row r="13708" spans="6:8">
      <c r="F13708" s="68" t="s">
        <v>258</v>
      </c>
      <c r="G13708" s="67" t="s">
        <v>594</v>
      </c>
      <c r="H13708" s="69">
        <v>0.15</v>
      </c>
    </row>
    <row r="13709" spans="6:8">
      <c r="F13709" s="68" t="s">
        <v>257</v>
      </c>
      <c r="G13709" s="67" t="s">
        <v>594</v>
      </c>
      <c r="H13709" s="69">
        <v>1.02</v>
      </c>
    </row>
    <row r="13710" spans="6:8">
      <c r="F13710" s="68" t="s">
        <v>135</v>
      </c>
      <c r="G13710" s="67" t="s">
        <v>594</v>
      </c>
      <c r="H13710" s="69">
        <v>-0.7</v>
      </c>
    </row>
    <row r="13711" spans="6:8">
      <c r="F13711" s="68" t="s">
        <v>134</v>
      </c>
      <c r="G13711" s="67" t="s">
        <v>594</v>
      </c>
      <c r="H13711" s="69">
        <v>-0.65</v>
      </c>
    </row>
    <row r="13712" spans="6:8">
      <c r="F13712" s="68" t="s">
        <v>569</v>
      </c>
      <c r="G13712" s="67" t="s">
        <v>594</v>
      </c>
      <c r="H13712" s="69">
        <v>-0.06</v>
      </c>
    </row>
    <row r="13713" spans="6:8">
      <c r="F13713" s="68" t="s">
        <v>423</v>
      </c>
      <c r="G13713" s="67" t="s">
        <v>594</v>
      </c>
      <c r="H13713" s="69">
        <v>2.5600619440858452</v>
      </c>
    </row>
    <row r="13714" spans="6:8">
      <c r="F13714" s="68" t="s">
        <v>256</v>
      </c>
      <c r="G13714" s="67" t="s">
        <v>594</v>
      </c>
      <c r="H13714" s="69">
        <v>0.98</v>
      </c>
    </row>
    <row r="13715" spans="6:8">
      <c r="F13715" s="68" t="s">
        <v>133</v>
      </c>
      <c r="G13715" s="67" t="s">
        <v>594</v>
      </c>
      <c r="H13715" s="69">
        <v>-0.61</v>
      </c>
    </row>
    <row r="13716" spans="6:8">
      <c r="F13716" s="68" t="s">
        <v>132</v>
      </c>
      <c r="G13716" s="67" t="s">
        <v>594</v>
      </c>
      <c r="H13716" s="69">
        <v>-0.7</v>
      </c>
    </row>
    <row r="13717" spans="6:8">
      <c r="F13717" s="68" t="s">
        <v>568</v>
      </c>
      <c r="G13717" s="67" t="s">
        <v>594</v>
      </c>
      <c r="H13717" s="69">
        <v>-0.2</v>
      </c>
    </row>
    <row r="13718" spans="6:8">
      <c r="F13718" s="68" t="s">
        <v>422</v>
      </c>
      <c r="G13718" s="67" t="s">
        <v>594</v>
      </c>
      <c r="H13718" s="69">
        <v>2.5313458047456994</v>
      </c>
    </row>
    <row r="13719" spans="6:8">
      <c r="F13719" s="68" t="s">
        <v>303</v>
      </c>
      <c r="G13719" s="67" t="s">
        <v>594</v>
      </c>
      <c r="H13719" s="69">
        <v>19.208333333333332</v>
      </c>
    </row>
    <row r="13720" spans="6:8">
      <c r="F13720" s="68" t="s">
        <v>255</v>
      </c>
      <c r="G13720" s="67" t="s">
        <v>594</v>
      </c>
      <c r="H13720" s="69">
        <v>0.84</v>
      </c>
    </row>
    <row r="13721" spans="6:8">
      <c r="F13721" s="68" t="s">
        <v>131</v>
      </c>
      <c r="G13721" s="67" t="s">
        <v>594</v>
      </c>
      <c r="H13721" s="69">
        <v>-0.53</v>
      </c>
    </row>
    <row r="13722" spans="6:8">
      <c r="F13722" s="68" t="s">
        <v>130</v>
      </c>
      <c r="G13722" s="67" t="s">
        <v>594</v>
      </c>
      <c r="H13722" s="69">
        <v>-0.8</v>
      </c>
    </row>
    <row r="13723" spans="6:8">
      <c r="F13723" s="68" t="s">
        <v>567</v>
      </c>
      <c r="G13723" s="67" t="s">
        <v>594</v>
      </c>
      <c r="H13723" s="69">
        <v>-0.51</v>
      </c>
    </row>
    <row r="13724" spans="6:8">
      <c r="F13724" s="68" t="s">
        <v>421</v>
      </c>
      <c r="G13724" s="67" t="s">
        <v>594</v>
      </c>
      <c r="H13724" s="69">
        <v>2.525320234298567</v>
      </c>
    </row>
    <row r="13725" spans="6:8">
      <c r="F13725" s="68" t="s">
        <v>304</v>
      </c>
      <c r="G13725" s="67" t="s">
        <v>594</v>
      </c>
      <c r="H13725" s="69">
        <v>18.020833333333332</v>
      </c>
    </row>
    <row r="13726" spans="6:8">
      <c r="F13726" s="68" t="s">
        <v>254</v>
      </c>
      <c r="G13726" s="67" t="s">
        <v>594</v>
      </c>
      <c r="H13726" s="69">
        <v>0.67</v>
      </c>
    </row>
    <row r="13727" spans="6:8">
      <c r="F13727" s="68" t="s">
        <v>129</v>
      </c>
      <c r="G13727" s="67" t="s">
        <v>594</v>
      </c>
      <c r="H13727" s="69">
        <v>-0.55000000000000004</v>
      </c>
    </row>
    <row r="13728" spans="6:8">
      <c r="F13728" s="68" t="s">
        <v>128</v>
      </c>
      <c r="G13728" s="67" t="s">
        <v>594</v>
      </c>
      <c r="H13728" s="69">
        <v>-0.7</v>
      </c>
    </row>
    <row r="13729" spans="6:8">
      <c r="F13729" s="68" t="s">
        <v>315</v>
      </c>
      <c r="G13729" s="67" t="s">
        <v>594</v>
      </c>
      <c r="H13729" s="69">
        <v>-0.11</v>
      </c>
    </row>
    <row r="13730" spans="6:8">
      <c r="F13730" s="68" t="s">
        <v>253</v>
      </c>
      <c r="G13730" s="67" t="s">
        <v>594</v>
      </c>
      <c r="H13730" s="69">
        <v>0.5</v>
      </c>
    </row>
    <row r="13731" spans="6:8">
      <c r="F13731" s="68" t="s">
        <v>127</v>
      </c>
      <c r="G13731" s="67" t="s">
        <v>594</v>
      </c>
      <c r="H13731" s="69">
        <v>-0.4</v>
      </c>
    </row>
    <row r="13732" spans="6:8">
      <c r="F13732" s="68" t="s">
        <v>126</v>
      </c>
      <c r="G13732" s="67" t="s">
        <v>594</v>
      </c>
      <c r="H13732" s="69">
        <v>-0.77</v>
      </c>
    </row>
    <row r="13733" spans="6:8">
      <c r="F13733" s="68" t="s">
        <v>125</v>
      </c>
      <c r="G13733" s="67" t="s">
        <v>594</v>
      </c>
      <c r="H13733" s="69">
        <v>-0.4</v>
      </c>
    </row>
    <row r="13734" spans="6:8">
      <c r="F13734" s="68" t="s">
        <v>314</v>
      </c>
      <c r="G13734" s="67" t="s">
        <v>594</v>
      </c>
      <c r="H13734" s="69">
        <v>-0.3</v>
      </c>
    </row>
    <row r="13735" spans="6:8">
      <c r="F13735" s="68" t="s">
        <v>252</v>
      </c>
      <c r="G13735" s="67" t="s">
        <v>594</v>
      </c>
      <c r="H13735" s="69">
        <v>0.38</v>
      </c>
    </row>
    <row r="13736" spans="6:8">
      <c r="F13736" s="68" t="s">
        <v>124</v>
      </c>
      <c r="G13736" s="67" t="s">
        <v>594</v>
      </c>
      <c r="H13736" s="69">
        <v>-0.45</v>
      </c>
    </row>
    <row r="13737" spans="6:8">
      <c r="F13737" s="68" t="s">
        <v>123</v>
      </c>
      <c r="G13737" s="67" t="s">
        <v>594</v>
      </c>
      <c r="H13737" s="69">
        <v>-0.77</v>
      </c>
    </row>
    <row r="13738" spans="6:8">
      <c r="F13738" s="68" t="s">
        <v>122</v>
      </c>
      <c r="G13738" s="67" t="s">
        <v>594</v>
      </c>
      <c r="H13738" s="69">
        <v>-0.53</v>
      </c>
    </row>
    <row r="13739" spans="6:8">
      <c r="F13739" s="68" t="s">
        <v>420</v>
      </c>
      <c r="G13739" s="67" t="s">
        <v>594</v>
      </c>
      <c r="H13739" s="69">
        <v>3.4858096996422727</v>
      </c>
    </row>
    <row r="13740" spans="6:8">
      <c r="F13740" s="68" t="s">
        <v>251</v>
      </c>
      <c r="G13740" s="67" t="s">
        <v>594</v>
      </c>
      <c r="H13740" s="69">
        <v>0.27</v>
      </c>
    </row>
    <row r="13741" spans="6:8">
      <c r="F13741" s="68" t="s">
        <v>121</v>
      </c>
      <c r="G13741" s="67" t="s">
        <v>594</v>
      </c>
      <c r="H13741" s="69">
        <v>-0.55000000000000004</v>
      </c>
    </row>
    <row r="13742" spans="6:8">
      <c r="F13742" s="68" t="s">
        <v>120</v>
      </c>
      <c r="G13742" s="67" t="s">
        <v>594</v>
      </c>
      <c r="H13742" s="69">
        <v>-0.65</v>
      </c>
    </row>
    <row r="13743" spans="6:8">
      <c r="F13743" s="68" t="s">
        <v>119</v>
      </c>
      <c r="G13743" s="67" t="s">
        <v>594</v>
      </c>
      <c r="H13743" s="69">
        <v>-0.57999999999999996</v>
      </c>
    </row>
    <row r="13744" spans="6:8">
      <c r="F13744" s="68" t="s">
        <v>119</v>
      </c>
      <c r="G13744" s="67" t="s">
        <v>595</v>
      </c>
      <c r="H13744" s="69">
        <v>-0.57999999999999996</v>
      </c>
    </row>
    <row r="13745" spans="6:8">
      <c r="F13745" s="68" t="s">
        <v>120</v>
      </c>
      <c r="G13745" s="67" t="s">
        <v>595</v>
      </c>
      <c r="H13745" s="69">
        <v>-0.65</v>
      </c>
    </row>
    <row r="13746" spans="6:8">
      <c r="F13746" s="68" t="s">
        <v>121</v>
      </c>
      <c r="G13746" s="67" t="s">
        <v>595</v>
      </c>
      <c r="H13746" s="69">
        <v>-0.55000000000000004</v>
      </c>
    </row>
    <row r="13747" spans="6:8">
      <c r="F13747" s="68" t="s">
        <v>251</v>
      </c>
      <c r="G13747" s="67" t="s">
        <v>595</v>
      </c>
      <c r="H13747" s="69">
        <v>0.27</v>
      </c>
    </row>
    <row r="13748" spans="6:8">
      <c r="F13748" s="68" t="s">
        <v>420</v>
      </c>
      <c r="G13748" s="67" t="s">
        <v>595</v>
      </c>
      <c r="H13748" s="69">
        <v>3.4523536219729145</v>
      </c>
    </row>
    <row r="13749" spans="6:8">
      <c r="F13749" s="68" t="s">
        <v>122</v>
      </c>
      <c r="G13749" s="67" t="s">
        <v>595</v>
      </c>
      <c r="H13749" s="69">
        <v>-0.53</v>
      </c>
    </row>
    <row r="13750" spans="6:8">
      <c r="F13750" s="68" t="s">
        <v>123</v>
      </c>
      <c r="G13750" s="67" t="s">
        <v>595</v>
      </c>
      <c r="H13750" s="69">
        <v>-0.77</v>
      </c>
    </row>
    <row r="13751" spans="6:8">
      <c r="F13751" s="68" t="s">
        <v>124</v>
      </c>
      <c r="G13751" s="67" t="s">
        <v>595</v>
      </c>
      <c r="H13751" s="69">
        <v>-0.45</v>
      </c>
    </row>
    <row r="13752" spans="6:8">
      <c r="F13752" s="68" t="s">
        <v>252</v>
      </c>
      <c r="G13752" s="67" t="s">
        <v>595</v>
      </c>
      <c r="H13752" s="69">
        <v>0.38</v>
      </c>
    </row>
    <row r="13753" spans="6:8">
      <c r="F13753" s="68" t="s">
        <v>314</v>
      </c>
      <c r="G13753" s="67" t="s">
        <v>595</v>
      </c>
      <c r="H13753" s="69">
        <v>-0.3</v>
      </c>
    </row>
    <row r="13754" spans="6:8">
      <c r="F13754" s="68" t="s">
        <v>125</v>
      </c>
      <c r="G13754" s="67" t="s">
        <v>595</v>
      </c>
      <c r="H13754" s="69">
        <v>-0.4</v>
      </c>
    </row>
    <row r="13755" spans="6:8">
      <c r="F13755" s="68" t="s">
        <v>126</v>
      </c>
      <c r="G13755" s="67" t="s">
        <v>595</v>
      </c>
      <c r="H13755" s="69">
        <v>-0.77</v>
      </c>
    </row>
    <row r="13756" spans="6:8">
      <c r="F13756" s="68" t="s">
        <v>127</v>
      </c>
      <c r="G13756" s="67" t="s">
        <v>595</v>
      </c>
      <c r="H13756" s="69">
        <v>-0.4</v>
      </c>
    </row>
    <row r="13757" spans="6:8">
      <c r="F13757" s="68" t="s">
        <v>253</v>
      </c>
      <c r="G13757" s="67" t="s">
        <v>595</v>
      </c>
      <c r="H13757" s="69">
        <v>0.5</v>
      </c>
    </row>
    <row r="13758" spans="6:8">
      <c r="F13758" s="68" t="s">
        <v>315</v>
      </c>
      <c r="G13758" s="67" t="s">
        <v>595</v>
      </c>
      <c r="H13758" s="69">
        <v>-0.11</v>
      </c>
    </row>
    <row r="13759" spans="6:8">
      <c r="F13759" s="68" t="s">
        <v>128</v>
      </c>
      <c r="G13759" s="67" t="s">
        <v>595</v>
      </c>
      <c r="H13759" s="69">
        <v>-0.7</v>
      </c>
    </row>
    <row r="13760" spans="6:8">
      <c r="F13760" s="68" t="s">
        <v>129</v>
      </c>
      <c r="G13760" s="67" t="s">
        <v>595</v>
      </c>
      <c r="H13760" s="69">
        <v>-0.55000000000000004</v>
      </c>
    </row>
    <row r="13761" spans="6:8">
      <c r="F13761" s="68" t="s">
        <v>254</v>
      </c>
      <c r="G13761" s="67" t="s">
        <v>595</v>
      </c>
      <c r="H13761" s="69">
        <v>0.67</v>
      </c>
    </row>
    <row r="13762" spans="6:8">
      <c r="F13762" s="68" t="s">
        <v>304</v>
      </c>
      <c r="G13762" s="67" t="s">
        <v>595</v>
      </c>
      <c r="H13762" s="69">
        <v>18.0625</v>
      </c>
    </row>
    <row r="13763" spans="6:8">
      <c r="F13763" s="68" t="s">
        <v>421</v>
      </c>
      <c r="G13763" s="67" t="s">
        <v>595</v>
      </c>
      <c r="H13763" s="69">
        <v>2.4744963533485542</v>
      </c>
    </row>
    <row r="13764" spans="6:8">
      <c r="F13764" s="68" t="s">
        <v>567</v>
      </c>
      <c r="G13764" s="67" t="s">
        <v>595</v>
      </c>
      <c r="H13764" s="69">
        <v>-0.51</v>
      </c>
    </row>
    <row r="13765" spans="6:8">
      <c r="F13765" s="68" t="s">
        <v>130</v>
      </c>
      <c r="G13765" s="67" t="s">
        <v>595</v>
      </c>
      <c r="H13765" s="69">
        <v>-0.8</v>
      </c>
    </row>
    <row r="13766" spans="6:8">
      <c r="F13766" s="68" t="s">
        <v>131</v>
      </c>
      <c r="G13766" s="67" t="s">
        <v>595</v>
      </c>
      <c r="H13766" s="69">
        <v>-0.53</v>
      </c>
    </row>
    <row r="13767" spans="6:8">
      <c r="F13767" s="68" t="s">
        <v>255</v>
      </c>
      <c r="G13767" s="67" t="s">
        <v>595</v>
      </c>
      <c r="H13767" s="69">
        <v>0.84</v>
      </c>
    </row>
    <row r="13768" spans="6:8">
      <c r="F13768" s="68" t="s">
        <v>303</v>
      </c>
      <c r="G13768" s="67" t="s">
        <v>595</v>
      </c>
      <c r="H13768" s="69">
        <v>19.1875</v>
      </c>
    </row>
    <row r="13769" spans="6:8">
      <c r="F13769" s="68" t="s">
        <v>422</v>
      </c>
      <c r="G13769" s="67" t="s">
        <v>595</v>
      </c>
      <c r="H13769" s="69">
        <v>2.4805620132140049</v>
      </c>
    </row>
    <row r="13770" spans="6:8">
      <c r="F13770" s="68" t="s">
        <v>568</v>
      </c>
      <c r="G13770" s="67" t="s">
        <v>595</v>
      </c>
      <c r="H13770" s="69">
        <v>-0.2</v>
      </c>
    </row>
    <row r="13771" spans="6:8">
      <c r="F13771" s="68" t="s">
        <v>132</v>
      </c>
      <c r="G13771" s="67" t="s">
        <v>595</v>
      </c>
      <c r="H13771" s="69">
        <v>-0.7</v>
      </c>
    </row>
    <row r="13772" spans="6:8">
      <c r="F13772" s="68" t="s">
        <v>133</v>
      </c>
      <c r="G13772" s="67" t="s">
        <v>595</v>
      </c>
      <c r="H13772" s="69">
        <v>-0.61</v>
      </c>
    </row>
    <row r="13773" spans="6:8">
      <c r="F13773" s="68" t="s">
        <v>256</v>
      </c>
      <c r="G13773" s="67" t="s">
        <v>595</v>
      </c>
      <c r="H13773" s="69">
        <v>0.98</v>
      </c>
    </row>
    <row r="13774" spans="6:8">
      <c r="F13774" s="68" t="s">
        <v>423</v>
      </c>
      <c r="G13774" s="67" t="s">
        <v>595</v>
      </c>
      <c r="H13774" s="69">
        <v>2.5076493993287929</v>
      </c>
    </row>
    <row r="13775" spans="6:8">
      <c r="F13775" s="68" t="s">
        <v>569</v>
      </c>
      <c r="G13775" s="67" t="s">
        <v>595</v>
      </c>
      <c r="H13775" s="69">
        <v>-0.06</v>
      </c>
    </row>
    <row r="13776" spans="6:8">
      <c r="F13776" s="68" t="s">
        <v>134</v>
      </c>
      <c r="G13776" s="67" t="s">
        <v>595</v>
      </c>
      <c r="H13776" s="69">
        <v>-0.65</v>
      </c>
    </row>
    <row r="13777" spans="6:8">
      <c r="F13777" s="68" t="s">
        <v>135</v>
      </c>
      <c r="G13777" s="67" t="s">
        <v>595</v>
      </c>
      <c r="H13777" s="69">
        <v>-0.7</v>
      </c>
    </row>
    <row r="13778" spans="6:8">
      <c r="F13778" s="68" t="s">
        <v>257</v>
      </c>
      <c r="G13778" s="67" t="s">
        <v>595</v>
      </c>
      <c r="H13778" s="69">
        <v>1.02</v>
      </c>
    </row>
    <row r="13779" spans="6:8">
      <c r="F13779" s="68" t="s">
        <v>258</v>
      </c>
      <c r="G13779" s="67" t="s">
        <v>595</v>
      </c>
      <c r="H13779" s="69">
        <v>0.15</v>
      </c>
    </row>
    <row r="13780" spans="6:8">
      <c r="F13780" s="68" t="s">
        <v>424</v>
      </c>
      <c r="G13780" s="67" t="s">
        <v>595</v>
      </c>
      <c r="H13780" s="69">
        <v>3.2381696350298306</v>
      </c>
    </row>
    <row r="13781" spans="6:8">
      <c r="F13781" s="68" t="s">
        <v>136</v>
      </c>
      <c r="G13781" s="67" t="s">
        <v>595</v>
      </c>
      <c r="H13781" s="69">
        <v>-0.68</v>
      </c>
    </row>
    <row r="13782" spans="6:8">
      <c r="F13782" s="68" t="s">
        <v>137</v>
      </c>
      <c r="G13782" s="67" t="s">
        <v>595</v>
      </c>
      <c r="H13782" s="69">
        <v>-0.6</v>
      </c>
    </row>
    <row r="13783" spans="6:8">
      <c r="F13783" s="68" t="s">
        <v>138</v>
      </c>
      <c r="G13783" s="67" t="s">
        <v>595</v>
      </c>
      <c r="H13783" s="69">
        <v>-0.6</v>
      </c>
    </row>
    <row r="13784" spans="6:8">
      <c r="F13784" s="68" t="s">
        <v>259</v>
      </c>
      <c r="G13784" s="67" t="s">
        <v>595</v>
      </c>
      <c r="H13784" s="69">
        <v>0.17</v>
      </c>
    </row>
    <row r="13785" spans="6:8">
      <c r="F13785" s="68" t="s">
        <v>425</v>
      </c>
      <c r="G13785" s="67" t="s">
        <v>595</v>
      </c>
      <c r="H13785" s="69">
        <v>3.2469545203426708</v>
      </c>
    </row>
    <row r="13786" spans="6:8">
      <c r="F13786" s="68" t="s">
        <v>425</v>
      </c>
      <c r="G13786" s="67" t="s">
        <v>596</v>
      </c>
      <c r="H13786" s="69">
        <v>3.2470593429116068</v>
      </c>
    </row>
    <row r="13787" spans="6:8">
      <c r="F13787" s="68" t="s">
        <v>259</v>
      </c>
      <c r="G13787" s="67" t="s">
        <v>596</v>
      </c>
      <c r="H13787" s="69">
        <v>0.17</v>
      </c>
    </row>
    <row r="13788" spans="6:8">
      <c r="F13788" s="68" t="s">
        <v>138</v>
      </c>
      <c r="G13788" s="67" t="s">
        <v>596</v>
      </c>
      <c r="H13788" s="69">
        <v>-0.6</v>
      </c>
    </row>
    <row r="13789" spans="6:8">
      <c r="F13789" s="68" t="s">
        <v>137</v>
      </c>
      <c r="G13789" s="67" t="s">
        <v>596</v>
      </c>
      <c r="H13789" s="69">
        <v>-0.6</v>
      </c>
    </row>
    <row r="13790" spans="6:8">
      <c r="F13790" s="68" t="s">
        <v>136</v>
      </c>
      <c r="G13790" s="67" t="s">
        <v>596</v>
      </c>
      <c r="H13790" s="69">
        <v>-0.68</v>
      </c>
    </row>
    <row r="13791" spans="6:8">
      <c r="F13791" s="68" t="s">
        <v>424</v>
      </c>
      <c r="G13791" s="67" t="s">
        <v>596</v>
      </c>
      <c r="H13791" s="69">
        <v>3.2408866038442063</v>
      </c>
    </row>
    <row r="13792" spans="6:8">
      <c r="F13792" s="68" t="s">
        <v>258</v>
      </c>
      <c r="G13792" s="67" t="s">
        <v>596</v>
      </c>
      <c r="H13792" s="69">
        <v>0.15</v>
      </c>
    </row>
    <row r="13793" spans="6:8">
      <c r="F13793" s="68" t="s">
        <v>257</v>
      </c>
      <c r="G13793" s="67" t="s">
        <v>596</v>
      </c>
      <c r="H13793" s="69">
        <v>1</v>
      </c>
    </row>
    <row r="13794" spans="6:8">
      <c r="F13794" s="68" t="s">
        <v>135</v>
      </c>
      <c r="G13794" s="67" t="s">
        <v>596</v>
      </c>
      <c r="H13794" s="69">
        <v>-0.7</v>
      </c>
    </row>
    <row r="13795" spans="6:8">
      <c r="F13795" s="68" t="s">
        <v>134</v>
      </c>
      <c r="G13795" s="67" t="s">
        <v>596</v>
      </c>
      <c r="H13795" s="69">
        <v>-0.65</v>
      </c>
    </row>
    <row r="13796" spans="6:8">
      <c r="F13796" s="68" t="s">
        <v>569</v>
      </c>
      <c r="G13796" s="67" t="s">
        <v>596</v>
      </c>
      <c r="H13796" s="69">
        <v>-0.06</v>
      </c>
    </row>
    <row r="13797" spans="6:8">
      <c r="F13797" s="68" t="s">
        <v>423</v>
      </c>
      <c r="G13797" s="67" t="s">
        <v>596</v>
      </c>
      <c r="H13797" s="69">
        <v>2.5144519801083565</v>
      </c>
    </row>
    <row r="13798" spans="6:8">
      <c r="F13798" s="68" t="s">
        <v>256</v>
      </c>
      <c r="G13798" s="67" t="s">
        <v>596</v>
      </c>
      <c r="H13798" s="69">
        <v>0.96</v>
      </c>
    </row>
    <row r="13799" spans="6:8">
      <c r="F13799" s="68" t="s">
        <v>133</v>
      </c>
      <c r="G13799" s="67" t="s">
        <v>596</v>
      </c>
      <c r="H13799" s="69">
        <v>-0.6</v>
      </c>
    </row>
    <row r="13800" spans="6:8">
      <c r="F13800" s="68" t="s">
        <v>132</v>
      </c>
      <c r="G13800" s="67" t="s">
        <v>596</v>
      </c>
      <c r="H13800" s="69">
        <v>-0.7</v>
      </c>
    </row>
    <row r="13801" spans="6:8">
      <c r="F13801" s="68" t="s">
        <v>568</v>
      </c>
      <c r="G13801" s="67" t="s">
        <v>596</v>
      </c>
      <c r="H13801" s="69">
        <v>-0.2</v>
      </c>
    </row>
    <row r="13802" spans="6:8">
      <c r="F13802" s="68" t="s">
        <v>422</v>
      </c>
      <c r="G13802" s="67" t="s">
        <v>596</v>
      </c>
      <c r="H13802" s="69">
        <v>2.4816899021861794</v>
      </c>
    </row>
    <row r="13803" spans="6:8">
      <c r="F13803" s="68" t="s">
        <v>303</v>
      </c>
      <c r="G13803" s="67" t="s">
        <v>596</v>
      </c>
      <c r="H13803" s="69">
        <v>19.104166666666668</v>
      </c>
    </row>
    <row r="13804" spans="6:8">
      <c r="F13804" s="68" t="s">
        <v>255</v>
      </c>
      <c r="G13804" s="67" t="s">
        <v>596</v>
      </c>
      <c r="H13804" s="69">
        <v>0.85</v>
      </c>
    </row>
    <row r="13805" spans="6:8">
      <c r="F13805" s="68" t="s">
        <v>131</v>
      </c>
      <c r="G13805" s="67" t="s">
        <v>596</v>
      </c>
      <c r="H13805" s="69">
        <v>-0.53</v>
      </c>
    </row>
    <row r="13806" spans="6:8">
      <c r="F13806" s="68" t="s">
        <v>130</v>
      </c>
      <c r="G13806" s="67" t="s">
        <v>596</v>
      </c>
      <c r="H13806" s="69">
        <v>-0.8</v>
      </c>
    </row>
    <row r="13807" spans="6:8">
      <c r="F13807" s="68" t="s">
        <v>567</v>
      </c>
      <c r="G13807" s="67" t="s">
        <v>596</v>
      </c>
      <c r="H13807" s="69">
        <v>-0.51</v>
      </c>
    </row>
    <row r="13808" spans="6:8">
      <c r="F13808" s="68" t="s">
        <v>421</v>
      </c>
      <c r="G13808" s="67" t="s">
        <v>596</v>
      </c>
      <c r="H13808" s="69">
        <v>2.4755712335549074</v>
      </c>
    </row>
    <row r="13809" spans="6:8">
      <c r="F13809" s="68" t="s">
        <v>304</v>
      </c>
      <c r="G13809" s="67" t="s">
        <v>596</v>
      </c>
      <c r="H13809" s="69">
        <v>18</v>
      </c>
    </row>
    <row r="13810" spans="6:8">
      <c r="F13810" s="68" t="s">
        <v>254</v>
      </c>
      <c r="G13810" s="67" t="s">
        <v>596</v>
      </c>
      <c r="H13810" s="69">
        <v>0.67</v>
      </c>
    </row>
    <row r="13811" spans="6:8">
      <c r="F13811" s="68" t="s">
        <v>129</v>
      </c>
      <c r="G13811" s="67" t="s">
        <v>596</v>
      </c>
      <c r="H13811" s="69">
        <v>-0.57999999999999996</v>
      </c>
    </row>
    <row r="13812" spans="6:8">
      <c r="F13812" s="68" t="s">
        <v>128</v>
      </c>
      <c r="G13812" s="67" t="s">
        <v>596</v>
      </c>
      <c r="H13812" s="69">
        <v>-0.7</v>
      </c>
    </row>
    <row r="13813" spans="6:8">
      <c r="F13813" s="68" t="s">
        <v>315</v>
      </c>
      <c r="G13813" s="67" t="s">
        <v>596</v>
      </c>
      <c r="H13813" s="69">
        <v>-0.11</v>
      </c>
    </row>
    <row r="13814" spans="6:8">
      <c r="F13814" s="68" t="s">
        <v>253</v>
      </c>
      <c r="G13814" s="67" t="s">
        <v>596</v>
      </c>
      <c r="H13814" s="69">
        <v>0.49</v>
      </c>
    </row>
    <row r="13815" spans="6:8">
      <c r="F13815" s="68" t="s">
        <v>127</v>
      </c>
      <c r="G13815" s="67" t="s">
        <v>596</v>
      </c>
      <c r="H13815" s="69">
        <v>-0.45</v>
      </c>
    </row>
    <row r="13816" spans="6:8">
      <c r="F13816" s="68" t="s">
        <v>126</v>
      </c>
      <c r="G13816" s="67" t="s">
        <v>596</v>
      </c>
      <c r="H13816" s="69">
        <v>-0.77</v>
      </c>
    </row>
    <row r="13817" spans="6:8">
      <c r="F13817" s="68" t="s">
        <v>125</v>
      </c>
      <c r="G13817" s="67" t="s">
        <v>596</v>
      </c>
      <c r="H13817" s="69">
        <v>-0.4</v>
      </c>
    </row>
    <row r="13818" spans="6:8">
      <c r="F13818" s="68" t="s">
        <v>314</v>
      </c>
      <c r="G13818" s="67" t="s">
        <v>596</v>
      </c>
      <c r="H13818" s="69">
        <v>-0.3</v>
      </c>
    </row>
    <row r="13819" spans="6:8">
      <c r="F13819" s="68" t="s">
        <v>252</v>
      </c>
      <c r="G13819" s="67" t="s">
        <v>596</v>
      </c>
      <c r="H13819" s="69">
        <v>0.35</v>
      </c>
    </row>
    <row r="13820" spans="6:8">
      <c r="F13820" s="68" t="s">
        <v>124</v>
      </c>
      <c r="G13820" s="67" t="s">
        <v>596</v>
      </c>
      <c r="H13820" s="69">
        <v>-0.45</v>
      </c>
    </row>
    <row r="13821" spans="6:8">
      <c r="F13821" s="68" t="s">
        <v>123</v>
      </c>
      <c r="G13821" s="67" t="s">
        <v>596</v>
      </c>
      <c r="H13821" s="69">
        <v>-0.77</v>
      </c>
    </row>
    <row r="13822" spans="6:8">
      <c r="F13822" s="68" t="s">
        <v>122</v>
      </c>
      <c r="G13822" s="67" t="s">
        <v>596</v>
      </c>
      <c r="H13822" s="69">
        <v>-0.53</v>
      </c>
    </row>
    <row r="13823" spans="6:8">
      <c r="F13823" s="68" t="s">
        <v>420</v>
      </c>
      <c r="G13823" s="67" t="s">
        <v>596</v>
      </c>
      <c r="H13823" s="69">
        <v>3.4526675488347536</v>
      </c>
    </row>
    <row r="13824" spans="6:8">
      <c r="F13824" s="68" t="s">
        <v>251</v>
      </c>
      <c r="G13824" s="67" t="s">
        <v>596</v>
      </c>
      <c r="H13824" s="69">
        <v>0.25</v>
      </c>
    </row>
    <row r="13825" spans="6:8">
      <c r="F13825" s="68" t="s">
        <v>121</v>
      </c>
      <c r="G13825" s="67" t="s">
        <v>596</v>
      </c>
      <c r="H13825" s="69">
        <v>-0.55000000000000004</v>
      </c>
    </row>
    <row r="13826" spans="6:8">
      <c r="F13826" s="68" t="s">
        <v>120</v>
      </c>
      <c r="G13826" s="67" t="s">
        <v>596</v>
      </c>
      <c r="H13826" s="69">
        <v>-0.65</v>
      </c>
    </row>
    <row r="13827" spans="6:8">
      <c r="F13827" s="68" t="s">
        <v>119</v>
      </c>
      <c r="G13827" s="67" t="s">
        <v>596</v>
      </c>
      <c r="H13827" s="69">
        <v>-0.57999999999999996</v>
      </c>
    </row>
    <row r="13828" spans="6:8">
      <c r="F13828" s="68" t="s">
        <v>119</v>
      </c>
      <c r="G13828" s="67" t="s">
        <v>597</v>
      </c>
      <c r="H13828" s="69">
        <v>-0.57999999999999996</v>
      </c>
    </row>
    <row r="13829" spans="6:8">
      <c r="F13829" s="68" t="s">
        <v>120</v>
      </c>
      <c r="G13829" s="67" t="s">
        <v>597</v>
      </c>
      <c r="H13829" s="69">
        <v>-0.65</v>
      </c>
    </row>
    <row r="13830" spans="6:8">
      <c r="F13830" s="68" t="s">
        <v>121</v>
      </c>
      <c r="G13830" s="67" t="s">
        <v>597</v>
      </c>
      <c r="H13830" s="69">
        <v>-0.55000000000000004</v>
      </c>
    </row>
    <row r="13831" spans="6:8">
      <c r="F13831" s="68" t="s">
        <v>251</v>
      </c>
      <c r="G13831" s="67" t="s">
        <v>597</v>
      </c>
      <c r="H13831" s="69">
        <v>0.25</v>
      </c>
    </row>
    <row r="13832" spans="6:8">
      <c r="F13832" s="68" t="s">
        <v>420</v>
      </c>
      <c r="G13832" s="67" t="s">
        <v>597</v>
      </c>
      <c r="H13832" s="69">
        <v>3.4519694257459932</v>
      </c>
    </row>
    <row r="13833" spans="6:8">
      <c r="F13833" s="68" t="s">
        <v>122</v>
      </c>
      <c r="G13833" s="67" t="s">
        <v>597</v>
      </c>
      <c r="H13833" s="69">
        <v>-0.53</v>
      </c>
    </row>
    <row r="13834" spans="6:8">
      <c r="F13834" s="68" t="s">
        <v>123</v>
      </c>
      <c r="G13834" s="67" t="s">
        <v>597</v>
      </c>
      <c r="H13834" s="69">
        <v>-0.77</v>
      </c>
    </row>
    <row r="13835" spans="6:8">
      <c r="F13835" s="68" t="s">
        <v>124</v>
      </c>
      <c r="G13835" s="67" t="s">
        <v>597</v>
      </c>
      <c r="H13835" s="69">
        <v>-0.45</v>
      </c>
    </row>
    <row r="13836" spans="6:8">
      <c r="F13836" s="68" t="s">
        <v>252</v>
      </c>
      <c r="G13836" s="67" t="s">
        <v>597</v>
      </c>
      <c r="H13836" s="69">
        <v>0.35</v>
      </c>
    </row>
    <row r="13837" spans="6:8">
      <c r="F13837" s="68" t="s">
        <v>314</v>
      </c>
      <c r="G13837" s="67" t="s">
        <v>597</v>
      </c>
      <c r="H13837" s="69">
        <v>-0.3</v>
      </c>
    </row>
    <row r="13838" spans="6:8">
      <c r="F13838" s="68" t="s">
        <v>125</v>
      </c>
      <c r="G13838" s="67" t="s">
        <v>597</v>
      </c>
      <c r="H13838" s="69">
        <v>-0.4</v>
      </c>
    </row>
    <row r="13839" spans="6:8">
      <c r="F13839" s="68" t="s">
        <v>126</v>
      </c>
      <c r="G13839" s="67" t="s">
        <v>597</v>
      </c>
      <c r="H13839" s="69">
        <v>-0.77</v>
      </c>
    </row>
    <row r="13840" spans="6:8">
      <c r="F13840" s="68" t="s">
        <v>127</v>
      </c>
      <c r="G13840" s="67" t="s">
        <v>597</v>
      </c>
      <c r="H13840" s="69">
        <v>-0.45</v>
      </c>
    </row>
    <row r="13841" spans="6:8">
      <c r="F13841" s="68" t="s">
        <v>253</v>
      </c>
      <c r="G13841" s="67" t="s">
        <v>597</v>
      </c>
      <c r="H13841" s="69">
        <v>0.49</v>
      </c>
    </row>
    <row r="13842" spans="6:8">
      <c r="F13842" s="68" t="s">
        <v>315</v>
      </c>
      <c r="G13842" s="67" t="s">
        <v>597</v>
      </c>
      <c r="H13842" s="69">
        <v>-0.11</v>
      </c>
    </row>
    <row r="13843" spans="6:8">
      <c r="F13843" s="68" t="s">
        <v>128</v>
      </c>
      <c r="G13843" s="67" t="s">
        <v>597</v>
      </c>
      <c r="H13843" s="69">
        <v>-0.7</v>
      </c>
    </row>
    <row r="13844" spans="6:8">
      <c r="F13844" s="68" t="s">
        <v>129</v>
      </c>
      <c r="G13844" s="67" t="s">
        <v>597</v>
      </c>
      <c r="H13844" s="69">
        <v>-0.57999999999999996</v>
      </c>
    </row>
    <row r="13845" spans="6:8">
      <c r="F13845" s="68" t="s">
        <v>254</v>
      </c>
      <c r="G13845" s="67" t="s">
        <v>597</v>
      </c>
      <c r="H13845" s="69">
        <v>0.67</v>
      </c>
    </row>
    <row r="13846" spans="6:8">
      <c r="F13846" s="68" t="s">
        <v>304</v>
      </c>
      <c r="G13846" s="67" t="s">
        <v>597</v>
      </c>
      <c r="H13846" s="69">
        <v>17.989583333333332</v>
      </c>
    </row>
    <row r="13847" spans="6:8">
      <c r="F13847" s="68" t="s">
        <v>421</v>
      </c>
      <c r="G13847" s="67" t="s">
        <v>597</v>
      </c>
      <c r="H13847" s="69">
        <v>2.4872922015881649</v>
      </c>
    </row>
    <row r="13848" spans="6:8">
      <c r="F13848" s="68" t="s">
        <v>567</v>
      </c>
      <c r="G13848" s="67" t="s">
        <v>597</v>
      </c>
      <c r="H13848" s="69">
        <v>-0.51</v>
      </c>
    </row>
    <row r="13849" spans="6:8">
      <c r="F13849" s="68" t="s">
        <v>130</v>
      </c>
      <c r="G13849" s="67" t="s">
        <v>597</v>
      </c>
      <c r="H13849" s="69">
        <v>-0.8</v>
      </c>
    </row>
    <row r="13850" spans="6:8">
      <c r="F13850" s="68" t="s">
        <v>131</v>
      </c>
      <c r="G13850" s="67" t="s">
        <v>597</v>
      </c>
      <c r="H13850" s="69">
        <v>-0.53</v>
      </c>
    </row>
    <row r="13851" spans="6:8">
      <c r="F13851" s="68" t="s">
        <v>255</v>
      </c>
      <c r="G13851" s="67" t="s">
        <v>597</v>
      </c>
      <c r="H13851" s="69">
        <v>0.85</v>
      </c>
    </row>
    <row r="13852" spans="6:8">
      <c r="F13852" s="68" t="s">
        <v>303</v>
      </c>
      <c r="G13852" s="67" t="s">
        <v>597</v>
      </c>
      <c r="H13852" s="69">
        <v>19.09375</v>
      </c>
    </row>
    <row r="13853" spans="6:8">
      <c r="F13853" s="68" t="s">
        <v>422</v>
      </c>
      <c r="G13853" s="67" t="s">
        <v>597</v>
      </c>
      <c r="H13853" s="69">
        <v>2.4933068776106015</v>
      </c>
    </row>
    <row r="13854" spans="6:8">
      <c r="F13854" s="68" t="s">
        <v>568</v>
      </c>
      <c r="G13854" s="67" t="s">
        <v>597</v>
      </c>
      <c r="H13854" s="69">
        <v>-0.2</v>
      </c>
    </row>
    <row r="13855" spans="6:8">
      <c r="F13855" s="68" t="s">
        <v>132</v>
      </c>
      <c r="G13855" s="67" t="s">
        <v>597</v>
      </c>
      <c r="H13855" s="69">
        <v>-0.7</v>
      </c>
    </row>
    <row r="13856" spans="6:8">
      <c r="F13856" s="68" t="s">
        <v>133</v>
      </c>
      <c r="G13856" s="67" t="s">
        <v>597</v>
      </c>
      <c r="H13856" s="69">
        <v>-0.6</v>
      </c>
    </row>
    <row r="13857" spans="6:8">
      <c r="F13857" s="68" t="s">
        <v>256</v>
      </c>
      <c r="G13857" s="67" t="s">
        <v>597</v>
      </c>
      <c r="H13857" s="69">
        <v>0.96</v>
      </c>
    </row>
    <row r="13858" spans="6:8">
      <c r="F13858" s="68" t="s">
        <v>423</v>
      </c>
      <c r="G13858" s="67" t="s">
        <v>597</v>
      </c>
      <c r="H13858" s="69">
        <v>2.528368447611129</v>
      </c>
    </row>
    <row r="13859" spans="6:8">
      <c r="F13859" s="68" t="s">
        <v>569</v>
      </c>
      <c r="G13859" s="67" t="s">
        <v>597</v>
      </c>
      <c r="H13859" s="69">
        <v>-0.06</v>
      </c>
    </row>
    <row r="13860" spans="6:8">
      <c r="F13860" s="68" t="s">
        <v>134</v>
      </c>
      <c r="G13860" s="67" t="s">
        <v>597</v>
      </c>
      <c r="H13860" s="69">
        <v>-0.65</v>
      </c>
    </row>
    <row r="13861" spans="6:8">
      <c r="F13861" s="68" t="s">
        <v>135</v>
      </c>
      <c r="G13861" s="67" t="s">
        <v>597</v>
      </c>
      <c r="H13861" s="69">
        <v>-0.7</v>
      </c>
    </row>
    <row r="13862" spans="6:8">
      <c r="F13862" s="68" t="s">
        <v>257</v>
      </c>
      <c r="G13862" s="67" t="s">
        <v>597</v>
      </c>
      <c r="H13862" s="69">
        <v>1</v>
      </c>
    </row>
    <row r="13863" spans="6:8">
      <c r="F13863" s="68" t="s">
        <v>258</v>
      </c>
      <c r="G13863" s="67" t="s">
        <v>597</v>
      </c>
      <c r="H13863" s="69">
        <v>0.15</v>
      </c>
    </row>
    <row r="13864" spans="6:8">
      <c r="F13864" s="68" t="s">
        <v>424</v>
      </c>
      <c r="G13864" s="67" t="s">
        <v>597</v>
      </c>
      <c r="H13864" s="69">
        <v>3.243758033912858</v>
      </c>
    </row>
    <row r="13865" spans="6:8">
      <c r="F13865" s="68" t="s">
        <v>136</v>
      </c>
      <c r="G13865" s="67" t="s">
        <v>597</v>
      </c>
      <c r="H13865" s="69">
        <v>-0.68</v>
      </c>
    </row>
    <row r="13866" spans="6:8">
      <c r="F13866" s="68" t="s">
        <v>137</v>
      </c>
      <c r="G13866" s="67" t="s">
        <v>597</v>
      </c>
      <c r="H13866" s="69">
        <v>-0.6</v>
      </c>
    </row>
    <row r="13867" spans="6:8">
      <c r="F13867" s="68" t="s">
        <v>138</v>
      </c>
      <c r="G13867" s="67" t="s">
        <v>597</v>
      </c>
      <c r="H13867" s="69">
        <v>-0.6</v>
      </c>
    </row>
    <row r="13868" spans="6:8">
      <c r="F13868" s="68" t="s">
        <v>259</v>
      </c>
      <c r="G13868" s="67" t="s">
        <v>597</v>
      </c>
      <c r="H13868" s="69">
        <v>0.17</v>
      </c>
    </row>
    <row r="13869" spans="6:8">
      <c r="F13869" s="68" t="s">
        <v>425</v>
      </c>
      <c r="G13869" s="67" t="s">
        <v>597</v>
      </c>
      <c r="H13869" s="69">
        <v>3.2503207380873533</v>
      </c>
    </row>
    <row r="13870" spans="6:8">
      <c r="F13870" s="68" t="s">
        <v>425</v>
      </c>
      <c r="G13870" s="67" t="s">
        <v>598</v>
      </c>
      <c r="H13870" s="69">
        <v>3.2135664387009655</v>
      </c>
    </row>
    <row r="13871" spans="6:8">
      <c r="F13871" s="68" t="s">
        <v>259</v>
      </c>
      <c r="G13871" s="67" t="s">
        <v>598</v>
      </c>
      <c r="H13871" s="69">
        <v>0.17</v>
      </c>
    </row>
    <row r="13872" spans="6:8">
      <c r="F13872" s="68" t="s">
        <v>138</v>
      </c>
      <c r="G13872" s="67" t="s">
        <v>598</v>
      </c>
      <c r="H13872" s="69">
        <v>-0.6</v>
      </c>
    </row>
    <row r="13873" spans="6:8">
      <c r="F13873" s="68" t="s">
        <v>137</v>
      </c>
      <c r="G13873" s="67" t="s">
        <v>598</v>
      </c>
      <c r="H13873" s="69">
        <v>-0.6</v>
      </c>
    </row>
    <row r="13874" spans="6:8">
      <c r="F13874" s="68" t="s">
        <v>136</v>
      </c>
      <c r="G13874" s="67" t="s">
        <v>598</v>
      </c>
      <c r="H13874" s="69">
        <v>-0.68</v>
      </c>
    </row>
    <row r="13875" spans="6:8">
      <c r="F13875" s="68" t="s">
        <v>424</v>
      </c>
      <c r="G13875" s="67" t="s">
        <v>598</v>
      </c>
      <c r="H13875" s="69">
        <v>3.2079623162004633</v>
      </c>
    </row>
    <row r="13876" spans="6:8">
      <c r="F13876" s="68" t="s">
        <v>258</v>
      </c>
      <c r="G13876" s="67" t="s">
        <v>598</v>
      </c>
      <c r="H13876" s="69">
        <v>0.15</v>
      </c>
    </row>
    <row r="13877" spans="6:8">
      <c r="F13877" s="68" t="s">
        <v>257</v>
      </c>
      <c r="G13877" s="67" t="s">
        <v>598</v>
      </c>
      <c r="H13877" s="69">
        <v>1</v>
      </c>
    </row>
    <row r="13878" spans="6:8">
      <c r="F13878" s="68" t="s">
        <v>135</v>
      </c>
      <c r="G13878" s="67" t="s">
        <v>598</v>
      </c>
      <c r="H13878" s="69">
        <v>-0.7</v>
      </c>
    </row>
    <row r="13879" spans="6:8">
      <c r="F13879" s="68" t="s">
        <v>134</v>
      </c>
      <c r="G13879" s="67" t="s">
        <v>598</v>
      </c>
      <c r="H13879" s="69">
        <v>-0.65</v>
      </c>
    </row>
    <row r="13880" spans="6:8">
      <c r="F13880" s="68" t="s">
        <v>569</v>
      </c>
      <c r="G13880" s="67" t="s">
        <v>598</v>
      </c>
      <c r="H13880" s="69">
        <v>-0.06</v>
      </c>
    </row>
    <row r="13881" spans="6:8">
      <c r="F13881" s="68" t="s">
        <v>423</v>
      </c>
      <c r="G13881" s="67" t="s">
        <v>598</v>
      </c>
      <c r="H13881" s="69">
        <v>2.4903503563967089</v>
      </c>
    </row>
    <row r="13882" spans="6:8">
      <c r="F13882" s="68" t="s">
        <v>256</v>
      </c>
      <c r="G13882" s="67" t="s">
        <v>598</v>
      </c>
      <c r="H13882" s="69">
        <v>0.96</v>
      </c>
    </row>
    <row r="13883" spans="6:8">
      <c r="F13883" s="68" t="s">
        <v>133</v>
      </c>
      <c r="G13883" s="67" t="s">
        <v>598</v>
      </c>
      <c r="H13883" s="69">
        <v>-0.6</v>
      </c>
    </row>
    <row r="13884" spans="6:8">
      <c r="F13884" s="68" t="s">
        <v>132</v>
      </c>
      <c r="G13884" s="67" t="s">
        <v>598</v>
      </c>
      <c r="H13884" s="69">
        <v>-0.7</v>
      </c>
    </row>
    <row r="13885" spans="6:8">
      <c r="F13885" s="68" t="s">
        <v>568</v>
      </c>
      <c r="G13885" s="67" t="s">
        <v>598</v>
      </c>
      <c r="H13885" s="69">
        <v>-0.2</v>
      </c>
    </row>
    <row r="13886" spans="6:8">
      <c r="F13886" s="68" t="s">
        <v>422</v>
      </c>
      <c r="G13886" s="67" t="s">
        <v>598</v>
      </c>
      <c r="H13886" s="69">
        <v>2.4573080127476388</v>
      </c>
    </row>
    <row r="13887" spans="6:8">
      <c r="F13887" s="68" t="s">
        <v>303</v>
      </c>
      <c r="G13887" s="67" t="s">
        <v>598</v>
      </c>
      <c r="H13887" s="69">
        <v>19.135416666666668</v>
      </c>
    </row>
    <row r="13888" spans="6:8">
      <c r="F13888" s="68" t="s">
        <v>255</v>
      </c>
      <c r="G13888" s="67" t="s">
        <v>598</v>
      </c>
      <c r="H13888" s="69">
        <v>0.85</v>
      </c>
    </row>
    <row r="13889" spans="6:8">
      <c r="F13889" s="68" t="s">
        <v>131</v>
      </c>
      <c r="G13889" s="67" t="s">
        <v>598</v>
      </c>
      <c r="H13889" s="69">
        <v>-0.53</v>
      </c>
    </row>
    <row r="13890" spans="6:8">
      <c r="F13890" s="68" t="s">
        <v>130</v>
      </c>
      <c r="G13890" s="67" t="s">
        <v>598</v>
      </c>
      <c r="H13890" s="69">
        <v>-0.8</v>
      </c>
    </row>
    <row r="13891" spans="6:8">
      <c r="F13891" s="68" t="s">
        <v>567</v>
      </c>
      <c r="G13891" s="67" t="s">
        <v>598</v>
      </c>
      <c r="H13891" s="69">
        <v>-0.51</v>
      </c>
    </row>
    <row r="13892" spans="6:8">
      <c r="F13892" s="68" t="s">
        <v>421</v>
      </c>
      <c r="G13892" s="67" t="s">
        <v>598</v>
      </c>
      <c r="H13892" s="69">
        <v>2.4513322134526838</v>
      </c>
    </row>
    <row r="13893" spans="6:8">
      <c r="F13893" s="68" t="s">
        <v>304</v>
      </c>
      <c r="G13893" s="67" t="s">
        <v>598</v>
      </c>
      <c r="H13893" s="69">
        <v>18.020833333333332</v>
      </c>
    </row>
    <row r="13894" spans="6:8">
      <c r="F13894" s="68" t="s">
        <v>254</v>
      </c>
      <c r="G13894" s="67" t="s">
        <v>598</v>
      </c>
      <c r="H13894" s="69">
        <v>0.67</v>
      </c>
    </row>
    <row r="13895" spans="6:8">
      <c r="F13895" s="68" t="s">
        <v>129</v>
      </c>
      <c r="G13895" s="67" t="s">
        <v>598</v>
      </c>
      <c r="H13895" s="69">
        <v>-0.57999999999999996</v>
      </c>
    </row>
    <row r="13896" spans="6:8">
      <c r="F13896" s="68" t="s">
        <v>128</v>
      </c>
      <c r="G13896" s="67" t="s">
        <v>598</v>
      </c>
      <c r="H13896" s="69">
        <v>-0.7</v>
      </c>
    </row>
    <row r="13897" spans="6:8">
      <c r="F13897" s="68" t="s">
        <v>315</v>
      </c>
      <c r="G13897" s="67" t="s">
        <v>598</v>
      </c>
      <c r="H13897" s="69">
        <v>-0.11</v>
      </c>
    </row>
    <row r="13898" spans="6:8">
      <c r="F13898" s="68" t="s">
        <v>253</v>
      </c>
      <c r="G13898" s="67" t="s">
        <v>598</v>
      </c>
      <c r="H13898" s="69">
        <v>0.49</v>
      </c>
    </row>
    <row r="13899" spans="6:8">
      <c r="F13899" s="68" t="s">
        <v>127</v>
      </c>
      <c r="G13899" s="67" t="s">
        <v>598</v>
      </c>
      <c r="H13899" s="69">
        <v>-0.45</v>
      </c>
    </row>
    <row r="13900" spans="6:8">
      <c r="F13900" s="68" t="s">
        <v>126</v>
      </c>
      <c r="G13900" s="67" t="s">
        <v>598</v>
      </c>
      <c r="H13900" s="69">
        <v>-0.77</v>
      </c>
    </row>
    <row r="13901" spans="6:8">
      <c r="F13901" s="68" t="s">
        <v>125</v>
      </c>
      <c r="G13901" s="67" t="s">
        <v>598</v>
      </c>
      <c r="H13901" s="69">
        <v>-0.4</v>
      </c>
    </row>
    <row r="13902" spans="6:8">
      <c r="F13902" s="68" t="s">
        <v>314</v>
      </c>
      <c r="G13902" s="67" t="s">
        <v>598</v>
      </c>
      <c r="H13902" s="69">
        <v>-0.3</v>
      </c>
    </row>
    <row r="13903" spans="6:8">
      <c r="F13903" s="68" t="s">
        <v>252</v>
      </c>
      <c r="G13903" s="67" t="s">
        <v>598</v>
      </c>
      <c r="H13903" s="69">
        <v>0.35</v>
      </c>
    </row>
    <row r="13904" spans="6:8">
      <c r="F13904" s="68" t="s">
        <v>124</v>
      </c>
      <c r="G13904" s="67" t="s">
        <v>598</v>
      </c>
      <c r="H13904" s="69">
        <v>-0.45</v>
      </c>
    </row>
    <row r="13905" spans="6:8">
      <c r="F13905" s="68" t="s">
        <v>123</v>
      </c>
      <c r="G13905" s="67" t="s">
        <v>598</v>
      </c>
      <c r="H13905" s="69">
        <v>-0.77</v>
      </c>
    </row>
    <row r="13906" spans="6:8">
      <c r="F13906" s="68" t="s">
        <v>122</v>
      </c>
      <c r="G13906" s="67" t="s">
        <v>598</v>
      </c>
      <c r="H13906" s="69">
        <v>-0.53</v>
      </c>
    </row>
    <row r="13907" spans="6:8">
      <c r="F13907" s="68" t="s">
        <v>420</v>
      </c>
      <c r="G13907" s="67" t="s">
        <v>598</v>
      </c>
      <c r="H13907" s="69">
        <v>3.4217405544715085</v>
      </c>
    </row>
    <row r="13908" spans="6:8">
      <c r="F13908" s="68" t="s">
        <v>251</v>
      </c>
      <c r="G13908" s="67" t="s">
        <v>598</v>
      </c>
      <c r="H13908" s="69">
        <v>0.25</v>
      </c>
    </row>
    <row r="13909" spans="6:8">
      <c r="F13909" s="68" t="s">
        <v>121</v>
      </c>
      <c r="G13909" s="67" t="s">
        <v>598</v>
      </c>
      <c r="H13909" s="69">
        <v>-0.55000000000000004</v>
      </c>
    </row>
    <row r="13910" spans="6:8">
      <c r="F13910" s="68" t="s">
        <v>120</v>
      </c>
      <c r="G13910" s="67" t="s">
        <v>598</v>
      </c>
      <c r="H13910" s="69">
        <v>-0.65</v>
      </c>
    </row>
    <row r="13911" spans="6:8">
      <c r="F13911" s="68" t="s">
        <v>119</v>
      </c>
      <c r="G13911" s="67" t="s">
        <v>598</v>
      </c>
      <c r="H13911" s="69">
        <v>-0.57999999999999996</v>
      </c>
    </row>
    <row r="13912" spans="6:8">
      <c r="F13912" s="68" t="s">
        <v>119</v>
      </c>
      <c r="G13912" s="67" t="s">
        <v>599</v>
      </c>
      <c r="H13912" s="69">
        <v>-0.57999999999999996</v>
      </c>
    </row>
    <row r="13913" spans="6:8">
      <c r="F13913" s="68" t="s">
        <v>120</v>
      </c>
      <c r="G13913" s="67" t="s">
        <v>599</v>
      </c>
      <c r="H13913" s="69">
        <v>-0.65</v>
      </c>
    </row>
    <row r="13914" spans="6:8">
      <c r="F13914" s="68" t="s">
        <v>121</v>
      </c>
      <c r="G13914" s="67" t="s">
        <v>599</v>
      </c>
      <c r="H13914" s="69">
        <v>-0.55000000000000004</v>
      </c>
    </row>
    <row r="13915" spans="6:8">
      <c r="F13915" s="68" t="s">
        <v>251</v>
      </c>
      <c r="G13915" s="67" t="s">
        <v>599</v>
      </c>
      <c r="H13915" s="69">
        <v>0.25</v>
      </c>
    </row>
    <row r="13916" spans="6:8">
      <c r="F13916" s="68" t="s">
        <v>420</v>
      </c>
      <c r="G13916" s="67" t="s">
        <v>599</v>
      </c>
      <c r="H13916" s="69">
        <v>3.405267197844708</v>
      </c>
    </row>
    <row r="13917" spans="6:8">
      <c r="F13917" s="68" t="s">
        <v>122</v>
      </c>
      <c r="G13917" s="67" t="s">
        <v>599</v>
      </c>
      <c r="H13917" s="69">
        <v>-0.53</v>
      </c>
    </row>
    <row r="13918" spans="6:8">
      <c r="F13918" s="68" t="s">
        <v>123</v>
      </c>
      <c r="G13918" s="67" t="s">
        <v>599</v>
      </c>
      <c r="H13918" s="69">
        <v>-0.77</v>
      </c>
    </row>
    <row r="13919" spans="6:8">
      <c r="F13919" s="68" t="s">
        <v>124</v>
      </c>
      <c r="G13919" s="67" t="s">
        <v>599</v>
      </c>
      <c r="H13919" s="69">
        <v>-0.45</v>
      </c>
    </row>
    <row r="13920" spans="6:8">
      <c r="F13920" s="68" t="s">
        <v>252</v>
      </c>
      <c r="G13920" s="67" t="s">
        <v>599</v>
      </c>
      <c r="H13920" s="69">
        <v>0.35</v>
      </c>
    </row>
    <row r="13921" spans="6:8">
      <c r="F13921" s="68" t="s">
        <v>314</v>
      </c>
      <c r="G13921" s="67" t="s">
        <v>599</v>
      </c>
      <c r="H13921" s="69">
        <v>-0.3</v>
      </c>
    </row>
    <row r="13922" spans="6:8">
      <c r="F13922" s="68" t="s">
        <v>125</v>
      </c>
      <c r="G13922" s="67" t="s">
        <v>599</v>
      </c>
      <c r="H13922" s="69">
        <v>-0.4</v>
      </c>
    </row>
    <row r="13923" spans="6:8">
      <c r="F13923" s="68" t="s">
        <v>126</v>
      </c>
      <c r="G13923" s="67" t="s">
        <v>599</v>
      </c>
      <c r="H13923" s="69">
        <v>-0.77</v>
      </c>
    </row>
    <row r="13924" spans="6:8">
      <c r="F13924" s="68" t="s">
        <v>127</v>
      </c>
      <c r="G13924" s="67" t="s">
        <v>599</v>
      </c>
      <c r="H13924" s="69">
        <v>-0.45</v>
      </c>
    </row>
    <row r="13925" spans="6:8">
      <c r="F13925" s="68" t="s">
        <v>253</v>
      </c>
      <c r="G13925" s="67" t="s">
        <v>599</v>
      </c>
      <c r="H13925" s="69">
        <v>0.49</v>
      </c>
    </row>
    <row r="13926" spans="6:8">
      <c r="F13926" s="68" t="s">
        <v>315</v>
      </c>
      <c r="G13926" s="67" t="s">
        <v>599</v>
      </c>
      <c r="H13926" s="69">
        <v>-0.11</v>
      </c>
    </row>
    <row r="13927" spans="6:8">
      <c r="F13927" s="68" t="s">
        <v>128</v>
      </c>
      <c r="G13927" s="67" t="s">
        <v>599</v>
      </c>
      <c r="H13927" s="69">
        <v>-0.7</v>
      </c>
    </row>
    <row r="13928" spans="6:8">
      <c r="F13928" s="68" t="s">
        <v>129</v>
      </c>
      <c r="G13928" s="67" t="s">
        <v>599</v>
      </c>
      <c r="H13928" s="69">
        <v>-0.57999999999999996</v>
      </c>
    </row>
    <row r="13929" spans="6:8">
      <c r="F13929" s="68" t="s">
        <v>254</v>
      </c>
      <c r="G13929" s="67" t="s">
        <v>599</v>
      </c>
      <c r="H13929" s="69">
        <v>0.67</v>
      </c>
    </row>
    <row r="13930" spans="6:8">
      <c r="F13930" s="68" t="s">
        <v>304</v>
      </c>
      <c r="G13930" s="67" t="s">
        <v>599</v>
      </c>
      <c r="H13930" s="69">
        <v>17.9375</v>
      </c>
    </row>
    <row r="13931" spans="6:8">
      <c r="F13931" s="68" t="s">
        <v>421</v>
      </c>
      <c r="G13931" s="67" t="s">
        <v>599</v>
      </c>
      <c r="H13931" s="69">
        <v>2.4465566946820339</v>
      </c>
    </row>
    <row r="13932" spans="6:8">
      <c r="F13932" s="68" t="s">
        <v>567</v>
      </c>
      <c r="G13932" s="67" t="s">
        <v>599</v>
      </c>
      <c r="H13932" s="69">
        <v>-0.51</v>
      </c>
    </row>
    <row r="13933" spans="6:8">
      <c r="F13933" s="68" t="s">
        <v>130</v>
      </c>
      <c r="G13933" s="67" t="s">
        <v>599</v>
      </c>
      <c r="H13933" s="69">
        <v>-0.8</v>
      </c>
    </row>
    <row r="13934" spans="6:8">
      <c r="F13934" s="68" t="s">
        <v>131</v>
      </c>
      <c r="G13934" s="67" t="s">
        <v>599</v>
      </c>
      <c r="H13934" s="69">
        <v>-0.53</v>
      </c>
    </row>
    <row r="13935" spans="6:8">
      <c r="F13935" s="68" t="s">
        <v>255</v>
      </c>
      <c r="G13935" s="67" t="s">
        <v>599</v>
      </c>
      <c r="H13935" s="69">
        <v>0.85</v>
      </c>
    </row>
    <row r="13936" spans="6:8">
      <c r="F13936" s="68" t="s">
        <v>303</v>
      </c>
      <c r="G13936" s="67" t="s">
        <v>599</v>
      </c>
      <c r="H13936" s="69">
        <v>19.041666666666668</v>
      </c>
    </row>
    <row r="13937" spans="6:8">
      <c r="F13937" s="68" t="s">
        <v>422</v>
      </c>
      <c r="G13937" s="67" t="s">
        <v>599</v>
      </c>
      <c r="H13937" s="69">
        <v>2.4524564012622374</v>
      </c>
    </row>
    <row r="13938" spans="6:8">
      <c r="F13938" s="68" t="s">
        <v>568</v>
      </c>
      <c r="G13938" s="67" t="s">
        <v>599</v>
      </c>
      <c r="H13938" s="69">
        <v>-0.2</v>
      </c>
    </row>
    <row r="13939" spans="6:8">
      <c r="F13939" s="68" t="s">
        <v>132</v>
      </c>
      <c r="G13939" s="67" t="s">
        <v>599</v>
      </c>
      <c r="H13939" s="69">
        <v>-0.7</v>
      </c>
    </row>
    <row r="13940" spans="6:8">
      <c r="F13940" s="68" t="s">
        <v>133</v>
      </c>
      <c r="G13940" s="67" t="s">
        <v>599</v>
      </c>
      <c r="H13940" s="69">
        <v>-0.6</v>
      </c>
    </row>
    <row r="13941" spans="6:8">
      <c r="F13941" s="68" t="s">
        <v>256</v>
      </c>
      <c r="G13941" s="67" t="s">
        <v>599</v>
      </c>
      <c r="H13941" s="69">
        <v>0.96</v>
      </c>
    </row>
    <row r="13942" spans="6:8">
      <c r="F13942" s="68" t="s">
        <v>423</v>
      </c>
      <c r="G13942" s="67" t="s">
        <v>599</v>
      </c>
      <c r="H13942" s="69">
        <v>2.4868758332142082</v>
      </c>
    </row>
    <row r="13943" spans="6:8">
      <c r="F13943" s="68" t="s">
        <v>569</v>
      </c>
      <c r="G13943" s="67" t="s">
        <v>599</v>
      </c>
      <c r="H13943" s="69">
        <v>-0.06</v>
      </c>
    </row>
    <row r="13944" spans="6:8">
      <c r="F13944" s="68" t="s">
        <v>134</v>
      </c>
      <c r="G13944" s="67" t="s">
        <v>599</v>
      </c>
      <c r="H13944" s="69">
        <v>-0.65</v>
      </c>
    </row>
    <row r="13945" spans="6:8">
      <c r="F13945" s="68" t="s">
        <v>135</v>
      </c>
      <c r="G13945" s="67" t="s">
        <v>599</v>
      </c>
      <c r="H13945" s="69">
        <v>-0.7</v>
      </c>
    </row>
    <row r="13946" spans="6:8">
      <c r="F13946" s="68" t="s">
        <v>257</v>
      </c>
      <c r="G13946" s="67" t="s">
        <v>599</v>
      </c>
      <c r="H13946" s="69">
        <v>1</v>
      </c>
    </row>
    <row r="13947" spans="6:8">
      <c r="F13947" s="68" t="s">
        <v>258</v>
      </c>
      <c r="G13947" s="67" t="s">
        <v>599</v>
      </c>
      <c r="H13947" s="69">
        <v>0.15</v>
      </c>
    </row>
    <row r="13948" spans="6:8">
      <c r="F13948" s="68" t="s">
        <v>424</v>
      </c>
      <c r="G13948" s="67" t="s">
        <v>599</v>
      </c>
      <c r="H13948" s="69">
        <v>3.1869018255463288</v>
      </c>
    </row>
    <row r="13949" spans="6:8">
      <c r="F13949" s="68" t="s">
        <v>136</v>
      </c>
      <c r="G13949" s="67" t="s">
        <v>599</v>
      </c>
      <c r="H13949" s="69">
        <v>-0.68</v>
      </c>
    </row>
    <row r="13950" spans="6:8">
      <c r="F13950" s="68" t="s">
        <v>137</v>
      </c>
      <c r="G13950" s="67" t="s">
        <v>599</v>
      </c>
      <c r="H13950" s="69">
        <v>-0.6</v>
      </c>
    </row>
    <row r="13951" spans="6:8">
      <c r="F13951" s="68" t="s">
        <v>138</v>
      </c>
      <c r="G13951" s="67" t="s">
        <v>599</v>
      </c>
      <c r="H13951" s="69">
        <v>-0.6</v>
      </c>
    </row>
    <row r="13952" spans="6:8">
      <c r="F13952" s="68" t="s">
        <v>259</v>
      </c>
      <c r="G13952" s="67" t="s">
        <v>599</v>
      </c>
      <c r="H13952" s="69">
        <v>0.17</v>
      </c>
    </row>
    <row r="13953" spans="6:8">
      <c r="F13953" s="68" t="s">
        <v>425</v>
      </c>
      <c r="G13953" s="67" t="s">
        <v>599</v>
      </c>
      <c r="H13953" s="69">
        <v>3.1911396006415682</v>
      </c>
    </row>
    <row r="13954" spans="6:8">
      <c r="F13954" s="68" t="s">
        <v>425</v>
      </c>
      <c r="G13954" s="67" t="s">
        <v>600</v>
      </c>
      <c r="H13954" s="69">
        <v>3.217195989492927</v>
      </c>
    </row>
    <row r="13955" spans="6:8">
      <c r="F13955" s="68" t="s">
        <v>259</v>
      </c>
      <c r="G13955" s="67" t="s">
        <v>600</v>
      </c>
      <c r="H13955" s="69">
        <v>0.17</v>
      </c>
    </row>
    <row r="13956" spans="6:8">
      <c r="F13956" s="68" t="s">
        <v>138</v>
      </c>
      <c r="G13956" s="67" t="s">
        <v>600</v>
      </c>
      <c r="H13956" s="69">
        <v>-0.6</v>
      </c>
    </row>
    <row r="13957" spans="6:8">
      <c r="F13957" s="68" t="s">
        <v>137</v>
      </c>
      <c r="G13957" s="67" t="s">
        <v>600</v>
      </c>
      <c r="H13957" s="69">
        <v>-0.6</v>
      </c>
    </row>
    <row r="13958" spans="6:8">
      <c r="F13958" s="68" t="s">
        <v>136</v>
      </c>
      <c r="G13958" s="67" t="s">
        <v>600</v>
      </c>
      <c r="H13958" s="69">
        <v>-0.68</v>
      </c>
    </row>
    <row r="13959" spans="6:8">
      <c r="F13959" s="68" t="s">
        <v>424</v>
      </c>
      <c r="G13959" s="67" t="s">
        <v>600</v>
      </c>
      <c r="H13959" s="69">
        <v>3.2136638021094566</v>
      </c>
    </row>
    <row r="13960" spans="6:8">
      <c r="F13960" s="68" t="s">
        <v>258</v>
      </c>
      <c r="G13960" s="67" t="s">
        <v>600</v>
      </c>
      <c r="H13960" s="69">
        <v>0.15</v>
      </c>
    </row>
    <row r="13961" spans="6:8">
      <c r="F13961" s="68" t="s">
        <v>257</v>
      </c>
      <c r="G13961" s="67" t="s">
        <v>600</v>
      </c>
      <c r="H13961" s="69">
        <v>1</v>
      </c>
    </row>
    <row r="13962" spans="6:8">
      <c r="F13962" s="68" t="s">
        <v>135</v>
      </c>
      <c r="G13962" s="67" t="s">
        <v>600</v>
      </c>
      <c r="H13962" s="69">
        <v>-0.7</v>
      </c>
    </row>
    <row r="13963" spans="6:8">
      <c r="F13963" s="68" t="s">
        <v>134</v>
      </c>
      <c r="G13963" s="67" t="s">
        <v>600</v>
      </c>
      <c r="H13963" s="69">
        <v>-0.65</v>
      </c>
    </row>
    <row r="13964" spans="6:8">
      <c r="F13964" s="68" t="s">
        <v>569</v>
      </c>
      <c r="G13964" s="67" t="s">
        <v>600</v>
      </c>
      <c r="H13964" s="69">
        <v>-0.06</v>
      </c>
    </row>
    <row r="13965" spans="6:8">
      <c r="F13965" s="68" t="s">
        <v>423</v>
      </c>
      <c r="G13965" s="67" t="s">
        <v>600</v>
      </c>
      <c r="H13965" s="69">
        <v>2.5219185770189778</v>
      </c>
    </row>
    <row r="13966" spans="6:8">
      <c r="F13966" s="68" t="s">
        <v>256</v>
      </c>
      <c r="G13966" s="67" t="s">
        <v>600</v>
      </c>
      <c r="H13966" s="69">
        <v>0.96</v>
      </c>
    </row>
    <row r="13967" spans="6:8">
      <c r="F13967" s="68" t="s">
        <v>133</v>
      </c>
      <c r="G13967" s="67" t="s">
        <v>600</v>
      </c>
      <c r="H13967" s="69">
        <v>-0.6</v>
      </c>
    </row>
    <row r="13968" spans="6:8">
      <c r="F13968" s="68" t="s">
        <v>132</v>
      </c>
      <c r="G13968" s="67" t="s">
        <v>600</v>
      </c>
      <c r="H13968" s="69">
        <v>-0.7</v>
      </c>
    </row>
    <row r="13969" spans="6:8">
      <c r="F13969" s="68" t="s">
        <v>568</v>
      </c>
      <c r="G13969" s="67" t="s">
        <v>600</v>
      </c>
      <c r="H13969" s="69">
        <v>-0.2</v>
      </c>
    </row>
    <row r="13970" spans="6:8">
      <c r="F13970" s="68" t="s">
        <v>422</v>
      </c>
      <c r="G13970" s="67" t="s">
        <v>600</v>
      </c>
      <c r="H13970" s="69">
        <v>2.4828593558256173</v>
      </c>
    </row>
    <row r="13971" spans="6:8">
      <c r="F13971" s="68" t="s">
        <v>303</v>
      </c>
      <c r="G13971" s="67" t="s">
        <v>600</v>
      </c>
      <c r="H13971" s="69">
        <v>19.03125</v>
      </c>
    </row>
    <row r="13972" spans="6:8">
      <c r="F13972" s="68" t="s">
        <v>255</v>
      </c>
      <c r="G13972" s="67" t="s">
        <v>600</v>
      </c>
      <c r="H13972" s="69">
        <v>0.85</v>
      </c>
    </row>
    <row r="13973" spans="6:8">
      <c r="F13973" s="68" t="s">
        <v>131</v>
      </c>
      <c r="G13973" s="67" t="s">
        <v>600</v>
      </c>
      <c r="H13973" s="69">
        <v>-0.53</v>
      </c>
    </row>
    <row r="13974" spans="6:8">
      <c r="F13974" s="68" t="s">
        <v>130</v>
      </c>
      <c r="G13974" s="67" t="s">
        <v>600</v>
      </c>
      <c r="H13974" s="69">
        <v>-0.8</v>
      </c>
    </row>
    <row r="13975" spans="6:8">
      <c r="F13975" s="68" t="s">
        <v>567</v>
      </c>
      <c r="G13975" s="67" t="s">
        <v>600</v>
      </c>
      <c r="H13975" s="69">
        <v>-0.51</v>
      </c>
    </row>
    <row r="13976" spans="6:8">
      <c r="F13976" s="68" t="s">
        <v>421</v>
      </c>
      <c r="G13976" s="67" t="s">
        <v>600</v>
      </c>
      <c r="H13976" s="69">
        <v>2.476965490391736</v>
      </c>
    </row>
    <row r="13977" spans="6:8">
      <c r="F13977" s="68" t="s">
        <v>304</v>
      </c>
      <c r="G13977" s="67" t="s">
        <v>600</v>
      </c>
      <c r="H13977" s="69">
        <v>17.958333333333332</v>
      </c>
    </row>
    <row r="13978" spans="6:8">
      <c r="F13978" s="68" t="s">
        <v>254</v>
      </c>
      <c r="G13978" s="67" t="s">
        <v>600</v>
      </c>
      <c r="H13978" s="69">
        <v>0.67</v>
      </c>
    </row>
    <row r="13979" spans="6:8">
      <c r="F13979" s="68" t="s">
        <v>129</v>
      </c>
      <c r="G13979" s="67" t="s">
        <v>600</v>
      </c>
      <c r="H13979" s="69">
        <v>-0.57999999999999996</v>
      </c>
    </row>
    <row r="13980" spans="6:8">
      <c r="F13980" s="68" t="s">
        <v>128</v>
      </c>
      <c r="G13980" s="67" t="s">
        <v>600</v>
      </c>
      <c r="H13980" s="69">
        <v>-0.7</v>
      </c>
    </row>
    <row r="13981" spans="6:8">
      <c r="F13981" s="68" t="s">
        <v>315</v>
      </c>
      <c r="G13981" s="67" t="s">
        <v>600</v>
      </c>
      <c r="H13981" s="69">
        <v>-0.11</v>
      </c>
    </row>
    <row r="13982" spans="6:8">
      <c r="F13982" s="68" t="s">
        <v>253</v>
      </c>
      <c r="G13982" s="67" t="s">
        <v>600</v>
      </c>
      <c r="H13982" s="69">
        <v>0.49</v>
      </c>
    </row>
    <row r="13983" spans="6:8">
      <c r="F13983" s="68" t="s">
        <v>127</v>
      </c>
      <c r="G13983" s="67" t="s">
        <v>600</v>
      </c>
      <c r="H13983" s="69">
        <v>-0.45</v>
      </c>
    </row>
    <row r="13984" spans="6:8">
      <c r="F13984" s="68" t="s">
        <v>126</v>
      </c>
      <c r="G13984" s="67" t="s">
        <v>600</v>
      </c>
      <c r="H13984" s="69">
        <v>-0.77</v>
      </c>
    </row>
    <row r="13985" spans="6:8">
      <c r="F13985" s="68" t="s">
        <v>125</v>
      </c>
      <c r="G13985" s="67" t="s">
        <v>600</v>
      </c>
      <c r="H13985" s="69">
        <v>-0.4</v>
      </c>
    </row>
    <row r="13986" spans="6:8">
      <c r="F13986" s="68" t="s">
        <v>314</v>
      </c>
      <c r="G13986" s="67" t="s">
        <v>600</v>
      </c>
      <c r="H13986" s="69">
        <v>-0.3</v>
      </c>
    </row>
    <row r="13987" spans="6:8">
      <c r="F13987" s="68" t="s">
        <v>252</v>
      </c>
      <c r="G13987" s="67" t="s">
        <v>600</v>
      </c>
      <c r="H13987" s="69">
        <v>0.35</v>
      </c>
    </row>
    <row r="13988" spans="6:8">
      <c r="F13988" s="68" t="s">
        <v>124</v>
      </c>
      <c r="G13988" s="67" t="s">
        <v>600</v>
      </c>
      <c r="H13988" s="69">
        <v>-0.45</v>
      </c>
    </row>
    <row r="13989" spans="6:8">
      <c r="F13989" s="68" t="s">
        <v>123</v>
      </c>
      <c r="G13989" s="67" t="s">
        <v>600</v>
      </c>
      <c r="H13989" s="69">
        <v>-0.77</v>
      </c>
    </row>
    <row r="13990" spans="6:8">
      <c r="F13990" s="68" t="s">
        <v>122</v>
      </c>
      <c r="G13990" s="67" t="s">
        <v>600</v>
      </c>
      <c r="H13990" s="69">
        <v>-0.53</v>
      </c>
    </row>
    <row r="13991" spans="6:8">
      <c r="F13991" s="68" t="s">
        <v>420</v>
      </c>
      <c r="G13991" s="67" t="s">
        <v>600</v>
      </c>
      <c r="H13991" s="69">
        <v>3.4306094277170462</v>
      </c>
    </row>
    <row r="13992" spans="6:8">
      <c r="F13992" s="68" t="s">
        <v>251</v>
      </c>
      <c r="G13992" s="67" t="s">
        <v>600</v>
      </c>
      <c r="H13992" s="69">
        <v>0.25</v>
      </c>
    </row>
    <row r="13993" spans="6:8">
      <c r="F13993" s="68" t="s">
        <v>121</v>
      </c>
      <c r="G13993" s="67" t="s">
        <v>600</v>
      </c>
      <c r="H13993" s="69">
        <v>-0.55000000000000004</v>
      </c>
    </row>
    <row r="13994" spans="6:8">
      <c r="F13994" s="68" t="s">
        <v>120</v>
      </c>
      <c r="G13994" s="67" t="s">
        <v>600</v>
      </c>
      <c r="H13994" s="69">
        <v>-0.65</v>
      </c>
    </row>
    <row r="13995" spans="6:8">
      <c r="F13995" s="68" t="s">
        <v>119</v>
      </c>
      <c r="G13995" s="67" t="s">
        <v>600</v>
      </c>
      <c r="H13995" s="69">
        <v>-0.57999999999999996</v>
      </c>
    </row>
    <row r="13996" spans="6:8">
      <c r="F13996" s="68" t="s">
        <v>119</v>
      </c>
      <c r="G13996" s="67" t="s">
        <v>601</v>
      </c>
      <c r="H13996" s="69">
        <v>-0.57999999999999996</v>
      </c>
    </row>
    <row r="13997" spans="6:8">
      <c r="F13997" s="68" t="s">
        <v>120</v>
      </c>
      <c r="G13997" s="67" t="s">
        <v>601</v>
      </c>
      <c r="H13997" s="69">
        <v>-0.65</v>
      </c>
    </row>
    <row r="13998" spans="6:8">
      <c r="F13998" s="68" t="s">
        <v>121</v>
      </c>
      <c r="G13998" s="67" t="s">
        <v>601</v>
      </c>
      <c r="H13998" s="69">
        <v>-0.55000000000000004</v>
      </c>
    </row>
    <row r="13999" spans="6:8">
      <c r="F13999" s="68" t="s">
        <v>251</v>
      </c>
      <c r="G13999" s="67" t="s">
        <v>601</v>
      </c>
      <c r="H13999" s="69">
        <v>0.25</v>
      </c>
    </row>
    <row r="14000" spans="6:8">
      <c r="F14000" s="68" t="s">
        <v>420</v>
      </c>
      <c r="G14000" s="67" t="s">
        <v>601</v>
      </c>
      <c r="H14000" s="69">
        <v>3.4468593506470135</v>
      </c>
    </row>
    <row r="14001" spans="6:8">
      <c r="F14001" s="68" t="s">
        <v>122</v>
      </c>
      <c r="G14001" s="67" t="s">
        <v>601</v>
      </c>
      <c r="H14001" s="69">
        <v>-0.53</v>
      </c>
    </row>
    <row r="14002" spans="6:8">
      <c r="F14002" s="68" t="s">
        <v>123</v>
      </c>
      <c r="G14002" s="67" t="s">
        <v>601</v>
      </c>
      <c r="H14002" s="69">
        <v>-0.77</v>
      </c>
    </row>
    <row r="14003" spans="6:8">
      <c r="F14003" s="68" t="s">
        <v>124</v>
      </c>
      <c r="G14003" s="67" t="s">
        <v>601</v>
      </c>
      <c r="H14003" s="69">
        <v>-0.45</v>
      </c>
    </row>
    <row r="14004" spans="6:8">
      <c r="F14004" s="68" t="s">
        <v>252</v>
      </c>
      <c r="G14004" s="67" t="s">
        <v>601</v>
      </c>
      <c r="H14004" s="69">
        <v>0.35</v>
      </c>
    </row>
    <row r="14005" spans="6:8">
      <c r="F14005" s="68" t="s">
        <v>314</v>
      </c>
      <c r="G14005" s="67" t="s">
        <v>601</v>
      </c>
      <c r="H14005" s="69">
        <v>-0.3</v>
      </c>
    </row>
    <row r="14006" spans="6:8">
      <c r="F14006" s="68" t="s">
        <v>125</v>
      </c>
      <c r="G14006" s="67" t="s">
        <v>601</v>
      </c>
      <c r="H14006" s="69">
        <v>-0.4</v>
      </c>
    </row>
    <row r="14007" spans="6:8">
      <c r="F14007" s="68" t="s">
        <v>126</v>
      </c>
      <c r="G14007" s="67" t="s">
        <v>601</v>
      </c>
      <c r="H14007" s="69">
        <v>-0.77</v>
      </c>
    </row>
    <row r="14008" spans="6:8">
      <c r="F14008" s="68" t="s">
        <v>127</v>
      </c>
      <c r="G14008" s="67" t="s">
        <v>601</v>
      </c>
      <c r="H14008" s="69">
        <v>-0.45</v>
      </c>
    </row>
    <row r="14009" spans="6:8">
      <c r="F14009" s="68" t="s">
        <v>253</v>
      </c>
      <c r="G14009" s="67" t="s">
        <v>601</v>
      </c>
      <c r="H14009" s="69">
        <v>0.49</v>
      </c>
    </row>
    <row r="14010" spans="6:8">
      <c r="F14010" s="68" t="s">
        <v>315</v>
      </c>
      <c r="G14010" s="67" t="s">
        <v>601</v>
      </c>
      <c r="H14010" s="69">
        <v>-0.11</v>
      </c>
    </row>
    <row r="14011" spans="6:8">
      <c r="F14011" s="68" t="s">
        <v>128</v>
      </c>
      <c r="G14011" s="67" t="s">
        <v>601</v>
      </c>
      <c r="H14011" s="69">
        <v>-0.7</v>
      </c>
    </row>
    <row r="14012" spans="6:8">
      <c r="F14012" s="68" t="s">
        <v>129</v>
      </c>
      <c r="G14012" s="67" t="s">
        <v>601</v>
      </c>
      <c r="H14012" s="69">
        <v>-0.57999999999999996</v>
      </c>
    </row>
    <row r="14013" spans="6:8">
      <c r="F14013" s="68" t="s">
        <v>254</v>
      </c>
      <c r="G14013" s="67" t="s">
        <v>601</v>
      </c>
      <c r="H14013" s="69">
        <v>0.67</v>
      </c>
    </row>
    <row r="14014" spans="6:8">
      <c r="F14014" s="68" t="s">
        <v>304</v>
      </c>
      <c r="G14014" s="67" t="s">
        <v>601</v>
      </c>
      <c r="H14014" s="69">
        <v>17.9375</v>
      </c>
    </row>
    <row r="14015" spans="6:8">
      <c r="F14015" s="68" t="s">
        <v>421</v>
      </c>
      <c r="G14015" s="67" t="s">
        <v>601</v>
      </c>
      <c r="H14015" s="69">
        <v>2.4777448418413783</v>
      </c>
    </row>
    <row r="14016" spans="6:8">
      <c r="F14016" s="68" t="s">
        <v>567</v>
      </c>
      <c r="G14016" s="67" t="s">
        <v>601</v>
      </c>
      <c r="H14016" s="69">
        <v>-0.51</v>
      </c>
    </row>
    <row r="14017" spans="6:8">
      <c r="F14017" s="68" t="s">
        <v>130</v>
      </c>
      <c r="G14017" s="67" t="s">
        <v>601</v>
      </c>
      <c r="H14017" s="69">
        <v>-0.8</v>
      </c>
    </row>
    <row r="14018" spans="6:8">
      <c r="F14018" s="68" t="s">
        <v>131</v>
      </c>
      <c r="G14018" s="67" t="s">
        <v>601</v>
      </c>
      <c r="H14018" s="69">
        <v>-0.53</v>
      </c>
    </row>
    <row r="14019" spans="6:8">
      <c r="F14019" s="68" t="s">
        <v>255</v>
      </c>
      <c r="G14019" s="67" t="s">
        <v>601</v>
      </c>
      <c r="H14019" s="69">
        <v>0.85</v>
      </c>
    </row>
    <row r="14020" spans="6:8">
      <c r="F14020" s="68" t="s">
        <v>303</v>
      </c>
      <c r="G14020" s="67" t="s">
        <v>601</v>
      </c>
      <c r="H14020" s="69">
        <v>18.96875</v>
      </c>
    </row>
    <row r="14021" spans="6:8">
      <c r="F14021" s="68" t="s">
        <v>422</v>
      </c>
      <c r="G14021" s="67" t="s">
        <v>601</v>
      </c>
      <c r="H14021" s="69">
        <v>2.4837363110109756</v>
      </c>
    </row>
    <row r="14022" spans="6:8">
      <c r="F14022" s="68" t="s">
        <v>568</v>
      </c>
      <c r="G14022" s="67" t="s">
        <v>601</v>
      </c>
      <c r="H14022" s="69">
        <v>-0.2</v>
      </c>
    </row>
    <row r="14023" spans="6:8">
      <c r="F14023" s="68" t="s">
        <v>132</v>
      </c>
      <c r="G14023" s="67" t="s">
        <v>601</v>
      </c>
      <c r="H14023" s="69">
        <v>-0.7</v>
      </c>
    </row>
    <row r="14024" spans="6:8">
      <c r="F14024" s="68" t="s">
        <v>133</v>
      </c>
      <c r="G14024" s="67" t="s">
        <v>601</v>
      </c>
      <c r="H14024" s="69">
        <v>-0.6</v>
      </c>
    </row>
    <row r="14025" spans="6:8">
      <c r="F14025" s="68" t="s">
        <v>256</v>
      </c>
      <c r="G14025" s="67" t="s">
        <v>601</v>
      </c>
      <c r="H14025" s="69">
        <v>0.96</v>
      </c>
    </row>
    <row r="14026" spans="6:8">
      <c r="F14026" s="68" t="s">
        <v>423</v>
      </c>
      <c r="G14026" s="67" t="s">
        <v>601</v>
      </c>
      <c r="H14026" s="69">
        <v>2.5287901823673131</v>
      </c>
    </row>
    <row r="14027" spans="6:8">
      <c r="F14027" s="68" t="s">
        <v>569</v>
      </c>
      <c r="G14027" s="67" t="s">
        <v>601</v>
      </c>
      <c r="H14027" s="69">
        <v>-0.06</v>
      </c>
    </row>
    <row r="14028" spans="6:8">
      <c r="F14028" s="68" t="s">
        <v>134</v>
      </c>
      <c r="G14028" s="67" t="s">
        <v>601</v>
      </c>
      <c r="H14028" s="69">
        <v>-0.65</v>
      </c>
    </row>
    <row r="14029" spans="6:8">
      <c r="F14029" s="68" t="s">
        <v>135</v>
      </c>
      <c r="G14029" s="67" t="s">
        <v>601</v>
      </c>
      <c r="H14029" s="69">
        <v>-0.7</v>
      </c>
    </row>
    <row r="14030" spans="6:8">
      <c r="F14030" s="68" t="s">
        <v>257</v>
      </c>
      <c r="G14030" s="67" t="s">
        <v>601</v>
      </c>
      <c r="H14030" s="69">
        <v>1</v>
      </c>
    </row>
    <row r="14031" spans="6:8">
      <c r="F14031" s="68" t="s">
        <v>258</v>
      </c>
      <c r="G14031" s="67" t="s">
        <v>601</v>
      </c>
      <c r="H14031" s="69">
        <v>0.15</v>
      </c>
    </row>
    <row r="14032" spans="6:8">
      <c r="F14032" s="68" t="s">
        <v>424</v>
      </c>
      <c r="G14032" s="67" t="s">
        <v>601</v>
      </c>
      <c r="H14032" s="69">
        <v>3.2289567413275044</v>
      </c>
    </row>
    <row r="14033" spans="6:8">
      <c r="F14033" s="68" t="s">
        <v>136</v>
      </c>
      <c r="G14033" s="67" t="s">
        <v>601</v>
      </c>
      <c r="H14033" s="69">
        <v>-0.68</v>
      </c>
    </row>
    <row r="14034" spans="6:8">
      <c r="F14034" s="68" t="s">
        <v>137</v>
      </c>
      <c r="G14034" s="67" t="s">
        <v>601</v>
      </c>
      <c r="H14034" s="69">
        <v>-0.6</v>
      </c>
    </row>
    <row r="14035" spans="6:8">
      <c r="F14035" s="68" t="s">
        <v>138</v>
      </c>
      <c r="G14035" s="67" t="s">
        <v>601</v>
      </c>
      <c r="H14035" s="69">
        <v>-0.6</v>
      </c>
    </row>
    <row r="14036" spans="6:8">
      <c r="F14036" s="68" t="s">
        <v>259</v>
      </c>
      <c r="G14036" s="67" t="s">
        <v>601</v>
      </c>
      <c r="H14036" s="69">
        <v>0.17</v>
      </c>
    </row>
    <row r="14037" spans="6:8">
      <c r="F14037" s="68" t="s">
        <v>425</v>
      </c>
      <c r="G14037" s="67" t="s">
        <v>601</v>
      </c>
      <c r="H14037" s="69">
        <v>3.2283638176512586</v>
      </c>
    </row>
    <row r="14038" spans="6:8">
      <c r="F14038" s="68" t="s">
        <v>425</v>
      </c>
      <c r="G14038" s="67" t="s">
        <v>602</v>
      </c>
      <c r="H14038" s="69">
        <v>3.2557191953180187</v>
      </c>
    </row>
    <row r="14039" spans="6:8">
      <c r="F14039" s="68" t="s">
        <v>259</v>
      </c>
      <c r="G14039" s="67" t="s">
        <v>602</v>
      </c>
      <c r="H14039" s="69">
        <v>0.17</v>
      </c>
    </row>
    <row r="14040" spans="6:8">
      <c r="F14040" s="68" t="s">
        <v>138</v>
      </c>
      <c r="G14040" s="67" t="s">
        <v>602</v>
      </c>
      <c r="H14040" s="69">
        <v>-0.6</v>
      </c>
    </row>
    <row r="14041" spans="6:8">
      <c r="F14041" s="68" t="s">
        <v>137</v>
      </c>
      <c r="G14041" s="67" t="s">
        <v>602</v>
      </c>
      <c r="H14041" s="69">
        <v>-0.6</v>
      </c>
    </row>
    <row r="14042" spans="6:8">
      <c r="F14042" s="68" t="s">
        <v>136</v>
      </c>
      <c r="G14042" s="67" t="s">
        <v>602</v>
      </c>
      <c r="H14042" s="69">
        <v>-0.68</v>
      </c>
    </row>
    <row r="14043" spans="6:8">
      <c r="F14043" s="68" t="s">
        <v>424</v>
      </c>
      <c r="G14043" s="67" t="s">
        <v>602</v>
      </c>
      <c r="H14043" s="69">
        <v>3.2569803246288664</v>
      </c>
    </row>
    <row r="14044" spans="6:8">
      <c r="F14044" s="68" t="s">
        <v>258</v>
      </c>
      <c r="G14044" s="67" t="s">
        <v>602</v>
      </c>
      <c r="H14044" s="69">
        <v>0.15</v>
      </c>
    </row>
    <row r="14045" spans="6:8">
      <c r="F14045" s="68" t="s">
        <v>257</v>
      </c>
      <c r="G14045" s="67" t="s">
        <v>602</v>
      </c>
      <c r="H14045" s="69">
        <v>1</v>
      </c>
    </row>
    <row r="14046" spans="6:8">
      <c r="F14046" s="68" t="s">
        <v>135</v>
      </c>
      <c r="G14046" s="67" t="s">
        <v>602</v>
      </c>
      <c r="H14046" s="69">
        <v>-0.7</v>
      </c>
    </row>
    <row r="14047" spans="6:8">
      <c r="F14047" s="68" t="s">
        <v>134</v>
      </c>
      <c r="G14047" s="67" t="s">
        <v>602</v>
      </c>
      <c r="H14047" s="69">
        <v>-0.65</v>
      </c>
    </row>
    <row r="14048" spans="6:8">
      <c r="F14048" s="68" t="s">
        <v>569</v>
      </c>
      <c r="G14048" s="67" t="s">
        <v>602</v>
      </c>
      <c r="H14048" s="69">
        <v>-0.06</v>
      </c>
    </row>
    <row r="14049" spans="6:8">
      <c r="F14049" s="68" t="s">
        <v>423</v>
      </c>
      <c r="G14049" s="67" t="s">
        <v>602</v>
      </c>
      <c r="H14049" s="69">
        <v>2.5319334191582499</v>
      </c>
    </row>
    <row r="14050" spans="6:8">
      <c r="F14050" s="68" t="s">
        <v>256</v>
      </c>
      <c r="G14050" s="67" t="s">
        <v>602</v>
      </c>
      <c r="H14050" s="69">
        <v>0.96</v>
      </c>
    </row>
    <row r="14051" spans="6:8">
      <c r="F14051" s="68" t="s">
        <v>133</v>
      </c>
      <c r="G14051" s="67" t="s">
        <v>602</v>
      </c>
      <c r="H14051" s="69">
        <v>-0.6</v>
      </c>
    </row>
    <row r="14052" spans="6:8">
      <c r="F14052" s="68" t="s">
        <v>132</v>
      </c>
      <c r="G14052" s="67" t="s">
        <v>602</v>
      </c>
      <c r="H14052" s="69">
        <v>-0.7</v>
      </c>
    </row>
    <row r="14053" spans="6:8">
      <c r="F14053" s="68" t="s">
        <v>568</v>
      </c>
      <c r="G14053" s="67" t="s">
        <v>602</v>
      </c>
      <c r="H14053" s="69">
        <v>-0.2</v>
      </c>
    </row>
    <row r="14054" spans="6:8">
      <c r="F14054" s="68" t="s">
        <v>422</v>
      </c>
      <c r="G14054" s="67" t="s">
        <v>602</v>
      </c>
      <c r="H14054" s="69">
        <v>2.4847199918751617</v>
      </c>
    </row>
    <row r="14055" spans="6:8">
      <c r="F14055" s="68" t="s">
        <v>303</v>
      </c>
      <c r="G14055" s="67" t="s">
        <v>602</v>
      </c>
      <c r="H14055" s="69">
        <v>18.927083333333332</v>
      </c>
    </row>
    <row r="14056" spans="6:8">
      <c r="F14056" s="68" t="s">
        <v>255</v>
      </c>
      <c r="G14056" s="67" t="s">
        <v>602</v>
      </c>
      <c r="H14056" s="69">
        <v>0.85</v>
      </c>
    </row>
    <row r="14057" spans="6:8">
      <c r="F14057" s="68" t="s">
        <v>131</v>
      </c>
      <c r="G14057" s="67" t="s">
        <v>602</v>
      </c>
      <c r="H14057" s="69">
        <v>-0.53</v>
      </c>
    </row>
    <row r="14058" spans="6:8">
      <c r="F14058" s="68" t="s">
        <v>130</v>
      </c>
      <c r="G14058" s="67" t="s">
        <v>602</v>
      </c>
      <c r="H14058" s="69">
        <v>-0.8</v>
      </c>
    </row>
    <row r="14059" spans="6:8">
      <c r="F14059" s="68" t="s">
        <v>567</v>
      </c>
      <c r="G14059" s="67" t="s">
        <v>602</v>
      </c>
      <c r="H14059" s="69">
        <v>-0.51</v>
      </c>
    </row>
    <row r="14060" spans="6:8">
      <c r="F14060" s="68" t="s">
        <v>421</v>
      </c>
      <c r="G14060" s="67" t="s">
        <v>602</v>
      </c>
      <c r="H14060" s="69">
        <v>2.4786441149950988</v>
      </c>
    </row>
    <row r="14061" spans="6:8">
      <c r="F14061" s="68" t="s">
        <v>304</v>
      </c>
      <c r="G14061" s="67" t="s">
        <v>602</v>
      </c>
      <c r="H14061" s="69">
        <v>17.916666666666668</v>
      </c>
    </row>
    <row r="14062" spans="6:8">
      <c r="F14062" s="68" t="s">
        <v>254</v>
      </c>
      <c r="G14062" s="67" t="s">
        <v>602</v>
      </c>
      <c r="H14062" s="69">
        <v>0.67</v>
      </c>
    </row>
    <row r="14063" spans="6:8">
      <c r="F14063" s="68" t="s">
        <v>129</v>
      </c>
      <c r="G14063" s="67" t="s">
        <v>602</v>
      </c>
      <c r="H14063" s="69">
        <v>-0.57999999999999996</v>
      </c>
    </row>
    <row r="14064" spans="6:8">
      <c r="F14064" s="68" t="s">
        <v>128</v>
      </c>
      <c r="G14064" s="67" t="s">
        <v>602</v>
      </c>
      <c r="H14064" s="69">
        <v>-0.7</v>
      </c>
    </row>
    <row r="14065" spans="6:8">
      <c r="F14065" s="68" t="s">
        <v>315</v>
      </c>
      <c r="G14065" s="67" t="s">
        <v>602</v>
      </c>
      <c r="H14065" s="69">
        <v>-0.11</v>
      </c>
    </row>
    <row r="14066" spans="6:8">
      <c r="F14066" s="68" t="s">
        <v>253</v>
      </c>
      <c r="G14066" s="67" t="s">
        <v>602</v>
      </c>
      <c r="H14066" s="69">
        <v>0.49</v>
      </c>
    </row>
    <row r="14067" spans="6:8">
      <c r="F14067" s="68" t="s">
        <v>127</v>
      </c>
      <c r="G14067" s="67" t="s">
        <v>602</v>
      </c>
      <c r="H14067" s="69">
        <v>-0.45</v>
      </c>
    </row>
    <row r="14068" spans="6:8">
      <c r="F14068" s="68" t="s">
        <v>126</v>
      </c>
      <c r="G14068" s="67" t="s">
        <v>602</v>
      </c>
      <c r="H14068" s="69">
        <v>-0.77</v>
      </c>
    </row>
    <row r="14069" spans="6:8">
      <c r="F14069" s="68" t="s">
        <v>125</v>
      </c>
      <c r="G14069" s="67" t="s">
        <v>602</v>
      </c>
      <c r="H14069" s="69">
        <v>-0.4</v>
      </c>
    </row>
    <row r="14070" spans="6:8">
      <c r="F14070" s="68" t="s">
        <v>314</v>
      </c>
      <c r="G14070" s="67" t="s">
        <v>602</v>
      </c>
      <c r="H14070" s="69">
        <v>-0.3</v>
      </c>
    </row>
    <row r="14071" spans="6:8">
      <c r="F14071" s="68" t="s">
        <v>252</v>
      </c>
      <c r="G14071" s="67" t="s">
        <v>602</v>
      </c>
      <c r="H14071" s="69">
        <v>0.35</v>
      </c>
    </row>
    <row r="14072" spans="6:8">
      <c r="F14072" s="68" t="s">
        <v>124</v>
      </c>
      <c r="G14072" s="67" t="s">
        <v>602</v>
      </c>
      <c r="H14072" s="69">
        <v>-0.45</v>
      </c>
    </row>
    <row r="14073" spans="6:8">
      <c r="F14073" s="68" t="s">
        <v>123</v>
      </c>
      <c r="G14073" s="67" t="s">
        <v>602</v>
      </c>
      <c r="H14073" s="69">
        <v>-0.77</v>
      </c>
    </row>
    <row r="14074" spans="6:8">
      <c r="F14074" s="68" t="s">
        <v>122</v>
      </c>
      <c r="G14074" s="67" t="s">
        <v>602</v>
      </c>
      <c r="H14074" s="69">
        <v>-0.53</v>
      </c>
    </row>
    <row r="14075" spans="6:8">
      <c r="F14075" s="68" t="s">
        <v>420</v>
      </c>
      <c r="G14075" s="67" t="s">
        <v>602</v>
      </c>
      <c r="H14075" s="69">
        <v>3.4727016332033234</v>
      </c>
    </row>
    <row r="14076" spans="6:8">
      <c r="F14076" s="68" t="s">
        <v>251</v>
      </c>
      <c r="G14076" s="67" t="s">
        <v>602</v>
      </c>
      <c r="H14076" s="69">
        <v>0.25</v>
      </c>
    </row>
    <row r="14077" spans="6:8">
      <c r="F14077" s="68" t="s">
        <v>121</v>
      </c>
      <c r="G14077" s="67" t="s">
        <v>602</v>
      </c>
      <c r="H14077" s="69">
        <v>-0.55000000000000004</v>
      </c>
    </row>
    <row r="14078" spans="6:8">
      <c r="F14078" s="68" t="s">
        <v>120</v>
      </c>
      <c r="G14078" s="67" t="s">
        <v>602</v>
      </c>
      <c r="H14078" s="69">
        <v>-0.65</v>
      </c>
    </row>
    <row r="14079" spans="6:8">
      <c r="F14079" s="68" t="s">
        <v>119</v>
      </c>
      <c r="G14079" s="67" t="s">
        <v>602</v>
      </c>
      <c r="H14079" s="69">
        <v>-0.57999999999999996</v>
      </c>
    </row>
    <row r="14080" spans="6:8">
      <c r="F14080" s="68" t="s">
        <v>119</v>
      </c>
      <c r="G14080" s="67" t="s">
        <v>603</v>
      </c>
      <c r="H14080" s="69">
        <v>-0.57999999999999996</v>
      </c>
    </row>
    <row r="14081" spans="6:8">
      <c r="F14081" s="68" t="s">
        <v>120</v>
      </c>
      <c r="G14081" s="67" t="s">
        <v>603</v>
      </c>
      <c r="H14081" s="69">
        <v>-0.65</v>
      </c>
    </row>
    <row r="14082" spans="6:8">
      <c r="F14082" s="68" t="s">
        <v>121</v>
      </c>
      <c r="G14082" s="67" t="s">
        <v>603</v>
      </c>
      <c r="H14082" s="69">
        <v>-0.55000000000000004</v>
      </c>
    </row>
    <row r="14083" spans="6:8">
      <c r="F14083" s="68" t="s">
        <v>251</v>
      </c>
      <c r="G14083" s="67" t="s">
        <v>603</v>
      </c>
      <c r="H14083" s="69">
        <v>0.25</v>
      </c>
    </row>
    <row r="14084" spans="6:8">
      <c r="F14084" s="68" t="s">
        <v>420</v>
      </c>
      <c r="G14084" s="67" t="s">
        <v>603</v>
      </c>
      <c r="H14084" s="69">
        <v>3.5066269417846296</v>
      </c>
    </row>
    <row r="14085" spans="6:8">
      <c r="F14085" s="68" t="s">
        <v>122</v>
      </c>
      <c r="G14085" s="67" t="s">
        <v>603</v>
      </c>
      <c r="H14085" s="69">
        <v>-0.53</v>
      </c>
    </row>
    <row r="14086" spans="6:8">
      <c r="F14086" s="68" t="s">
        <v>123</v>
      </c>
      <c r="G14086" s="67" t="s">
        <v>603</v>
      </c>
      <c r="H14086" s="69">
        <v>-0.77</v>
      </c>
    </row>
    <row r="14087" spans="6:8">
      <c r="F14087" s="68" t="s">
        <v>124</v>
      </c>
      <c r="G14087" s="67" t="s">
        <v>603</v>
      </c>
      <c r="H14087" s="69">
        <v>-0.45</v>
      </c>
    </row>
    <row r="14088" spans="6:8">
      <c r="F14088" s="68" t="s">
        <v>252</v>
      </c>
      <c r="G14088" s="67" t="s">
        <v>603</v>
      </c>
      <c r="H14088" s="69">
        <v>0.35</v>
      </c>
    </row>
    <row r="14089" spans="6:8">
      <c r="F14089" s="68" t="s">
        <v>314</v>
      </c>
      <c r="G14089" s="67" t="s">
        <v>603</v>
      </c>
      <c r="H14089" s="69">
        <v>-0.3</v>
      </c>
    </row>
    <row r="14090" spans="6:8">
      <c r="F14090" s="68" t="s">
        <v>125</v>
      </c>
      <c r="G14090" s="67" t="s">
        <v>603</v>
      </c>
      <c r="H14090" s="69">
        <v>-0.4</v>
      </c>
    </row>
    <row r="14091" spans="6:8">
      <c r="F14091" s="68" t="s">
        <v>126</v>
      </c>
      <c r="G14091" s="67" t="s">
        <v>603</v>
      </c>
      <c r="H14091" s="69">
        <v>-0.77</v>
      </c>
    </row>
    <row r="14092" spans="6:8">
      <c r="F14092" s="68" t="s">
        <v>127</v>
      </c>
      <c r="G14092" s="67" t="s">
        <v>603</v>
      </c>
      <c r="H14092" s="69">
        <v>-0.45</v>
      </c>
    </row>
    <row r="14093" spans="6:8">
      <c r="F14093" s="68" t="s">
        <v>253</v>
      </c>
      <c r="G14093" s="67" t="s">
        <v>603</v>
      </c>
      <c r="H14093" s="69">
        <v>0.49</v>
      </c>
    </row>
    <row r="14094" spans="6:8">
      <c r="F14094" s="68" t="s">
        <v>315</v>
      </c>
      <c r="G14094" s="67" t="s">
        <v>603</v>
      </c>
      <c r="H14094" s="69">
        <v>-0.11</v>
      </c>
    </row>
    <row r="14095" spans="6:8">
      <c r="F14095" s="68" t="s">
        <v>128</v>
      </c>
      <c r="G14095" s="67" t="s">
        <v>603</v>
      </c>
      <c r="H14095" s="69">
        <v>-0.7</v>
      </c>
    </row>
    <row r="14096" spans="6:8">
      <c r="F14096" s="68" t="s">
        <v>129</v>
      </c>
      <c r="G14096" s="67" t="s">
        <v>603</v>
      </c>
      <c r="H14096" s="69">
        <v>-0.57999999999999996</v>
      </c>
    </row>
    <row r="14097" spans="6:8">
      <c r="F14097" s="68" t="s">
        <v>254</v>
      </c>
      <c r="G14097" s="67" t="s">
        <v>603</v>
      </c>
      <c r="H14097" s="69">
        <v>0.67</v>
      </c>
    </row>
    <row r="14098" spans="6:8">
      <c r="F14098" s="68" t="s">
        <v>304</v>
      </c>
      <c r="G14098" s="67" t="s">
        <v>603</v>
      </c>
      <c r="H14098" s="69">
        <v>17.875</v>
      </c>
    </row>
    <row r="14099" spans="6:8">
      <c r="F14099" s="68" t="s">
        <v>421</v>
      </c>
      <c r="G14099" s="67" t="s">
        <v>603</v>
      </c>
      <c r="H14099" s="69">
        <v>2.5049365848162086</v>
      </c>
    </row>
    <row r="14100" spans="6:8">
      <c r="F14100" s="68" t="s">
        <v>567</v>
      </c>
      <c r="G14100" s="67" t="s">
        <v>603</v>
      </c>
      <c r="H14100" s="69">
        <v>-0.51</v>
      </c>
    </row>
    <row r="14101" spans="6:8">
      <c r="F14101" s="68" t="s">
        <v>130</v>
      </c>
      <c r="G14101" s="67" t="s">
        <v>603</v>
      </c>
      <c r="H14101" s="69">
        <v>-0.8</v>
      </c>
    </row>
    <row r="14102" spans="6:8">
      <c r="F14102" s="68" t="s">
        <v>131</v>
      </c>
      <c r="G14102" s="67" t="s">
        <v>603</v>
      </c>
      <c r="H14102" s="69">
        <v>-0.53</v>
      </c>
    </row>
    <row r="14103" spans="6:8">
      <c r="F14103" s="68" t="s">
        <v>255</v>
      </c>
      <c r="G14103" s="67" t="s">
        <v>603</v>
      </c>
      <c r="H14103" s="69">
        <v>0.85</v>
      </c>
    </row>
    <row r="14104" spans="6:8">
      <c r="F14104" s="68" t="s">
        <v>303</v>
      </c>
      <c r="G14104" s="67" t="s">
        <v>603</v>
      </c>
      <c r="H14104" s="69">
        <v>18.96875</v>
      </c>
    </row>
    <row r="14105" spans="6:8">
      <c r="F14105" s="68" t="s">
        <v>422</v>
      </c>
      <c r="G14105" s="67" t="s">
        <v>603</v>
      </c>
      <c r="H14105" s="69">
        <v>2.5110604418950633</v>
      </c>
    </row>
    <row r="14106" spans="6:8">
      <c r="F14106" s="68" t="s">
        <v>568</v>
      </c>
      <c r="G14106" s="67" t="s">
        <v>603</v>
      </c>
      <c r="H14106" s="69">
        <v>-0.2</v>
      </c>
    </row>
    <row r="14107" spans="6:8">
      <c r="F14107" s="68" t="s">
        <v>132</v>
      </c>
      <c r="G14107" s="67" t="s">
        <v>603</v>
      </c>
      <c r="H14107" s="69">
        <v>-0.7</v>
      </c>
    </row>
    <row r="14108" spans="6:8">
      <c r="F14108" s="68" t="s">
        <v>133</v>
      </c>
      <c r="G14108" s="67" t="s">
        <v>603</v>
      </c>
      <c r="H14108" s="69">
        <v>-0.6</v>
      </c>
    </row>
    <row r="14109" spans="6:8">
      <c r="F14109" s="68" t="s">
        <v>256</v>
      </c>
      <c r="G14109" s="67" t="s">
        <v>603</v>
      </c>
      <c r="H14109" s="69">
        <v>0.96</v>
      </c>
    </row>
    <row r="14110" spans="6:8">
      <c r="F14110" s="68" t="s">
        <v>423</v>
      </c>
      <c r="G14110" s="67" t="s">
        <v>603</v>
      </c>
      <c r="H14110" s="69">
        <v>2.5614063425012823</v>
      </c>
    </row>
    <row r="14111" spans="6:8">
      <c r="F14111" s="68" t="s">
        <v>569</v>
      </c>
      <c r="G14111" s="67" t="s">
        <v>603</v>
      </c>
      <c r="H14111" s="69">
        <v>-0.06</v>
      </c>
    </row>
    <row r="14112" spans="6:8">
      <c r="F14112" s="68" t="s">
        <v>134</v>
      </c>
      <c r="G14112" s="67" t="s">
        <v>603</v>
      </c>
      <c r="H14112" s="69">
        <v>-0.65</v>
      </c>
    </row>
    <row r="14113" spans="6:8">
      <c r="F14113" s="68" t="s">
        <v>135</v>
      </c>
      <c r="G14113" s="67" t="s">
        <v>603</v>
      </c>
      <c r="H14113" s="69">
        <v>-0.7</v>
      </c>
    </row>
    <row r="14114" spans="6:8">
      <c r="F14114" s="68" t="s">
        <v>257</v>
      </c>
      <c r="G14114" s="67" t="s">
        <v>603</v>
      </c>
      <c r="H14114" s="69">
        <v>1</v>
      </c>
    </row>
    <row r="14115" spans="6:8">
      <c r="F14115" s="68" t="s">
        <v>258</v>
      </c>
      <c r="G14115" s="67" t="s">
        <v>603</v>
      </c>
      <c r="H14115" s="69">
        <v>0.15</v>
      </c>
    </row>
    <row r="14116" spans="6:8">
      <c r="F14116" s="68" t="s">
        <v>424</v>
      </c>
      <c r="G14116" s="67" t="s">
        <v>603</v>
      </c>
      <c r="H14116" s="69">
        <v>3.2957915871462795</v>
      </c>
    </row>
    <row r="14117" spans="6:8">
      <c r="F14117" s="68" t="s">
        <v>136</v>
      </c>
      <c r="G14117" s="67" t="s">
        <v>603</v>
      </c>
      <c r="H14117" s="69">
        <v>-0.68</v>
      </c>
    </row>
    <row r="14118" spans="6:8">
      <c r="F14118" s="68" t="s">
        <v>137</v>
      </c>
      <c r="G14118" s="67" t="s">
        <v>603</v>
      </c>
      <c r="H14118" s="69">
        <v>-0.6</v>
      </c>
    </row>
    <row r="14119" spans="6:8">
      <c r="F14119" s="68" t="s">
        <v>138</v>
      </c>
      <c r="G14119" s="67" t="s">
        <v>603</v>
      </c>
      <c r="H14119" s="69">
        <v>-0.6</v>
      </c>
    </row>
    <row r="14120" spans="6:8">
      <c r="F14120" s="68" t="s">
        <v>259</v>
      </c>
      <c r="G14120" s="67" t="s">
        <v>603</v>
      </c>
      <c r="H14120" s="69">
        <v>0.17</v>
      </c>
    </row>
    <row r="14121" spans="6:8">
      <c r="F14121" s="68" t="s">
        <v>425</v>
      </c>
      <c r="G14121" s="67" t="s">
        <v>603</v>
      </c>
      <c r="H14121" s="69">
        <v>3.2934765850797021</v>
      </c>
    </row>
    <row r="14122" spans="6:8">
      <c r="F14122" s="68" t="s">
        <v>425</v>
      </c>
      <c r="G14122" s="67" t="s">
        <v>604</v>
      </c>
      <c r="H14122" s="69">
        <v>3.2692306629097168</v>
      </c>
    </row>
    <row r="14123" spans="6:8">
      <c r="F14123" s="68" t="s">
        <v>259</v>
      </c>
      <c r="G14123" s="67" t="s">
        <v>604</v>
      </c>
      <c r="H14123" s="69">
        <v>0.17</v>
      </c>
    </row>
    <row r="14124" spans="6:8">
      <c r="F14124" s="68" t="s">
        <v>138</v>
      </c>
      <c r="G14124" s="67" t="s">
        <v>604</v>
      </c>
      <c r="H14124" s="69">
        <v>-0.6</v>
      </c>
    </row>
    <row r="14125" spans="6:8">
      <c r="F14125" s="68" t="s">
        <v>137</v>
      </c>
      <c r="G14125" s="67" t="s">
        <v>604</v>
      </c>
      <c r="H14125" s="69">
        <v>-0.6</v>
      </c>
    </row>
    <row r="14126" spans="6:8">
      <c r="F14126" s="68" t="s">
        <v>136</v>
      </c>
      <c r="G14126" s="67" t="s">
        <v>604</v>
      </c>
      <c r="H14126" s="69">
        <v>-0.68</v>
      </c>
    </row>
    <row r="14127" spans="6:8">
      <c r="F14127" s="68" t="s">
        <v>424</v>
      </c>
      <c r="G14127" s="67" t="s">
        <v>604</v>
      </c>
      <c r="H14127" s="69">
        <v>3.2731427002361535</v>
      </c>
    </row>
    <row r="14128" spans="6:8">
      <c r="F14128" s="68" t="s">
        <v>258</v>
      </c>
      <c r="G14128" s="67" t="s">
        <v>604</v>
      </c>
      <c r="H14128" s="69">
        <v>0.15</v>
      </c>
    </row>
    <row r="14129" spans="6:8">
      <c r="F14129" s="68" t="s">
        <v>257</v>
      </c>
      <c r="G14129" s="67" t="s">
        <v>604</v>
      </c>
      <c r="H14129" s="69">
        <v>1</v>
      </c>
    </row>
    <row r="14130" spans="6:8">
      <c r="F14130" s="68" t="s">
        <v>135</v>
      </c>
      <c r="G14130" s="67" t="s">
        <v>604</v>
      </c>
      <c r="H14130" s="69">
        <v>-0.7</v>
      </c>
    </row>
    <row r="14131" spans="6:8">
      <c r="F14131" s="68" t="s">
        <v>134</v>
      </c>
      <c r="G14131" s="67" t="s">
        <v>604</v>
      </c>
      <c r="H14131" s="69">
        <v>-0.65</v>
      </c>
    </row>
    <row r="14132" spans="6:8">
      <c r="F14132" s="68" t="s">
        <v>569</v>
      </c>
      <c r="G14132" s="67" t="s">
        <v>604</v>
      </c>
      <c r="H14132" s="69">
        <v>-0.06</v>
      </c>
    </row>
    <row r="14133" spans="6:8">
      <c r="F14133" s="68" t="s">
        <v>423</v>
      </c>
      <c r="G14133" s="67" t="s">
        <v>604</v>
      </c>
      <c r="H14133" s="69">
        <v>2.5331539836706884</v>
      </c>
    </row>
    <row r="14134" spans="6:8">
      <c r="F14134" s="68" t="s">
        <v>256</v>
      </c>
      <c r="G14134" s="67" t="s">
        <v>604</v>
      </c>
      <c r="H14134" s="69">
        <v>0.96</v>
      </c>
    </row>
    <row r="14135" spans="6:8">
      <c r="F14135" s="68" t="s">
        <v>133</v>
      </c>
      <c r="G14135" s="67" t="s">
        <v>604</v>
      </c>
      <c r="H14135" s="69">
        <v>-0.6</v>
      </c>
    </row>
    <row r="14136" spans="6:8">
      <c r="F14136" s="68" t="s">
        <v>132</v>
      </c>
      <c r="G14136" s="67" t="s">
        <v>604</v>
      </c>
      <c r="H14136" s="69">
        <v>-0.7</v>
      </c>
    </row>
    <row r="14137" spans="6:8">
      <c r="F14137" s="68" t="s">
        <v>568</v>
      </c>
      <c r="G14137" s="67" t="s">
        <v>604</v>
      </c>
      <c r="H14137" s="69">
        <v>-0.2</v>
      </c>
    </row>
    <row r="14138" spans="6:8">
      <c r="F14138" s="68" t="s">
        <v>422</v>
      </c>
      <c r="G14138" s="67" t="s">
        <v>604</v>
      </c>
      <c r="H14138" s="69">
        <v>2.4812499908267505</v>
      </c>
    </row>
    <row r="14139" spans="6:8">
      <c r="F14139" s="68" t="s">
        <v>303</v>
      </c>
      <c r="G14139" s="67" t="s">
        <v>604</v>
      </c>
      <c r="H14139" s="69">
        <v>18.947916666666668</v>
      </c>
    </row>
    <row r="14140" spans="6:8">
      <c r="F14140" s="68" t="s">
        <v>255</v>
      </c>
      <c r="G14140" s="67" t="s">
        <v>604</v>
      </c>
      <c r="H14140" s="69">
        <v>0.85</v>
      </c>
    </row>
    <row r="14141" spans="6:8">
      <c r="F14141" s="68" t="s">
        <v>131</v>
      </c>
      <c r="G14141" s="67" t="s">
        <v>604</v>
      </c>
      <c r="H14141" s="69">
        <v>-0.53</v>
      </c>
    </row>
    <row r="14142" spans="6:8">
      <c r="F14142" s="68" t="s">
        <v>130</v>
      </c>
      <c r="G14142" s="67" t="s">
        <v>604</v>
      </c>
      <c r="H14142" s="69">
        <v>-0.8</v>
      </c>
    </row>
    <row r="14143" spans="6:8">
      <c r="F14143" s="68" t="s">
        <v>567</v>
      </c>
      <c r="G14143" s="67" t="s">
        <v>604</v>
      </c>
      <c r="H14143" s="69">
        <v>-0.51</v>
      </c>
    </row>
    <row r="14144" spans="6:8">
      <c r="F14144" s="68" t="s">
        <v>421</v>
      </c>
      <c r="G14144" s="67" t="s">
        <v>604</v>
      </c>
      <c r="H14144" s="69">
        <v>2.4750468247071833</v>
      </c>
    </row>
    <row r="14145" spans="6:8">
      <c r="F14145" s="68" t="s">
        <v>304</v>
      </c>
      <c r="G14145" s="67" t="s">
        <v>604</v>
      </c>
      <c r="H14145" s="69">
        <v>17.864583333333332</v>
      </c>
    </row>
    <row r="14146" spans="6:8">
      <c r="F14146" s="68" t="s">
        <v>254</v>
      </c>
      <c r="G14146" s="67" t="s">
        <v>604</v>
      </c>
      <c r="H14146" s="69">
        <v>0.67</v>
      </c>
    </row>
    <row r="14147" spans="6:8">
      <c r="F14147" s="68" t="s">
        <v>129</v>
      </c>
      <c r="G14147" s="67" t="s">
        <v>604</v>
      </c>
      <c r="H14147" s="69">
        <v>-0.57999999999999996</v>
      </c>
    </row>
    <row r="14148" spans="6:8">
      <c r="F14148" s="68" t="s">
        <v>128</v>
      </c>
      <c r="G14148" s="67" t="s">
        <v>604</v>
      </c>
      <c r="H14148" s="69">
        <v>-0.7</v>
      </c>
    </row>
    <row r="14149" spans="6:8">
      <c r="F14149" s="68" t="s">
        <v>315</v>
      </c>
      <c r="G14149" s="67" t="s">
        <v>604</v>
      </c>
      <c r="H14149" s="69">
        <v>-0.11</v>
      </c>
    </row>
    <row r="14150" spans="6:8">
      <c r="F14150" s="68" t="s">
        <v>253</v>
      </c>
      <c r="G14150" s="67" t="s">
        <v>604</v>
      </c>
      <c r="H14150" s="69">
        <v>0.49</v>
      </c>
    </row>
    <row r="14151" spans="6:8">
      <c r="F14151" s="68" t="s">
        <v>127</v>
      </c>
      <c r="G14151" s="67" t="s">
        <v>604</v>
      </c>
      <c r="H14151" s="69">
        <v>-0.45</v>
      </c>
    </row>
    <row r="14152" spans="6:8">
      <c r="F14152" s="68" t="s">
        <v>126</v>
      </c>
      <c r="G14152" s="67" t="s">
        <v>604</v>
      </c>
      <c r="H14152" s="69">
        <v>-0.77</v>
      </c>
    </row>
    <row r="14153" spans="6:8">
      <c r="F14153" s="68" t="s">
        <v>125</v>
      </c>
      <c r="G14153" s="67" t="s">
        <v>604</v>
      </c>
      <c r="H14153" s="69">
        <v>-0.4</v>
      </c>
    </row>
    <row r="14154" spans="6:8">
      <c r="F14154" s="68" t="s">
        <v>314</v>
      </c>
      <c r="G14154" s="67" t="s">
        <v>604</v>
      </c>
      <c r="H14154" s="69">
        <v>-0.3</v>
      </c>
    </row>
    <row r="14155" spans="6:8">
      <c r="F14155" s="68" t="s">
        <v>252</v>
      </c>
      <c r="G14155" s="67" t="s">
        <v>604</v>
      </c>
      <c r="H14155" s="69">
        <v>0.35</v>
      </c>
    </row>
    <row r="14156" spans="6:8">
      <c r="F14156" s="68" t="s">
        <v>124</v>
      </c>
      <c r="G14156" s="67" t="s">
        <v>604</v>
      </c>
      <c r="H14156" s="69">
        <v>-0.45</v>
      </c>
    </row>
    <row r="14157" spans="6:8">
      <c r="F14157" s="68" t="s">
        <v>123</v>
      </c>
      <c r="G14157" s="67" t="s">
        <v>604</v>
      </c>
      <c r="H14157" s="69">
        <v>-0.77</v>
      </c>
    </row>
    <row r="14158" spans="6:8">
      <c r="F14158" s="68" t="s">
        <v>122</v>
      </c>
      <c r="G14158" s="67" t="s">
        <v>604</v>
      </c>
      <c r="H14158" s="69">
        <v>-0.53</v>
      </c>
    </row>
    <row r="14159" spans="6:8">
      <c r="F14159" s="68" t="s">
        <v>420</v>
      </c>
      <c r="G14159" s="67" t="s">
        <v>604</v>
      </c>
      <c r="H14159" s="69">
        <v>3.4840318134841564</v>
      </c>
    </row>
    <row r="14160" spans="6:8">
      <c r="F14160" s="68" t="s">
        <v>251</v>
      </c>
      <c r="G14160" s="67" t="s">
        <v>604</v>
      </c>
      <c r="H14160" s="69">
        <v>0.25</v>
      </c>
    </row>
    <row r="14161" spans="6:8">
      <c r="F14161" s="68" t="s">
        <v>121</v>
      </c>
      <c r="G14161" s="67" t="s">
        <v>604</v>
      </c>
      <c r="H14161" s="69">
        <v>-0.55000000000000004</v>
      </c>
    </row>
    <row r="14162" spans="6:8">
      <c r="F14162" s="68" t="s">
        <v>120</v>
      </c>
      <c r="G14162" s="67" t="s">
        <v>604</v>
      </c>
      <c r="H14162" s="69">
        <v>-0.65</v>
      </c>
    </row>
    <row r="14163" spans="6:8">
      <c r="F14163" s="68" t="s">
        <v>119</v>
      </c>
      <c r="G14163" s="67" t="s">
        <v>604</v>
      </c>
      <c r="H14163" s="69">
        <v>-0.57999999999999996</v>
      </c>
    </row>
    <row r="14164" spans="6:8">
      <c r="F14164" s="68" t="s">
        <v>119</v>
      </c>
      <c r="G14164" s="67" t="s">
        <v>605</v>
      </c>
      <c r="H14164" s="69">
        <v>-0.57999999999999996</v>
      </c>
    </row>
    <row r="14165" spans="6:8">
      <c r="F14165" s="68" t="s">
        <v>120</v>
      </c>
      <c r="G14165" s="67" t="s">
        <v>605</v>
      </c>
      <c r="H14165" s="69">
        <v>-0.65</v>
      </c>
    </row>
    <row r="14166" spans="6:8">
      <c r="F14166" s="68" t="s">
        <v>121</v>
      </c>
      <c r="G14166" s="67" t="s">
        <v>605</v>
      </c>
      <c r="H14166" s="69">
        <v>-0.55000000000000004</v>
      </c>
    </row>
    <row r="14167" spans="6:8">
      <c r="F14167" s="68" t="s">
        <v>251</v>
      </c>
      <c r="G14167" s="67" t="s">
        <v>605</v>
      </c>
      <c r="H14167" s="69">
        <v>0.25</v>
      </c>
    </row>
    <row r="14168" spans="6:8">
      <c r="F14168" s="68" t="s">
        <v>420</v>
      </c>
      <c r="G14168" s="67" t="s">
        <v>605</v>
      </c>
      <c r="H14168" s="69">
        <v>3.429556052702365</v>
      </c>
    </row>
    <row r="14169" spans="6:8">
      <c r="F14169" s="68" t="s">
        <v>122</v>
      </c>
      <c r="G14169" s="67" t="s">
        <v>605</v>
      </c>
      <c r="H14169" s="69">
        <v>-0.53</v>
      </c>
    </row>
    <row r="14170" spans="6:8">
      <c r="F14170" s="68" t="s">
        <v>123</v>
      </c>
      <c r="G14170" s="67" t="s">
        <v>605</v>
      </c>
      <c r="H14170" s="69">
        <v>-0.77</v>
      </c>
    </row>
    <row r="14171" spans="6:8">
      <c r="F14171" s="68" t="s">
        <v>124</v>
      </c>
      <c r="G14171" s="67" t="s">
        <v>605</v>
      </c>
      <c r="H14171" s="69">
        <v>-0.45</v>
      </c>
    </row>
    <row r="14172" spans="6:8">
      <c r="F14172" s="68" t="s">
        <v>252</v>
      </c>
      <c r="G14172" s="67" t="s">
        <v>605</v>
      </c>
      <c r="H14172" s="69">
        <v>0.35</v>
      </c>
    </row>
    <row r="14173" spans="6:8">
      <c r="F14173" s="68" t="s">
        <v>314</v>
      </c>
      <c r="G14173" s="67" t="s">
        <v>605</v>
      </c>
      <c r="H14173" s="69">
        <v>-0.3</v>
      </c>
    </row>
    <row r="14174" spans="6:8">
      <c r="F14174" s="68" t="s">
        <v>125</v>
      </c>
      <c r="G14174" s="67" t="s">
        <v>605</v>
      </c>
      <c r="H14174" s="69">
        <v>-0.4</v>
      </c>
    </row>
    <row r="14175" spans="6:8">
      <c r="F14175" s="68" t="s">
        <v>126</v>
      </c>
      <c r="G14175" s="67" t="s">
        <v>605</v>
      </c>
      <c r="H14175" s="69">
        <v>-0.77</v>
      </c>
    </row>
    <row r="14176" spans="6:8">
      <c r="F14176" s="68" t="s">
        <v>127</v>
      </c>
      <c r="G14176" s="67" t="s">
        <v>605</v>
      </c>
      <c r="H14176" s="69">
        <v>-0.45</v>
      </c>
    </row>
    <row r="14177" spans="6:8">
      <c r="F14177" s="68" t="s">
        <v>253</v>
      </c>
      <c r="G14177" s="67" t="s">
        <v>605</v>
      </c>
      <c r="H14177" s="69">
        <v>0.49</v>
      </c>
    </row>
    <row r="14178" spans="6:8">
      <c r="F14178" s="68" t="s">
        <v>315</v>
      </c>
      <c r="G14178" s="67" t="s">
        <v>605</v>
      </c>
      <c r="H14178" s="69">
        <v>-0.11</v>
      </c>
    </row>
    <row r="14179" spans="6:8">
      <c r="F14179" s="68" t="s">
        <v>128</v>
      </c>
      <c r="G14179" s="67" t="s">
        <v>605</v>
      </c>
      <c r="H14179" s="69">
        <v>-0.7</v>
      </c>
    </row>
    <row r="14180" spans="6:8">
      <c r="F14180" s="68" t="s">
        <v>129</v>
      </c>
      <c r="G14180" s="67" t="s">
        <v>605</v>
      </c>
      <c r="H14180" s="69">
        <v>-0.57999999999999996</v>
      </c>
    </row>
    <row r="14181" spans="6:8">
      <c r="F14181" s="68" t="s">
        <v>254</v>
      </c>
      <c r="G14181" s="67" t="s">
        <v>605</v>
      </c>
      <c r="H14181" s="69">
        <v>0.67</v>
      </c>
    </row>
    <row r="14182" spans="6:8">
      <c r="F14182" s="68" t="s">
        <v>304</v>
      </c>
      <c r="G14182" s="67" t="s">
        <v>605</v>
      </c>
      <c r="H14182" s="69">
        <v>17.895833333333332</v>
      </c>
    </row>
    <row r="14183" spans="6:8">
      <c r="F14183" s="68" t="s">
        <v>421</v>
      </c>
      <c r="G14183" s="67" t="s">
        <v>605</v>
      </c>
      <c r="H14183" s="69">
        <v>2.3940700527553371</v>
      </c>
    </row>
    <row r="14184" spans="6:8">
      <c r="F14184" s="68" t="s">
        <v>567</v>
      </c>
      <c r="G14184" s="67" t="s">
        <v>605</v>
      </c>
      <c r="H14184" s="69">
        <v>-0.51</v>
      </c>
    </row>
    <row r="14185" spans="6:8">
      <c r="F14185" s="68" t="s">
        <v>130</v>
      </c>
      <c r="G14185" s="67" t="s">
        <v>605</v>
      </c>
      <c r="H14185" s="69">
        <v>-0.8</v>
      </c>
    </row>
    <row r="14186" spans="6:8">
      <c r="F14186" s="68" t="s">
        <v>131</v>
      </c>
      <c r="G14186" s="67" t="s">
        <v>605</v>
      </c>
      <c r="H14186" s="69">
        <v>-0.53</v>
      </c>
    </row>
    <row r="14187" spans="6:8">
      <c r="F14187" s="68" t="s">
        <v>255</v>
      </c>
      <c r="G14187" s="67" t="s">
        <v>605</v>
      </c>
      <c r="H14187" s="69">
        <v>0.85</v>
      </c>
    </row>
    <row r="14188" spans="6:8">
      <c r="F14188" s="68" t="s">
        <v>303</v>
      </c>
      <c r="G14188" s="67" t="s">
        <v>605</v>
      </c>
      <c r="H14188" s="69">
        <v>18.927083333333332</v>
      </c>
    </row>
    <row r="14189" spans="6:8">
      <c r="F14189" s="68" t="s">
        <v>422</v>
      </c>
      <c r="G14189" s="67" t="s">
        <v>605</v>
      </c>
      <c r="H14189" s="69">
        <v>2.4003145026064487</v>
      </c>
    </row>
    <row r="14190" spans="6:8">
      <c r="F14190" s="68" t="s">
        <v>568</v>
      </c>
      <c r="G14190" s="67" t="s">
        <v>605</v>
      </c>
      <c r="H14190" s="69">
        <v>-0.2</v>
      </c>
    </row>
    <row r="14191" spans="6:8">
      <c r="F14191" s="68" t="s">
        <v>132</v>
      </c>
      <c r="G14191" s="67" t="s">
        <v>605</v>
      </c>
      <c r="H14191" s="69">
        <v>-0.7</v>
      </c>
    </row>
    <row r="14192" spans="6:8">
      <c r="F14192" s="68" t="s">
        <v>133</v>
      </c>
      <c r="G14192" s="67" t="s">
        <v>605</v>
      </c>
      <c r="H14192" s="69">
        <v>-0.6</v>
      </c>
    </row>
    <row r="14193" spans="6:8">
      <c r="F14193" s="68" t="s">
        <v>256</v>
      </c>
      <c r="G14193" s="67" t="s">
        <v>605</v>
      </c>
      <c r="H14193" s="69">
        <v>0.96</v>
      </c>
    </row>
    <row r="14194" spans="6:8">
      <c r="F14194" s="68" t="s">
        <v>423</v>
      </c>
      <c r="G14194" s="67" t="s">
        <v>605</v>
      </c>
      <c r="H14194" s="69">
        <v>2.4573405629274792</v>
      </c>
    </row>
    <row r="14195" spans="6:8">
      <c r="F14195" s="68" t="s">
        <v>569</v>
      </c>
      <c r="G14195" s="67" t="s">
        <v>605</v>
      </c>
      <c r="H14195" s="69">
        <v>-0.06</v>
      </c>
    </row>
    <row r="14196" spans="6:8">
      <c r="F14196" s="68" t="s">
        <v>134</v>
      </c>
      <c r="G14196" s="67" t="s">
        <v>605</v>
      </c>
      <c r="H14196" s="69">
        <v>-0.65</v>
      </c>
    </row>
    <row r="14197" spans="6:8">
      <c r="F14197" s="68" t="s">
        <v>135</v>
      </c>
      <c r="G14197" s="67" t="s">
        <v>605</v>
      </c>
      <c r="H14197" s="69">
        <v>-0.7</v>
      </c>
    </row>
    <row r="14198" spans="6:8">
      <c r="F14198" s="68" t="s">
        <v>257</v>
      </c>
      <c r="G14198" s="67" t="s">
        <v>605</v>
      </c>
      <c r="H14198" s="69">
        <v>1</v>
      </c>
    </row>
    <row r="14199" spans="6:8">
      <c r="F14199" s="68" t="s">
        <v>258</v>
      </c>
      <c r="G14199" s="67" t="s">
        <v>605</v>
      </c>
      <c r="H14199" s="69">
        <v>0.15</v>
      </c>
    </row>
    <row r="14200" spans="6:8">
      <c r="F14200" s="68" t="s">
        <v>424</v>
      </c>
      <c r="G14200" s="67" t="s">
        <v>605</v>
      </c>
      <c r="H14200" s="69">
        <v>3.215351699224156</v>
      </c>
    </row>
    <row r="14201" spans="6:8">
      <c r="F14201" s="68" t="s">
        <v>136</v>
      </c>
      <c r="G14201" s="67" t="s">
        <v>605</v>
      </c>
      <c r="H14201" s="69">
        <v>-0.68</v>
      </c>
    </row>
    <row r="14202" spans="6:8">
      <c r="F14202" s="68" t="s">
        <v>137</v>
      </c>
      <c r="G14202" s="67" t="s">
        <v>605</v>
      </c>
      <c r="H14202" s="69">
        <v>-0.6</v>
      </c>
    </row>
    <row r="14203" spans="6:8">
      <c r="F14203" s="68" t="s">
        <v>138</v>
      </c>
      <c r="G14203" s="67" t="s">
        <v>605</v>
      </c>
      <c r="H14203" s="69">
        <v>-0.6</v>
      </c>
    </row>
    <row r="14204" spans="6:8">
      <c r="F14204" s="68" t="s">
        <v>259</v>
      </c>
      <c r="G14204" s="67" t="s">
        <v>605</v>
      </c>
      <c r="H14204" s="69">
        <v>0.17</v>
      </c>
    </row>
    <row r="14205" spans="6:8">
      <c r="F14205" s="68" t="s">
        <v>425</v>
      </c>
      <c r="G14205" s="67" t="s">
        <v>605</v>
      </c>
      <c r="H14205" s="69">
        <v>3.2111689663148812</v>
      </c>
    </row>
    <row r="14206" spans="6:8">
      <c r="F14206" s="68" t="s">
        <v>425</v>
      </c>
      <c r="G14206" s="67" t="s">
        <v>606</v>
      </c>
      <c r="H14206" s="69">
        <v>3.2093654808782901</v>
      </c>
    </row>
    <row r="14207" spans="6:8">
      <c r="F14207" s="68" t="s">
        <v>259</v>
      </c>
      <c r="G14207" s="67" t="s">
        <v>606</v>
      </c>
      <c r="H14207" s="69">
        <v>0.17</v>
      </c>
    </row>
    <row r="14208" spans="6:8">
      <c r="F14208" s="68" t="s">
        <v>138</v>
      </c>
      <c r="G14208" s="67" t="s">
        <v>606</v>
      </c>
      <c r="H14208" s="69">
        <v>-0.6</v>
      </c>
    </row>
    <row r="14209" spans="6:8">
      <c r="F14209" s="68" t="s">
        <v>137</v>
      </c>
      <c r="G14209" s="67" t="s">
        <v>606</v>
      </c>
      <c r="H14209" s="69">
        <v>-0.6</v>
      </c>
    </row>
    <row r="14210" spans="6:8">
      <c r="F14210" s="68" t="s">
        <v>136</v>
      </c>
      <c r="G14210" s="67" t="s">
        <v>606</v>
      </c>
      <c r="H14210" s="69">
        <v>-0.68</v>
      </c>
    </row>
    <row r="14211" spans="6:8">
      <c r="F14211" s="68" t="s">
        <v>424</v>
      </c>
      <c r="G14211" s="67" t="s">
        <v>606</v>
      </c>
      <c r="H14211" s="69">
        <v>3.1818463569242894</v>
      </c>
    </row>
    <row r="14212" spans="6:8">
      <c r="F14212" s="68" t="s">
        <v>258</v>
      </c>
      <c r="G14212" s="67" t="s">
        <v>606</v>
      </c>
      <c r="H14212" s="69">
        <v>0.15</v>
      </c>
    </row>
    <row r="14213" spans="6:8">
      <c r="F14213" s="68" t="s">
        <v>257</v>
      </c>
      <c r="G14213" s="67" t="s">
        <v>606</v>
      </c>
      <c r="H14213" s="69">
        <v>1</v>
      </c>
    </row>
    <row r="14214" spans="6:8">
      <c r="F14214" s="68" t="s">
        <v>135</v>
      </c>
      <c r="G14214" s="67" t="s">
        <v>606</v>
      </c>
      <c r="H14214" s="69">
        <v>-0.7</v>
      </c>
    </row>
    <row r="14215" spans="6:8">
      <c r="F14215" s="68" t="s">
        <v>134</v>
      </c>
      <c r="G14215" s="67" t="s">
        <v>606</v>
      </c>
      <c r="H14215" s="69">
        <v>-0.65</v>
      </c>
    </row>
    <row r="14216" spans="6:8">
      <c r="F14216" s="68" t="s">
        <v>569</v>
      </c>
      <c r="G14216" s="67" t="s">
        <v>606</v>
      </c>
      <c r="H14216" s="69">
        <v>-0.06</v>
      </c>
    </row>
    <row r="14217" spans="6:8">
      <c r="F14217" s="68" t="s">
        <v>423</v>
      </c>
      <c r="G14217" s="67" t="s">
        <v>606</v>
      </c>
      <c r="H14217" s="69">
        <v>2.4279498267826938</v>
      </c>
    </row>
    <row r="14218" spans="6:8">
      <c r="F14218" s="68" t="s">
        <v>256</v>
      </c>
      <c r="G14218" s="67" t="s">
        <v>606</v>
      </c>
      <c r="H14218" s="69">
        <v>0.96</v>
      </c>
    </row>
    <row r="14219" spans="6:8">
      <c r="F14219" s="68" t="s">
        <v>133</v>
      </c>
      <c r="G14219" s="67" t="s">
        <v>606</v>
      </c>
      <c r="H14219" s="69">
        <v>-0.6</v>
      </c>
    </row>
    <row r="14220" spans="6:8">
      <c r="F14220" s="68" t="s">
        <v>132</v>
      </c>
      <c r="G14220" s="67" t="s">
        <v>606</v>
      </c>
      <c r="H14220" s="69">
        <v>-0.7</v>
      </c>
    </row>
    <row r="14221" spans="6:8">
      <c r="F14221" s="68" t="s">
        <v>568</v>
      </c>
      <c r="G14221" s="67" t="s">
        <v>606</v>
      </c>
      <c r="H14221" s="69">
        <v>-0.2</v>
      </c>
    </row>
    <row r="14222" spans="6:8">
      <c r="F14222" s="68" t="s">
        <v>422</v>
      </c>
      <c r="G14222" s="67" t="s">
        <v>606</v>
      </c>
      <c r="H14222" s="69">
        <v>2.3603347565764654</v>
      </c>
    </row>
    <row r="14223" spans="6:8">
      <c r="F14223" s="68" t="s">
        <v>303</v>
      </c>
      <c r="G14223" s="67" t="s">
        <v>606</v>
      </c>
      <c r="H14223" s="69">
        <v>18.90625</v>
      </c>
    </row>
    <row r="14224" spans="6:8">
      <c r="F14224" s="68" t="s">
        <v>255</v>
      </c>
      <c r="G14224" s="67" t="s">
        <v>606</v>
      </c>
      <c r="H14224" s="69">
        <v>0.85</v>
      </c>
    </row>
    <row r="14225" spans="6:8">
      <c r="F14225" s="68" t="s">
        <v>131</v>
      </c>
      <c r="G14225" s="67" t="s">
        <v>606</v>
      </c>
      <c r="H14225" s="69">
        <v>-0.53</v>
      </c>
    </row>
    <row r="14226" spans="6:8">
      <c r="F14226" s="68" t="s">
        <v>130</v>
      </c>
      <c r="G14226" s="67" t="s">
        <v>606</v>
      </c>
      <c r="H14226" s="69">
        <v>-0.8</v>
      </c>
    </row>
    <row r="14227" spans="6:8">
      <c r="F14227" s="68" t="s">
        <v>567</v>
      </c>
      <c r="G14227" s="67" t="s">
        <v>606</v>
      </c>
      <c r="H14227" s="69">
        <v>-0.51</v>
      </c>
    </row>
    <row r="14228" spans="6:8">
      <c r="F14228" s="68" t="s">
        <v>421</v>
      </c>
      <c r="G14228" s="67" t="s">
        <v>606</v>
      </c>
      <c r="H14228" s="69">
        <v>2.3540670486045912</v>
      </c>
    </row>
    <row r="14229" spans="6:8">
      <c r="F14229" s="68" t="s">
        <v>304</v>
      </c>
      <c r="G14229" s="67" t="s">
        <v>606</v>
      </c>
      <c r="H14229" s="69">
        <v>17.90625</v>
      </c>
    </row>
    <row r="14230" spans="6:8">
      <c r="F14230" s="68" t="s">
        <v>254</v>
      </c>
      <c r="G14230" s="67" t="s">
        <v>606</v>
      </c>
      <c r="H14230" s="69">
        <v>0.67</v>
      </c>
    </row>
    <row r="14231" spans="6:8">
      <c r="F14231" s="68" t="s">
        <v>129</v>
      </c>
      <c r="G14231" s="67" t="s">
        <v>606</v>
      </c>
      <c r="H14231" s="69">
        <v>-0.57999999999999996</v>
      </c>
    </row>
    <row r="14232" spans="6:8">
      <c r="F14232" s="68" t="s">
        <v>128</v>
      </c>
      <c r="G14232" s="67" t="s">
        <v>606</v>
      </c>
      <c r="H14232" s="69">
        <v>-0.7</v>
      </c>
    </row>
    <row r="14233" spans="6:8">
      <c r="F14233" s="68" t="s">
        <v>315</v>
      </c>
      <c r="G14233" s="67" t="s">
        <v>606</v>
      </c>
      <c r="H14233" s="69">
        <v>-0.11</v>
      </c>
    </row>
    <row r="14234" spans="6:8">
      <c r="F14234" s="68" t="s">
        <v>253</v>
      </c>
      <c r="G14234" s="67" t="s">
        <v>606</v>
      </c>
      <c r="H14234" s="69">
        <v>0.49</v>
      </c>
    </row>
    <row r="14235" spans="6:8">
      <c r="F14235" s="68" t="s">
        <v>127</v>
      </c>
      <c r="G14235" s="67" t="s">
        <v>606</v>
      </c>
      <c r="H14235" s="69">
        <v>-0.45</v>
      </c>
    </row>
    <row r="14236" spans="6:8">
      <c r="F14236" s="68" t="s">
        <v>126</v>
      </c>
      <c r="G14236" s="67" t="s">
        <v>606</v>
      </c>
      <c r="H14236" s="69">
        <v>-0.77</v>
      </c>
    </row>
    <row r="14237" spans="6:8">
      <c r="F14237" s="68" t="s">
        <v>125</v>
      </c>
      <c r="G14237" s="67" t="s">
        <v>606</v>
      </c>
      <c r="H14237" s="69">
        <v>-0.4</v>
      </c>
    </row>
    <row r="14238" spans="6:8">
      <c r="F14238" s="68" t="s">
        <v>314</v>
      </c>
      <c r="G14238" s="67" t="s">
        <v>606</v>
      </c>
      <c r="H14238" s="69">
        <v>-0.3</v>
      </c>
    </row>
    <row r="14239" spans="6:8">
      <c r="F14239" s="68" t="s">
        <v>252</v>
      </c>
      <c r="G14239" s="67" t="s">
        <v>606</v>
      </c>
      <c r="H14239" s="69">
        <v>0.35</v>
      </c>
    </row>
    <row r="14240" spans="6:8">
      <c r="F14240" s="68" t="s">
        <v>124</v>
      </c>
      <c r="G14240" s="67" t="s">
        <v>606</v>
      </c>
      <c r="H14240" s="69">
        <v>-0.45</v>
      </c>
    </row>
    <row r="14241" spans="6:8">
      <c r="F14241" s="68" t="s">
        <v>123</v>
      </c>
      <c r="G14241" s="67" t="s">
        <v>606</v>
      </c>
      <c r="H14241" s="69">
        <v>-0.77</v>
      </c>
    </row>
    <row r="14242" spans="6:8">
      <c r="F14242" s="68" t="s">
        <v>122</v>
      </c>
      <c r="G14242" s="67" t="s">
        <v>606</v>
      </c>
      <c r="H14242" s="69">
        <v>-0.53</v>
      </c>
    </row>
    <row r="14243" spans="6:8">
      <c r="F14243" s="68" t="s">
        <v>420</v>
      </c>
      <c r="G14243" s="67" t="s">
        <v>606</v>
      </c>
      <c r="H14243" s="69">
        <v>3.3952870123984624</v>
      </c>
    </row>
    <row r="14244" spans="6:8">
      <c r="F14244" s="68" t="s">
        <v>251</v>
      </c>
      <c r="G14244" s="67" t="s">
        <v>606</v>
      </c>
      <c r="H14244" s="69">
        <v>0.25</v>
      </c>
    </row>
    <row r="14245" spans="6:8">
      <c r="F14245" s="68" t="s">
        <v>121</v>
      </c>
      <c r="G14245" s="67" t="s">
        <v>606</v>
      </c>
      <c r="H14245" s="69">
        <v>-0.55000000000000004</v>
      </c>
    </row>
    <row r="14246" spans="6:8">
      <c r="F14246" s="68" t="s">
        <v>120</v>
      </c>
      <c r="G14246" s="67" t="s">
        <v>606</v>
      </c>
      <c r="H14246" s="69">
        <v>-0.65</v>
      </c>
    </row>
    <row r="14247" spans="6:8">
      <c r="F14247" s="68" t="s">
        <v>119</v>
      </c>
      <c r="G14247" s="67" t="s">
        <v>606</v>
      </c>
      <c r="H14247" s="69">
        <v>-0.57999999999999996</v>
      </c>
    </row>
    <row r="14248" spans="6:8">
      <c r="F14248" s="68" t="s">
        <v>119</v>
      </c>
      <c r="G14248" s="67" t="s">
        <v>607</v>
      </c>
      <c r="H14248" s="69">
        <v>-0.57999999999999996</v>
      </c>
    </row>
    <row r="14249" spans="6:8">
      <c r="F14249" s="68" t="s">
        <v>120</v>
      </c>
      <c r="G14249" s="67" t="s">
        <v>607</v>
      </c>
      <c r="H14249" s="69">
        <v>-0.65</v>
      </c>
    </row>
    <row r="14250" spans="6:8">
      <c r="F14250" s="68" t="s">
        <v>121</v>
      </c>
      <c r="G14250" s="67" t="s">
        <v>607</v>
      </c>
      <c r="H14250" s="69">
        <v>-0.55000000000000004</v>
      </c>
    </row>
    <row r="14251" spans="6:8">
      <c r="F14251" s="68" t="s">
        <v>251</v>
      </c>
      <c r="G14251" s="67" t="s">
        <v>607</v>
      </c>
      <c r="H14251" s="69">
        <v>0.25</v>
      </c>
    </row>
    <row r="14252" spans="6:8">
      <c r="F14252" s="68" t="s">
        <v>420</v>
      </c>
      <c r="G14252" s="67" t="s">
        <v>607</v>
      </c>
      <c r="H14252" s="69">
        <v>3.3730137931220039</v>
      </c>
    </row>
    <row r="14253" spans="6:8">
      <c r="F14253" s="68" t="s">
        <v>122</v>
      </c>
      <c r="G14253" s="67" t="s">
        <v>607</v>
      </c>
      <c r="H14253" s="69">
        <v>-0.53</v>
      </c>
    </row>
    <row r="14254" spans="6:8">
      <c r="F14254" s="68" t="s">
        <v>123</v>
      </c>
      <c r="G14254" s="67" t="s">
        <v>607</v>
      </c>
      <c r="H14254" s="69">
        <v>-0.77</v>
      </c>
    </row>
    <row r="14255" spans="6:8">
      <c r="F14255" s="68" t="s">
        <v>124</v>
      </c>
      <c r="G14255" s="67" t="s">
        <v>607</v>
      </c>
      <c r="H14255" s="69">
        <v>-0.45</v>
      </c>
    </row>
    <row r="14256" spans="6:8">
      <c r="F14256" s="68" t="s">
        <v>252</v>
      </c>
      <c r="G14256" s="67" t="s">
        <v>607</v>
      </c>
      <c r="H14256" s="69">
        <v>0.35</v>
      </c>
    </row>
    <row r="14257" spans="6:8">
      <c r="F14257" s="68" t="s">
        <v>314</v>
      </c>
      <c r="G14257" s="67" t="s">
        <v>607</v>
      </c>
      <c r="H14257" s="69">
        <v>-0.3</v>
      </c>
    </row>
    <row r="14258" spans="6:8">
      <c r="F14258" s="68" t="s">
        <v>125</v>
      </c>
      <c r="G14258" s="67" t="s">
        <v>607</v>
      </c>
      <c r="H14258" s="69">
        <v>-0.4</v>
      </c>
    </row>
    <row r="14259" spans="6:8">
      <c r="F14259" s="68" t="s">
        <v>126</v>
      </c>
      <c r="G14259" s="67" t="s">
        <v>607</v>
      </c>
      <c r="H14259" s="69">
        <v>-0.77</v>
      </c>
    </row>
    <row r="14260" spans="6:8">
      <c r="F14260" s="68" t="s">
        <v>127</v>
      </c>
      <c r="G14260" s="67" t="s">
        <v>607</v>
      </c>
      <c r="H14260" s="69">
        <v>-0.45</v>
      </c>
    </row>
    <row r="14261" spans="6:8">
      <c r="F14261" s="68" t="s">
        <v>253</v>
      </c>
      <c r="G14261" s="67" t="s">
        <v>607</v>
      </c>
      <c r="H14261" s="69">
        <v>0.49</v>
      </c>
    </row>
    <row r="14262" spans="6:8">
      <c r="F14262" s="68" t="s">
        <v>315</v>
      </c>
      <c r="G14262" s="67" t="s">
        <v>607</v>
      </c>
      <c r="H14262" s="69">
        <v>-0.11</v>
      </c>
    </row>
    <row r="14263" spans="6:8">
      <c r="F14263" s="68" t="s">
        <v>128</v>
      </c>
      <c r="G14263" s="67" t="s">
        <v>607</v>
      </c>
      <c r="H14263" s="69">
        <v>-0.7</v>
      </c>
    </row>
    <row r="14264" spans="6:8">
      <c r="F14264" s="68" t="s">
        <v>129</v>
      </c>
      <c r="G14264" s="67" t="s">
        <v>607</v>
      </c>
      <c r="H14264" s="69">
        <v>-0.57999999999999996</v>
      </c>
    </row>
    <row r="14265" spans="6:8">
      <c r="F14265" s="68" t="s">
        <v>254</v>
      </c>
      <c r="G14265" s="67" t="s">
        <v>607</v>
      </c>
      <c r="H14265" s="69">
        <v>0.67</v>
      </c>
    </row>
    <row r="14266" spans="6:8">
      <c r="F14266" s="68" t="s">
        <v>304</v>
      </c>
      <c r="G14266" s="67" t="s">
        <v>607</v>
      </c>
      <c r="H14266" s="69">
        <v>17.90625</v>
      </c>
    </row>
    <row r="14267" spans="6:8">
      <c r="F14267" s="68" t="s">
        <v>421</v>
      </c>
      <c r="G14267" s="67" t="s">
        <v>607</v>
      </c>
      <c r="H14267" s="69">
        <v>2.3429449046663997</v>
      </c>
    </row>
    <row r="14268" spans="6:8">
      <c r="F14268" s="68" t="s">
        <v>567</v>
      </c>
      <c r="G14268" s="67" t="s">
        <v>607</v>
      </c>
      <c r="H14268" s="69">
        <v>-0.51</v>
      </c>
    </row>
    <row r="14269" spans="6:8">
      <c r="F14269" s="68" t="s">
        <v>130</v>
      </c>
      <c r="G14269" s="67" t="s">
        <v>607</v>
      </c>
      <c r="H14269" s="69">
        <v>-0.8</v>
      </c>
    </row>
    <row r="14270" spans="6:8">
      <c r="F14270" s="68" t="s">
        <v>131</v>
      </c>
      <c r="G14270" s="67" t="s">
        <v>607</v>
      </c>
      <c r="H14270" s="69">
        <v>-0.53</v>
      </c>
    </row>
    <row r="14271" spans="6:8">
      <c r="F14271" s="68" t="s">
        <v>255</v>
      </c>
      <c r="G14271" s="67" t="s">
        <v>607</v>
      </c>
      <c r="H14271" s="69">
        <v>0.85</v>
      </c>
    </row>
    <row r="14272" spans="6:8">
      <c r="F14272" s="68" t="s">
        <v>303</v>
      </c>
      <c r="G14272" s="67" t="s">
        <v>607</v>
      </c>
      <c r="H14272" s="69">
        <v>18.90625</v>
      </c>
    </row>
    <row r="14273" spans="6:8">
      <c r="F14273" s="68" t="s">
        <v>422</v>
      </c>
      <c r="G14273" s="67" t="s">
        <v>607</v>
      </c>
      <c r="H14273" s="69">
        <v>2.349620629474547</v>
      </c>
    </row>
    <row r="14274" spans="6:8">
      <c r="F14274" s="68" t="s">
        <v>568</v>
      </c>
      <c r="G14274" s="67" t="s">
        <v>607</v>
      </c>
      <c r="H14274" s="69">
        <v>-0.2</v>
      </c>
    </row>
    <row r="14275" spans="6:8">
      <c r="F14275" s="68" t="s">
        <v>132</v>
      </c>
      <c r="G14275" s="67" t="s">
        <v>607</v>
      </c>
      <c r="H14275" s="69">
        <v>-0.7</v>
      </c>
    </row>
    <row r="14276" spans="6:8">
      <c r="F14276" s="68" t="s">
        <v>133</v>
      </c>
      <c r="G14276" s="67" t="s">
        <v>607</v>
      </c>
      <c r="H14276" s="69">
        <v>-0.6</v>
      </c>
    </row>
    <row r="14277" spans="6:8">
      <c r="F14277" s="68" t="s">
        <v>256</v>
      </c>
      <c r="G14277" s="67" t="s">
        <v>607</v>
      </c>
      <c r="H14277" s="69">
        <v>0.96</v>
      </c>
    </row>
    <row r="14278" spans="6:8">
      <c r="F14278" s="68" t="s">
        <v>423</v>
      </c>
      <c r="G14278" s="67" t="s">
        <v>607</v>
      </c>
      <c r="H14278" s="69">
        <v>2.4222793067850912</v>
      </c>
    </row>
    <row r="14279" spans="6:8">
      <c r="F14279" s="68" t="s">
        <v>569</v>
      </c>
      <c r="G14279" s="67" t="s">
        <v>607</v>
      </c>
      <c r="H14279" s="69">
        <v>-0.06</v>
      </c>
    </row>
    <row r="14280" spans="6:8">
      <c r="F14280" s="68" t="s">
        <v>134</v>
      </c>
      <c r="G14280" s="67" t="s">
        <v>607</v>
      </c>
      <c r="H14280" s="69">
        <v>-0.65</v>
      </c>
    </row>
    <row r="14281" spans="6:8">
      <c r="F14281" s="68" t="s">
        <v>135</v>
      </c>
      <c r="G14281" s="67" t="s">
        <v>607</v>
      </c>
      <c r="H14281" s="69">
        <v>-0.7</v>
      </c>
    </row>
    <row r="14282" spans="6:8">
      <c r="F14282" s="68" t="s">
        <v>257</v>
      </c>
      <c r="G14282" s="67" t="s">
        <v>607</v>
      </c>
      <c r="H14282" s="69">
        <v>1</v>
      </c>
    </row>
    <row r="14283" spans="6:8">
      <c r="F14283" s="68" t="s">
        <v>258</v>
      </c>
      <c r="G14283" s="67" t="s">
        <v>607</v>
      </c>
      <c r="H14283" s="69">
        <v>0.15</v>
      </c>
    </row>
    <row r="14284" spans="6:8">
      <c r="F14284" s="68" t="s">
        <v>424</v>
      </c>
      <c r="G14284" s="67" t="s">
        <v>607</v>
      </c>
      <c r="H14284" s="69">
        <v>3.1596595801619554</v>
      </c>
    </row>
    <row r="14285" spans="6:8">
      <c r="F14285" s="68" t="s">
        <v>136</v>
      </c>
      <c r="G14285" s="67" t="s">
        <v>607</v>
      </c>
      <c r="H14285" s="69">
        <v>-0.68</v>
      </c>
    </row>
    <row r="14286" spans="6:8">
      <c r="F14286" s="68" t="s">
        <v>137</v>
      </c>
      <c r="G14286" s="67" t="s">
        <v>607</v>
      </c>
      <c r="H14286" s="69">
        <v>-0.6</v>
      </c>
    </row>
    <row r="14287" spans="6:8">
      <c r="F14287" s="68" t="s">
        <v>138</v>
      </c>
      <c r="G14287" s="67" t="s">
        <v>607</v>
      </c>
      <c r="H14287" s="69">
        <v>-0.6</v>
      </c>
    </row>
    <row r="14288" spans="6:8">
      <c r="F14288" s="68" t="s">
        <v>259</v>
      </c>
      <c r="G14288" s="67" t="s">
        <v>607</v>
      </c>
      <c r="H14288" s="69">
        <v>0.17</v>
      </c>
    </row>
    <row r="14289" spans="6:8">
      <c r="F14289" s="68" t="s">
        <v>425</v>
      </c>
      <c r="G14289" s="67" t="s">
        <v>607</v>
      </c>
      <c r="H14289" s="69">
        <v>3.1857209057192026</v>
      </c>
    </row>
    <row r="14290" spans="6:8">
      <c r="F14290" s="68" t="s">
        <v>425</v>
      </c>
      <c r="G14290" s="67" t="s">
        <v>608</v>
      </c>
      <c r="H14290" s="69">
        <v>3.1836305425208877</v>
      </c>
    </row>
    <row r="14291" spans="6:8">
      <c r="F14291" s="68" t="s">
        <v>259</v>
      </c>
      <c r="G14291" s="67" t="s">
        <v>608</v>
      </c>
      <c r="H14291" s="69">
        <v>0.17</v>
      </c>
    </row>
    <row r="14292" spans="6:8">
      <c r="F14292" s="68" t="s">
        <v>138</v>
      </c>
      <c r="G14292" s="67" t="s">
        <v>608</v>
      </c>
      <c r="H14292" s="69">
        <v>-0.6</v>
      </c>
    </row>
    <row r="14293" spans="6:8">
      <c r="F14293" s="68" t="s">
        <v>137</v>
      </c>
      <c r="G14293" s="67" t="s">
        <v>608</v>
      </c>
      <c r="H14293" s="69">
        <v>-0.6</v>
      </c>
    </row>
    <row r="14294" spans="6:8">
      <c r="F14294" s="68" t="s">
        <v>136</v>
      </c>
      <c r="G14294" s="67" t="s">
        <v>608</v>
      </c>
      <c r="H14294" s="69">
        <v>-0.68</v>
      </c>
    </row>
    <row r="14295" spans="6:8">
      <c r="F14295" s="68" t="s">
        <v>424</v>
      </c>
      <c r="G14295" s="67" t="s">
        <v>608</v>
      </c>
      <c r="H14295" s="69">
        <v>3.1586716680300775</v>
      </c>
    </row>
    <row r="14296" spans="6:8">
      <c r="F14296" s="68" t="s">
        <v>258</v>
      </c>
      <c r="G14296" s="67" t="s">
        <v>608</v>
      </c>
      <c r="H14296" s="69">
        <v>0.15</v>
      </c>
    </row>
    <row r="14297" spans="6:8">
      <c r="F14297" s="68" t="s">
        <v>257</v>
      </c>
      <c r="G14297" s="67" t="s">
        <v>608</v>
      </c>
      <c r="H14297" s="69">
        <v>1</v>
      </c>
    </row>
    <row r="14298" spans="6:8">
      <c r="F14298" s="68" t="s">
        <v>135</v>
      </c>
      <c r="G14298" s="67" t="s">
        <v>608</v>
      </c>
      <c r="H14298" s="69">
        <v>-0.7</v>
      </c>
    </row>
    <row r="14299" spans="6:8">
      <c r="F14299" s="68" t="s">
        <v>134</v>
      </c>
      <c r="G14299" s="67" t="s">
        <v>608</v>
      </c>
      <c r="H14299" s="69">
        <v>-0.65</v>
      </c>
    </row>
    <row r="14300" spans="6:8">
      <c r="F14300" s="68" t="s">
        <v>569</v>
      </c>
      <c r="G14300" s="67" t="s">
        <v>608</v>
      </c>
      <c r="H14300" s="69">
        <v>-0.06</v>
      </c>
    </row>
    <row r="14301" spans="6:8">
      <c r="F14301" s="68" t="s">
        <v>423</v>
      </c>
      <c r="G14301" s="67" t="s">
        <v>608</v>
      </c>
      <c r="H14301" s="69">
        <v>2.4185270615036281</v>
      </c>
    </row>
    <row r="14302" spans="6:8">
      <c r="F14302" s="68" t="s">
        <v>256</v>
      </c>
      <c r="G14302" s="67" t="s">
        <v>608</v>
      </c>
      <c r="H14302" s="69">
        <v>0.96</v>
      </c>
    </row>
    <row r="14303" spans="6:8">
      <c r="F14303" s="68" t="s">
        <v>133</v>
      </c>
      <c r="G14303" s="67" t="s">
        <v>608</v>
      </c>
      <c r="H14303" s="69">
        <v>-0.6</v>
      </c>
    </row>
    <row r="14304" spans="6:8">
      <c r="F14304" s="68" t="s">
        <v>132</v>
      </c>
      <c r="G14304" s="67" t="s">
        <v>608</v>
      </c>
      <c r="H14304" s="69">
        <v>-0.7</v>
      </c>
    </row>
    <row r="14305" spans="6:8">
      <c r="F14305" s="68" t="s">
        <v>568</v>
      </c>
      <c r="G14305" s="67" t="s">
        <v>608</v>
      </c>
      <c r="H14305" s="69">
        <v>-0.2</v>
      </c>
    </row>
    <row r="14306" spans="6:8">
      <c r="F14306" s="68" t="s">
        <v>422</v>
      </c>
      <c r="G14306" s="67" t="s">
        <v>608</v>
      </c>
      <c r="H14306" s="69">
        <v>2.3531892042990776</v>
      </c>
    </row>
    <row r="14307" spans="6:8">
      <c r="F14307" s="68" t="s">
        <v>303</v>
      </c>
      <c r="G14307" s="67" t="s">
        <v>608</v>
      </c>
      <c r="H14307" s="69">
        <v>18.989583333333332</v>
      </c>
    </row>
    <row r="14308" spans="6:8">
      <c r="F14308" s="68" t="s">
        <v>255</v>
      </c>
      <c r="G14308" s="67" t="s">
        <v>608</v>
      </c>
      <c r="H14308" s="69">
        <v>0.85</v>
      </c>
    </row>
    <row r="14309" spans="6:8">
      <c r="F14309" s="68" t="s">
        <v>131</v>
      </c>
      <c r="G14309" s="67" t="s">
        <v>608</v>
      </c>
      <c r="H14309" s="69">
        <v>-0.53</v>
      </c>
    </row>
    <row r="14310" spans="6:8">
      <c r="F14310" s="68" t="s">
        <v>130</v>
      </c>
      <c r="G14310" s="67" t="s">
        <v>608</v>
      </c>
      <c r="H14310" s="69">
        <v>-0.8</v>
      </c>
    </row>
    <row r="14311" spans="6:8">
      <c r="F14311" s="68" t="s">
        <v>567</v>
      </c>
      <c r="G14311" s="67" t="s">
        <v>608</v>
      </c>
      <c r="H14311" s="69">
        <v>-0.51</v>
      </c>
    </row>
    <row r="14312" spans="6:8">
      <c r="F14312" s="68" t="s">
        <v>421</v>
      </c>
      <c r="G14312" s="67" t="s">
        <v>608</v>
      </c>
      <c r="H14312" s="69">
        <v>2.3466489182493611</v>
      </c>
    </row>
    <row r="14313" spans="6:8">
      <c r="F14313" s="68" t="s">
        <v>304</v>
      </c>
      <c r="G14313" s="67" t="s">
        <v>608</v>
      </c>
      <c r="H14313" s="69">
        <v>17.958333333333332</v>
      </c>
    </row>
    <row r="14314" spans="6:8">
      <c r="F14314" s="68" t="s">
        <v>254</v>
      </c>
      <c r="G14314" s="67" t="s">
        <v>608</v>
      </c>
      <c r="H14314" s="69">
        <v>0.67</v>
      </c>
    </row>
    <row r="14315" spans="6:8">
      <c r="F14315" s="68" t="s">
        <v>129</v>
      </c>
      <c r="G14315" s="67" t="s">
        <v>608</v>
      </c>
      <c r="H14315" s="69">
        <v>-0.57999999999999996</v>
      </c>
    </row>
    <row r="14316" spans="6:8">
      <c r="F14316" s="68" t="s">
        <v>128</v>
      </c>
      <c r="G14316" s="67" t="s">
        <v>608</v>
      </c>
      <c r="H14316" s="69">
        <v>-0.7</v>
      </c>
    </row>
    <row r="14317" spans="6:8">
      <c r="F14317" s="68" t="s">
        <v>315</v>
      </c>
      <c r="G14317" s="67" t="s">
        <v>608</v>
      </c>
      <c r="H14317" s="69">
        <v>-0.11</v>
      </c>
    </row>
    <row r="14318" spans="6:8">
      <c r="F14318" s="68" t="s">
        <v>253</v>
      </c>
      <c r="G14318" s="67" t="s">
        <v>608</v>
      </c>
      <c r="H14318" s="69">
        <v>0.49</v>
      </c>
    </row>
    <row r="14319" spans="6:8">
      <c r="F14319" s="68" t="s">
        <v>127</v>
      </c>
      <c r="G14319" s="67" t="s">
        <v>608</v>
      </c>
      <c r="H14319" s="69">
        <v>-0.45</v>
      </c>
    </row>
    <row r="14320" spans="6:8">
      <c r="F14320" s="68" t="s">
        <v>126</v>
      </c>
      <c r="G14320" s="67" t="s">
        <v>608</v>
      </c>
      <c r="H14320" s="69">
        <v>-0.77</v>
      </c>
    </row>
    <row r="14321" spans="6:8">
      <c r="F14321" s="68" t="s">
        <v>125</v>
      </c>
      <c r="G14321" s="67" t="s">
        <v>608</v>
      </c>
      <c r="H14321" s="69">
        <v>-0.4</v>
      </c>
    </row>
    <row r="14322" spans="6:8">
      <c r="F14322" s="68" t="s">
        <v>314</v>
      </c>
      <c r="G14322" s="67" t="s">
        <v>608</v>
      </c>
      <c r="H14322" s="69">
        <v>-0.3</v>
      </c>
    </row>
    <row r="14323" spans="6:8">
      <c r="F14323" s="68" t="s">
        <v>252</v>
      </c>
      <c r="G14323" s="67" t="s">
        <v>608</v>
      </c>
      <c r="H14323" s="69">
        <v>0.35</v>
      </c>
    </row>
    <row r="14324" spans="6:8">
      <c r="F14324" s="68" t="s">
        <v>124</v>
      </c>
      <c r="G14324" s="67" t="s">
        <v>608</v>
      </c>
      <c r="H14324" s="69">
        <v>-0.45</v>
      </c>
    </row>
    <row r="14325" spans="6:8">
      <c r="F14325" s="68" t="s">
        <v>123</v>
      </c>
      <c r="G14325" s="67" t="s">
        <v>608</v>
      </c>
      <c r="H14325" s="69">
        <v>-0.77</v>
      </c>
    </row>
    <row r="14326" spans="6:8">
      <c r="F14326" s="68" t="s">
        <v>122</v>
      </c>
      <c r="G14326" s="67" t="s">
        <v>608</v>
      </c>
      <c r="H14326" s="69">
        <v>-0.53</v>
      </c>
    </row>
    <row r="14327" spans="6:8">
      <c r="F14327" s="68" t="s">
        <v>420</v>
      </c>
      <c r="G14327" s="67" t="s">
        <v>608</v>
      </c>
      <c r="H14327" s="69">
        <v>3.3748784197590975</v>
      </c>
    </row>
    <row r="14328" spans="6:8">
      <c r="F14328" s="68" t="s">
        <v>251</v>
      </c>
      <c r="G14328" s="67" t="s">
        <v>608</v>
      </c>
      <c r="H14328" s="69">
        <v>0.25</v>
      </c>
    </row>
    <row r="14329" spans="6:8">
      <c r="F14329" s="68" t="s">
        <v>121</v>
      </c>
      <c r="G14329" s="67" t="s">
        <v>608</v>
      </c>
      <c r="H14329" s="69">
        <v>-0.55000000000000004</v>
      </c>
    </row>
    <row r="14330" spans="6:8">
      <c r="F14330" s="68" t="s">
        <v>120</v>
      </c>
      <c r="G14330" s="67" t="s">
        <v>608</v>
      </c>
      <c r="H14330" s="69">
        <v>-0.65</v>
      </c>
    </row>
    <row r="14331" spans="6:8">
      <c r="F14331" s="68" t="s">
        <v>119</v>
      </c>
      <c r="G14331" s="67" t="s">
        <v>608</v>
      </c>
      <c r="H14331" s="69">
        <v>-0.57999999999999996</v>
      </c>
    </row>
    <row r="14332" spans="6:8">
      <c r="F14332" s="68" t="s">
        <v>119</v>
      </c>
      <c r="G14332" s="67" t="s">
        <v>609</v>
      </c>
      <c r="H14332" s="69">
        <v>-0.57999999999999996</v>
      </c>
    </row>
    <row r="14333" spans="6:8">
      <c r="F14333" s="68" t="s">
        <v>120</v>
      </c>
      <c r="G14333" s="67" t="s">
        <v>609</v>
      </c>
      <c r="H14333" s="69">
        <v>-0.65</v>
      </c>
    </row>
    <row r="14334" spans="6:8">
      <c r="F14334" s="68" t="s">
        <v>121</v>
      </c>
      <c r="G14334" s="67" t="s">
        <v>609</v>
      </c>
      <c r="H14334" s="69">
        <v>-0.55000000000000004</v>
      </c>
    </row>
    <row r="14335" spans="6:8">
      <c r="F14335" s="68" t="s">
        <v>251</v>
      </c>
      <c r="G14335" s="67" t="s">
        <v>609</v>
      </c>
      <c r="H14335" s="69">
        <v>0.25</v>
      </c>
    </row>
    <row r="14336" spans="6:8">
      <c r="F14336" s="68" t="s">
        <v>420</v>
      </c>
      <c r="G14336" s="67" t="s">
        <v>609</v>
      </c>
      <c r="H14336" s="69">
        <v>3.3152935109175274</v>
      </c>
    </row>
    <row r="14337" spans="6:8">
      <c r="F14337" s="68" t="s">
        <v>122</v>
      </c>
      <c r="G14337" s="67" t="s">
        <v>609</v>
      </c>
      <c r="H14337" s="69">
        <v>-0.53</v>
      </c>
    </row>
    <row r="14338" spans="6:8">
      <c r="F14338" s="68" t="s">
        <v>123</v>
      </c>
      <c r="G14338" s="67" t="s">
        <v>609</v>
      </c>
      <c r="H14338" s="69">
        <v>-0.77</v>
      </c>
    </row>
    <row r="14339" spans="6:8">
      <c r="F14339" s="68" t="s">
        <v>124</v>
      </c>
      <c r="G14339" s="67" t="s">
        <v>609</v>
      </c>
      <c r="H14339" s="69">
        <v>-0.45</v>
      </c>
    </row>
    <row r="14340" spans="6:8">
      <c r="F14340" s="68" t="s">
        <v>252</v>
      </c>
      <c r="G14340" s="67" t="s">
        <v>609</v>
      </c>
      <c r="H14340" s="69">
        <v>0.35</v>
      </c>
    </row>
    <row r="14341" spans="6:8">
      <c r="F14341" s="68" t="s">
        <v>314</v>
      </c>
      <c r="G14341" s="67" t="s">
        <v>609</v>
      </c>
      <c r="H14341" s="69">
        <v>-0.3</v>
      </c>
    </row>
    <row r="14342" spans="6:8">
      <c r="F14342" s="68" t="s">
        <v>125</v>
      </c>
      <c r="G14342" s="67" t="s">
        <v>609</v>
      </c>
      <c r="H14342" s="69">
        <v>-0.4</v>
      </c>
    </row>
    <row r="14343" spans="6:8">
      <c r="F14343" s="68" t="s">
        <v>126</v>
      </c>
      <c r="G14343" s="67" t="s">
        <v>609</v>
      </c>
      <c r="H14343" s="69">
        <v>-0.77</v>
      </c>
    </row>
    <row r="14344" spans="6:8">
      <c r="F14344" s="68" t="s">
        <v>127</v>
      </c>
      <c r="G14344" s="67" t="s">
        <v>609</v>
      </c>
      <c r="H14344" s="69">
        <v>-0.45</v>
      </c>
    </row>
    <row r="14345" spans="6:8">
      <c r="F14345" s="68" t="s">
        <v>253</v>
      </c>
      <c r="G14345" s="67" t="s">
        <v>609</v>
      </c>
      <c r="H14345" s="69">
        <v>0.49</v>
      </c>
    </row>
    <row r="14346" spans="6:8">
      <c r="F14346" s="68" t="s">
        <v>315</v>
      </c>
      <c r="G14346" s="67" t="s">
        <v>609</v>
      </c>
      <c r="H14346" s="69">
        <v>-0.11</v>
      </c>
    </row>
    <row r="14347" spans="6:8">
      <c r="F14347" s="68" t="s">
        <v>128</v>
      </c>
      <c r="G14347" s="67" t="s">
        <v>609</v>
      </c>
      <c r="H14347" s="69">
        <v>-0.7</v>
      </c>
    </row>
    <row r="14348" spans="6:8">
      <c r="F14348" s="68" t="s">
        <v>129</v>
      </c>
      <c r="G14348" s="67" t="s">
        <v>609</v>
      </c>
      <c r="H14348" s="69">
        <v>-0.57999999999999996</v>
      </c>
    </row>
    <row r="14349" spans="6:8">
      <c r="F14349" s="68" t="s">
        <v>254</v>
      </c>
      <c r="G14349" s="67" t="s">
        <v>609</v>
      </c>
      <c r="H14349" s="69">
        <v>0.67</v>
      </c>
    </row>
    <row r="14350" spans="6:8">
      <c r="F14350" s="68" t="s">
        <v>304</v>
      </c>
      <c r="G14350" s="67" t="s">
        <v>609</v>
      </c>
      <c r="H14350" s="69">
        <v>17.9375</v>
      </c>
    </row>
    <row r="14351" spans="6:8">
      <c r="F14351" s="68" t="s">
        <v>421</v>
      </c>
      <c r="G14351" s="67" t="s">
        <v>609</v>
      </c>
      <c r="H14351" s="69">
        <v>2.3678739597694953</v>
      </c>
    </row>
    <row r="14352" spans="6:8">
      <c r="F14352" s="68" t="s">
        <v>567</v>
      </c>
      <c r="G14352" s="67" t="s">
        <v>609</v>
      </c>
      <c r="H14352" s="69">
        <v>-0.51</v>
      </c>
    </row>
    <row r="14353" spans="6:8">
      <c r="F14353" s="68" t="s">
        <v>130</v>
      </c>
      <c r="G14353" s="67" t="s">
        <v>609</v>
      </c>
      <c r="H14353" s="69">
        <v>-0.8</v>
      </c>
    </row>
    <row r="14354" spans="6:8">
      <c r="F14354" s="68" t="s">
        <v>131</v>
      </c>
      <c r="G14354" s="67" t="s">
        <v>609</v>
      </c>
      <c r="H14354" s="69">
        <v>-0.53</v>
      </c>
    </row>
    <row r="14355" spans="6:8">
      <c r="F14355" s="68" t="s">
        <v>255</v>
      </c>
      <c r="G14355" s="67" t="s">
        <v>609</v>
      </c>
      <c r="H14355" s="69">
        <v>0.85</v>
      </c>
    </row>
    <row r="14356" spans="6:8">
      <c r="F14356" s="68" t="s">
        <v>303</v>
      </c>
      <c r="G14356" s="67" t="s">
        <v>609</v>
      </c>
      <c r="H14356" s="69">
        <v>18.989583333333332</v>
      </c>
    </row>
    <row r="14357" spans="6:8">
      <c r="F14357" s="68" t="s">
        <v>422</v>
      </c>
      <c r="G14357" s="67" t="s">
        <v>609</v>
      </c>
      <c r="H14357" s="69">
        <v>2.3736296087864428</v>
      </c>
    </row>
    <row r="14358" spans="6:8">
      <c r="F14358" s="68" t="s">
        <v>568</v>
      </c>
      <c r="G14358" s="67" t="s">
        <v>609</v>
      </c>
      <c r="H14358" s="69">
        <v>-0.2</v>
      </c>
    </row>
    <row r="14359" spans="6:8">
      <c r="F14359" s="68" t="s">
        <v>132</v>
      </c>
      <c r="G14359" s="67" t="s">
        <v>609</v>
      </c>
      <c r="H14359" s="69">
        <v>-0.7</v>
      </c>
    </row>
    <row r="14360" spans="6:8">
      <c r="F14360" s="68" t="s">
        <v>133</v>
      </c>
      <c r="G14360" s="67" t="s">
        <v>609</v>
      </c>
      <c r="H14360" s="69">
        <v>-0.6</v>
      </c>
    </row>
    <row r="14361" spans="6:8">
      <c r="F14361" s="68" t="s">
        <v>256</v>
      </c>
      <c r="G14361" s="67" t="s">
        <v>609</v>
      </c>
      <c r="H14361" s="69">
        <v>0.96</v>
      </c>
    </row>
    <row r="14362" spans="6:8">
      <c r="F14362" s="68" t="s">
        <v>423</v>
      </c>
      <c r="G14362" s="67" t="s">
        <v>609</v>
      </c>
      <c r="H14362" s="69">
        <v>2.3617215615017617</v>
      </c>
    </row>
    <row r="14363" spans="6:8">
      <c r="F14363" s="68" t="s">
        <v>569</v>
      </c>
      <c r="G14363" s="67" t="s">
        <v>609</v>
      </c>
      <c r="H14363" s="69">
        <v>-0.06</v>
      </c>
    </row>
    <row r="14364" spans="6:8">
      <c r="F14364" s="68" t="s">
        <v>134</v>
      </c>
      <c r="G14364" s="67" t="s">
        <v>609</v>
      </c>
      <c r="H14364" s="69">
        <v>-0.65</v>
      </c>
    </row>
    <row r="14365" spans="6:8">
      <c r="F14365" s="68" t="s">
        <v>135</v>
      </c>
      <c r="G14365" s="67" t="s">
        <v>609</v>
      </c>
      <c r="H14365" s="69">
        <v>-0.7</v>
      </c>
    </row>
    <row r="14366" spans="6:8">
      <c r="F14366" s="68" t="s">
        <v>257</v>
      </c>
      <c r="G14366" s="67" t="s">
        <v>609</v>
      </c>
      <c r="H14366" s="69">
        <v>1</v>
      </c>
    </row>
    <row r="14367" spans="6:8">
      <c r="F14367" s="68" t="s">
        <v>258</v>
      </c>
      <c r="G14367" s="67" t="s">
        <v>609</v>
      </c>
      <c r="H14367" s="69">
        <v>0.15</v>
      </c>
    </row>
    <row r="14368" spans="6:8">
      <c r="F14368" s="68" t="s">
        <v>424</v>
      </c>
      <c r="G14368" s="67" t="s">
        <v>609</v>
      </c>
      <c r="H14368" s="69">
        <v>3.0958849257102461</v>
      </c>
    </row>
    <row r="14369" spans="6:8">
      <c r="F14369" s="68" t="s">
        <v>136</v>
      </c>
      <c r="G14369" s="67" t="s">
        <v>609</v>
      </c>
      <c r="H14369" s="69">
        <v>-0.68</v>
      </c>
    </row>
    <row r="14370" spans="6:8">
      <c r="F14370" s="68" t="s">
        <v>137</v>
      </c>
      <c r="G14370" s="67" t="s">
        <v>609</v>
      </c>
      <c r="H14370" s="69">
        <v>-0.6</v>
      </c>
    </row>
    <row r="14371" spans="6:8">
      <c r="F14371" s="68" t="s">
        <v>138</v>
      </c>
      <c r="G14371" s="67" t="s">
        <v>609</v>
      </c>
      <c r="H14371" s="69">
        <v>-0.6</v>
      </c>
    </row>
    <row r="14372" spans="6:8">
      <c r="F14372" s="68" t="s">
        <v>259</v>
      </c>
      <c r="G14372" s="67" t="s">
        <v>609</v>
      </c>
      <c r="H14372" s="69">
        <v>0.17</v>
      </c>
    </row>
    <row r="14373" spans="6:8">
      <c r="F14373" s="68" t="s">
        <v>425</v>
      </c>
      <c r="G14373" s="67" t="s">
        <v>609</v>
      </c>
      <c r="H14373" s="69">
        <v>3.1189799161383203</v>
      </c>
    </row>
    <row r="14374" spans="6:8">
      <c r="F14374" s="68" t="s">
        <v>425</v>
      </c>
      <c r="G14374" s="67" t="s">
        <v>610</v>
      </c>
      <c r="H14374" s="69">
        <v>3.1178314094263637</v>
      </c>
    </row>
    <row r="14375" spans="6:8">
      <c r="F14375" s="68" t="s">
        <v>259</v>
      </c>
      <c r="G14375" s="67" t="s">
        <v>610</v>
      </c>
      <c r="H14375" s="69">
        <v>0.17</v>
      </c>
    </row>
    <row r="14376" spans="6:8">
      <c r="F14376" s="68" t="s">
        <v>138</v>
      </c>
      <c r="G14376" s="67" t="s">
        <v>610</v>
      </c>
      <c r="H14376" s="69">
        <v>-0.6</v>
      </c>
    </row>
    <row r="14377" spans="6:8">
      <c r="F14377" s="68" t="s">
        <v>137</v>
      </c>
      <c r="G14377" s="67" t="s">
        <v>610</v>
      </c>
      <c r="H14377" s="69">
        <v>-0.6</v>
      </c>
    </row>
    <row r="14378" spans="6:8">
      <c r="F14378" s="68" t="s">
        <v>136</v>
      </c>
      <c r="G14378" s="67" t="s">
        <v>610</v>
      </c>
      <c r="H14378" s="69">
        <v>-0.68</v>
      </c>
    </row>
    <row r="14379" spans="6:8">
      <c r="F14379" s="68" t="s">
        <v>424</v>
      </c>
      <c r="G14379" s="67" t="s">
        <v>610</v>
      </c>
      <c r="H14379" s="69">
        <v>3.0949911861479773</v>
      </c>
    </row>
    <row r="14380" spans="6:8">
      <c r="F14380" s="68" t="s">
        <v>258</v>
      </c>
      <c r="G14380" s="67" t="s">
        <v>610</v>
      </c>
      <c r="H14380" s="69">
        <v>0.15</v>
      </c>
    </row>
    <row r="14381" spans="6:8">
      <c r="F14381" s="68" t="s">
        <v>257</v>
      </c>
      <c r="G14381" s="67" t="s">
        <v>610</v>
      </c>
      <c r="H14381" s="69">
        <v>1</v>
      </c>
    </row>
    <row r="14382" spans="6:8">
      <c r="F14382" s="68" t="s">
        <v>135</v>
      </c>
      <c r="G14382" s="67" t="s">
        <v>610</v>
      </c>
      <c r="H14382" s="69">
        <v>-0.7</v>
      </c>
    </row>
    <row r="14383" spans="6:8">
      <c r="F14383" s="68" t="s">
        <v>134</v>
      </c>
      <c r="G14383" s="67" t="s">
        <v>610</v>
      </c>
      <c r="H14383" s="69">
        <v>-0.65</v>
      </c>
    </row>
    <row r="14384" spans="6:8">
      <c r="F14384" s="68" t="s">
        <v>569</v>
      </c>
      <c r="G14384" s="67" t="s">
        <v>610</v>
      </c>
      <c r="H14384" s="69">
        <v>-0.06</v>
      </c>
    </row>
    <row r="14385" spans="6:8">
      <c r="F14385" s="68" t="s">
        <v>423</v>
      </c>
      <c r="G14385" s="67" t="s">
        <v>610</v>
      </c>
      <c r="H14385" s="69">
        <v>2.3740958940248635</v>
      </c>
    </row>
    <row r="14386" spans="6:8">
      <c r="F14386" s="68" t="s">
        <v>256</v>
      </c>
      <c r="G14386" s="67" t="s">
        <v>610</v>
      </c>
      <c r="H14386" s="69">
        <v>0.96</v>
      </c>
    </row>
    <row r="14387" spans="6:8">
      <c r="F14387" s="68" t="s">
        <v>133</v>
      </c>
      <c r="G14387" s="67" t="s">
        <v>610</v>
      </c>
      <c r="H14387" s="69">
        <v>-0.6</v>
      </c>
    </row>
    <row r="14388" spans="6:8">
      <c r="F14388" s="68" t="s">
        <v>132</v>
      </c>
      <c r="G14388" s="67" t="s">
        <v>610</v>
      </c>
      <c r="H14388" s="69">
        <v>-0.7</v>
      </c>
    </row>
    <row r="14389" spans="6:8">
      <c r="F14389" s="68" t="s">
        <v>568</v>
      </c>
      <c r="G14389" s="67" t="s">
        <v>610</v>
      </c>
      <c r="H14389" s="69">
        <v>-0.2</v>
      </c>
    </row>
    <row r="14390" spans="6:8">
      <c r="F14390" s="68" t="s">
        <v>422</v>
      </c>
      <c r="G14390" s="67" t="s">
        <v>610</v>
      </c>
      <c r="H14390" s="69">
        <v>2.3713160645933318</v>
      </c>
    </row>
    <row r="14391" spans="6:8">
      <c r="F14391" s="68" t="s">
        <v>303</v>
      </c>
      <c r="G14391" s="67" t="s">
        <v>610</v>
      </c>
      <c r="H14391" s="69">
        <v>18.979166666666668</v>
      </c>
    </row>
    <row r="14392" spans="6:8">
      <c r="F14392" s="68" t="s">
        <v>255</v>
      </c>
      <c r="G14392" s="67" t="s">
        <v>610</v>
      </c>
      <c r="H14392" s="69">
        <v>0.85</v>
      </c>
    </row>
    <row r="14393" spans="6:8">
      <c r="F14393" s="68" t="s">
        <v>131</v>
      </c>
      <c r="G14393" s="67" t="s">
        <v>610</v>
      </c>
      <c r="H14393" s="69">
        <v>-0.53</v>
      </c>
    </row>
    <row r="14394" spans="6:8">
      <c r="F14394" s="68" t="s">
        <v>130</v>
      </c>
      <c r="G14394" s="67" t="s">
        <v>610</v>
      </c>
      <c r="H14394" s="69">
        <v>-0.8</v>
      </c>
    </row>
    <row r="14395" spans="6:8">
      <c r="F14395" s="68" t="s">
        <v>567</v>
      </c>
      <c r="G14395" s="67" t="s">
        <v>610</v>
      </c>
      <c r="H14395" s="69">
        <v>-0.51</v>
      </c>
    </row>
    <row r="14396" spans="6:8">
      <c r="F14396" s="68" t="s">
        <v>421</v>
      </c>
      <c r="G14396" s="67" t="s">
        <v>610</v>
      </c>
      <c r="H14396" s="69">
        <v>2.3654708492431453</v>
      </c>
    </row>
    <row r="14397" spans="6:8">
      <c r="F14397" s="68" t="s">
        <v>304</v>
      </c>
      <c r="G14397" s="67" t="s">
        <v>610</v>
      </c>
      <c r="H14397" s="69">
        <v>17.916666666666668</v>
      </c>
    </row>
    <row r="14398" spans="6:8">
      <c r="F14398" s="68" t="s">
        <v>254</v>
      </c>
      <c r="G14398" s="67" t="s">
        <v>610</v>
      </c>
      <c r="H14398" s="69">
        <v>0.67</v>
      </c>
    </row>
    <row r="14399" spans="6:8">
      <c r="F14399" s="68" t="s">
        <v>129</v>
      </c>
      <c r="G14399" s="67" t="s">
        <v>610</v>
      </c>
      <c r="H14399" s="69">
        <v>-0.57999999999999996</v>
      </c>
    </row>
    <row r="14400" spans="6:8">
      <c r="F14400" s="68" t="s">
        <v>128</v>
      </c>
      <c r="G14400" s="67" t="s">
        <v>610</v>
      </c>
      <c r="H14400" s="69">
        <v>-0.7</v>
      </c>
    </row>
    <row r="14401" spans="6:8">
      <c r="F14401" s="68" t="s">
        <v>315</v>
      </c>
      <c r="G14401" s="67" t="s">
        <v>610</v>
      </c>
      <c r="H14401" s="69">
        <v>-0.11</v>
      </c>
    </row>
    <row r="14402" spans="6:8">
      <c r="F14402" s="68" t="s">
        <v>253</v>
      </c>
      <c r="G14402" s="67" t="s">
        <v>610</v>
      </c>
      <c r="H14402" s="69">
        <v>0.49</v>
      </c>
    </row>
    <row r="14403" spans="6:8">
      <c r="F14403" s="68" t="s">
        <v>127</v>
      </c>
      <c r="G14403" s="67" t="s">
        <v>610</v>
      </c>
      <c r="H14403" s="69">
        <v>-0.45</v>
      </c>
    </row>
    <row r="14404" spans="6:8">
      <c r="F14404" s="68" t="s">
        <v>126</v>
      </c>
      <c r="G14404" s="67" t="s">
        <v>610</v>
      </c>
      <c r="H14404" s="69">
        <v>-0.77</v>
      </c>
    </row>
    <row r="14405" spans="6:8">
      <c r="F14405" s="68" t="s">
        <v>125</v>
      </c>
      <c r="G14405" s="67" t="s">
        <v>610</v>
      </c>
      <c r="H14405" s="69">
        <v>-0.4</v>
      </c>
    </row>
    <row r="14406" spans="6:8">
      <c r="F14406" s="68" t="s">
        <v>314</v>
      </c>
      <c r="G14406" s="67" t="s">
        <v>610</v>
      </c>
      <c r="H14406" s="69">
        <v>-0.3</v>
      </c>
    </row>
    <row r="14407" spans="6:8">
      <c r="F14407" s="68" t="s">
        <v>252</v>
      </c>
      <c r="G14407" s="67" t="s">
        <v>610</v>
      </c>
      <c r="H14407" s="69">
        <v>0.35</v>
      </c>
    </row>
    <row r="14408" spans="6:8">
      <c r="F14408" s="68" t="s">
        <v>124</v>
      </c>
      <c r="G14408" s="67" t="s">
        <v>610</v>
      </c>
      <c r="H14408" s="69">
        <v>-0.45</v>
      </c>
    </row>
    <row r="14409" spans="6:8">
      <c r="F14409" s="68" t="s">
        <v>123</v>
      </c>
      <c r="G14409" s="67" t="s">
        <v>610</v>
      </c>
      <c r="H14409" s="69">
        <v>-0.77</v>
      </c>
    </row>
    <row r="14410" spans="6:8">
      <c r="F14410" s="68" t="s">
        <v>122</v>
      </c>
      <c r="G14410" s="67" t="s">
        <v>610</v>
      </c>
      <c r="H14410" s="69">
        <v>-0.53</v>
      </c>
    </row>
    <row r="14411" spans="6:8">
      <c r="F14411" s="68" t="s">
        <v>420</v>
      </c>
      <c r="G14411" s="67" t="s">
        <v>610</v>
      </c>
      <c r="H14411" s="69">
        <v>3.3160076882837064</v>
      </c>
    </row>
    <row r="14412" spans="6:8">
      <c r="F14412" s="68" t="s">
        <v>251</v>
      </c>
      <c r="G14412" s="67" t="s">
        <v>610</v>
      </c>
      <c r="H14412" s="69">
        <v>0.25</v>
      </c>
    </row>
    <row r="14413" spans="6:8">
      <c r="F14413" s="68" t="s">
        <v>121</v>
      </c>
      <c r="G14413" s="67" t="s">
        <v>610</v>
      </c>
      <c r="H14413" s="69">
        <v>-0.55000000000000004</v>
      </c>
    </row>
    <row r="14414" spans="6:8">
      <c r="F14414" s="68" t="s">
        <v>120</v>
      </c>
      <c r="G14414" s="67" t="s">
        <v>610</v>
      </c>
      <c r="H14414" s="69">
        <v>-0.65</v>
      </c>
    </row>
    <row r="14415" spans="6:8">
      <c r="F14415" s="68" t="s">
        <v>119</v>
      </c>
      <c r="G14415" s="67" t="s">
        <v>610</v>
      </c>
      <c r="H14415" s="69">
        <v>-0.57999999999999996</v>
      </c>
    </row>
    <row r="14416" spans="6:8">
      <c r="F14416" s="68" t="s">
        <v>119</v>
      </c>
      <c r="G14416" s="67" t="s">
        <v>611</v>
      </c>
      <c r="H14416" s="69">
        <v>-0.57999999999999996</v>
      </c>
    </row>
    <row r="14417" spans="6:8">
      <c r="F14417" s="68" t="s">
        <v>120</v>
      </c>
      <c r="G14417" s="67" t="s">
        <v>611</v>
      </c>
      <c r="H14417" s="69">
        <v>-0.65</v>
      </c>
    </row>
    <row r="14418" spans="6:8">
      <c r="F14418" s="68" t="s">
        <v>121</v>
      </c>
      <c r="G14418" s="67" t="s">
        <v>611</v>
      </c>
      <c r="H14418" s="69">
        <v>-0.55000000000000004</v>
      </c>
    </row>
    <row r="14419" spans="6:8">
      <c r="F14419" s="68" t="s">
        <v>251</v>
      </c>
      <c r="G14419" s="67" t="s">
        <v>611</v>
      </c>
      <c r="H14419" s="69">
        <v>0.25</v>
      </c>
    </row>
    <row r="14420" spans="6:8">
      <c r="F14420" s="68" t="s">
        <v>420</v>
      </c>
      <c r="G14420" s="67" t="s">
        <v>611</v>
      </c>
      <c r="H14420" s="69">
        <v>3.3408272423510077</v>
      </c>
    </row>
    <row r="14421" spans="6:8">
      <c r="F14421" s="68" t="s">
        <v>122</v>
      </c>
      <c r="G14421" s="67" t="s">
        <v>611</v>
      </c>
      <c r="H14421" s="69">
        <v>-0.53</v>
      </c>
    </row>
    <row r="14422" spans="6:8">
      <c r="F14422" s="68" t="s">
        <v>123</v>
      </c>
      <c r="G14422" s="67" t="s">
        <v>611</v>
      </c>
      <c r="H14422" s="69">
        <v>-0.77</v>
      </c>
    </row>
    <row r="14423" spans="6:8">
      <c r="F14423" s="68" t="s">
        <v>124</v>
      </c>
      <c r="G14423" s="67" t="s">
        <v>611</v>
      </c>
      <c r="H14423" s="69">
        <v>-0.45</v>
      </c>
    </row>
    <row r="14424" spans="6:8">
      <c r="F14424" s="68" t="s">
        <v>252</v>
      </c>
      <c r="G14424" s="67" t="s">
        <v>611</v>
      </c>
      <c r="H14424" s="69">
        <v>0.35</v>
      </c>
    </row>
    <row r="14425" spans="6:8">
      <c r="F14425" s="68" t="s">
        <v>314</v>
      </c>
      <c r="G14425" s="67" t="s">
        <v>611</v>
      </c>
      <c r="H14425" s="69">
        <v>-0.3</v>
      </c>
    </row>
    <row r="14426" spans="6:8">
      <c r="F14426" s="68" t="s">
        <v>125</v>
      </c>
      <c r="G14426" s="67" t="s">
        <v>611</v>
      </c>
      <c r="H14426" s="69">
        <v>-0.4</v>
      </c>
    </row>
    <row r="14427" spans="6:8">
      <c r="F14427" s="68" t="s">
        <v>126</v>
      </c>
      <c r="G14427" s="67" t="s">
        <v>611</v>
      </c>
      <c r="H14427" s="69">
        <v>-0.77</v>
      </c>
    </row>
    <row r="14428" spans="6:8">
      <c r="F14428" s="68" t="s">
        <v>127</v>
      </c>
      <c r="G14428" s="67" t="s">
        <v>611</v>
      </c>
      <c r="H14428" s="69">
        <v>-0.45</v>
      </c>
    </row>
    <row r="14429" spans="6:8">
      <c r="F14429" s="68" t="s">
        <v>253</v>
      </c>
      <c r="G14429" s="67" t="s">
        <v>611</v>
      </c>
      <c r="H14429" s="69">
        <v>0.49</v>
      </c>
    </row>
    <row r="14430" spans="6:8">
      <c r="F14430" s="68" t="s">
        <v>315</v>
      </c>
      <c r="G14430" s="67" t="s">
        <v>611</v>
      </c>
      <c r="H14430" s="69">
        <v>-0.11</v>
      </c>
    </row>
    <row r="14431" spans="6:8">
      <c r="F14431" s="68" t="s">
        <v>128</v>
      </c>
      <c r="G14431" s="67" t="s">
        <v>611</v>
      </c>
      <c r="H14431" s="69">
        <v>-0.7</v>
      </c>
    </row>
    <row r="14432" spans="6:8">
      <c r="F14432" s="68" t="s">
        <v>129</v>
      </c>
      <c r="G14432" s="67" t="s">
        <v>611</v>
      </c>
      <c r="H14432" s="69">
        <v>-0.57999999999999996</v>
      </c>
    </row>
    <row r="14433" spans="6:8">
      <c r="F14433" s="68" t="s">
        <v>254</v>
      </c>
      <c r="G14433" s="67" t="s">
        <v>611</v>
      </c>
      <c r="H14433" s="69">
        <v>0.67</v>
      </c>
    </row>
    <row r="14434" spans="6:8">
      <c r="F14434" s="68" t="s">
        <v>304</v>
      </c>
      <c r="G14434" s="67" t="s">
        <v>611</v>
      </c>
      <c r="H14434" s="69">
        <v>18.135416666666668</v>
      </c>
    </row>
    <row r="14435" spans="6:8">
      <c r="F14435" s="68" t="s">
        <v>421</v>
      </c>
      <c r="G14435" s="67" t="s">
        <v>611</v>
      </c>
      <c r="H14435" s="69">
        <v>2.3763883097397187</v>
      </c>
    </row>
    <row r="14436" spans="6:8">
      <c r="F14436" s="68" t="s">
        <v>567</v>
      </c>
      <c r="G14436" s="67" t="s">
        <v>611</v>
      </c>
      <c r="H14436" s="69">
        <v>-0.51</v>
      </c>
    </row>
    <row r="14437" spans="6:8">
      <c r="F14437" s="68" t="s">
        <v>130</v>
      </c>
      <c r="G14437" s="67" t="s">
        <v>611</v>
      </c>
      <c r="H14437" s="69">
        <v>-0.8</v>
      </c>
    </row>
    <row r="14438" spans="6:8">
      <c r="F14438" s="68" t="s">
        <v>131</v>
      </c>
      <c r="G14438" s="67" t="s">
        <v>611</v>
      </c>
      <c r="H14438" s="69">
        <v>-0.53</v>
      </c>
    </row>
    <row r="14439" spans="6:8">
      <c r="F14439" s="68" t="s">
        <v>255</v>
      </c>
      <c r="G14439" s="67" t="s">
        <v>611</v>
      </c>
      <c r="H14439" s="69">
        <v>0.85</v>
      </c>
    </row>
    <row r="14440" spans="6:8">
      <c r="F14440" s="68" t="s">
        <v>303</v>
      </c>
      <c r="G14440" s="67" t="s">
        <v>611</v>
      </c>
      <c r="H14440" s="69">
        <v>19.182291666666668</v>
      </c>
    </row>
    <row r="14441" spans="6:8">
      <c r="F14441" s="68" t="s">
        <v>422</v>
      </c>
      <c r="G14441" s="67" t="s">
        <v>611</v>
      </c>
      <c r="H14441" s="69">
        <v>2.3823935383732397</v>
      </c>
    </row>
    <row r="14442" spans="6:8">
      <c r="F14442" s="68" t="s">
        <v>568</v>
      </c>
      <c r="G14442" s="67" t="s">
        <v>611</v>
      </c>
      <c r="H14442" s="69">
        <v>-0.2</v>
      </c>
    </row>
    <row r="14443" spans="6:8">
      <c r="F14443" s="68" t="s">
        <v>132</v>
      </c>
      <c r="G14443" s="67" t="s">
        <v>611</v>
      </c>
      <c r="H14443" s="69">
        <v>-0.7</v>
      </c>
    </row>
    <row r="14444" spans="6:8">
      <c r="F14444" s="68" t="s">
        <v>133</v>
      </c>
      <c r="G14444" s="67" t="s">
        <v>611</v>
      </c>
      <c r="H14444" s="69">
        <v>-0.6</v>
      </c>
    </row>
    <row r="14445" spans="6:8">
      <c r="F14445" s="68" t="s">
        <v>256</v>
      </c>
      <c r="G14445" s="67" t="s">
        <v>611</v>
      </c>
      <c r="H14445" s="69">
        <v>0.96</v>
      </c>
    </row>
    <row r="14446" spans="6:8">
      <c r="F14446" s="68" t="s">
        <v>423</v>
      </c>
      <c r="G14446" s="67" t="s">
        <v>611</v>
      </c>
      <c r="H14446" s="69">
        <v>2.4069160275638879</v>
      </c>
    </row>
    <row r="14447" spans="6:8">
      <c r="F14447" s="68" t="s">
        <v>569</v>
      </c>
      <c r="G14447" s="67" t="s">
        <v>611</v>
      </c>
      <c r="H14447" s="69">
        <v>-0.06</v>
      </c>
    </row>
    <row r="14448" spans="6:8">
      <c r="F14448" s="68" t="s">
        <v>134</v>
      </c>
      <c r="G14448" s="67" t="s">
        <v>611</v>
      </c>
      <c r="H14448" s="69">
        <v>-0.65</v>
      </c>
    </row>
    <row r="14449" spans="6:8">
      <c r="F14449" s="68" t="s">
        <v>135</v>
      </c>
      <c r="G14449" s="67" t="s">
        <v>611</v>
      </c>
      <c r="H14449" s="69">
        <v>-0.7</v>
      </c>
    </row>
    <row r="14450" spans="6:8">
      <c r="F14450" s="68" t="s">
        <v>257</v>
      </c>
      <c r="G14450" s="67" t="s">
        <v>611</v>
      </c>
      <c r="H14450" s="69">
        <v>1</v>
      </c>
    </row>
    <row r="14451" spans="6:8">
      <c r="F14451" s="68" t="s">
        <v>258</v>
      </c>
      <c r="G14451" s="67" t="s">
        <v>611</v>
      </c>
      <c r="H14451" s="69">
        <v>0.15</v>
      </c>
    </row>
    <row r="14452" spans="6:8">
      <c r="F14452" s="68" t="s">
        <v>424</v>
      </c>
      <c r="G14452" s="67" t="s">
        <v>611</v>
      </c>
      <c r="H14452" s="69">
        <v>3.1225287270690405</v>
      </c>
    </row>
    <row r="14453" spans="6:8">
      <c r="F14453" s="68" t="s">
        <v>136</v>
      </c>
      <c r="G14453" s="67" t="s">
        <v>611</v>
      </c>
      <c r="H14453" s="69">
        <v>-0.68</v>
      </c>
    </row>
    <row r="14454" spans="6:8">
      <c r="F14454" s="68" t="s">
        <v>137</v>
      </c>
      <c r="G14454" s="67" t="s">
        <v>611</v>
      </c>
      <c r="H14454" s="69">
        <v>-0.6</v>
      </c>
    </row>
    <row r="14455" spans="6:8">
      <c r="F14455" s="68" t="s">
        <v>138</v>
      </c>
      <c r="G14455" s="67" t="s">
        <v>611</v>
      </c>
      <c r="H14455" s="69">
        <v>-0.6</v>
      </c>
    </row>
    <row r="14456" spans="6:8">
      <c r="F14456" s="68" t="s">
        <v>259</v>
      </c>
      <c r="G14456" s="67" t="s">
        <v>611</v>
      </c>
      <c r="H14456" s="69">
        <v>0.17</v>
      </c>
    </row>
    <row r="14457" spans="6:8">
      <c r="F14457" s="68" t="s">
        <v>425</v>
      </c>
      <c r="G14457" s="67" t="s">
        <v>611</v>
      </c>
      <c r="H14457" s="69">
        <v>3.1442236416415081</v>
      </c>
    </row>
    <row r="14458" spans="6:8">
      <c r="F14458" s="68" t="s">
        <v>425</v>
      </c>
      <c r="G14458" s="67" t="s">
        <v>612</v>
      </c>
      <c r="H14458" s="69">
        <v>3.1388441459313299</v>
      </c>
    </row>
    <row r="14459" spans="6:8">
      <c r="F14459" s="68" t="s">
        <v>259</v>
      </c>
      <c r="G14459" s="67" t="s">
        <v>612</v>
      </c>
      <c r="H14459" s="69">
        <v>0.17</v>
      </c>
    </row>
    <row r="14460" spans="6:8">
      <c r="F14460" s="68" t="s">
        <v>138</v>
      </c>
      <c r="G14460" s="67" t="s">
        <v>612</v>
      </c>
      <c r="H14460" s="69">
        <v>-0.6</v>
      </c>
    </row>
    <row r="14461" spans="6:8">
      <c r="F14461" s="68" t="s">
        <v>137</v>
      </c>
      <c r="G14461" s="67" t="s">
        <v>612</v>
      </c>
      <c r="H14461" s="69">
        <v>-0.6</v>
      </c>
    </row>
    <row r="14462" spans="6:8">
      <c r="F14462" s="68" t="s">
        <v>136</v>
      </c>
      <c r="G14462" s="67" t="s">
        <v>612</v>
      </c>
      <c r="H14462" s="69">
        <v>-0.68</v>
      </c>
    </row>
    <row r="14463" spans="6:8">
      <c r="F14463" s="68" t="s">
        <v>424</v>
      </c>
      <c r="G14463" s="67" t="s">
        <v>612</v>
      </c>
      <c r="H14463" s="69">
        <v>3.1187168168821167</v>
      </c>
    </row>
    <row r="14464" spans="6:8">
      <c r="F14464" s="68" t="s">
        <v>258</v>
      </c>
      <c r="G14464" s="67" t="s">
        <v>612</v>
      </c>
      <c r="H14464" s="69">
        <v>0.15</v>
      </c>
    </row>
    <row r="14465" spans="6:8">
      <c r="F14465" s="68" t="s">
        <v>257</v>
      </c>
      <c r="G14465" s="67" t="s">
        <v>612</v>
      </c>
      <c r="H14465" s="69">
        <v>1</v>
      </c>
    </row>
    <row r="14466" spans="6:8">
      <c r="F14466" s="68" t="s">
        <v>135</v>
      </c>
      <c r="G14466" s="67" t="s">
        <v>612</v>
      </c>
      <c r="H14466" s="69">
        <v>-0.7</v>
      </c>
    </row>
    <row r="14467" spans="6:8">
      <c r="F14467" s="68" t="s">
        <v>134</v>
      </c>
      <c r="G14467" s="67" t="s">
        <v>612</v>
      </c>
      <c r="H14467" s="69">
        <v>-0.65</v>
      </c>
    </row>
    <row r="14468" spans="6:8">
      <c r="F14468" s="68" t="s">
        <v>569</v>
      </c>
      <c r="G14468" s="67" t="s">
        <v>612</v>
      </c>
      <c r="H14468" s="69">
        <v>-0.06</v>
      </c>
    </row>
    <row r="14469" spans="6:8">
      <c r="F14469" s="68" t="s">
        <v>423</v>
      </c>
      <c r="G14469" s="67" t="s">
        <v>612</v>
      </c>
      <c r="H14469" s="69">
        <v>2.4208069866818782</v>
      </c>
    </row>
    <row r="14470" spans="6:8">
      <c r="F14470" s="68" t="s">
        <v>256</v>
      </c>
      <c r="G14470" s="67" t="s">
        <v>612</v>
      </c>
      <c r="H14470" s="69">
        <v>0.96</v>
      </c>
    </row>
    <row r="14471" spans="6:8">
      <c r="F14471" s="68" t="s">
        <v>133</v>
      </c>
      <c r="G14471" s="67" t="s">
        <v>612</v>
      </c>
      <c r="H14471" s="69">
        <v>-0.6</v>
      </c>
    </row>
    <row r="14472" spans="6:8">
      <c r="F14472" s="68" t="s">
        <v>132</v>
      </c>
      <c r="G14472" s="67" t="s">
        <v>612</v>
      </c>
      <c r="H14472" s="69">
        <v>-0.7</v>
      </c>
    </row>
    <row r="14473" spans="6:8">
      <c r="F14473" s="68" t="s">
        <v>568</v>
      </c>
      <c r="G14473" s="67" t="s">
        <v>612</v>
      </c>
      <c r="H14473" s="69">
        <v>-0.2</v>
      </c>
    </row>
    <row r="14474" spans="6:8">
      <c r="F14474" s="68" t="s">
        <v>422</v>
      </c>
      <c r="G14474" s="67" t="s">
        <v>612</v>
      </c>
      <c r="H14474" s="69">
        <v>2.3949163496581161</v>
      </c>
    </row>
    <row r="14475" spans="6:8">
      <c r="F14475" s="68" t="s">
        <v>303</v>
      </c>
      <c r="G14475" s="67" t="s">
        <v>612</v>
      </c>
      <c r="H14475" s="69">
        <v>19.114583333333332</v>
      </c>
    </row>
    <row r="14476" spans="6:8">
      <c r="F14476" s="68" t="s">
        <v>255</v>
      </c>
      <c r="G14476" s="67" t="s">
        <v>612</v>
      </c>
      <c r="H14476" s="69">
        <v>0.85</v>
      </c>
    </row>
    <row r="14477" spans="6:8">
      <c r="F14477" s="68" t="s">
        <v>131</v>
      </c>
      <c r="G14477" s="67" t="s">
        <v>612</v>
      </c>
      <c r="H14477" s="69">
        <v>-0.53</v>
      </c>
    </row>
    <row r="14478" spans="6:8">
      <c r="F14478" s="68" t="s">
        <v>130</v>
      </c>
      <c r="G14478" s="67" t="s">
        <v>612</v>
      </c>
      <c r="H14478" s="69">
        <v>-0.8</v>
      </c>
    </row>
    <row r="14479" spans="6:8">
      <c r="F14479" s="68" t="s">
        <v>567</v>
      </c>
      <c r="G14479" s="67" t="s">
        <v>612</v>
      </c>
      <c r="H14479" s="69">
        <v>-0.51</v>
      </c>
    </row>
    <row r="14480" spans="6:8">
      <c r="F14480" s="68" t="s">
        <v>421</v>
      </c>
      <c r="G14480" s="67" t="s">
        <v>612</v>
      </c>
      <c r="H14480" s="69">
        <v>2.3888623180059021</v>
      </c>
    </row>
    <row r="14481" spans="6:8">
      <c r="F14481" s="68" t="s">
        <v>304</v>
      </c>
      <c r="G14481" s="67" t="s">
        <v>612</v>
      </c>
      <c r="H14481" s="69">
        <v>18.03125</v>
      </c>
    </row>
    <row r="14482" spans="6:8">
      <c r="F14482" s="68" t="s">
        <v>254</v>
      </c>
      <c r="G14482" s="67" t="s">
        <v>612</v>
      </c>
      <c r="H14482" s="69">
        <v>0.67</v>
      </c>
    </row>
    <row r="14483" spans="6:8">
      <c r="F14483" s="68" t="s">
        <v>129</v>
      </c>
      <c r="G14483" s="67" t="s">
        <v>612</v>
      </c>
      <c r="H14483" s="69">
        <v>-0.57999999999999996</v>
      </c>
    </row>
    <row r="14484" spans="6:8">
      <c r="F14484" s="68" t="s">
        <v>128</v>
      </c>
      <c r="G14484" s="67" t="s">
        <v>612</v>
      </c>
      <c r="H14484" s="69">
        <v>-0.7</v>
      </c>
    </row>
    <row r="14485" spans="6:8">
      <c r="F14485" s="68" t="s">
        <v>315</v>
      </c>
      <c r="G14485" s="67" t="s">
        <v>612</v>
      </c>
      <c r="H14485" s="69">
        <v>-0.11</v>
      </c>
    </row>
    <row r="14486" spans="6:8">
      <c r="F14486" s="68" t="s">
        <v>253</v>
      </c>
      <c r="G14486" s="67" t="s">
        <v>612</v>
      </c>
      <c r="H14486" s="69">
        <v>0.49</v>
      </c>
    </row>
    <row r="14487" spans="6:8">
      <c r="F14487" s="68" t="s">
        <v>127</v>
      </c>
      <c r="G14487" s="67" t="s">
        <v>612</v>
      </c>
      <c r="H14487" s="69">
        <v>-0.45</v>
      </c>
    </row>
    <row r="14488" spans="6:8">
      <c r="F14488" s="68" t="s">
        <v>126</v>
      </c>
      <c r="G14488" s="67" t="s">
        <v>612</v>
      </c>
      <c r="H14488" s="69">
        <v>-0.77</v>
      </c>
    </row>
    <row r="14489" spans="6:8">
      <c r="F14489" s="68" t="s">
        <v>125</v>
      </c>
      <c r="G14489" s="67" t="s">
        <v>612</v>
      </c>
      <c r="H14489" s="69">
        <v>-0.4</v>
      </c>
    </row>
    <row r="14490" spans="6:8">
      <c r="F14490" s="68" t="s">
        <v>314</v>
      </c>
      <c r="G14490" s="67" t="s">
        <v>612</v>
      </c>
      <c r="H14490" s="69">
        <v>-0.3</v>
      </c>
    </row>
    <row r="14491" spans="6:8">
      <c r="F14491" s="68" t="s">
        <v>252</v>
      </c>
      <c r="G14491" s="67" t="s">
        <v>612</v>
      </c>
      <c r="H14491" s="69">
        <v>0.35</v>
      </c>
    </row>
    <row r="14492" spans="6:8">
      <c r="F14492" s="68" t="s">
        <v>124</v>
      </c>
      <c r="G14492" s="67" t="s">
        <v>612</v>
      </c>
      <c r="H14492" s="69">
        <v>-0.45</v>
      </c>
    </row>
    <row r="14493" spans="6:8">
      <c r="F14493" s="68" t="s">
        <v>123</v>
      </c>
      <c r="G14493" s="67" t="s">
        <v>612</v>
      </c>
      <c r="H14493" s="69">
        <v>-0.77</v>
      </c>
    </row>
    <row r="14494" spans="6:8">
      <c r="F14494" s="68" t="s">
        <v>122</v>
      </c>
      <c r="G14494" s="67" t="s">
        <v>612</v>
      </c>
      <c r="H14494" s="69">
        <v>-0.53</v>
      </c>
    </row>
    <row r="14495" spans="6:8">
      <c r="F14495" s="68" t="s">
        <v>420</v>
      </c>
      <c r="G14495" s="67" t="s">
        <v>612</v>
      </c>
      <c r="H14495" s="69">
        <v>3.3379312958750518</v>
      </c>
    </row>
    <row r="14496" spans="6:8">
      <c r="F14496" s="68" t="s">
        <v>251</v>
      </c>
      <c r="G14496" s="67" t="s">
        <v>612</v>
      </c>
      <c r="H14496" s="69">
        <v>0.25</v>
      </c>
    </row>
    <row r="14497" spans="6:8">
      <c r="F14497" s="68" t="s">
        <v>121</v>
      </c>
      <c r="G14497" s="67" t="s">
        <v>612</v>
      </c>
      <c r="H14497" s="69">
        <v>-0.55000000000000004</v>
      </c>
    </row>
    <row r="14498" spans="6:8">
      <c r="F14498" s="68" t="s">
        <v>120</v>
      </c>
      <c r="G14498" s="67" t="s">
        <v>612</v>
      </c>
      <c r="H14498" s="69">
        <v>-0.65</v>
      </c>
    </row>
    <row r="14499" spans="6:8">
      <c r="F14499" s="68" t="s">
        <v>119</v>
      </c>
      <c r="G14499" s="67" t="s">
        <v>612</v>
      </c>
      <c r="H14499" s="69">
        <v>-0.57999999999999996</v>
      </c>
    </row>
    <row r="14500" spans="6:8">
      <c r="F14500" s="68" t="s">
        <v>119</v>
      </c>
      <c r="G14500" s="67" t="s">
        <v>613</v>
      </c>
      <c r="H14500" s="69">
        <v>-0.57999999999999996</v>
      </c>
    </row>
    <row r="14501" spans="6:8">
      <c r="F14501" s="68" t="s">
        <v>120</v>
      </c>
      <c r="G14501" s="67" t="s">
        <v>613</v>
      </c>
      <c r="H14501" s="69">
        <v>-0.65</v>
      </c>
    </row>
    <row r="14502" spans="6:8">
      <c r="F14502" s="68" t="s">
        <v>121</v>
      </c>
      <c r="G14502" s="67" t="s">
        <v>613</v>
      </c>
      <c r="H14502" s="69">
        <v>-0.55000000000000004</v>
      </c>
    </row>
    <row r="14503" spans="6:8">
      <c r="F14503" s="68" t="s">
        <v>251</v>
      </c>
      <c r="G14503" s="67" t="s">
        <v>613</v>
      </c>
      <c r="H14503" s="69">
        <v>0.25</v>
      </c>
    </row>
    <row r="14504" spans="6:8">
      <c r="F14504" s="68" t="s">
        <v>420</v>
      </c>
      <c r="G14504" s="67" t="s">
        <v>613</v>
      </c>
      <c r="H14504" s="69">
        <v>3.3508010217921491</v>
      </c>
    </row>
    <row r="14505" spans="6:8">
      <c r="F14505" s="68" t="s">
        <v>122</v>
      </c>
      <c r="G14505" s="67" t="s">
        <v>613</v>
      </c>
      <c r="H14505" s="69">
        <v>-0.53</v>
      </c>
    </row>
    <row r="14506" spans="6:8">
      <c r="F14506" s="68" t="s">
        <v>123</v>
      </c>
      <c r="G14506" s="67" t="s">
        <v>613</v>
      </c>
      <c r="H14506" s="69">
        <v>-0.77</v>
      </c>
    </row>
    <row r="14507" spans="6:8">
      <c r="F14507" s="68" t="s">
        <v>124</v>
      </c>
      <c r="G14507" s="67" t="s">
        <v>613</v>
      </c>
      <c r="H14507" s="69">
        <v>-0.45</v>
      </c>
    </row>
    <row r="14508" spans="6:8">
      <c r="F14508" s="68" t="s">
        <v>252</v>
      </c>
      <c r="G14508" s="67" t="s">
        <v>613</v>
      </c>
      <c r="H14508" s="69">
        <v>0.35</v>
      </c>
    </row>
    <row r="14509" spans="6:8">
      <c r="F14509" s="68" t="s">
        <v>314</v>
      </c>
      <c r="G14509" s="67" t="s">
        <v>613</v>
      </c>
      <c r="H14509" s="69">
        <v>-0.3</v>
      </c>
    </row>
    <row r="14510" spans="6:8">
      <c r="F14510" s="68" t="s">
        <v>125</v>
      </c>
      <c r="G14510" s="67" t="s">
        <v>613</v>
      </c>
      <c r="H14510" s="69">
        <v>-0.4</v>
      </c>
    </row>
    <row r="14511" spans="6:8">
      <c r="F14511" s="68" t="s">
        <v>126</v>
      </c>
      <c r="G14511" s="67" t="s">
        <v>613</v>
      </c>
      <c r="H14511" s="69">
        <v>-0.77</v>
      </c>
    </row>
    <row r="14512" spans="6:8">
      <c r="F14512" s="68" t="s">
        <v>127</v>
      </c>
      <c r="G14512" s="67" t="s">
        <v>613</v>
      </c>
      <c r="H14512" s="69">
        <v>-0.45</v>
      </c>
    </row>
    <row r="14513" spans="6:8">
      <c r="F14513" s="68" t="s">
        <v>253</v>
      </c>
      <c r="G14513" s="67" t="s">
        <v>613</v>
      </c>
      <c r="H14513" s="69">
        <v>0.49</v>
      </c>
    </row>
    <row r="14514" spans="6:8">
      <c r="F14514" s="68" t="s">
        <v>315</v>
      </c>
      <c r="G14514" s="67" t="s">
        <v>613</v>
      </c>
      <c r="H14514" s="69">
        <v>-0.11</v>
      </c>
    </row>
    <row r="14515" spans="6:8">
      <c r="F14515" s="68" t="s">
        <v>128</v>
      </c>
      <c r="G14515" s="67" t="s">
        <v>613</v>
      </c>
      <c r="H14515" s="69">
        <v>-0.7</v>
      </c>
    </row>
    <row r="14516" spans="6:8">
      <c r="F14516" s="68" t="s">
        <v>129</v>
      </c>
      <c r="G14516" s="67" t="s">
        <v>613</v>
      </c>
      <c r="H14516" s="69">
        <v>-0.57999999999999996</v>
      </c>
    </row>
    <row r="14517" spans="6:8">
      <c r="F14517" s="68" t="s">
        <v>254</v>
      </c>
      <c r="G14517" s="67" t="s">
        <v>613</v>
      </c>
      <c r="H14517" s="69">
        <v>0.67</v>
      </c>
    </row>
    <row r="14518" spans="6:8">
      <c r="F14518" s="68" t="s">
        <v>304</v>
      </c>
      <c r="G14518" s="67" t="s">
        <v>613</v>
      </c>
      <c r="H14518" s="69">
        <v>18.104166666666668</v>
      </c>
    </row>
    <row r="14519" spans="6:8">
      <c r="F14519" s="68" t="s">
        <v>421</v>
      </c>
      <c r="G14519" s="67" t="s">
        <v>613</v>
      </c>
      <c r="H14519" s="69">
        <v>2.4025271768482792</v>
      </c>
    </row>
    <row r="14520" spans="6:8">
      <c r="F14520" s="68" t="s">
        <v>567</v>
      </c>
      <c r="G14520" s="67" t="s">
        <v>613</v>
      </c>
      <c r="H14520" s="69">
        <v>-0.51</v>
      </c>
    </row>
    <row r="14521" spans="6:8">
      <c r="F14521" s="68" t="s">
        <v>130</v>
      </c>
      <c r="G14521" s="67" t="s">
        <v>613</v>
      </c>
      <c r="H14521" s="69">
        <v>-0.8</v>
      </c>
    </row>
    <row r="14522" spans="6:8">
      <c r="F14522" s="68" t="s">
        <v>131</v>
      </c>
      <c r="G14522" s="67" t="s">
        <v>613</v>
      </c>
      <c r="H14522" s="69">
        <v>-0.53</v>
      </c>
    </row>
    <row r="14523" spans="6:8">
      <c r="F14523" s="68" t="s">
        <v>255</v>
      </c>
      <c r="G14523" s="67" t="s">
        <v>613</v>
      </c>
      <c r="H14523" s="69">
        <v>0.85</v>
      </c>
    </row>
    <row r="14524" spans="6:8">
      <c r="F14524" s="68" t="s">
        <v>303</v>
      </c>
      <c r="G14524" s="67" t="s">
        <v>613</v>
      </c>
      <c r="H14524" s="69">
        <v>19.166666666666668</v>
      </c>
    </row>
    <row r="14525" spans="6:8">
      <c r="F14525" s="68" t="s">
        <v>422</v>
      </c>
      <c r="G14525" s="67" t="s">
        <v>613</v>
      </c>
      <c r="H14525" s="69">
        <v>2.4086507555563408</v>
      </c>
    </row>
    <row r="14526" spans="6:8">
      <c r="F14526" s="68" t="s">
        <v>568</v>
      </c>
      <c r="G14526" s="67" t="s">
        <v>613</v>
      </c>
      <c r="H14526" s="69">
        <v>-0.2</v>
      </c>
    </row>
    <row r="14527" spans="6:8">
      <c r="F14527" s="68" t="s">
        <v>132</v>
      </c>
      <c r="G14527" s="67" t="s">
        <v>613</v>
      </c>
      <c r="H14527" s="69">
        <v>-0.7</v>
      </c>
    </row>
    <row r="14528" spans="6:8">
      <c r="F14528" s="68" t="s">
        <v>133</v>
      </c>
      <c r="G14528" s="67" t="s">
        <v>613</v>
      </c>
      <c r="H14528" s="69">
        <v>-0.6</v>
      </c>
    </row>
    <row r="14529" spans="6:8">
      <c r="F14529" s="68" t="s">
        <v>256</v>
      </c>
      <c r="G14529" s="67" t="s">
        <v>613</v>
      </c>
      <c r="H14529" s="69">
        <v>0.96</v>
      </c>
    </row>
    <row r="14530" spans="6:8">
      <c r="F14530" s="68" t="s">
        <v>423</v>
      </c>
      <c r="G14530" s="67" t="s">
        <v>613</v>
      </c>
      <c r="H14530" s="69">
        <v>2.4362832312236016</v>
      </c>
    </row>
    <row r="14531" spans="6:8">
      <c r="F14531" s="68" t="s">
        <v>569</v>
      </c>
      <c r="G14531" s="67" t="s">
        <v>613</v>
      </c>
      <c r="H14531" s="69">
        <v>-0.06</v>
      </c>
    </row>
    <row r="14532" spans="6:8">
      <c r="F14532" s="68" t="s">
        <v>134</v>
      </c>
      <c r="G14532" s="67" t="s">
        <v>613</v>
      </c>
      <c r="H14532" s="69">
        <v>-0.65</v>
      </c>
    </row>
    <row r="14533" spans="6:8">
      <c r="F14533" s="68" t="s">
        <v>135</v>
      </c>
      <c r="G14533" s="67" t="s">
        <v>613</v>
      </c>
      <c r="H14533" s="69">
        <v>-0.7</v>
      </c>
    </row>
    <row r="14534" spans="6:8">
      <c r="F14534" s="68" t="s">
        <v>257</v>
      </c>
      <c r="G14534" s="67" t="s">
        <v>613</v>
      </c>
      <c r="H14534" s="69">
        <v>1</v>
      </c>
    </row>
    <row r="14535" spans="6:8">
      <c r="F14535" s="68" t="s">
        <v>258</v>
      </c>
      <c r="G14535" s="67" t="s">
        <v>613</v>
      </c>
      <c r="H14535" s="69">
        <v>0.15</v>
      </c>
    </row>
    <row r="14536" spans="6:8">
      <c r="F14536" s="68" t="s">
        <v>424</v>
      </c>
      <c r="G14536" s="67" t="s">
        <v>613</v>
      </c>
      <c r="H14536" s="69">
        <v>3.1329529877165196</v>
      </c>
    </row>
    <row r="14537" spans="6:8">
      <c r="F14537" s="68" t="s">
        <v>136</v>
      </c>
      <c r="G14537" s="67" t="s">
        <v>613</v>
      </c>
      <c r="H14537" s="69">
        <v>-0.68</v>
      </c>
    </row>
    <row r="14538" spans="6:8">
      <c r="F14538" s="68" t="s">
        <v>137</v>
      </c>
      <c r="G14538" s="67" t="s">
        <v>613</v>
      </c>
      <c r="H14538" s="69">
        <v>-0.6</v>
      </c>
    </row>
    <row r="14539" spans="6:8">
      <c r="F14539" s="68" t="s">
        <v>138</v>
      </c>
      <c r="G14539" s="67" t="s">
        <v>613</v>
      </c>
      <c r="H14539" s="69">
        <v>-0.6</v>
      </c>
    </row>
    <row r="14540" spans="6:8">
      <c r="F14540" s="68" t="s">
        <v>259</v>
      </c>
      <c r="G14540" s="67" t="s">
        <v>613</v>
      </c>
      <c r="H14540" s="69">
        <v>0.17</v>
      </c>
    </row>
    <row r="14541" spans="6:8">
      <c r="F14541" s="68" t="s">
        <v>425</v>
      </c>
      <c r="G14541" s="67" t="s">
        <v>613</v>
      </c>
      <c r="H14541" s="69">
        <v>3.1498709491215138</v>
      </c>
    </row>
    <row r="14542" spans="6:8">
      <c r="F14542" s="68" t="s">
        <v>425</v>
      </c>
      <c r="G14542" s="67" t="s">
        <v>614</v>
      </c>
      <c r="H14542" s="69">
        <v>3.2160786154301402</v>
      </c>
    </row>
    <row r="14543" spans="6:8">
      <c r="F14543" s="68" t="s">
        <v>259</v>
      </c>
      <c r="G14543" s="67" t="s">
        <v>614</v>
      </c>
      <c r="H14543" s="69">
        <v>0.16</v>
      </c>
    </row>
    <row r="14544" spans="6:8">
      <c r="F14544" s="68" t="s">
        <v>138</v>
      </c>
      <c r="G14544" s="67" t="s">
        <v>614</v>
      </c>
      <c r="H14544" s="69">
        <v>-0.6</v>
      </c>
    </row>
    <row r="14545" spans="6:8">
      <c r="F14545" s="68" t="s">
        <v>137</v>
      </c>
      <c r="G14545" s="67" t="s">
        <v>614</v>
      </c>
      <c r="H14545" s="69">
        <v>-0.59</v>
      </c>
    </row>
    <row r="14546" spans="6:8">
      <c r="F14546" s="68" t="s">
        <v>136</v>
      </c>
      <c r="G14546" s="67" t="s">
        <v>614</v>
      </c>
      <c r="H14546" s="69">
        <v>-0.66</v>
      </c>
    </row>
    <row r="14547" spans="6:8">
      <c r="F14547" s="68" t="s">
        <v>424</v>
      </c>
      <c r="G14547" s="67" t="s">
        <v>614</v>
      </c>
      <c r="H14547" s="69">
        <v>3.1985941090054926</v>
      </c>
    </row>
    <row r="14548" spans="6:8">
      <c r="F14548" s="68" t="s">
        <v>258</v>
      </c>
      <c r="G14548" s="67" t="s">
        <v>614</v>
      </c>
      <c r="H14548" s="69">
        <v>0.15</v>
      </c>
    </row>
    <row r="14549" spans="6:8">
      <c r="F14549" s="68" t="s">
        <v>257</v>
      </c>
      <c r="G14549" s="67" t="s">
        <v>614</v>
      </c>
      <c r="H14549" s="69">
        <v>0.95</v>
      </c>
    </row>
    <row r="14550" spans="6:8">
      <c r="F14550" s="68" t="s">
        <v>135</v>
      </c>
      <c r="G14550" s="67" t="s">
        <v>614</v>
      </c>
      <c r="H14550" s="69">
        <v>-0.72</v>
      </c>
    </row>
    <row r="14551" spans="6:8">
      <c r="F14551" s="68" t="s">
        <v>134</v>
      </c>
      <c r="G14551" s="67" t="s">
        <v>614</v>
      </c>
      <c r="H14551" s="69">
        <v>-0.65</v>
      </c>
    </row>
    <row r="14552" spans="6:8">
      <c r="F14552" s="68" t="s">
        <v>569</v>
      </c>
      <c r="G14552" s="67" t="s">
        <v>614</v>
      </c>
      <c r="H14552" s="69">
        <v>-0.05</v>
      </c>
    </row>
    <row r="14553" spans="6:8">
      <c r="F14553" s="68" t="s">
        <v>423</v>
      </c>
      <c r="G14553" s="67" t="s">
        <v>614</v>
      </c>
      <c r="H14553" s="69">
        <v>2.483745344990762</v>
      </c>
    </row>
    <row r="14554" spans="6:8">
      <c r="F14554" s="68" t="s">
        <v>256</v>
      </c>
      <c r="G14554" s="67" t="s">
        <v>614</v>
      </c>
      <c r="H14554" s="69">
        <v>0.88</v>
      </c>
    </row>
    <row r="14555" spans="6:8">
      <c r="F14555" s="68" t="s">
        <v>133</v>
      </c>
      <c r="G14555" s="67" t="s">
        <v>614</v>
      </c>
      <c r="H14555" s="69">
        <v>-0.62</v>
      </c>
    </row>
    <row r="14556" spans="6:8">
      <c r="F14556" s="68" t="s">
        <v>132</v>
      </c>
      <c r="G14556" s="67" t="s">
        <v>614</v>
      </c>
      <c r="H14556" s="69">
        <v>-0.7</v>
      </c>
    </row>
    <row r="14557" spans="6:8">
      <c r="F14557" s="68" t="s">
        <v>568</v>
      </c>
      <c r="G14557" s="67" t="s">
        <v>614</v>
      </c>
      <c r="H14557" s="69">
        <v>-0.17</v>
      </c>
    </row>
    <row r="14558" spans="6:8">
      <c r="F14558" s="68" t="s">
        <v>422</v>
      </c>
      <c r="G14558" s="67" t="s">
        <v>614</v>
      </c>
      <c r="H14558" s="69">
        <v>2.4576456725756479</v>
      </c>
    </row>
    <row r="14559" spans="6:8">
      <c r="F14559" s="68" t="s">
        <v>303</v>
      </c>
      <c r="G14559" s="67" t="s">
        <v>614</v>
      </c>
      <c r="H14559" s="69">
        <v>19.0625</v>
      </c>
    </row>
    <row r="14560" spans="6:8">
      <c r="F14560" s="68" t="s">
        <v>255</v>
      </c>
      <c r="G14560" s="67" t="s">
        <v>614</v>
      </c>
      <c r="H14560" s="69">
        <v>0.78</v>
      </c>
    </row>
    <row r="14561" spans="6:8">
      <c r="F14561" s="68" t="s">
        <v>131</v>
      </c>
      <c r="G14561" s="67" t="s">
        <v>614</v>
      </c>
      <c r="H14561" s="69">
        <v>-0.56999999999999995</v>
      </c>
    </row>
    <row r="14562" spans="6:8">
      <c r="F14562" s="68" t="s">
        <v>130</v>
      </c>
      <c r="G14562" s="67" t="s">
        <v>614</v>
      </c>
      <c r="H14562" s="69">
        <v>-0.8</v>
      </c>
    </row>
    <row r="14563" spans="6:8">
      <c r="F14563" s="68" t="s">
        <v>567</v>
      </c>
      <c r="G14563" s="67" t="s">
        <v>614</v>
      </c>
      <c r="H14563" s="69">
        <v>-0.5</v>
      </c>
    </row>
    <row r="14564" spans="6:8">
      <c r="F14564" s="68" t="s">
        <v>421</v>
      </c>
      <c r="G14564" s="67" t="s">
        <v>614</v>
      </c>
      <c r="H14564" s="69">
        <v>2.4513969056911389</v>
      </c>
    </row>
    <row r="14565" spans="6:8">
      <c r="F14565" s="68" t="s">
        <v>304</v>
      </c>
      <c r="G14565" s="67" t="s">
        <v>614</v>
      </c>
      <c r="H14565" s="69">
        <v>18.020833333333332</v>
      </c>
    </row>
    <row r="14566" spans="6:8">
      <c r="F14566" s="68" t="s">
        <v>254</v>
      </c>
      <c r="G14566" s="67" t="s">
        <v>614</v>
      </c>
      <c r="H14566" s="69">
        <v>0.63</v>
      </c>
    </row>
    <row r="14567" spans="6:8">
      <c r="F14567" s="68" t="s">
        <v>129</v>
      </c>
      <c r="G14567" s="67" t="s">
        <v>614</v>
      </c>
      <c r="H14567" s="69">
        <v>-0.6</v>
      </c>
    </row>
    <row r="14568" spans="6:8">
      <c r="F14568" s="68" t="s">
        <v>128</v>
      </c>
      <c r="G14568" s="67" t="s">
        <v>614</v>
      </c>
      <c r="H14568" s="69">
        <v>-0.74</v>
      </c>
    </row>
    <row r="14569" spans="6:8">
      <c r="F14569" s="68" t="s">
        <v>315</v>
      </c>
      <c r="G14569" s="67" t="s">
        <v>614</v>
      </c>
      <c r="H14569" s="69">
        <v>-0.1</v>
      </c>
    </row>
    <row r="14570" spans="6:8">
      <c r="F14570" s="68" t="s">
        <v>253</v>
      </c>
      <c r="G14570" s="67" t="s">
        <v>614</v>
      </c>
      <c r="H14570" s="69">
        <v>0.45</v>
      </c>
    </row>
    <row r="14571" spans="6:8">
      <c r="F14571" s="68" t="s">
        <v>127</v>
      </c>
      <c r="G14571" s="67" t="s">
        <v>614</v>
      </c>
      <c r="H14571" s="69">
        <v>-0.45</v>
      </c>
    </row>
    <row r="14572" spans="6:8">
      <c r="F14572" s="68" t="s">
        <v>126</v>
      </c>
      <c r="G14572" s="67" t="s">
        <v>614</v>
      </c>
      <c r="H14572" s="69">
        <v>-0.79</v>
      </c>
    </row>
    <row r="14573" spans="6:8">
      <c r="F14573" s="68" t="s">
        <v>125</v>
      </c>
      <c r="G14573" s="67" t="s">
        <v>614</v>
      </c>
      <c r="H14573" s="69">
        <v>-0.38</v>
      </c>
    </row>
    <row r="14574" spans="6:8">
      <c r="F14574" s="68" t="s">
        <v>314</v>
      </c>
      <c r="G14574" s="67" t="s">
        <v>614</v>
      </c>
      <c r="H14574" s="69">
        <v>-0.28000000000000003</v>
      </c>
    </row>
    <row r="14575" spans="6:8">
      <c r="F14575" s="68" t="s">
        <v>252</v>
      </c>
      <c r="G14575" s="67" t="s">
        <v>614</v>
      </c>
      <c r="H14575" s="69">
        <v>0.3</v>
      </c>
    </row>
    <row r="14576" spans="6:8">
      <c r="F14576" s="68" t="s">
        <v>124</v>
      </c>
      <c r="G14576" s="67" t="s">
        <v>614</v>
      </c>
      <c r="H14576" s="69">
        <v>-0.45</v>
      </c>
    </row>
    <row r="14577" spans="6:8">
      <c r="F14577" s="68" t="s">
        <v>123</v>
      </c>
      <c r="G14577" s="67" t="s">
        <v>614</v>
      </c>
      <c r="H14577" s="69">
        <v>-0.79</v>
      </c>
    </row>
    <row r="14578" spans="6:8">
      <c r="F14578" s="68" t="s">
        <v>122</v>
      </c>
      <c r="G14578" s="67" t="s">
        <v>614</v>
      </c>
      <c r="H14578" s="69">
        <v>-0.51</v>
      </c>
    </row>
    <row r="14579" spans="6:8">
      <c r="F14579" s="68" t="s">
        <v>420</v>
      </c>
      <c r="G14579" s="67" t="s">
        <v>614</v>
      </c>
      <c r="H14579" s="69">
        <v>3.4080209315842769</v>
      </c>
    </row>
    <row r="14580" spans="6:8">
      <c r="F14580" s="68" t="s">
        <v>251</v>
      </c>
      <c r="G14580" s="67" t="s">
        <v>614</v>
      </c>
      <c r="H14580" s="69">
        <v>0.21</v>
      </c>
    </row>
    <row r="14581" spans="6:8">
      <c r="F14581" s="68" t="s">
        <v>121</v>
      </c>
      <c r="G14581" s="67" t="s">
        <v>614</v>
      </c>
      <c r="H14581" s="69">
        <v>-0.55000000000000004</v>
      </c>
    </row>
    <row r="14582" spans="6:8">
      <c r="F14582" s="68" t="s">
        <v>120</v>
      </c>
      <c r="G14582" s="67" t="s">
        <v>614</v>
      </c>
      <c r="H14582" s="69">
        <v>-0.69</v>
      </c>
    </row>
    <row r="14583" spans="6:8">
      <c r="F14583" s="68" t="s">
        <v>119</v>
      </c>
      <c r="G14583" s="67" t="s">
        <v>614</v>
      </c>
      <c r="H14583" s="69">
        <v>-0.56000000000000005</v>
      </c>
    </row>
    <row r="14584" spans="6:8">
      <c r="F14584" s="68" t="s">
        <v>119</v>
      </c>
      <c r="G14584" s="67" t="s">
        <v>615</v>
      </c>
      <c r="H14584" s="69">
        <v>-0.56000000000000005</v>
      </c>
    </row>
    <row r="14585" spans="6:8">
      <c r="F14585" s="68" t="s">
        <v>120</v>
      </c>
      <c r="G14585" s="67" t="s">
        <v>615</v>
      </c>
      <c r="H14585" s="69">
        <v>-0.69</v>
      </c>
    </row>
    <row r="14586" spans="6:8">
      <c r="F14586" s="68" t="s">
        <v>121</v>
      </c>
      <c r="G14586" s="67" t="s">
        <v>615</v>
      </c>
      <c r="H14586" s="69">
        <v>-0.55000000000000004</v>
      </c>
    </row>
    <row r="14587" spans="6:8">
      <c r="F14587" s="68" t="s">
        <v>251</v>
      </c>
      <c r="G14587" s="67" t="s">
        <v>615</v>
      </c>
      <c r="H14587" s="69">
        <v>0.21</v>
      </c>
    </row>
    <row r="14588" spans="6:8">
      <c r="F14588" s="68" t="s">
        <v>420</v>
      </c>
      <c r="G14588" s="67" t="s">
        <v>615</v>
      </c>
      <c r="H14588" s="69">
        <v>3.4214944697037453</v>
      </c>
    </row>
    <row r="14589" spans="6:8">
      <c r="F14589" s="68" t="s">
        <v>122</v>
      </c>
      <c r="G14589" s="67" t="s">
        <v>615</v>
      </c>
      <c r="H14589" s="69">
        <v>-0.51</v>
      </c>
    </row>
    <row r="14590" spans="6:8">
      <c r="F14590" s="68" t="s">
        <v>123</v>
      </c>
      <c r="G14590" s="67" t="s">
        <v>615</v>
      </c>
      <c r="H14590" s="69">
        <v>-0.79</v>
      </c>
    </row>
    <row r="14591" spans="6:8">
      <c r="F14591" s="68" t="s">
        <v>124</v>
      </c>
      <c r="G14591" s="67" t="s">
        <v>615</v>
      </c>
      <c r="H14591" s="69">
        <v>-0.45</v>
      </c>
    </row>
    <row r="14592" spans="6:8">
      <c r="F14592" s="68" t="s">
        <v>252</v>
      </c>
      <c r="G14592" s="67" t="s">
        <v>615</v>
      </c>
      <c r="H14592" s="69">
        <v>0.3</v>
      </c>
    </row>
    <row r="14593" spans="6:8">
      <c r="F14593" s="68" t="s">
        <v>314</v>
      </c>
      <c r="G14593" s="67" t="s">
        <v>615</v>
      </c>
      <c r="H14593" s="69">
        <v>-0.28000000000000003</v>
      </c>
    </row>
    <row r="14594" spans="6:8">
      <c r="F14594" s="68" t="s">
        <v>125</v>
      </c>
      <c r="G14594" s="67" t="s">
        <v>615</v>
      </c>
      <c r="H14594" s="69">
        <v>-0.38</v>
      </c>
    </row>
    <row r="14595" spans="6:8">
      <c r="F14595" s="68" t="s">
        <v>126</v>
      </c>
      <c r="G14595" s="67" t="s">
        <v>615</v>
      </c>
      <c r="H14595" s="69">
        <v>-0.79</v>
      </c>
    </row>
    <row r="14596" spans="6:8">
      <c r="F14596" s="68" t="s">
        <v>127</v>
      </c>
      <c r="G14596" s="67" t="s">
        <v>615</v>
      </c>
      <c r="H14596" s="69">
        <v>-0.45</v>
      </c>
    </row>
    <row r="14597" spans="6:8">
      <c r="F14597" s="68" t="s">
        <v>253</v>
      </c>
      <c r="G14597" s="67" t="s">
        <v>615</v>
      </c>
      <c r="H14597" s="69">
        <v>0.45</v>
      </c>
    </row>
    <row r="14598" spans="6:8">
      <c r="F14598" s="68" t="s">
        <v>315</v>
      </c>
      <c r="G14598" s="67" t="s">
        <v>615</v>
      </c>
      <c r="H14598" s="69">
        <v>-0.1</v>
      </c>
    </row>
    <row r="14599" spans="6:8">
      <c r="F14599" s="68" t="s">
        <v>128</v>
      </c>
      <c r="G14599" s="67" t="s">
        <v>615</v>
      </c>
      <c r="H14599" s="69">
        <v>-0.74</v>
      </c>
    </row>
    <row r="14600" spans="6:8">
      <c r="F14600" s="68" t="s">
        <v>129</v>
      </c>
      <c r="G14600" s="67" t="s">
        <v>615</v>
      </c>
      <c r="H14600" s="69">
        <v>-0.6</v>
      </c>
    </row>
    <row r="14601" spans="6:8">
      <c r="F14601" s="68" t="s">
        <v>254</v>
      </c>
      <c r="G14601" s="67" t="s">
        <v>615</v>
      </c>
      <c r="H14601" s="69">
        <v>0.63</v>
      </c>
    </row>
    <row r="14602" spans="6:8">
      <c r="F14602" s="68" t="s">
        <v>304</v>
      </c>
      <c r="G14602" s="67" t="s">
        <v>615</v>
      </c>
      <c r="H14602" s="69">
        <v>18.03125</v>
      </c>
    </row>
    <row r="14603" spans="6:8">
      <c r="F14603" s="68" t="s">
        <v>421</v>
      </c>
      <c r="G14603" s="67" t="s">
        <v>615</v>
      </c>
      <c r="H14603" s="69">
        <v>2.4542719018109338</v>
      </c>
    </row>
    <row r="14604" spans="6:8">
      <c r="F14604" s="68" t="s">
        <v>567</v>
      </c>
      <c r="G14604" s="67" t="s">
        <v>615</v>
      </c>
      <c r="H14604" s="69">
        <v>-0.5</v>
      </c>
    </row>
    <row r="14605" spans="6:8">
      <c r="F14605" s="68" t="s">
        <v>130</v>
      </c>
      <c r="G14605" s="67" t="s">
        <v>615</v>
      </c>
      <c r="H14605" s="69">
        <v>-0.8</v>
      </c>
    </row>
    <row r="14606" spans="6:8">
      <c r="F14606" s="68" t="s">
        <v>131</v>
      </c>
      <c r="G14606" s="67" t="s">
        <v>615</v>
      </c>
      <c r="H14606" s="69">
        <v>-0.56999999999999995</v>
      </c>
    </row>
    <row r="14607" spans="6:8">
      <c r="F14607" s="68" t="s">
        <v>255</v>
      </c>
      <c r="G14607" s="67" t="s">
        <v>615</v>
      </c>
      <c r="H14607" s="69">
        <v>0.78</v>
      </c>
    </row>
    <row r="14608" spans="6:8">
      <c r="F14608" s="68" t="s">
        <v>303</v>
      </c>
      <c r="G14608" s="67" t="s">
        <v>615</v>
      </c>
      <c r="H14608" s="69">
        <v>19.052083333333332</v>
      </c>
    </row>
    <row r="14609" spans="6:8">
      <c r="F14609" s="68" t="s">
        <v>422</v>
      </c>
      <c r="G14609" s="67" t="s">
        <v>615</v>
      </c>
      <c r="H14609" s="69">
        <v>2.4605280342670621</v>
      </c>
    </row>
    <row r="14610" spans="6:8">
      <c r="F14610" s="68" t="s">
        <v>568</v>
      </c>
      <c r="G14610" s="67" t="s">
        <v>615</v>
      </c>
      <c r="H14610" s="69">
        <v>-0.17</v>
      </c>
    </row>
    <row r="14611" spans="6:8">
      <c r="F14611" s="68" t="s">
        <v>132</v>
      </c>
      <c r="G14611" s="67" t="s">
        <v>615</v>
      </c>
      <c r="H14611" s="69">
        <v>-0.7</v>
      </c>
    </row>
    <row r="14612" spans="6:8">
      <c r="F14612" s="68" t="s">
        <v>133</v>
      </c>
      <c r="G14612" s="67" t="s">
        <v>615</v>
      </c>
      <c r="H14612" s="69">
        <v>-0.62</v>
      </c>
    </row>
    <row r="14613" spans="6:8">
      <c r="F14613" s="68" t="s">
        <v>256</v>
      </c>
      <c r="G14613" s="67" t="s">
        <v>615</v>
      </c>
      <c r="H14613" s="69">
        <v>0.88</v>
      </c>
    </row>
    <row r="14614" spans="6:8">
      <c r="F14614" s="68" t="s">
        <v>423</v>
      </c>
      <c r="G14614" s="67" t="s">
        <v>615</v>
      </c>
      <c r="H14614" s="69">
        <v>2.4923101501710843</v>
      </c>
    </row>
    <row r="14615" spans="6:8">
      <c r="F14615" s="68" t="s">
        <v>569</v>
      </c>
      <c r="G14615" s="67" t="s">
        <v>615</v>
      </c>
      <c r="H14615" s="69">
        <v>-0.05</v>
      </c>
    </row>
    <row r="14616" spans="6:8">
      <c r="F14616" s="68" t="s">
        <v>134</v>
      </c>
      <c r="G14616" s="67" t="s">
        <v>615</v>
      </c>
      <c r="H14616" s="69">
        <v>-0.65</v>
      </c>
    </row>
    <row r="14617" spans="6:8">
      <c r="F14617" s="68" t="s">
        <v>135</v>
      </c>
      <c r="G14617" s="67" t="s">
        <v>615</v>
      </c>
      <c r="H14617" s="69">
        <v>-0.72</v>
      </c>
    </row>
    <row r="14618" spans="6:8">
      <c r="F14618" s="68" t="s">
        <v>257</v>
      </c>
      <c r="G14618" s="67" t="s">
        <v>615</v>
      </c>
      <c r="H14618" s="69">
        <v>0.95</v>
      </c>
    </row>
    <row r="14619" spans="6:8">
      <c r="F14619" s="68" t="s">
        <v>258</v>
      </c>
      <c r="G14619" s="67" t="s">
        <v>615</v>
      </c>
      <c r="H14619" s="69">
        <v>0.15</v>
      </c>
    </row>
    <row r="14620" spans="6:8">
      <c r="F14620" s="68" t="s">
        <v>424</v>
      </c>
      <c r="G14620" s="67" t="s">
        <v>615</v>
      </c>
      <c r="H14620" s="69">
        <v>3.2124955766283048</v>
      </c>
    </row>
    <row r="14621" spans="6:8">
      <c r="F14621" s="68" t="s">
        <v>136</v>
      </c>
      <c r="G14621" s="67" t="s">
        <v>615</v>
      </c>
      <c r="H14621" s="69">
        <v>-0.66</v>
      </c>
    </row>
    <row r="14622" spans="6:8">
      <c r="F14622" s="68" t="s">
        <v>137</v>
      </c>
      <c r="G14622" s="67" t="s">
        <v>615</v>
      </c>
      <c r="H14622" s="69">
        <v>-0.59</v>
      </c>
    </row>
    <row r="14623" spans="6:8">
      <c r="F14623" s="68" t="s">
        <v>138</v>
      </c>
      <c r="G14623" s="67" t="s">
        <v>615</v>
      </c>
      <c r="H14623" s="69">
        <v>-0.6</v>
      </c>
    </row>
    <row r="14624" spans="6:8">
      <c r="F14624" s="68" t="s">
        <v>259</v>
      </c>
      <c r="G14624" s="67" t="s">
        <v>615</v>
      </c>
      <c r="H14624" s="69">
        <v>0.16</v>
      </c>
    </row>
    <row r="14625" spans="6:8">
      <c r="F14625" s="68" t="s">
        <v>425</v>
      </c>
      <c r="G14625" s="67" t="s">
        <v>615</v>
      </c>
      <c r="H14625" s="69">
        <v>3.225096870513422</v>
      </c>
    </row>
    <row r="14626" spans="6:8">
      <c r="F14626" s="68" t="s">
        <v>425</v>
      </c>
      <c r="G14626" s="67" t="s">
        <v>616</v>
      </c>
      <c r="H14626" s="69">
        <v>3.2138240482130875</v>
      </c>
    </row>
    <row r="14627" spans="6:8">
      <c r="F14627" s="68" t="s">
        <v>259</v>
      </c>
      <c r="G14627" s="67" t="s">
        <v>616</v>
      </c>
      <c r="H14627" s="69">
        <v>0.16</v>
      </c>
    </row>
    <row r="14628" spans="6:8">
      <c r="F14628" s="68" t="s">
        <v>138</v>
      </c>
      <c r="G14628" s="67" t="s">
        <v>616</v>
      </c>
      <c r="H14628" s="69">
        <v>-0.6</v>
      </c>
    </row>
    <row r="14629" spans="6:8">
      <c r="F14629" s="68" t="s">
        <v>137</v>
      </c>
      <c r="G14629" s="67" t="s">
        <v>616</v>
      </c>
      <c r="H14629" s="69">
        <v>-0.59</v>
      </c>
    </row>
    <row r="14630" spans="6:8">
      <c r="F14630" s="68" t="s">
        <v>136</v>
      </c>
      <c r="G14630" s="67" t="s">
        <v>616</v>
      </c>
      <c r="H14630" s="69">
        <v>-0.66</v>
      </c>
    </row>
    <row r="14631" spans="6:8">
      <c r="F14631" s="68" t="s">
        <v>424</v>
      </c>
      <c r="G14631" s="67" t="s">
        <v>616</v>
      </c>
      <c r="H14631" s="69">
        <v>3.2042252683917027</v>
      </c>
    </row>
    <row r="14632" spans="6:8">
      <c r="F14632" s="68" t="s">
        <v>258</v>
      </c>
      <c r="G14632" s="67" t="s">
        <v>616</v>
      </c>
      <c r="H14632" s="69">
        <v>0.15</v>
      </c>
    </row>
    <row r="14633" spans="6:8">
      <c r="F14633" s="68" t="s">
        <v>257</v>
      </c>
      <c r="G14633" s="67" t="s">
        <v>616</v>
      </c>
      <c r="H14633" s="69">
        <v>0.95</v>
      </c>
    </row>
    <row r="14634" spans="6:8">
      <c r="F14634" s="68" t="s">
        <v>135</v>
      </c>
      <c r="G14634" s="67" t="s">
        <v>616</v>
      </c>
      <c r="H14634" s="69">
        <v>-0.72</v>
      </c>
    </row>
    <row r="14635" spans="6:8">
      <c r="F14635" s="68" t="s">
        <v>134</v>
      </c>
      <c r="G14635" s="67" t="s">
        <v>616</v>
      </c>
      <c r="H14635" s="69">
        <v>-0.65</v>
      </c>
    </row>
    <row r="14636" spans="6:8">
      <c r="F14636" s="68" t="s">
        <v>569</v>
      </c>
      <c r="G14636" s="67" t="s">
        <v>616</v>
      </c>
      <c r="H14636" s="69">
        <v>-0.05</v>
      </c>
    </row>
    <row r="14637" spans="6:8">
      <c r="F14637" s="68" t="s">
        <v>423</v>
      </c>
      <c r="G14637" s="67" t="s">
        <v>616</v>
      </c>
      <c r="H14637" s="69">
        <v>2.487955307281231</v>
      </c>
    </row>
    <row r="14638" spans="6:8">
      <c r="F14638" s="68" t="s">
        <v>256</v>
      </c>
      <c r="G14638" s="67" t="s">
        <v>616</v>
      </c>
      <c r="H14638" s="69">
        <v>0.88</v>
      </c>
    </row>
    <row r="14639" spans="6:8">
      <c r="F14639" s="68" t="s">
        <v>133</v>
      </c>
      <c r="G14639" s="67" t="s">
        <v>616</v>
      </c>
      <c r="H14639" s="69">
        <v>-0.62</v>
      </c>
    </row>
    <row r="14640" spans="6:8">
      <c r="F14640" s="68" t="s">
        <v>132</v>
      </c>
      <c r="G14640" s="67" t="s">
        <v>616</v>
      </c>
      <c r="H14640" s="69">
        <v>-0.7</v>
      </c>
    </row>
    <row r="14641" spans="6:8">
      <c r="F14641" s="68" t="s">
        <v>568</v>
      </c>
      <c r="G14641" s="67" t="s">
        <v>616</v>
      </c>
      <c r="H14641" s="69">
        <v>-0.17</v>
      </c>
    </row>
    <row r="14642" spans="6:8">
      <c r="F14642" s="68" t="s">
        <v>422</v>
      </c>
      <c r="G14642" s="67" t="s">
        <v>616</v>
      </c>
      <c r="H14642" s="69">
        <v>2.4539198177602195</v>
      </c>
    </row>
    <row r="14643" spans="6:8">
      <c r="F14643" s="68" t="s">
        <v>303</v>
      </c>
      <c r="G14643" s="67" t="s">
        <v>616</v>
      </c>
      <c r="H14643" s="69">
        <v>19.15625</v>
      </c>
    </row>
    <row r="14644" spans="6:8">
      <c r="F14644" s="68" t="s">
        <v>255</v>
      </c>
      <c r="G14644" s="67" t="s">
        <v>616</v>
      </c>
      <c r="H14644" s="69">
        <v>0.78</v>
      </c>
    </row>
    <row r="14645" spans="6:8">
      <c r="F14645" s="68" t="s">
        <v>131</v>
      </c>
      <c r="G14645" s="67" t="s">
        <v>616</v>
      </c>
      <c r="H14645" s="69">
        <v>-0.56999999999999995</v>
      </c>
    </row>
    <row r="14646" spans="6:8">
      <c r="F14646" s="68" t="s">
        <v>130</v>
      </c>
      <c r="G14646" s="67" t="s">
        <v>616</v>
      </c>
      <c r="H14646" s="69">
        <v>-0.8</v>
      </c>
    </row>
    <row r="14647" spans="6:8">
      <c r="F14647" s="68" t="s">
        <v>567</v>
      </c>
      <c r="G14647" s="67" t="s">
        <v>616</v>
      </c>
      <c r="H14647" s="69">
        <v>-0.5</v>
      </c>
    </row>
    <row r="14648" spans="6:8">
      <c r="F14648" s="68" t="s">
        <v>421</v>
      </c>
      <c r="G14648" s="67" t="s">
        <v>616</v>
      </c>
      <c r="H14648" s="69">
        <v>2.4475905099420991</v>
      </c>
    </row>
    <row r="14649" spans="6:8">
      <c r="F14649" s="68" t="s">
        <v>304</v>
      </c>
      <c r="G14649" s="67" t="s">
        <v>616</v>
      </c>
      <c r="H14649" s="69">
        <v>18.041666666666668</v>
      </c>
    </row>
    <row r="14650" spans="6:8">
      <c r="F14650" s="68" t="s">
        <v>254</v>
      </c>
      <c r="G14650" s="67" t="s">
        <v>616</v>
      </c>
      <c r="H14650" s="69">
        <v>0.63</v>
      </c>
    </row>
    <row r="14651" spans="6:8">
      <c r="F14651" s="68" t="s">
        <v>129</v>
      </c>
      <c r="G14651" s="67" t="s">
        <v>616</v>
      </c>
      <c r="H14651" s="69">
        <v>-0.6</v>
      </c>
    </row>
    <row r="14652" spans="6:8">
      <c r="F14652" s="68" t="s">
        <v>128</v>
      </c>
      <c r="G14652" s="67" t="s">
        <v>616</v>
      </c>
      <c r="H14652" s="69">
        <v>-0.74</v>
      </c>
    </row>
    <row r="14653" spans="6:8">
      <c r="F14653" s="68" t="s">
        <v>315</v>
      </c>
      <c r="G14653" s="67" t="s">
        <v>616</v>
      </c>
      <c r="H14653" s="69">
        <v>-0.1</v>
      </c>
    </row>
    <row r="14654" spans="6:8">
      <c r="F14654" s="68" t="s">
        <v>253</v>
      </c>
      <c r="G14654" s="67" t="s">
        <v>616</v>
      </c>
      <c r="H14654" s="69">
        <v>0.45</v>
      </c>
    </row>
    <row r="14655" spans="6:8">
      <c r="F14655" s="68" t="s">
        <v>127</v>
      </c>
      <c r="G14655" s="67" t="s">
        <v>616</v>
      </c>
      <c r="H14655" s="69">
        <v>-0.45</v>
      </c>
    </row>
    <row r="14656" spans="6:8">
      <c r="F14656" s="68" t="s">
        <v>126</v>
      </c>
      <c r="G14656" s="67" t="s">
        <v>616</v>
      </c>
      <c r="H14656" s="69">
        <v>-0.79</v>
      </c>
    </row>
    <row r="14657" spans="6:8">
      <c r="F14657" s="68" t="s">
        <v>125</v>
      </c>
      <c r="G14657" s="67" t="s">
        <v>616</v>
      </c>
      <c r="H14657" s="69">
        <v>-0.38</v>
      </c>
    </row>
    <row r="14658" spans="6:8">
      <c r="F14658" s="68" t="s">
        <v>314</v>
      </c>
      <c r="G14658" s="67" t="s">
        <v>616</v>
      </c>
      <c r="H14658" s="69">
        <v>-0.28000000000000003</v>
      </c>
    </row>
    <row r="14659" spans="6:8">
      <c r="F14659" s="68" t="s">
        <v>252</v>
      </c>
      <c r="G14659" s="67" t="s">
        <v>616</v>
      </c>
      <c r="H14659" s="69">
        <v>0.3</v>
      </c>
    </row>
    <row r="14660" spans="6:8">
      <c r="F14660" s="68" t="s">
        <v>124</v>
      </c>
      <c r="G14660" s="67" t="s">
        <v>616</v>
      </c>
      <c r="H14660" s="69">
        <v>-0.45</v>
      </c>
    </row>
    <row r="14661" spans="6:8">
      <c r="F14661" s="68" t="s">
        <v>123</v>
      </c>
      <c r="G14661" s="67" t="s">
        <v>616</v>
      </c>
      <c r="H14661" s="69">
        <v>-0.79</v>
      </c>
    </row>
    <row r="14662" spans="6:8">
      <c r="F14662" s="68" t="s">
        <v>122</v>
      </c>
      <c r="G14662" s="67" t="s">
        <v>616</v>
      </c>
      <c r="H14662" s="69">
        <v>-0.51</v>
      </c>
    </row>
    <row r="14663" spans="6:8">
      <c r="F14663" s="68" t="s">
        <v>420</v>
      </c>
      <c r="G14663" s="67" t="s">
        <v>616</v>
      </c>
      <c r="H14663" s="69">
        <v>3.4158115504938191</v>
      </c>
    </row>
    <row r="14664" spans="6:8">
      <c r="F14664" s="68" t="s">
        <v>251</v>
      </c>
      <c r="G14664" s="67" t="s">
        <v>616</v>
      </c>
      <c r="H14664" s="69">
        <v>0.21</v>
      </c>
    </row>
    <row r="14665" spans="6:8">
      <c r="F14665" s="68" t="s">
        <v>121</v>
      </c>
      <c r="G14665" s="67" t="s">
        <v>616</v>
      </c>
      <c r="H14665" s="69">
        <v>-0.55000000000000004</v>
      </c>
    </row>
    <row r="14666" spans="6:8">
      <c r="F14666" s="68" t="s">
        <v>120</v>
      </c>
      <c r="G14666" s="67" t="s">
        <v>616</v>
      </c>
      <c r="H14666" s="69">
        <v>-0.69</v>
      </c>
    </row>
    <row r="14667" spans="6:8">
      <c r="F14667" s="68" t="s">
        <v>119</v>
      </c>
      <c r="G14667" s="67" t="s">
        <v>616</v>
      </c>
      <c r="H14667" s="69">
        <v>-0.56000000000000005</v>
      </c>
    </row>
    <row r="14668" spans="6:8">
      <c r="F14668" s="68" t="s">
        <v>119</v>
      </c>
      <c r="G14668" s="67" t="s">
        <v>617</v>
      </c>
      <c r="H14668" s="69">
        <v>-0.56000000000000005</v>
      </c>
    </row>
    <row r="14669" spans="6:8">
      <c r="F14669" s="68" t="s">
        <v>120</v>
      </c>
      <c r="G14669" s="67" t="s">
        <v>617</v>
      </c>
      <c r="H14669" s="69">
        <v>-0.69</v>
      </c>
    </row>
    <row r="14670" spans="6:8">
      <c r="F14670" s="68" t="s">
        <v>121</v>
      </c>
      <c r="G14670" s="67" t="s">
        <v>617</v>
      </c>
      <c r="H14670" s="69">
        <v>-0.55000000000000004</v>
      </c>
    </row>
    <row r="14671" spans="6:8">
      <c r="F14671" s="68" t="s">
        <v>251</v>
      </c>
      <c r="G14671" s="67" t="s">
        <v>617</v>
      </c>
      <c r="H14671" s="69">
        <v>0.21</v>
      </c>
    </row>
    <row r="14672" spans="6:8">
      <c r="F14672" s="68" t="s">
        <v>420</v>
      </c>
      <c r="G14672" s="67" t="s">
        <v>617</v>
      </c>
      <c r="H14672" s="69">
        <v>3.3712594555921793</v>
      </c>
    </row>
    <row r="14673" spans="6:8">
      <c r="F14673" s="68" t="s">
        <v>122</v>
      </c>
      <c r="G14673" s="67" t="s">
        <v>617</v>
      </c>
      <c r="H14673" s="69">
        <v>-0.51</v>
      </c>
    </row>
    <row r="14674" spans="6:8">
      <c r="F14674" s="68" t="s">
        <v>123</v>
      </c>
      <c r="G14674" s="67" t="s">
        <v>617</v>
      </c>
      <c r="H14674" s="69">
        <v>-0.79</v>
      </c>
    </row>
    <row r="14675" spans="6:8">
      <c r="F14675" s="68" t="s">
        <v>124</v>
      </c>
      <c r="G14675" s="67" t="s">
        <v>617</v>
      </c>
      <c r="H14675" s="69">
        <v>-0.45</v>
      </c>
    </row>
    <row r="14676" spans="6:8">
      <c r="F14676" s="68" t="s">
        <v>252</v>
      </c>
      <c r="G14676" s="67" t="s">
        <v>617</v>
      </c>
      <c r="H14676" s="69">
        <v>0.3</v>
      </c>
    </row>
    <row r="14677" spans="6:8">
      <c r="F14677" s="68" t="s">
        <v>314</v>
      </c>
      <c r="G14677" s="67" t="s">
        <v>617</v>
      </c>
      <c r="H14677" s="69">
        <v>-0.28000000000000003</v>
      </c>
    </row>
    <row r="14678" spans="6:8">
      <c r="F14678" s="68" t="s">
        <v>125</v>
      </c>
      <c r="G14678" s="67" t="s">
        <v>617</v>
      </c>
      <c r="H14678" s="69">
        <v>-0.38</v>
      </c>
    </row>
    <row r="14679" spans="6:8">
      <c r="F14679" s="68" t="s">
        <v>126</v>
      </c>
      <c r="G14679" s="67" t="s">
        <v>617</v>
      </c>
      <c r="H14679" s="69">
        <v>-0.79</v>
      </c>
    </row>
    <row r="14680" spans="6:8">
      <c r="F14680" s="68" t="s">
        <v>127</v>
      </c>
      <c r="G14680" s="67" t="s">
        <v>617</v>
      </c>
      <c r="H14680" s="69">
        <v>-0.45</v>
      </c>
    </row>
    <row r="14681" spans="6:8">
      <c r="F14681" s="68" t="s">
        <v>253</v>
      </c>
      <c r="G14681" s="67" t="s">
        <v>617</v>
      </c>
      <c r="H14681" s="69">
        <v>0.45</v>
      </c>
    </row>
    <row r="14682" spans="6:8">
      <c r="F14682" s="68" t="s">
        <v>315</v>
      </c>
      <c r="G14682" s="67" t="s">
        <v>617</v>
      </c>
      <c r="H14682" s="69">
        <v>-0.1</v>
      </c>
    </row>
    <row r="14683" spans="6:8">
      <c r="F14683" s="68" t="s">
        <v>128</v>
      </c>
      <c r="G14683" s="67" t="s">
        <v>617</v>
      </c>
      <c r="H14683" s="69">
        <v>-0.74</v>
      </c>
    </row>
    <row r="14684" spans="6:8">
      <c r="F14684" s="68" t="s">
        <v>129</v>
      </c>
      <c r="G14684" s="67" t="s">
        <v>617</v>
      </c>
      <c r="H14684" s="69">
        <v>-0.6</v>
      </c>
    </row>
    <row r="14685" spans="6:8">
      <c r="F14685" s="68" t="s">
        <v>254</v>
      </c>
      <c r="G14685" s="67" t="s">
        <v>617</v>
      </c>
      <c r="H14685" s="69">
        <v>0.63</v>
      </c>
    </row>
    <row r="14686" spans="6:8">
      <c r="F14686" s="68" t="s">
        <v>304</v>
      </c>
      <c r="G14686" s="67" t="s">
        <v>617</v>
      </c>
      <c r="H14686" s="69">
        <v>18.03125</v>
      </c>
    </row>
    <row r="14687" spans="6:8">
      <c r="F14687" s="68" t="s">
        <v>421</v>
      </c>
      <c r="G14687" s="67" t="s">
        <v>617</v>
      </c>
      <c r="H14687" s="69">
        <v>2.3925995183216031</v>
      </c>
    </row>
    <row r="14688" spans="6:8">
      <c r="F14688" s="68" t="s">
        <v>567</v>
      </c>
      <c r="G14688" s="67" t="s">
        <v>617</v>
      </c>
      <c r="H14688" s="69">
        <v>-0.5</v>
      </c>
    </row>
    <row r="14689" spans="6:8">
      <c r="F14689" s="68" t="s">
        <v>130</v>
      </c>
      <c r="G14689" s="67" t="s">
        <v>617</v>
      </c>
      <c r="H14689" s="69">
        <v>-0.8</v>
      </c>
    </row>
    <row r="14690" spans="6:8">
      <c r="F14690" s="68" t="s">
        <v>131</v>
      </c>
      <c r="G14690" s="67" t="s">
        <v>617</v>
      </c>
      <c r="H14690" s="69">
        <v>-0.56999999999999995</v>
      </c>
    </row>
    <row r="14691" spans="6:8">
      <c r="F14691" s="68" t="s">
        <v>255</v>
      </c>
      <c r="G14691" s="67" t="s">
        <v>617</v>
      </c>
      <c r="H14691" s="69">
        <v>0.78</v>
      </c>
    </row>
    <row r="14692" spans="6:8">
      <c r="F14692" s="68" t="s">
        <v>303</v>
      </c>
      <c r="G14692" s="67" t="s">
        <v>617</v>
      </c>
      <c r="H14692" s="69">
        <v>19.15625</v>
      </c>
    </row>
    <row r="14693" spans="6:8">
      <c r="F14693" s="68" t="s">
        <v>422</v>
      </c>
      <c r="G14693" s="67" t="s">
        <v>617</v>
      </c>
      <c r="H14693" s="69">
        <v>2.3988401136816773</v>
      </c>
    </row>
    <row r="14694" spans="6:8">
      <c r="F14694" s="68" t="s">
        <v>568</v>
      </c>
      <c r="G14694" s="67" t="s">
        <v>617</v>
      </c>
      <c r="H14694" s="69">
        <v>-0.17</v>
      </c>
    </row>
    <row r="14695" spans="6:8">
      <c r="F14695" s="68" t="s">
        <v>132</v>
      </c>
      <c r="G14695" s="67" t="s">
        <v>617</v>
      </c>
      <c r="H14695" s="69">
        <v>-0.7</v>
      </c>
    </row>
    <row r="14696" spans="6:8">
      <c r="F14696" s="68" t="s">
        <v>133</v>
      </c>
      <c r="G14696" s="67" t="s">
        <v>617</v>
      </c>
      <c r="H14696" s="69">
        <v>-0.62</v>
      </c>
    </row>
    <row r="14697" spans="6:8">
      <c r="F14697" s="68" t="s">
        <v>256</v>
      </c>
      <c r="G14697" s="67" t="s">
        <v>617</v>
      </c>
      <c r="H14697" s="69">
        <v>0.88</v>
      </c>
    </row>
    <row r="14698" spans="6:8">
      <c r="F14698" s="68" t="s">
        <v>423</v>
      </c>
      <c r="G14698" s="67" t="s">
        <v>617</v>
      </c>
      <c r="H14698" s="69">
        <v>2.4357901278041272</v>
      </c>
    </row>
    <row r="14699" spans="6:8">
      <c r="F14699" s="68" t="s">
        <v>569</v>
      </c>
      <c r="G14699" s="67" t="s">
        <v>617</v>
      </c>
      <c r="H14699" s="69">
        <v>-0.05</v>
      </c>
    </row>
    <row r="14700" spans="6:8">
      <c r="F14700" s="68" t="s">
        <v>134</v>
      </c>
      <c r="G14700" s="67" t="s">
        <v>617</v>
      </c>
      <c r="H14700" s="69">
        <v>-0.65</v>
      </c>
    </row>
    <row r="14701" spans="6:8">
      <c r="F14701" s="68" t="s">
        <v>135</v>
      </c>
      <c r="G14701" s="67" t="s">
        <v>617</v>
      </c>
      <c r="H14701" s="69">
        <v>-0.72</v>
      </c>
    </row>
    <row r="14702" spans="6:8">
      <c r="F14702" s="68" t="s">
        <v>257</v>
      </c>
      <c r="G14702" s="67" t="s">
        <v>617</v>
      </c>
      <c r="H14702" s="69">
        <v>0.95</v>
      </c>
    </row>
    <row r="14703" spans="6:8">
      <c r="F14703" s="68" t="s">
        <v>258</v>
      </c>
      <c r="G14703" s="67" t="s">
        <v>617</v>
      </c>
      <c r="H14703" s="69">
        <v>0.15</v>
      </c>
    </row>
    <row r="14704" spans="6:8">
      <c r="F14704" s="68" t="s">
        <v>424</v>
      </c>
      <c r="G14704" s="67" t="s">
        <v>617</v>
      </c>
      <c r="H14704" s="69">
        <v>3.1494685906809039</v>
      </c>
    </row>
    <row r="14705" spans="6:8">
      <c r="F14705" s="68" t="s">
        <v>136</v>
      </c>
      <c r="G14705" s="67" t="s">
        <v>617</v>
      </c>
      <c r="H14705" s="69">
        <v>-0.66</v>
      </c>
    </row>
    <row r="14706" spans="6:8">
      <c r="F14706" s="68" t="s">
        <v>137</v>
      </c>
      <c r="G14706" s="67" t="s">
        <v>617</v>
      </c>
      <c r="H14706" s="69">
        <v>-0.59</v>
      </c>
    </row>
    <row r="14707" spans="6:8">
      <c r="F14707" s="68" t="s">
        <v>138</v>
      </c>
      <c r="G14707" s="67" t="s">
        <v>617</v>
      </c>
      <c r="H14707" s="69">
        <v>-0.6</v>
      </c>
    </row>
    <row r="14708" spans="6:8">
      <c r="F14708" s="68" t="s">
        <v>259</v>
      </c>
      <c r="G14708" s="67" t="s">
        <v>617</v>
      </c>
      <c r="H14708" s="69">
        <v>0.16</v>
      </c>
    </row>
    <row r="14709" spans="6:8">
      <c r="F14709" s="68" t="s">
        <v>425</v>
      </c>
      <c r="G14709" s="67" t="s">
        <v>617</v>
      </c>
      <c r="H14709" s="69">
        <v>3.1570600276511485</v>
      </c>
    </row>
    <row r="14710" spans="6:8">
      <c r="F14710" s="68" t="s">
        <v>425</v>
      </c>
      <c r="G14710" s="67" t="s">
        <v>618</v>
      </c>
      <c r="H14710" s="69">
        <v>3.1479223161783754</v>
      </c>
    </row>
    <row r="14711" spans="6:8">
      <c r="F14711" s="68" t="s">
        <v>259</v>
      </c>
      <c r="G14711" s="67" t="s">
        <v>618</v>
      </c>
      <c r="H14711" s="69">
        <v>0.16</v>
      </c>
    </row>
    <row r="14712" spans="6:8">
      <c r="F14712" s="68" t="s">
        <v>138</v>
      </c>
      <c r="G14712" s="67" t="s">
        <v>618</v>
      </c>
      <c r="H14712" s="69">
        <v>-0.6</v>
      </c>
    </row>
    <row r="14713" spans="6:8">
      <c r="F14713" s="68" t="s">
        <v>137</v>
      </c>
      <c r="G14713" s="67" t="s">
        <v>618</v>
      </c>
      <c r="H14713" s="69">
        <v>-0.59</v>
      </c>
    </row>
    <row r="14714" spans="6:8">
      <c r="F14714" s="68" t="s">
        <v>136</v>
      </c>
      <c r="G14714" s="67" t="s">
        <v>618</v>
      </c>
      <c r="H14714" s="69">
        <v>-0.66</v>
      </c>
    </row>
    <row r="14715" spans="6:8">
      <c r="F14715" s="68" t="s">
        <v>424</v>
      </c>
      <c r="G14715" s="67" t="s">
        <v>618</v>
      </c>
      <c r="H14715" s="69">
        <v>3.1411825392424042</v>
      </c>
    </row>
    <row r="14716" spans="6:8">
      <c r="F14716" s="68" t="s">
        <v>258</v>
      </c>
      <c r="G14716" s="67" t="s">
        <v>618</v>
      </c>
      <c r="H14716" s="69">
        <v>0.15</v>
      </c>
    </row>
    <row r="14717" spans="6:8">
      <c r="F14717" s="68" t="s">
        <v>257</v>
      </c>
      <c r="G14717" s="67" t="s">
        <v>618</v>
      </c>
      <c r="H14717" s="69">
        <v>0.95</v>
      </c>
    </row>
    <row r="14718" spans="6:8">
      <c r="F14718" s="68" t="s">
        <v>135</v>
      </c>
      <c r="G14718" s="67" t="s">
        <v>618</v>
      </c>
      <c r="H14718" s="69">
        <v>-0.72</v>
      </c>
    </row>
    <row r="14719" spans="6:8">
      <c r="F14719" s="68" t="s">
        <v>134</v>
      </c>
      <c r="G14719" s="67" t="s">
        <v>618</v>
      </c>
      <c r="H14719" s="69">
        <v>-0.65</v>
      </c>
    </row>
    <row r="14720" spans="6:8">
      <c r="F14720" s="68" t="s">
        <v>569</v>
      </c>
      <c r="G14720" s="67" t="s">
        <v>618</v>
      </c>
      <c r="H14720" s="69">
        <v>-0.05</v>
      </c>
    </row>
    <row r="14721" spans="6:8">
      <c r="F14721" s="68" t="s">
        <v>423</v>
      </c>
      <c r="G14721" s="67" t="s">
        <v>618</v>
      </c>
      <c r="H14721" s="69">
        <v>2.4208549837415827</v>
      </c>
    </row>
    <row r="14722" spans="6:8">
      <c r="F14722" s="68" t="s">
        <v>256</v>
      </c>
      <c r="G14722" s="67" t="s">
        <v>618</v>
      </c>
      <c r="H14722" s="69">
        <v>0.88</v>
      </c>
    </row>
    <row r="14723" spans="6:8">
      <c r="F14723" s="68" t="s">
        <v>133</v>
      </c>
      <c r="G14723" s="67" t="s">
        <v>618</v>
      </c>
      <c r="H14723" s="69">
        <v>-0.62</v>
      </c>
    </row>
    <row r="14724" spans="6:8">
      <c r="F14724" s="68" t="s">
        <v>132</v>
      </c>
      <c r="G14724" s="67" t="s">
        <v>618</v>
      </c>
      <c r="H14724" s="69">
        <v>-0.7</v>
      </c>
    </row>
    <row r="14725" spans="6:8">
      <c r="F14725" s="68" t="s">
        <v>568</v>
      </c>
      <c r="G14725" s="67" t="s">
        <v>618</v>
      </c>
      <c r="H14725" s="69">
        <v>-0.17</v>
      </c>
    </row>
    <row r="14726" spans="6:8">
      <c r="F14726" s="68" t="s">
        <v>422</v>
      </c>
      <c r="G14726" s="67" t="s">
        <v>618</v>
      </c>
      <c r="H14726" s="69">
        <v>2.3787955991848353</v>
      </c>
    </row>
    <row r="14727" spans="6:8">
      <c r="F14727" s="68" t="s">
        <v>303</v>
      </c>
      <c r="G14727" s="67" t="s">
        <v>618</v>
      </c>
      <c r="H14727" s="69">
        <v>19.166666666666668</v>
      </c>
    </row>
    <row r="14728" spans="6:8">
      <c r="F14728" s="68" t="s">
        <v>255</v>
      </c>
      <c r="G14728" s="67" t="s">
        <v>618</v>
      </c>
      <c r="H14728" s="69">
        <v>0.78</v>
      </c>
    </row>
    <row r="14729" spans="6:8">
      <c r="F14729" s="68" t="s">
        <v>131</v>
      </c>
      <c r="G14729" s="67" t="s">
        <v>618</v>
      </c>
      <c r="H14729" s="69">
        <v>-0.56999999999999995</v>
      </c>
    </row>
    <row r="14730" spans="6:8">
      <c r="F14730" s="68" t="s">
        <v>130</v>
      </c>
      <c r="G14730" s="67" t="s">
        <v>618</v>
      </c>
      <c r="H14730" s="69">
        <v>-0.8</v>
      </c>
    </row>
    <row r="14731" spans="6:8">
      <c r="F14731" s="68" t="s">
        <v>567</v>
      </c>
      <c r="G14731" s="67" t="s">
        <v>618</v>
      </c>
      <c r="H14731" s="69">
        <v>-0.5</v>
      </c>
    </row>
    <row r="14732" spans="6:8">
      <c r="F14732" s="68" t="s">
        <v>421</v>
      </c>
      <c r="G14732" s="67" t="s">
        <v>618</v>
      </c>
      <c r="H14732" s="69">
        <v>2.3724973554582807</v>
      </c>
    </row>
    <row r="14733" spans="6:8">
      <c r="F14733" s="68" t="s">
        <v>304</v>
      </c>
      <c r="G14733" s="67" t="s">
        <v>618</v>
      </c>
      <c r="H14733" s="69">
        <v>18.052083333333332</v>
      </c>
    </row>
    <row r="14734" spans="6:8">
      <c r="F14734" s="68" t="s">
        <v>254</v>
      </c>
      <c r="G14734" s="67" t="s">
        <v>618</v>
      </c>
      <c r="H14734" s="69">
        <v>0.63</v>
      </c>
    </row>
    <row r="14735" spans="6:8">
      <c r="F14735" s="68" t="s">
        <v>129</v>
      </c>
      <c r="G14735" s="67" t="s">
        <v>618</v>
      </c>
      <c r="H14735" s="69">
        <v>-0.6</v>
      </c>
    </row>
    <row r="14736" spans="6:8">
      <c r="F14736" s="68" t="s">
        <v>128</v>
      </c>
      <c r="G14736" s="67" t="s">
        <v>618</v>
      </c>
      <c r="H14736" s="69">
        <v>-0.74</v>
      </c>
    </row>
    <row r="14737" spans="6:8">
      <c r="F14737" s="68" t="s">
        <v>315</v>
      </c>
      <c r="G14737" s="67" t="s">
        <v>618</v>
      </c>
      <c r="H14737" s="69">
        <v>-0.1</v>
      </c>
    </row>
    <row r="14738" spans="6:8">
      <c r="F14738" s="68" t="s">
        <v>253</v>
      </c>
      <c r="G14738" s="67" t="s">
        <v>618</v>
      </c>
      <c r="H14738" s="69">
        <v>0.45</v>
      </c>
    </row>
    <row r="14739" spans="6:8">
      <c r="F14739" s="68" t="s">
        <v>127</v>
      </c>
      <c r="G14739" s="67" t="s">
        <v>618</v>
      </c>
      <c r="H14739" s="69">
        <v>-0.45</v>
      </c>
    </row>
    <row r="14740" spans="6:8">
      <c r="F14740" s="68" t="s">
        <v>126</v>
      </c>
      <c r="G14740" s="67" t="s">
        <v>618</v>
      </c>
      <c r="H14740" s="69">
        <v>-0.79</v>
      </c>
    </row>
    <row r="14741" spans="6:8">
      <c r="F14741" s="68" t="s">
        <v>125</v>
      </c>
      <c r="G14741" s="67" t="s">
        <v>618</v>
      </c>
      <c r="H14741" s="69">
        <v>-0.38</v>
      </c>
    </row>
    <row r="14742" spans="6:8">
      <c r="F14742" s="68" t="s">
        <v>314</v>
      </c>
      <c r="G14742" s="67" t="s">
        <v>618</v>
      </c>
      <c r="H14742" s="69">
        <v>-0.28000000000000003</v>
      </c>
    </row>
    <row r="14743" spans="6:8">
      <c r="F14743" s="68" t="s">
        <v>252</v>
      </c>
      <c r="G14743" s="67" t="s">
        <v>618</v>
      </c>
      <c r="H14743" s="69">
        <v>0.3</v>
      </c>
    </row>
    <row r="14744" spans="6:8">
      <c r="F14744" s="68" t="s">
        <v>124</v>
      </c>
      <c r="G14744" s="67" t="s">
        <v>618</v>
      </c>
      <c r="H14744" s="69">
        <v>-0.45</v>
      </c>
    </row>
    <row r="14745" spans="6:8">
      <c r="F14745" s="68" t="s">
        <v>123</v>
      </c>
      <c r="G14745" s="67" t="s">
        <v>618</v>
      </c>
      <c r="H14745" s="69">
        <v>-0.79</v>
      </c>
    </row>
    <row r="14746" spans="6:8">
      <c r="F14746" s="68" t="s">
        <v>122</v>
      </c>
      <c r="G14746" s="67" t="s">
        <v>618</v>
      </c>
      <c r="H14746" s="69">
        <v>-0.51</v>
      </c>
    </row>
    <row r="14747" spans="6:8">
      <c r="F14747" s="68" t="s">
        <v>420</v>
      </c>
      <c r="G14747" s="67" t="s">
        <v>618</v>
      </c>
      <c r="H14747" s="69">
        <v>3.3653149178353825</v>
      </c>
    </row>
    <row r="14748" spans="6:8">
      <c r="F14748" s="68" t="s">
        <v>251</v>
      </c>
      <c r="G14748" s="67" t="s">
        <v>618</v>
      </c>
      <c r="H14748" s="69">
        <v>0.21</v>
      </c>
    </row>
    <row r="14749" spans="6:8">
      <c r="F14749" s="68" t="s">
        <v>121</v>
      </c>
      <c r="G14749" s="67" t="s">
        <v>618</v>
      </c>
      <c r="H14749" s="69">
        <v>-0.55000000000000004</v>
      </c>
    </row>
    <row r="14750" spans="6:8">
      <c r="F14750" s="68" t="s">
        <v>120</v>
      </c>
      <c r="G14750" s="67" t="s">
        <v>618</v>
      </c>
      <c r="H14750" s="69">
        <v>-0.69</v>
      </c>
    </row>
    <row r="14751" spans="6:8">
      <c r="F14751" s="68" t="s">
        <v>119</v>
      </c>
      <c r="G14751" s="67" t="s">
        <v>618</v>
      </c>
      <c r="H14751" s="69">
        <v>-0.56000000000000005</v>
      </c>
    </row>
    <row r="14752" spans="6:8">
      <c r="F14752" s="68" t="s">
        <v>119</v>
      </c>
      <c r="G14752" s="67" t="s">
        <v>619</v>
      </c>
      <c r="H14752" s="69">
        <v>-0.56000000000000005</v>
      </c>
    </row>
    <row r="14753" spans="6:8">
      <c r="F14753" s="68" t="s">
        <v>120</v>
      </c>
      <c r="G14753" s="67" t="s">
        <v>619</v>
      </c>
      <c r="H14753" s="69">
        <v>-0.69</v>
      </c>
    </row>
    <row r="14754" spans="6:8">
      <c r="F14754" s="68" t="s">
        <v>121</v>
      </c>
      <c r="G14754" s="67" t="s">
        <v>619</v>
      </c>
      <c r="H14754" s="69">
        <v>-0.55000000000000004</v>
      </c>
    </row>
    <row r="14755" spans="6:8">
      <c r="F14755" s="68" t="s">
        <v>251</v>
      </c>
      <c r="G14755" s="67" t="s">
        <v>619</v>
      </c>
      <c r="H14755" s="69">
        <v>0.21</v>
      </c>
    </row>
    <row r="14756" spans="6:8">
      <c r="F14756" s="68" t="s">
        <v>420</v>
      </c>
      <c r="G14756" s="67" t="s">
        <v>619</v>
      </c>
      <c r="H14756" s="69">
        <v>3.3440723293859609</v>
      </c>
    </row>
    <row r="14757" spans="6:8">
      <c r="F14757" s="68" t="s">
        <v>122</v>
      </c>
      <c r="G14757" s="67" t="s">
        <v>619</v>
      </c>
      <c r="H14757" s="69">
        <v>-0.51</v>
      </c>
    </row>
    <row r="14758" spans="6:8">
      <c r="F14758" s="68" t="s">
        <v>123</v>
      </c>
      <c r="G14758" s="67" t="s">
        <v>619</v>
      </c>
      <c r="H14758" s="69">
        <v>-0.79</v>
      </c>
    </row>
    <row r="14759" spans="6:8">
      <c r="F14759" s="68" t="s">
        <v>124</v>
      </c>
      <c r="G14759" s="67" t="s">
        <v>619</v>
      </c>
      <c r="H14759" s="69">
        <v>-0.45</v>
      </c>
    </row>
    <row r="14760" spans="6:8">
      <c r="F14760" s="68" t="s">
        <v>252</v>
      </c>
      <c r="G14760" s="67" t="s">
        <v>619</v>
      </c>
      <c r="H14760" s="69">
        <v>0.3</v>
      </c>
    </row>
    <row r="14761" spans="6:8">
      <c r="F14761" s="68" t="s">
        <v>314</v>
      </c>
      <c r="G14761" s="67" t="s">
        <v>619</v>
      </c>
      <c r="H14761" s="69">
        <v>-0.28000000000000003</v>
      </c>
    </row>
    <row r="14762" spans="6:8">
      <c r="F14762" s="68" t="s">
        <v>125</v>
      </c>
      <c r="G14762" s="67" t="s">
        <v>619</v>
      </c>
      <c r="H14762" s="69">
        <v>-0.38</v>
      </c>
    </row>
    <row r="14763" spans="6:8">
      <c r="F14763" s="68" t="s">
        <v>126</v>
      </c>
      <c r="G14763" s="67" t="s">
        <v>619</v>
      </c>
      <c r="H14763" s="69">
        <v>-0.79</v>
      </c>
    </row>
    <row r="14764" spans="6:8">
      <c r="F14764" s="68" t="s">
        <v>127</v>
      </c>
      <c r="G14764" s="67" t="s">
        <v>619</v>
      </c>
      <c r="H14764" s="69">
        <v>-0.45</v>
      </c>
    </row>
    <row r="14765" spans="6:8">
      <c r="F14765" s="68" t="s">
        <v>253</v>
      </c>
      <c r="G14765" s="67" t="s">
        <v>619</v>
      </c>
      <c r="H14765" s="69">
        <v>0.45</v>
      </c>
    </row>
    <row r="14766" spans="6:8">
      <c r="F14766" s="68" t="s">
        <v>315</v>
      </c>
      <c r="G14766" s="67" t="s">
        <v>619</v>
      </c>
      <c r="H14766" s="69">
        <v>-0.1</v>
      </c>
    </row>
    <row r="14767" spans="6:8">
      <c r="F14767" s="68" t="s">
        <v>128</v>
      </c>
      <c r="G14767" s="67" t="s">
        <v>619</v>
      </c>
      <c r="H14767" s="69">
        <v>-0.74</v>
      </c>
    </row>
    <row r="14768" spans="6:8">
      <c r="F14768" s="68" t="s">
        <v>129</v>
      </c>
      <c r="G14768" s="67" t="s">
        <v>619</v>
      </c>
      <c r="H14768" s="69">
        <v>-0.6</v>
      </c>
    </row>
    <row r="14769" spans="6:8">
      <c r="F14769" s="68" t="s">
        <v>254</v>
      </c>
      <c r="G14769" s="67" t="s">
        <v>619</v>
      </c>
      <c r="H14769" s="69">
        <v>0.63</v>
      </c>
    </row>
    <row r="14770" spans="6:8">
      <c r="F14770" s="68" t="s">
        <v>304</v>
      </c>
      <c r="G14770" s="67" t="s">
        <v>619</v>
      </c>
      <c r="H14770" s="69">
        <v>17.979166666666668</v>
      </c>
    </row>
    <row r="14771" spans="6:8">
      <c r="F14771" s="68" t="s">
        <v>421</v>
      </c>
      <c r="G14771" s="67" t="s">
        <v>619</v>
      </c>
      <c r="H14771" s="69">
        <v>2.3599351231167631</v>
      </c>
    </row>
    <row r="14772" spans="6:8">
      <c r="F14772" s="68" t="s">
        <v>567</v>
      </c>
      <c r="G14772" s="67" t="s">
        <v>619</v>
      </c>
      <c r="H14772" s="69">
        <v>-0.5</v>
      </c>
    </row>
    <row r="14773" spans="6:8">
      <c r="F14773" s="68" t="s">
        <v>130</v>
      </c>
      <c r="G14773" s="67" t="s">
        <v>619</v>
      </c>
      <c r="H14773" s="69">
        <v>-0.8</v>
      </c>
    </row>
    <row r="14774" spans="6:8">
      <c r="F14774" s="68" t="s">
        <v>131</v>
      </c>
      <c r="G14774" s="67" t="s">
        <v>619</v>
      </c>
      <c r="H14774" s="69">
        <v>-0.56999999999999995</v>
      </c>
    </row>
    <row r="14775" spans="6:8">
      <c r="F14775" s="68" t="s">
        <v>255</v>
      </c>
      <c r="G14775" s="67" t="s">
        <v>619</v>
      </c>
      <c r="H14775" s="69">
        <v>0.78</v>
      </c>
    </row>
    <row r="14776" spans="6:8">
      <c r="F14776" s="68" t="s">
        <v>303</v>
      </c>
      <c r="G14776" s="67" t="s">
        <v>619</v>
      </c>
      <c r="H14776" s="69">
        <v>19.125</v>
      </c>
    </row>
    <row r="14777" spans="6:8">
      <c r="F14777" s="68" t="s">
        <v>422</v>
      </c>
      <c r="G14777" s="67" t="s">
        <v>619</v>
      </c>
      <c r="H14777" s="69">
        <v>2.3661628419293645</v>
      </c>
    </row>
    <row r="14778" spans="6:8">
      <c r="F14778" s="68" t="s">
        <v>568</v>
      </c>
      <c r="G14778" s="67" t="s">
        <v>619</v>
      </c>
      <c r="H14778" s="69">
        <v>-0.17</v>
      </c>
    </row>
    <row r="14779" spans="6:8">
      <c r="F14779" s="68" t="s">
        <v>132</v>
      </c>
      <c r="G14779" s="67" t="s">
        <v>619</v>
      </c>
      <c r="H14779" s="69">
        <v>-0.7</v>
      </c>
    </row>
    <row r="14780" spans="6:8">
      <c r="F14780" s="68" t="s">
        <v>133</v>
      </c>
      <c r="G14780" s="67" t="s">
        <v>619</v>
      </c>
      <c r="H14780" s="69">
        <v>-0.62</v>
      </c>
    </row>
    <row r="14781" spans="6:8">
      <c r="F14781" s="68" t="s">
        <v>256</v>
      </c>
      <c r="G14781" s="67" t="s">
        <v>619</v>
      </c>
      <c r="H14781" s="69">
        <v>0.88</v>
      </c>
    </row>
    <row r="14782" spans="6:8">
      <c r="F14782" s="68" t="s">
        <v>423</v>
      </c>
      <c r="G14782" s="67" t="s">
        <v>619</v>
      </c>
      <c r="H14782" s="69">
        <v>2.4080729498882292</v>
      </c>
    </row>
    <row r="14783" spans="6:8">
      <c r="F14783" s="68" t="s">
        <v>569</v>
      </c>
      <c r="G14783" s="67" t="s">
        <v>619</v>
      </c>
      <c r="H14783" s="69">
        <v>-0.05</v>
      </c>
    </row>
    <row r="14784" spans="6:8">
      <c r="F14784" s="68" t="s">
        <v>134</v>
      </c>
      <c r="G14784" s="67" t="s">
        <v>619</v>
      </c>
      <c r="H14784" s="69">
        <v>-0.65</v>
      </c>
    </row>
    <row r="14785" spans="6:8">
      <c r="F14785" s="68" t="s">
        <v>135</v>
      </c>
      <c r="G14785" s="67" t="s">
        <v>619</v>
      </c>
      <c r="H14785" s="69">
        <v>-0.72</v>
      </c>
    </row>
    <row r="14786" spans="6:8">
      <c r="F14786" s="68" t="s">
        <v>257</v>
      </c>
      <c r="G14786" s="67" t="s">
        <v>619</v>
      </c>
      <c r="H14786" s="69">
        <v>0.95</v>
      </c>
    </row>
    <row r="14787" spans="6:8">
      <c r="F14787" s="68" t="s">
        <v>258</v>
      </c>
      <c r="G14787" s="67" t="s">
        <v>619</v>
      </c>
      <c r="H14787" s="69">
        <v>0.15</v>
      </c>
    </row>
    <row r="14788" spans="6:8">
      <c r="F14788" s="68" t="s">
        <v>424</v>
      </c>
      <c r="G14788" s="67" t="s">
        <v>619</v>
      </c>
      <c r="H14788" s="69">
        <v>3.1073320634168233</v>
      </c>
    </row>
    <row r="14789" spans="6:8">
      <c r="F14789" s="68" t="s">
        <v>136</v>
      </c>
      <c r="G14789" s="67" t="s">
        <v>619</v>
      </c>
      <c r="H14789" s="69">
        <v>-0.66</v>
      </c>
    </row>
    <row r="14790" spans="6:8">
      <c r="F14790" s="68" t="s">
        <v>137</v>
      </c>
      <c r="G14790" s="67" t="s">
        <v>619</v>
      </c>
      <c r="H14790" s="69">
        <v>-0.59</v>
      </c>
    </row>
    <row r="14791" spans="6:8">
      <c r="F14791" s="68" t="s">
        <v>138</v>
      </c>
      <c r="G14791" s="67" t="s">
        <v>619</v>
      </c>
      <c r="H14791" s="69">
        <v>-0.6</v>
      </c>
    </row>
    <row r="14792" spans="6:8">
      <c r="F14792" s="68" t="s">
        <v>259</v>
      </c>
      <c r="G14792" s="67" t="s">
        <v>619</v>
      </c>
      <c r="H14792" s="69">
        <v>0.16</v>
      </c>
    </row>
    <row r="14793" spans="6:8">
      <c r="F14793" s="68" t="s">
        <v>425</v>
      </c>
      <c r="G14793" s="67" t="s">
        <v>619</v>
      </c>
      <c r="H14793" s="69">
        <v>3.1125585568432257</v>
      </c>
    </row>
    <row r="14794" spans="6:8">
      <c r="F14794" s="68" t="s">
        <v>425</v>
      </c>
      <c r="G14794" s="67" t="s">
        <v>620</v>
      </c>
      <c r="H14794" s="69">
        <v>3.11660465954815</v>
      </c>
    </row>
    <row r="14795" spans="6:8">
      <c r="F14795" s="68" t="s">
        <v>259</v>
      </c>
      <c r="G14795" s="67" t="s">
        <v>620</v>
      </c>
      <c r="H14795" s="69">
        <v>0.16</v>
      </c>
    </row>
    <row r="14796" spans="6:8">
      <c r="F14796" s="68" t="s">
        <v>138</v>
      </c>
      <c r="G14796" s="67" t="s">
        <v>620</v>
      </c>
      <c r="H14796" s="69">
        <v>-0.6</v>
      </c>
    </row>
    <row r="14797" spans="6:8">
      <c r="F14797" s="68" t="s">
        <v>137</v>
      </c>
      <c r="G14797" s="67" t="s">
        <v>620</v>
      </c>
      <c r="H14797" s="69">
        <v>-0.59</v>
      </c>
    </row>
    <row r="14798" spans="6:8">
      <c r="F14798" s="68" t="s">
        <v>136</v>
      </c>
      <c r="G14798" s="67" t="s">
        <v>620</v>
      </c>
      <c r="H14798" s="69">
        <v>-0.66</v>
      </c>
    </row>
    <row r="14799" spans="6:8">
      <c r="F14799" s="68" t="s">
        <v>424</v>
      </c>
      <c r="G14799" s="67" t="s">
        <v>620</v>
      </c>
      <c r="H14799" s="69">
        <v>3.1150623311184678</v>
      </c>
    </row>
    <row r="14800" spans="6:8">
      <c r="F14800" s="68" t="s">
        <v>258</v>
      </c>
      <c r="G14800" s="67" t="s">
        <v>620</v>
      </c>
      <c r="H14800" s="69">
        <v>0.15</v>
      </c>
    </row>
    <row r="14801" spans="6:8">
      <c r="F14801" s="68" t="s">
        <v>257</v>
      </c>
      <c r="G14801" s="67" t="s">
        <v>620</v>
      </c>
      <c r="H14801" s="69">
        <v>0.95</v>
      </c>
    </row>
    <row r="14802" spans="6:8">
      <c r="F14802" s="68" t="s">
        <v>135</v>
      </c>
      <c r="G14802" s="67" t="s">
        <v>620</v>
      </c>
      <c r="H14802" s="69">
        <v>-0.72</v>
      </c>
    </row>
    <row r="14803" spans="6:8">
      <c r="F14803" s="68" t="s">
        <v>134</v>
      </c>
      <c r="G14803" s="67" t="s">
        <v>620</v>
      </c>
      <c r="H14803" s="69">
        <v>-0.65</v>
      </c>
    </row>
    <row r="14804" spans="6:8">
      <c r="F14804" s="68" t="s">
        <v>569</v>
      </c>
      <c r="G14804" s="67" t="s">
        <v>620</v>
      </c>
      <c r="H14804" s="69">
        <v>-0.05</v>
      </c>
    </row>
    <row r="14805" spans="6:8">
      <c r="F14805" s="68" t="s">
        <v>423</v>
      </c>
      <c r="G14805" s="67" t="s">
        <v>620</v>
      </c>
      <c r="H14805" s="69">
        <v>2.4217369172494507</v>
      </c>
    </row>
    <row r="14806" spans="6:8">
      <c r="F14806" s="68" t="s">
        <v>256</v>
      </c>
      <c r="G14806" s="67" t="s">
        <v>620</v>
      </c>
      <c r="H14806" s="69">
        <v>0.88</v>
      </c>
    </row>
    <row r="14807" spans="6:8">
      <c r="F14807" s="68" t="s">
        <v>133</v>
      </c>
      <c r="G14807" s="67" t="s">
        <v>620</v>
      </c>
      <c r="H14807" s="69">
        <v>-0.62</v>
      </c>
    </row>
    <row r="14808" spans="6:8">
      <c r="F14808" s="68" t="s">
        <v>132</v>
      </c>
      <c r="G14808" s="67" t="s">
        <v>620</v>
      </c>
      <c r="H14808" s="69">
        <v>-0.7</v>
      </c>
    </row>
    <row r="14809" spans="6:8">
      <c r="F14809" s="68" t="s">
        <v>568</v>
      </c>
      <c r="G14809" s="67" t="s">
        <v>620</v>
      </c>
      <c r="H14809" s="69">
        <v>-0.17</v>
      </c>
    </row>
    <row r="14810" spans="6:8">
      <c r="F14810" s="68" t="s">
        <v>422</v>
      </c>
      <c r="G14810" s="67" t="s">
        <v>620</v>
      </c>
      <c r="H14810" s="69">
        <v>2.3759232614868342</v>
      </c>
    </row>
    <row r="14811" spans="6:8">
      <c r="F14811" s="68" t="s">
        <v>303</v>
      </c>
      <c r="G14811" s="67" t="s">
        <v>620</v>
      </c>
      <c r="H14811" s="69">
        <v>19.09375</v>
      </c>
    </row>
    <row r="14812" spans="6:8">
      <c r="F14812" s="68" t="s">
        <v>255</v>
      </c>
      <c r="G14812" s="67" t="s">
        <v>620</v>
      </c>
      <c r="H14812" s="69">
        <v>0.78</v>
      </c>
    </row>
    <row r="14813" spans="6:8">
      <c r="F14813" s="68" t="s">
        <v>131</v>
      </c>
      <c r="G14813" s="67" t="s">
        <v>620</v>
      </c>
      <c r="H14813" s="69">
        <v>-0.56999999999999995</v>
      </c>
    </row>
    <row r="14814" spans="6:8">
      <c r="F14814" s="68" t="s">
        <v>130</v>
      </c>
      <c r="G14814" s="67" t="s">
        <v>620</v>
      </c>
      <c r="H14814" s="69">
        <v>-0.8</v>
      </c>
    </row>
    <row r="14815" spans="6:8">
      <c r="F14815" s="68" t="s">
        <v>567</v>
      </c>
      <c r="G14815" s="67" t="s">
        <v>620</v>
      </c>
      <c r="H14815" s="69">
        <v>-0.5</v>
      </c>
    </row>
    <row r="14816" spans="6:8">
      <c r="F14816" s="68" t="s">
        <v>421</v>
      </c>
      <c r="G14816" s="67" t="s">
        <v>620</v>
      </c>
      <c r="H14816" s="69">
        <v>2.3697063648433936</v>
      </c>
    </row>
    <row r="14817" spans="6:8">
      <c r="F14817" s="68" t="s">
        <v>304</v>
      </c>
      <c r="G14817" s="67" t="s">
        <v>620</v>
      </c>
      <c r="H14817" s="69">
        <v>17.989583333333332</v>
      </c>
    </row>
    <row r="14818" spans="6:8">
      <c r="F14818" s="68" t="s">
        <v>254</v>
      </c>
      <c r="G14818" s="67" t="s">
        <v>620</v>
      </c>
      <c r="H14818" s="69">
        <v>0.63</v>
      </c>
    </row>
    <row r="14819" spans="6:8">
      <c r="F14819" s="68" t="s">
        <v>129</v>
      </c>
      <c r="G14819" s="67" t="s">
        <v>620</v>
      </c>
      <c r="H14819" s="69">
        <v>-0.6</v>
      </c>
    </row>
    <row r="14820" spans="6:8">
      <c r="F14820" s="68" t="s">
        <v>128</v>
      </c>
      <c r="G14820" s="67" t="s">
        <v>620</v>
      </c>
      <c r="H14820" s="69">
        <v>-0.74</v>
      </c>
    </row>
    <row r="14821" spans="6:8">
      <c r="F14821" s="68" t="s">
        <v>315</v>
      </c>
      <c r="G14821" s="67" t="s">
        <v>620</v>
      </c>
      <c r="H14821" s="69">
        <v>-0.1</v>
      </c>
    </row>
    <row r="14822" spans="6:8">
      <c r="F14822" s="68" t="s">
        <v>253</v>
      </c>
      <c r="G14822" s="67" t="s">
        <v>620</v>
      </c>
      <c r="H14822" s="69">
        <v>0.45</v>
      </c>
    </row>
    <row r="14823" spans="6:8">
      <c r="F14823" s="68" t="s">
        <v>127</v>
      </c>
      <c r="G14823" s="67" t="s">
        <v>620</v>
      </c>
      <c r="H14823" s="69">
        <v>-0.45</v>
      </c>
    </row>
    <row r="14824" spans="6:8">
      <c r="F14824" s="68" t="s">
        <v>126</v>
      </c>
      <c r="G14824" s="67" t="s">
        <v>620</v>
      </c>
      <c r="H14824" s="69">
        <v>-0.79</v>
      </c>
    </row>
    <row r="14825" spans="6:8">
      <c r="F14825" s="68" t="s">
        <v>125</v>
      </c>
      <c r="G14825" s="67" t="s">
        <v>620</v>
      </c>
      <c r="H14825" s="69">
        <v>-0.38</v>
      </c>
    </row>
    <row r="14826" spans="6:8">
      <c r="F14826" s="68" t="s">
        <v>314</v>
      </c>
      <c r="G14826" s="67" t="s">
        <v>620</v>
      </c>
      <c r="H14826" s="69">
        <v>-0.28000000000000003</v>
      </c>
    </row>
    <row r="14827" spans="6:8">
      <c r="F14827" s="68" t="s">
        <v>252</v>
      </c>
      <c r="G14827" s="67" t="s">
        <v>620</v>
      </c>
      <c r="H14827" s="69">
        <v>0.3</v>
      </c>
    </row>
    <row r="14828" spans="6:8">
      <c r="F14828" s="68" t="s">
        <v>124</v>
      </c>
      <c r="G14828" s="67" t="s">
        <v>620</v>
      </c>
      <c r="H14828" s="69">
        <v>-0.45</v>
      </c>
    </row>
    <row r="14829" spans="6:8">
      <c r="F14829" s="68" t="s">
        <v>123</v>
      </c>
      <c r="G14829" s="67" t="s">
        <v>620</v>
      </c>
      <c r="H14829" s="69">
        <v>-0.79</v>
      </c>
    </row>
    <row r="14830" spans="6:8">
      <c r="F14830" s="68" t="s">
        <v>122</v>
      </c>
      <c r="G14830" s="67" t="s">
        <v>620</v>
      </c>
      <c r="H14830" s="69">
        <v>-0.51</v>
      </c>
    </row>
    <row r="14831" spans="6:8">
      <c r="F14831" s="68" t="s">
        <v>420</v>
      </c>
      <c r="G14831" s="67" t="s">
        <v>620</v>
      </c>
      <c r="H14831" s="69">
        <v>3.3514611406408434</v>
      </c>
    </row>
    <row r="14832" spans="6:8">
      <c r="F14832" s="68" t="s">
        <v>251</v>
      </c>
      <c r="G14832" s="67" t="s">
        <v>620</v>
      </c>
      <c r="H14832" s="69">
        <v>0.21</v>
      </c>
    </row>
    <row r="14833" spans="6:8">
      <c r="F14833" s="68" t="s">
        <v>121</v>
      </c>
      <c r="G14833" s="67" t="s">
        <v>620</v>
      </c>
      <c r="H14833" s="69">
        <v>-0.55000000000000004</v>
      </c>
    </row>
    <row r="14834" spans="6:8">
      <c r="F14834" s="68" t="s">
        <v>120</v>
      </c>
      <c r="G14834" s="67" t="s">
        <v>620</v>
      </c>
      <c r="H14834" s="69">
        <v>-0.69</v>
      </c>
    </row>
    <row r="14835" spans="6:8">
      <c r="F14835" s="68" t="s">
        <v>119</v>
      </c>
      <c r="G14835" s="67" t="s">
        <v>620</v>
      </c>
      <c r="H14835" s="69">
        <v>-0.56000000000000005</v>
      </c>
    </row>
    <row r="14836" spans="6:8">
      <c r="F14836" s="68" t="s">
        <v>119</v>
      </c>
      <c r="G14836" s="67" t="s">
        <v>621</v>
      </c>
      <c r="H14836" s="69">
        <v>-0.56000000000000005</v>
      </c>
    </row>
    <row r="14837" spans="6:8">
      <c r="F14837" s="68" t="s">
        <v>120</v>
      </c>
      <c r="G14837" s="67" t="s">
        <v>621</v>
      </c>
      <c r="H14837" s="69">
        <v>-0.69</v>
      </c>
    </row>
    <row r="14838" spans="6:8">
      <c r="F14838" s="68" t="s">
        <v>121</v>
      </c>
      <c r="G14838" s="67" t="s">
        <v>621</v>
      </c>
      <c r="H14838" s="69">
        <v>-0.55000000000000004</v>
      </c>
    </row>
    <row r="14839" spans="6:8">
      <c r="F14839" s="68" t="s">
        <v>251</v>
      </c>
      <c r="G14839" s="67" t="s">
        <v>621</v>
      </c>
      <c r="H14839" s="69">
        <v>0.21</v>
      </c>
    </row>
    <row r="14840" spans="6:8">
      <c r="F14840" s="68" t="s">
        <v>420</v>
      </c>
      <c r="G14840" s="67" t="s">
        <v>621</v>
      </c>
      <c r="H14840" s="69">
        <v>3.3733743387764026</v>
      </c>
    </row>
    <row r="14841" spans="6:8">
      <c r="F14841" s="68" t="s">
        <v>122</v>
      </c>
      <c r="G14841" s="67" t="s">
        <v>621</v>
      </c>
      <c r="H14841" s="69">
        <v>-0.51</v>
      </c>
    </row>
    <row r="14842" spans="6:8">
      <c r="F14842" s="68" t="s">
        <v>123</v>
      </c>
      <c r="G14842" s="67" t="s">
        <v>621</v>
      </c>
      <c r="H14842" s="69">
        <v>-0.79</v>
      </c>
    </row>
    <row r="14843" spans="6:8">
      <c r="F14843" s="68" t="s">
        <v>124</v>
      </c>
      <c r="G14843" s="67" t="s">
        <v>621</v>
      </c>
      <c r="H14843" s="69">
        <v>-0.45</v>
      </c>
    </row>
    <row r="14844" spans="6:8">
      <c r="F14844" s="68" t="s">
        <v>252</v>
      </c>
      <c r="G14844" s="67" t="s">
        <v>621</v>
      </c>
      <c r="H14844" s="69">
        <v>0.3</v>
      </c>
    </row>
    <row r="14845" spans="6:8">
      <c r="F14845" s="68" t="s">
        <v>314</v>
      </c>
      <c r="G14845" s="67" t="s">
        <v>621</v>
      </c>
      <c r="H14845" s="69">
        <v>-0.28000000000000003</v>
      </c>
    </row>
    <row r="14846" spans="6:8">
      <c r="F14846" s="68" t="s">
        <v>125</v>
      </c>
      <c r="G14846" s="67" t="s">
        <v>621</v>
      </c>
      <c r="H14846" s="69">
        <v>-0.38</v>
      </c>
    </row>
    <row r="14847" spans="6:8">
      <c r="F14847" s="68" t="s">
        <v>126</v>
      </c>
      <c r="G14847" s="67" t="s">
        <v>621</v>
      </c>
      <c r="H14847" s="69">
        <v>-0.79</v>
      </c>
    </row>
    <row r="14848" spans="6:8">
      <c r="F14848" s="68" t="s">
        <v>127</v>
      </c>
      <c r="G14848" s="67" t="s">
        <v>621</v>
      </c>
      <c r="H14848" s="69">
        <v>-0.45</v>
      </c>
    </row>
    <row r="14849" spans="6:8">
      <c r="F14849" s="68" t="s">
        <v>253</v>
      </c>
      <c r="G14849" s="67" t="s">
        <v>621</v>
      </c>
      <c r="H14849" s="69">
        <v>0.45</v>
      </c>
    </row>
    <row r="14850" spans="6:8">
      <c r="F14850" s="68" t="s">
        <v>315</v>
      </c>
      <c r="G14850" s="67" t="s">
        <v>621</v>
      </c>
      <c r="H14850" s="69">
        <v>-0.1</v>
      </c>
    </row>
    <row r="14851" spans="6:8">
      <c r="F14851" s="68" t="s">
        <v>128</v>
      </c>
      <c r="G14851" s="67" t="s">
        <v>621</v>
      </c>
      <c r="H14851" s="69">
        <v>-0.74</v>
      </c>
    </row>
    <row r="14852" spans="6:8">
      <c r="F14852" s="68" t="s">
        <v>129</v>
      </c>
      <c r="G14852" s="67" t="s">
        <v>621</v>
      </c>
      <c r="H14852" s="69">
        <v>-0.6</v>
      </c>
    </row>
    <row r="14853" spans="6:8">
      <c r="F14853" s="68" t="s">
        <v>254</v>
      </c>
      <c r="G14853" s="67" t="s">
        <v>621</v>
      </c>
      <c r="H14853" s="69">
        <v>0.63</v>
      </c>
    </row>
    <row r="14854" spans="6:8">
      <c r="F14854" s="68" t="s">
        <v>304</v>
      </c>
      <c r="G14854" s="67" t="s">
        <v>621</v>
      </c>
      <c r="H14854" s="69">
        <v>17.989583333333332</v>
      </c>
    </row>
    <row r="14855" spans="6:8">
      <c r="F14855" s="68" t="s">
        <v>421</v>
      </c>
      <c r="G14855" s="67" t="s">
        <v>621</v>
      </c>
      <c r="H14855" s="69">
        <v>2.3867170931521908</v>
      </c>
    </row>
    <row r="14856" spans="6:8">
      <c r="F14856" s="68" t="s">
        <v>567</v>
      </c>
      <c r="G14856" s="67" t="s">
        <v>621</v>
      </c>
      <c r="H14856" s="69">
        <v>-0.5</v>
      </c>
    </row>
    <row r="14857" spans="6:8">
      <c r="F14857" s="68" t="s">
        <v>130</v>
      </c>
      <c r="G14857" s="67" t="s">
        <v>621</v>
      </c>
      <c r="H14857" s="69">
        <v>-0.8</v>
      </c>
    </row>
    <row r="14858" spans="6:8">
      <c r="F14858" s="68" t="s">
        <v>131</v>
      </c>
      <c r="G14858" s="67" t="s">
        <v>621</v>
      </c>
      <c r="H14858" s="69">
        <v>-0.56999999999999995</v>
      </c>
    </row>
    <row r="14859" spans="6:8">
      <c r="F14859" s="68" t="s">
        <v>255</v>
      </c>
      <c r="G14859" s="67" t="s">
        <v>621</v>
      </c>
      <c r="H14859" s="69">
        <v>0.78</v>
      </c>
    </row>
    <row r="14860" spans="6:8">
      <c r="F14860" s="68" t="s">
        <v>303</v>
      </c>
      <c r="G14860" s="67" t="s">
        <v>621</v>
      </c>
      <c r="H14860" s="69">
        <v>19.083333333333332</v>
      </c>
    </row>
    <row r="14861" spans="6:8">
      <c r="F14861" s="68" t="s">
        <v>422</v>
      </c>
      <c r="G14861" s="67" t="s">
        <v>621</v>
      </c>
      <c r="H14861" s="69">
        <v>2.3929422700258218</v>
      </c>
    </row>
    <row r="14862" spans="6:8">
      <c r="F14862" s="68" t="s">
        <v>568</v>
      </c>
      <c r="G14862" s="67" t="s">
        <v>621</v>
      </c>
      <c r="H14862" s="69">
        <v>-0.17</v>
      </c>
    </row>
    <row r="14863" spans="6:8">
      <c r="F14863" s="68" t="s">
        <v>132</v>
      </c>
      <c r="G14863" s="67" t="s">
        <v>621</v>
      </c>
      <c r="H14863" s="69">
        <v>-0.7</v>
      </c>
    </row>
    <row r="14864" spans="6:8">
      <c r="F14864" s="68" t="s">
        <v>133</v>
      </c>
      <c r="G14864" s="67" t="s">
        <v>621</v>
      </c>
      <c r="H14864" s="69">
        <v>-0.62</v>
      </c>
    </row>
    <row r="14865" spans="6:8">
      <c r="F14865" s="68" t="s">
        <v>256</v>
      </c>
      <c r="G14865" s="67" t="s">
        <v>621</v>
      </c>
      <c r="H14865" s="69">
        <v>0.88</v>
      </c>
    </row>
    <row r="14866" spans="6:8">
      <c r="F14866" s="68" t="s">
        <v>423</v>
      </c>
      <c r="G14866" s="67" t="s">
        <v>621</v>
      </c>
      <c r="H14866" s="69">
        <v>2.4388200071812527</v>
      </c>
    </row>
    <row r="14867" spans="6:8">
      <c r="F14867" s="68" t="s">
        <v>569</v>
      </c>
      <c r="G14867" s="67" t="s">
        <v>621</v>
      </c>
      <c r="H14867" s="69">
        <v>-0.05</v>
      </c>
    </row>
    <row r="14868" spans="6:8">
      <c r="F14868" s="68" t="s">
        <v>134</v>
      </c>
      <c r="G14868" s="67" t="s">
        <v>621</v>
      </c>
      <c r="H14868" s="69">
        <v>-0.65</v>
      </c>
    </row>
    <row r="14869" spans="6:8">
      <c r="F14869" s="68" t="s">
        <v>135</v>
      </c>
      <c r="G14869" s="67" t="s">
        <v>621</v>
      </c>
      <c r="H14869" s="69">
        <v>-0.72</v>
      </c>
    </row>
    <row r="14870" spans="6:8">
      <c r="F14870" s="68" t="s">
        <v>257</v>
      </c>
      <c r="G14870" s="67" t="s">
        <v>621</v>
      </c>
      <c r="H14870" s="69">
        <v>0.95</v>
      </c>
    </row>
    <row r="14871" spans="6:8">
      <c r="F14871" s="68" t="s">
        <v>258</v>
      </c>
      <c r="G14871" s="67" t="s">
        <v>621</v>
      </c>
      <c r="H14871" s="69">
        <v>0.15</v>
      </c>
    </row>
    <row r="14872" spans="6:8">
      <c r="F14872" s="68" t="s">
        <v>424</v>
      </c>
      <c r="G14872" s="67" t="s">
        <v>621</v>
      </c>
      <c r="H14872" s="69">
        <v>3.1487670534781742</v>
      </c>
    </row>
    <row r="14873" spans="6:8">
      <c r="F14873" s="68" t="s">
        <v>136</v>
      </c>
      <c r="G14873" s="67" t="s">
        <v>621</v>
      </c>
      <c r="H14873" s="69">
        <v>-0.66</v>
      </c>
    </row>
    <row r="14874" spans="6:8">
      <c r="F14874" s="68" t="s">
        <v>137</v>
      </c>
      <c r="G14874" s="67" t="s">
        <v>621</v>
      </c>
      <c r="H14874" s="69">
        <v>-0.59</v>
      </c>
    </row>
    <row r="14875" spans="6:8">
      <c r="F14875" s="68" t="s">
        <v>138</v>
      </c>
      <c r="G14875" s="67" t="s">
        <v>621</v>
      </c>
      <c r="H14875" s="69">
        <v>-0.6</v>
      </c>
    </row>
    <row r="14876" spans="6:8">
      <c r="F14876" s="68" t="s">
        <v>259</v>
      </c>
      <c r="G14876" s="67" t="s">
        <v>621</v>
      </c>
      <c r="H14876" s="69">
        <v>0.16</v>
      </c>
    </row>
    <row r="14877" spans="6:8">
      <c r="F14877" s="68" t="s">
        <v>425</v>
      </c>
      <c r="G14877" s="67" t="s">
        <v>621</v>
      </c>
      <c r="H14877" s="69">
        <v>3.1493236076479025</v>
      </c>
    </row>
    <row r="14878" spans="6:8">
      <c r="F14878" s="68" t="s">
        <v>425</v>
      </c>
      <c r="G14878" s="67" t="s">
        <v>622</v>
      </c>
      <c r="H14878" s="69">
        <v>3.0874907434726762</v>
      </c>
    </row>
    <row r="14879" spans="6:8">
      <c r="F14879" s="68" t="s">
        <v>259</v>
      </c>
      <c r="G14879" s="67" t="s">
        <v>622</v>
      </c>
      <c r="H14879" s="69">
        <v>0.16</v>
      </c>
    </row>
    <row r="14880" spans="6:8">
      <c r="F14880" s="68" t="s">
        <v>138</v>
      </c>
      <c r="G14880" s="67" t="s">
        <v>622</v>
      </c>
      <c r="H14880" s="69">
        <v>-0.6</v>
      </c>
    </row>
    <row r="14881" spans="6:8">
      <c r="F14881" s="68" t="s">
        <v>137</v>
      </c>
      <c r="G14881" s="67" t="s">
        <v>622</v>
      </c>
      <c r="H14881" s="69">
        <v>-0.59</v>
      </c>
    </row>
    <row r="14882" spans="6:8">
      <c r="F14882" s="68" t="s">
        <v>136</v>
      </c>
      <c r="G14882" s="67" t="s">
        <v>622</v>
      </c>
      <c r="H14882" s="69">
        <v>-0.66</v>
      </c>
    </row>
    <row r="14883" spans="6:8">
      <c r="F14883" s="68" t="s">
        <v>424</v>
      </c>
      <c r="G14883" s="67" t="s">
        <v>622</v>
      </c>
      <c r="H14883" s="69">
        <v>3.0927327858386366</v>
      </c>
    </row>
    <row r="14884" spans="6:8">
      <c r="F14884" s="68" t="s">
        <v>258</v>
      </c>
      <c r="G14884" s="67" t="s">
        <v>622</v>
      </c>
      <c r="H14884" s="69">
        <v>0.15</v>
      </c>
    </row>
    <row r="14885" spans="6:8">
      <c r="F14885" s="68" t="s">
        <v>257</v>
      </c>
      <c r="G14885" s="67" t="s">
        <v>622</v>
      </c>
      <c r="H14885" s="69">
        <v>0.95</v>
      </c>
    </row>
    <row r="14886" spans="6:8">
      <c r="F14886" s="68" t="s">
        <v>135</v>
      </c>
      <c r="G14886" s="67" t="s">
        <v>622</v>
      </c>
      <c r="H14886" s="69">
        <v>-0.72</v>
      </c>
    </row>
    <row r="14887" spans="6:8">
      <c r="F14887" s="68" t="s">
        <v>134</v>
      </c>
      <c r="G14887" s="67" t="s">
        <v>622</v>
      </c>
      <c r="H14887" s="69">
        <v>-0.65</v>
      </c>
    </row>
    <row r="14888" spans="6:8">
      <c r="F14888" s="68" t="s">
        <v>569</v>
      </c>
      <c r="G14888" s="67" t="s">
        <v>622</v>
      </c>
      <c r="H14888" s="69">
        <v>-0.05</v>
      </c>
    </row>
    <row r="14889" spans="6:8">
      <c r="F14889" s="68" t="s">
        <v>423</v>
      </c>
      <c r="G14889" s="67" t="s">
        <v>622</v>
      </c>
      <c r="H14889" s="69">
        <v>2.3916311566685611</v>
      </c>
    </row>
    <row r="14890" spans="6:8">
      <c r="F14890" s="68" t="s">
        <v>256</v>
      </c>
      <c r="G14890" s="67" t="s">
        <v>622</v>
      </c>
      <c r="H14890" s="69">
        <v>0.88</v>
      </c>
    </row>
    <row r="14891" spans="6:8">
      <c r="F14891" s="68" t="s">
        <v>133</v>
      </c>
      <c r="G14891" s="67" t="s">
        <v>622</v>
      </c>
      <c r="H14891" s="69">
        <v>-0.62</v>
      </c>
    </row>
    <row r="14892" spans="6:8">
      <c r="F14892" s="68" t="s">
        <v>132</v>
      </c>
      <c r="G14892" s="67" t="s">
        <v>622</v>
      </c>
      <c r="H14892" s="69">
        <v>-0.7</v>
      </c>
    </row>
    <row r="14893" spans="6:8">
      <c r="F14893" s="68" t="s">
        <v>568</v>
      </c>
      <c r="G14893" s="67" t="s">
        <v>622</v>
      </c>
      <c r="H14893" s="69">
        <v>-0.17</v>
      </c>
    </row>
    <row r="14894" spans="6:8">
      <c r="F14894" s="68" t="s">
        <v>422</v>
      </c>
      <c r="G14894" s="67" t="s">
        <v>622</v>
      </c>
      <c r="H14894" s="69">
        <v>2.3143750625358006</v>
      </c>
    </row>
    <row r="14895" spans="6:8">
      <c r="F14895" s="68" t="s">
        <v>303</v>
      </c>
      <c r="G14895" s="67" t="s">
        <v>622</v>
      </c>
      <c r="H14895" s="69">
        <v>19.125</v>
      </c>
    </row>
    <row r="14896" spans="6:8">
      <c r="F14896" s="68" t="s">
        <v>255</v>
      </c>
      <c r="G14896" s="67" t="s">
        <v>622</v>
      </c>
      <c r="H14896" s="69">
        <v>0.78</v>
      </c>
    </row>
    <row r="14897" spans="6:8">
      <c r="F14897" s="68" t="s">
        <v>131</v>
      </c>
      <c r="G14897" s="67" t="s">
        <v>622</v>
      </c>
      <c r="H14897" s="69">
        <v>-0.56999999999999995</v>
      </c>
    </row>
    <row r="14898" spans="6:8">
      <c r="F14898" s="68" t="s">
        <v>130</v>
      </c>
      <c r="G14898" s="67" t="s">
        <v>622</v>
      </c>
      <c r="H14898" s="69">
        <v>-0.8</v>
      </c>
    </row>
    <row r="14899" spans="6:8">
      <c r="F14899" s="68" t="s">
        <v>567</v>
      </c>
      <c r="G14899" s="67" t="s">
        <v>622</v>
      </c>
      <c r="H14899" s="69">
        <v>-0.5</v>
      </c>
    </row>
    <row r="14900" spans="6:8">
      <c r="F14900" s="68" t="s">
        <v>421</v>
      </c>
      <c r="G14900" s="67" t="s">
        <v>622</v>
      </c>
      <c r="H14900" s="69">
        <v>2.3080610415143088</v>
      </c>
    </row>
    <row r="14901" spans="6:8">
      <c r="F14901" s="68" t="s">
        <v>304</v>
      </c>
      <c r="G14901" s="67" t="s">
        <v>622</v>
      </c>
      <c r="H14901" s="69">
        <v>18.03125</v>
      </c>
    </row>
    <row r="14902" spans="6:8">
      <c r="F14902" s="68" t="s">
        <v>254</v>
      </c>
      <c r="G14902" s="67" t="s">
        <v>622</v>
      </c>
      <c r="H14902" s="69">
        <v>0.63</v>
      </c>
    </row>
    <row r="14903" spans="6:8">
      <c r="F14903" s="68" t="s">
        <v>129</v>
      </c>
      <c r="G14903" s="67" t="s">
        <v>622</v>
      </c>
      <c r="H14903" s="69">
        <v>-0.6</v>
      </c>
    </row>
    <row r="14904" spans="6:8">
      <c r="F14904" s="68" t="s">
        <v>128</v>
      </c>
      <c r="G14904" s="67" t="s">
        <v>622</v>
      </c>
      <c r="H14904" s="69">
        <v>-0.74</v>
      </c>
    </row>
    <row r="14905" spans="6:8">
      <c r="F14905" s="68" t="s">
        <v>315</v>
      </c>
      <c r="G14905" s="67" t="s">
        <v>622</v>
      </c>
      <c r="H14905" s="69">
        <v>-0.1</v>
      </c>
    </row>
    <row r="14906" spans="6:8">
      <c r="F14906" s="68" t="s">
        <v>253</v>
      </c>
      <c r="G14906" s="67" t="s">
        <v>622</v>
      </c>
      <c r="H14906" s="69">
        <v>0.45</v>
      </c>
    </row>
    <row r="14907" spans="6:8">
      <c r="F14907" s="68" t="s">
        <v>127</v>
      </c>
      <c r="G14907" s="67" t="s">
        <v>622</v>
      </c>
      <c r="H14907" s="69">
        <v>-0.45</v>
      </c>
    </row>
    <row r="14908" spans="6:8">
      <c r="F14908" s="68" t="s">
        <v>126</v>
      </c>
      <c r="G14908" s="67" t="s">
        <v>622</v>
      </c>
      <c r="H14908" s="69">
        <v>-0.79</v>
      </c>
    </row>
    <row r="14909" spans="6:8">
      <c r="F14909" s="68" t="s">
        <v>125</v>
      </c>
      <c r="G14909" s="67" t="s">
        <v>622</v>
      </c>
      <c r="H14909" s="69">
        <v>-0.38</v>
      </c>
    </row>
    <row r="14910" spans="6:8">
      <c r="F14910" s="68" t="s">
        <v>314</v>
      </c>
      <c r="G14910" s="67" t="s">
        <v>622</v>
      </c>
      <c r="H14910" s="69">
        <v>-0.28000000000000003</v>
      </c>
    </row>
    <row r="14911" spans="6:8">
      <c r="F14911" s="68" t="s">
        <v>252</v>
      </c>
      <c r="G14911" s="67" t="s">
        <v>622</v>
      </c>
      <c r="H14911" s="69">
        <v>0.3</v>
      </c>
    </row>
    <row r="14912" spans="6:8">
      <c r="F14912" s="68" t="s">
        <v>124</v>
      </c>
      <c r="G14912" s="67" t="s">
        <v>622</v>
      </c>
      <c r="H14912" s="69">
        <v>-0.45</v>
      </c>
    </row>
    <row r="14913" spans="6:8">
      <c r="F14913" s="68" t="s">
        <v>123</v>
      </c>
      <c r="G14913" s="67" t="s">
        <v>622</v>
      </c>
      <c r="H14913" s="69">
        <v>-0.79</v>
      </c>
    </row>
    <row r="14914" spans="6:8">
      <c r="F14914" s="68" t="s">
        <v>122</v>
      </c>
      <c r="G14914" s="67" t="s">
        <v>622</v>
      </c>
      <c r="H14914" s="69">
        <v>-0.51</v>
      </c>
    </row>
    <row r="14915" spans="6:8">
      <c r="F14915" s="68" t="s">
        <v>420</v>
      </c>
      <c r="G14915" s="67" t="s">
        <v>622</v>
      </c>
      <c r="H14915" s="69">
        <v>3.3274269650203969</v>
      </c>
    </row>
    <row r="14916" spans="6:8">
      <c r="F14916" s="68" t="s">
        <v>251</v>
      </c>
      <c r="G14916" s="67" t="s">
        <v>622</v>
      </c>
      <c r="H14916" s="69">
        <v>0.21</v>
      </c>
    </row>
    <row r="14917" spans="6:8">
      <c r="F14917" s="68" t="s">
        <v>121</v>
      </c>
      <c r="G14917" s="67" t="s">
        <v>622</v>
      </c>
      <c r="H14917" s="69">
        <v>-0.55000000000000004</v>
      </c>
    </row>
    <row r="14918" spans="6:8">
      <c r="F14918" s="68" t="s">
        <v>120</v>
      </c>
      <c r="G14918" s="67" t="s">
        <v>622</v>
      </c>
      <c r="H14918" s="69">
        <v>-0.69</v>
      </c>
    </row>
    <row r="14919" spans="6:8">
      <c r="F14919" s="68" t="s">
        <v>119</v>
      </c>
      <c r="G14919" s="67" t="s">
        <v>622</v>
      </c>
      <c r="H14919" s="69">
        <v>-0.56000000000000005</v>
      </c>
    </row>
    <row r="14920" spans="6:8">
      <c r="F14920" s="68" t="s">
        <v>119</v>
      </c>
      <c r="G14920" s="67" t="s">
        <v>623</v>
      </c>
      <c r="H14920" s="69">
        <v>-0.56000000000000005</v>
      </c>
    </row>
    <row r="14921" spans="6:8">
      <c r="F14921" s="68" t="s">
        <v>120</v>
      </c>
      <c r="G14921" s="67" t="s">
        <v>623</v>
      </c>
      <c r="H14921" s="69">
        <v>-0.69</v>
      </c>
    </row>
    <row r="14922" spans="6:8">
      <c r="F14922" s="68" t="s">
        <v>121</v>
      </c>
      <c r="G14922" s="67" t="s">
        <v>623</v>
      </c>
      <c r="H14922" s="69">
        <v>-0.55000000000000004</v>
      </c>
    </row>
    <row r="14923" spans="6:8">
      <c r="F14923" s="68" t="s">
        <v>251</v>
      </c>
      <c r="G14923" s="67" t="s">
        <v>623</v>
      </c>
      <c r="H14923" s="69">
        <v>0.21</v>
      </c>
    </row>
    <row r="14924" spans="6:8">
      <c r="F14924" s="68" t="s">
        <v>420</v>
      </c>
      <c r="G14924" s="67" t="s">
        <v>623</v>
      </c>
      <c r="H14924" s="69">
        <v>3.2875255326595187</v>
      </c>
    </row>
    <row r="14925" spans="6:8">
      <c r="F14925" s="68" t="s">
        <v>122</v>
      </c>
      <c r="G14925" s="67" t="s">
        <v>623</v>
      </c>
      <c r="H14925" s="69">
        <v>-0.51</v>
      </c>
    </row>
    <row r="14926" spans="6:8">
      <c r="F14926" s="68" t="s">
        <v>123</v>
      </c>
      <c r="G14926" s="67" t="s">
        <v>623</v>
      </c>
      <c r="H14926" s="69">
        <v>-0.79</v>
      </c>
    </row>
    <row r="14927" spans="6:8">
      <c r="F14927" s="68" t="s">
        <v>124</v>
      </c>
      <c r="G14927" s="67" t="s">
        <v>623</v>
      </c>
      <c r="H14927" s="69">
        <v>-0.45</v>
      </c>
    </row>
    <row r="14928" spans="6:8">
      <c r="F14928" s="68" t="s">
        <v>252</v>
      </c>
      <c r="G14928" s="67" t="s">
        <v>623</v>
      </c>
      <c r="H14928" s="69">
        <v>0.3</v>
      </c>
    </row>
    <row r="14929" spans="6:8">
      <c r="F14929" s="68" t="s">
        <v>314</v>
      </c>
      <c r="G14929" s="67" t="s">
        <v>623</v>
      </c>
      <c r="H14929" s="69">
        <v>-0.28000000000000003</v>
      </c>
    </row>
    <row r="14930" spans="6:8">
      <c r="F14930" s="68" t="s">
        <v>125</v>
      </c>
      <c r="G14930" s="67" t="s">
        <v>623</v>
      </c>
      <c r="H14930" s="69">
        <v>-0.38</v>
      </c>
    </row>
    <row r="14931" spans="6:8">
      <c r="F14931" s="68" t="s">
        <v>126</v>
      </c>
      <c r="G14931" s="67" t="s">
        <v>623</v>
      </c>
      <c r="H14931" s="69">
        <v>-0.79</v>
      </c>
    </row>
    <row r="14932" spans="6:8">
      <c r="F14932" s="68" t="s">
        <v>127</v>
      </c>
      <c r="G14932" s="67" t="s">
        <v>623</v>
      </c>
      <c r="H14932" s="69">
        <v>-0.45</v>
      </c>
    </row>
    <row r="14933" spans="6:8">
      <c r="F14933" s="68" t="s">
        <v>253</v>
      </c>
      <c r="G14933" s="67" t="s">
        <v>623</v>
      </c>
      <c r="H14933" s="69">
        <v>0.45</v>
      </c>
    </row>
    <row r="14934" spans="6:8">
      <c r="F14934" s="68" t="s">
        <v>315</v>
      </c>
      <c r="G14934" s="67" t="s">
        <v>623</v>
      </c>
      <c r="H14934" s="69">
        <v>-0.1</v>
      </c>
    </row>
    <row r="14935" spans="6:8">
      <c r="F14935" s="68" t="s">
        <v>128</v>
      </c>
      <c r="G14935" s="67" t="s">
        <v>623</v>
      </c>
      <c r="H14935" s="69">
        <v>-0.74</v>
      </c>
    </row>
    <row r="14936" spans="6:8">
      <c r="F14936" s="68" t="s">
        <v>129</v>
      </c>
      <c r="G14936" s="67" t="s">
        <v>623</v>
      </c>
      <c r="H14936" s="69">
        <v>-0.6</v>
      </c>
    </row>
    <row r="14937" spans="6:8">
      <c r="F14937" s="68" t="s">
        <v>254</v>
      </c>
      <c r="G14937" s="67" t="s">
        <v>623</v>
      </c>
      <c r="H14937" s="69">
        <v>0.63</v>
      </c>
    </row>
    <row r="14938" spans="6:8">
      <c r="F14938" s="68" t="s">
        <v>304</v>
      </c>
      <c r="G14938" s="67" t="s">
        <v>623</v>
      </c>
      <c r="H14938" s="69">
        <v>18.125</v>
      </c>
    </row>
    <row r="14939" spans="6:8">
      <c r="F14939" s="68" t="s">
        <v>421</v>
      </c>
      <c r="G14939" s="67" t="s">
        <v>623</v>
      </c>
      <c r="H14939" s="69">
        <v>2.2290495013269407</v>
      </c>
    </row>
    <row r="14940" spans="6:8">
      <c r="F14940" s="68" t="s">
        <v>567</v>
      </c>
      <c r="G14940" s="67" t="s">
        <v>623</v>
      </c>
      <c r="H14940" s="69">
        <v>-0.5</v>
      </c>
    </row>
    <row r="14941" spans="6:8">
      <c r="F14941" s="68" t="s">
        <v>130</v>
      </c>
      <c r="G14941" s="67" t="s">
        <v>623</v>
      </c>
      <c r="H14941" s="69">
        <v>-0.8</v>
      </c>
    </row>
    <row r="14942" spans="6:8">
      <c r="F14942" s="68" t="s">
        <v>131</v>
      </c>
      <c r="G14942" s="67" t="s">
        <v>623</v>
      </c>
      <c r="H14942" s="69">
        <v>-0.56999999999999995</v>
      </c>
    </row>
    <row r="14943" spans="6:8">
      <c r="F14943" s="68" t="s">
        <v>255</v>
      </c>
      <c r="G14943" s="67" t="s">
        <v>623</v>
      </c>
      <c r="H14943" s="69">
        <v>0.78</v>
      </c>
    </row>
    <row r="14944" spans="6:8">
      <c r="F14944" s="68" t="s">
        <v>303</v>
      </c>
      <c r="G14944" s="67" t="s">
        <v>623</v>
      </c>
      <c r="H14944" s="69">
        <v>19.229166666666668</v>
      </c>
    </row>
    <row r="14945" spans="6:8">
      <c r="F14945" s="68" t="s">
        <v>422</v>
      </c>
      <c r="G14945" s="67" t="s">
        <v>623</v>
      </c>
      <c r="H14945" s="69">
        <v>2.2355442410284532</v>
      </c>
    </row>
    <row r="14946" spans="6:8">
      <c r="F14946" s="68" t="s">
        <v>568</v>
      </c>
      <c r="G14946" s="67" t="s">
        <v>623</v>
      </c>
      <c r="H14946" s="69">
        <v>-0.17</v>
      </c>
    </row>
    <row r="14947" spans="6:8">
      <c r="F14947" s="68" t="s">
        <v>132</v>
      </c>
      <c r="G14947" s="67" t="s">
        <v>623</v>
      </c>
      <c r="H14947" s="69">
        <v>-0.7</v>
      </c>
    </row>
    <row r="14948" spans="6:8">
      <c r="F14948" s="68" t="s">
        <v>133</v>
      </c>
      <c r="G14948" s="67" t="s">
        <v>623</v>
      </c>
      <c r="H14948" s="69">
        <v>-0.62</v>
      </c>
    </row>
    <row r="14949" spans="6:8">
      <c r="F14949" s="68" t="s">
        <v>256</v>
      </c>
      <c r="G14949" s="67" t="s">
        <v>623</v>
      </c>
      <c r="H14949" s="69">
        <v>0.88</v>
      </c>
    </row>
    <row r="14950" spans="6:8">
      <c r="F14950" s="68" t="s">
        <v>423</v>
      </c>
      <c r="G14950" s="67" t="s">
        <v>623</v>
      </c>
      <c r="H14950" s="69">
        <v>2.354248702946693</v>
      </c>
    </row>
    <row r="14951" spans="6:8">
      <c r="F14951" s="68" t="s">
        <v>569</v>
      </c>
      <c r="G14951" s="67" t="s">
        <v>623</v>
      </c>
      <c r="H14951" s="69">
        <v>-0.05</v>
      </c>
    </row>
    <row r="14952" spans="6:8">
      <c r="F14952" s="68" t="s">
        <v>134</v>
      </c>
      <c r="G14952" s="67" t="s">
        <v>623</v>
      </c>
      <c r="H14952" s="69">
        <v>-0.65</v>
      </c>
    </row>
    <row r="14953" spans="6:8">
      <c r="F14953" s="68" t="s">
        <v>135</v>
      </c>
      <c r="G14953" s="67" t="s">
        <v>623</v>
      </c>
      <c r="H14953" s="69">
        <v>-0.72</v>
      </c>
    </row>
    <row r="14954" spans="6:8">
      <c r="F14954" s="68" t="s">
        <v>257</v>
      </c>
      <c r="G14954" s="67" t="s">
        <v>623</v>
      </c>
      <c r="H14954" s="69">
        <v>0.95</v>
      </c>
    </row>
    <row r="14955" spans="6:8">
      <c r="F14955" s="68" t="s">
        <v>258</v>
      </c>
      <c r="G14955" s="67" t="s">
        <v>623</v>
      </c>
      <c r="H14955" s="69">
        <v>0.15</v>
      </c>
    </row>
    <row r="14956" spans="6:8">
      <c r="F14956" s="68" t="s">
        <v>424</v>
      </c>
      <c r="G14956" s="67" t="s">
        <v>623</v>
      </c>
      <c r="H14956" s="69">
        <v>3.0397245242812954</v>
      </c>
    </row>
    <row r="14957" spans="6:8">
      <c r="F14957" s="68" t="s">
        <v>136</v>
      </c>
      <c r="G14957" s="67" t="s">
        <v>623</v>
      </c>
      <c r="H14957" s="69">
        <v>-0.66</v>
      </c>
    </row>
    <row r="14958" spans="6:8">
      <c r="F14958" s="68" t="s">
        <v>137</v>
      </c>
      <c r="G14958" s="67" t="s">
        <v>623</v>
      </c>
      <c r="H14958" s="69">
        <v>-0.59</v>
      </c>
    </row>
    <row r="14959" spans="6:8">
      <c r="F14959" s="68" t="s">
        <v>138</v>
      </c>
      <c r="G14959" s="67" t="s">
        <v>623</v>
      </c>
      <c r="H14959" s="69">
        <v>-0.6</v>
      </c>
    </row>
    <row r="14960" spans="6:8">
      <c r="F14960" s="68" t="s">
        <v>259</v>
      </c>
      <c r="G14960" s="67" t="s">
        <v>623</v>
      </c>
      <c r="H14960" s="69">
        <v>0.16</v>
      </c>
    </row>
    <row r="14961" spans="6:8">
      <c r="F14961" s="68" t="s">
        <v>425</v>
      </c>
      <c r="G14961" s="67" t="s">
        <v>623</v>
      </c>
      <c r="H14961" s="69">
        <v>3.0363694457067769</v>
      </c>
    </row>
    <row r="14962" spans="6:8">
      <c r="F14962" s="68" t="s">
        <v>425</v>
      </c>
      <c r="G14962" s="67" t="s">
        <v>624</v>
      </c>
      <c r="H14962" s="69">
        <v>3.0224445419094526</v>
      </c>
    </row>
    <row r="14963" spans="6:8">
      <c r="F14963" s="68" t="s">
        <v>259</v>
      </c>
      <c r="G14963" s="67" t="s">
        <v>624</v>
      </c>
      <c r="H14963" s="69">
        <v>0.16</v>
      </c>
    </row>
    <row r="14964" spans="6:8">
      <c r="F14964" s="68" t="s">
        <v>138</v>
      </c>
      <c r="G14964" s="67" t="s">
        <v>624</v>
      </c>
      <c r="H14964" s="69">
        <v>-0.6</v>
      </c>
    </row>
    <row r="14965" spans="6:8">
      <c r="F14965" s="68" t="s">
        <v>137</v>
      </c>
      <c r="G14965" s="67" t="s">
        <v>624</v>
      </c>
      <c r="H14965" s="69">
        <v>-0.59</v>
      </c>
    </row>
    <row r="14966" spans="6:8">
      <c r="F14966" s="68" t="s">
        <v>136</v>
      </c>
      <c r="G14966" s="67" t="s">
        <v>624</v>
      </c>
      <c r="H14966" s="69">
        <v>-0.66</v>
      </c>
    </row>
    <row r="14967" spans="6:8">
      <c r="F14967" s="68" t="s">
        <v>424</v>
      </c>
      <c r="G14967" s="67" t="s">
        <v>624</v>
      </c>
      <c r="H14967" s="69">
        <v>3.027146090626287</v>
      </c>
    </row>
    <row r="14968" spans="6:8">
      <c r="F14968" s="68" t="s">
        <v>258</v>
      </c>
      <c r="G14968" s="67" t="s">
        <v>624</v>
      </c>
      <c r="H14968" s="69">
        <v>0.15</v>
      </c>
    </row>
    <row r="14969" spans="6:8">
      <c r="F14969" s="68" t="s">
        <v>257</v>
      </c>
      <c r="G14969" s="67" t="s">
        <v>624</v>
      </c>
      <c r="H14969" s="69">
        <v>0.95</v>
      </c>
    </row>
    <row r="14970" spans="6:8">
      <c r="F14970" s="68" t="s">
        <v>135</v>
      </c>
      <c r="G14970" s="67" t="s">
        <v>624</v>
      </c>
      <c r="H14970" s="69">
        <v>-0.72</v>
      </c>
    </row>
    <row r="14971" spans="6:8">
      <c r="F14971" s="68" t="s">
        <v>134</v>
      </c>
      <c r="G14971" s="67" t="s">
        <v>624</v>
      </c>
      <c r="H14971" s="69">
        <v>-0.65</v>
      </c>
    </row>
    <row r="14972" spans="6:8">
      <c r="F14972" s="68" t="s">
        <v>569</v>
      </c>
      <c r="G14972" s="67" t="s">
        <v>624</v>
      </c>
      <c r="H14972" s="69">
        <v>-0.05</v>
      </c>
    </row>
    <row r="14973" spans="6:8">
      <c r="F14973" s="68" t="s">
        <v>423</v>
      </c>
      <c r="G14973" s="67" t="s">
        <v>624</v>
      </c>
      <c r="H14973" s="69">
        <v>2.3577493613048173</v>
      </c>
    </row>
    <row r="14974" spans="6:8">
      <c r="F14974" s="68" t="s">
        <v>256</v>
      </c>
      <c r="G14974" s="67" t="s">
        <v>624</v>
      </c>
      <c r="H14974" s="69">
        <v>0.88</v>
      </c>
    </row>
    <row r="14975" spans="6:8">
      <c r="F14975" s="68" t="s">
        <v>133</v>
      </c>
      <c r="G14975" s="67" t="s">
        <v>624</v>
      </c>
      <c r="H14975" s="69">
        <v>-0.62</v>
      </c>
    </row>
    <row r="14976" spans="6:8">
      <c r="F14976" s="68" t="s">
        <v>132</v>
      </c>
      <c r="G14976" s="67" t="s">
        <v>624</v>
      </c>
      <c r="H14976" s="69">
        <v>-0.7</v>
      </c>
    </row>
    <row r="14977" spans="6:8">
      <c r="F14977" s="68" t="s">
        <v>568</v>
      </c>
      <c r="G14977" s="67" t="s">
        <v>624</v>
      </c>
      <c r="H14977" s="69">
        <v>-0.17</v>
      </c>
    </row>
    <row r="14978" spans="6:8">
      <c r="F14978" s="68" t="s">
        <v>422</v>
      </c>
      <c r="G14978" s="67" t="s">
        <v>624</v>
      </c>
      <c r="H14978" s="69">
        <v>2.2047269220589971</v>
      </c>
    </row>
    <row r="14979" spans="6:8">
      <c r="F14979" s="68" t="s">
        <v>303</v>
      </c>
      <c r="G14979" s="67" t="s">
        <v>624</v>
      </c>
      <c r="H14979" s="69">
        <v>19.145833333333332</v>
      </c>
    </row>
    <row r="14980" spans="6:8">
      <c r="F14980" s="68" t="s">
        <v>255</v>
      </c>
      <c r="G14980" s="67" t="s">
        <v>624</v>
      </c>
      <c r="H14980" s="69">
        <v>0.78</v>
      </c>
    </row>
    <row r="14981" spans="6:8">
      <c r="F14981" s="68" t="s">
        <v>131</v>
      </c>
      <c r="G14981" s="67" t="s">
        <v>624</v>
      </c>
      <c r="H14981" s="69">
        <v>-0.56999999999999995</v>
      </c>
    </row>
    <row r="14982" spans="6:8">
      <c r="F14982" s="68" t="s">
        <v>130</v>
      </c>
      <c r="G14982" s="67" t="s">
        <v>624</v>
      </c>
      <c r="H14982" s="69">
        <v>-0.8</v>
      </c>
    </row>
    <row r="14983" spans="6:8">
      <c r="F14983" s="68" t="s">
        <v>567</v>
      </c>
      <c r="G14983" s="67" t="s">
        <v>624</v>
      </c>
      <c r="H14983" s="69">
        <v>-0.5</v>
      </c>
    </row>
    <row r="14984" spans="6:8">
      <c r="F14984" s="68" t="s">
        <v>421</v>
      </c>
      <c r="G14984" s="67" t="s">
        <v>624</v>
      </c>
      <c r="H14984" s="69">
        <v>2.1980844068336669</v>
      </c>
    </row>
    <row r="14985" spans="6:8">
      <c r="F14985" s="68" t="s">
        <v>304</v>
      </c>
      <c r="G14985" s="67" t="s">
        <v>624</v>
      </c>
      <c r="H14985" s="69">
        <v>18.041666666666668</v>
      </c>
    </row>
    <row r="14986" spans="6:8">
      <c r="F14986" s="68" t="s">
        <v>254</v>
      </c>
      <c r="G14986" s="67" t="s">
        <v>624</v>
      </c>
      <c r="H14986" s="69">
        <v>0.63</v>
      </c>
    </row>
    <row r="14987" spans="6:8">
      <c r="F14987" s="68" t="s">
        <v>129</v>
      </c>
      <c r="G14987" s="67" t="s">
        <v>624</v>
      </c>
      <c r="H14987" s="69">
        <v>-0.6</v>
      </c>
    </row>
    <row r="14988" spans="6:8">
      <c r="F14988" s="68" t="s">
        <v>128</v>
      </c>
      <c r="G14988" s="67" t="s">
        <v>624</v>
      </c>
      <c r="H14988" s="69">
        <v>-0.74</v>
      </c>
    </row>
    <row r="14989" spans="6:8">
      <c r="F14989" s="68" t="s">
        <v>315</v>
      </c>
      <c r="G14989" s="67" t="s">
        <v>624</v>
      </c>
      <c r="H14989" s="69">
        <v>-0.1</v>
      </c>
    </row>
    <row r="14990" spans="6:8">
      <c r="F14990" s="68" t="s">
        <v>253</v>
      </c>
      <c r="G14990" s="67" t="s">
        <v>624</v>
      </c>
      <c r="H14990" s="69">
        <v>0.45</v>
      </c>
    </row>
    <row r="14991" spans="6:8">
      <c r="F14991" s="68" t="s">
        <v>127</v>
      </c>
      <c r="G14991" s="67" t="s">
        <v>624</v>
      </c>
      <c r="H14991" s="69">
        <v>-0.45</v>
      </c>
    </row>
    <row r="14992" spans="6:8">
      <c r="F14992" s="68" t="s">
        <v>126</v>
      </c>
      <c r="G14992" s="67" t="s">
        <v>624</v>
      </c>
      <c r="H14992" s="69">
        <v>-0.79</v>
      </c>
    </row>
    <row r="14993" spans="6:8">
      <c r="F14993" s="68" t="s">
        <v>125</v>
      </c>
      <c r="G14993" s="67" t="s">
        <v>624</v>
      </c>
      <c r="H14993" s="69">
        <v>-0.38</v>
      </c>
    </row>
    <row r="14994" spans="6:8">
      <c r="F14994" s="68" t="s">
        <v>314</v>
      </c>
      <c r="G14994" s="67" t="s">
        <v>624</v>
      </c>
      <c r="H14994" s="69">
        <v>-0.28000000000000003</v>
      </c>
    </row>
    <row r="14995" spans="6:8">
      <c r="F14995" s="68" t="s">
        <v>252</v>
      </c>
      <c r="G14995" s="67" t="s">
        <v>624</v>
      </c>
      <c r="H14995" s="69">
        <v>0.3</v>
      </c>
    </row>
    <row r="14996" spans="6:8">
      <c r="F14996" s="68" t="s">
        <v>124</v>
      </c>
      <c r="G14996" s="67" t="s">
        <v>624</v>
      </c>
      <c r="H14996" s="69">
        <v>-0.45</v>
      </c>
    </row>
    <row r="14997" spans="6:8">
      <c r="F14997" s="68" t="s">
        <v>123</v>
      </c>
      <c r="G14997" s="67" t="s">
        <v>624</v>
      </c>
      <c r="H14997" s="69">
        <v>-0.79</v>
      </c>
    </row>
    <row r="14998" spans="6:8">
      <c r="F14998" s="68" t="s">
        <v>122</v>
      </c>
      <c r="G14998" s="67" t="s">
        <v>624</v>
      </c>
      <c r="H14998" s="69">
        <v>-0.51</v>
      </c>
    </row>
    <row r="14999" spans="6:8">
      <c r="F14999" s="68" t="s">
        <v>420</v>
      </c>
      <c r="G14999" s="67" t="s">
        <v>624</v>
      </c>
      <c r="H14999" s="69">
        <v>3.275821228093756</v>
      </c>
    </row>
    <row r="15000" spans="6:8">
      <c r="F15000" s="68" t="s">
        <v>251</v>
      </c>
      <c r="G15000" s="67" t="s">
        <v>624</v>
      </c>
      <c r="H15000" s="69">
        <v>0.21</v>
      </c>
    </row>
    <row r="15001" spans="6:8">
      <c r="F15001" s="68" t="s">
        <v>121</v>
      </c>
      <c r="G15001" s="67" t="s">
        <v>624</v>
      </c>
      <c r="H15001" s="69">
        <v>-0.55000000000000004</v>
      </c>
    </row>
    <row r="15002" spans="6:8">
      <c r="F15002" s="68" t="s">
        <v>120</v>
      </c>
      <c r="G15002" s="67" t="s">
        <v>624</v>
      </c>
      <c r="H15002" s="69">
        <v>-0.69</v>
      </c>
    </row>
    <row r="15003" spans="6:8">
      <c r="F15003" s="68" t="s">
        <v>119</v>
      </c>
      <c r="G15003" s="67" t="s">
        <v>624</v>
      </c>
      <c r="H15003" s="69">
        <v>-0.56000000000000005</v>
      </c>
    </row>
    <row r="15004" spans="6:8">
      <c r="F15004" s="68" t="s">
        <v>119</v>
      </c>
      <c r="G15004" s="67" t="s">
        <v>625</v>
      </c>
      <c r="H15004" s="69">
        <v>-0.56000000000000005</v>
      </c>
    </row>
    <row r="15005" spans="6:8">
      <c r="F15005" s="68" t="s">
        <v>120</v>
      </c>
      <c r="G15005" s="67" t="s">
        <v>625</v>
      </c>
      <c r="H15005" s="69">
        <v>-0.69</v>
      </c>
    </row>
    <row r="15006" spans="6:8">
      <c r="F15006" s="68" t="s">
        <v>121</v>
      </c>
      <c r="G15006" s="67" t="s">
        <v>625</v>
      </c>
      <c r="H15006" s="69">
        <v>-0.55000000000000004</v>
      </c>
    </row>
    <row r="15007" spans="6:8">
      <c r="F15007" s="68" t="s">
        <v>251</v>
      </c>
      <c r="G15007" s="67" t="s">
        <v>625</v>
      </c>
      <c r="H15007" s="69">
        <v>0.21</v>
      </c>
    </row>
    <row r="15008" spans="6:8">
      <c r="F15008" s="68" t="s">
        <v>420</v>
      </c>
      <c r="G15008" s="67" t="s">
        <v>625</v>
      </c>
      <c r="H15008" s="69">
        <v>3.2884994194520623</v>
      </c>
    </row>
    <row r="15009" spans="6:8">
      <c r="F15009" s="68" t="s">
        <v>122</v>
      </c>
      <c r="G15009" s="67" t="s">
        <v>625</v>
      </c>
      <c r="H15009" s="69">
        <v>-0.51</v>
      </c>
    </row>
    <row r="15010" spans="6:8">
      <c r="F15010" s="68" t="s">
        <v>123</v>
      </c>
      <c r="G15010" s="67" t="s">
        <v>625</v>
      </c>
      <c r="H15010" s="69">
        <v>-0.79</v>
      </c>
    </row>
    <row r="15011" spans="6:8">
      <c r="F15011" s="68" t="s">
        <v>124</v>
      </c>
      <c r="G15011" s="67" t="s">
        <v>625</v>
      </c>
      <c r="H15011" s="69">
        <v>-0.45</v>
      </c>
    </row>
    <row r="15012" spans="6:8">
      <c r="F15012" s="68" t="s">
        <v>252</v>
      </c>
      <c r="G15012" s="67" t="s">
        <v>625</v>
      </c>
      <c r="H15012" s="69">
        <v>0.3</v>
      </c>
    </row>
    <row r="15013" spans="6:8">
      <c r="F15013" s="68" t="s">
        <v>314</v>
      </c>
      <c r="G15013" s="67" t="s">
        <v>625</v>
      </c>
      <c r="H15013" s="69">
        <v>-0.28000000000000003</v>
      </c>
    </row>
    <row r="15014" spans="6:8">
      <c r="F15014" s="68" t="s">
        <v>125</v>
      </c>
      <c r="G15014" s="67" t="s">
        <v>625</v>
      </c>
      <c r="H15014" s="69">
        <v>-0.38</v>
      </c>
    </row>
    <row r="15015" spans="6:8">
      <c r="F15015" s="68" t="s">
        <v>126</v>
      </c>
      <c r="G15015" s="67" t="s">
        <v>625</v>
      </c>
      <c r="H15015" s="69">
        <v>-0.79</v>
      </c>
    </row>
    <row r="15016" spans="6:8">
      <c r="F15016" s="68" t="s">
        <v>127</v>
      </c>
      <c r="G15016" s="67" t="s">
        <v>625</v>
      </c>
      <c r="H15016" s="69">
        <v>-0.45</v>
      </c>
    </row>
    <row r="15017" spans="6:8">
      <c r="F15017" s="68" t="s">
        <v>253</v>
      </c>
      <c r="G15017" s="67" t="s">
        <v>625</v>
      </c>
      <c r="H15017" s="69">
        <v>0.45</v>
      </c>
    </row>
    <row r="15018" spans="6:8">
      <c r="F15018" s="68" t="s">
        <v>315</v>
      </c>
      <c r="G15018" s="67" t="s">
        <v>625</v>
      </c>
      <c r="H15018" s="69">
        <v>-0.1</v>
      </c>
    </row>
    <row r="15019" spans="6:8">
      <c r="F15019" s="68" t="s">
        <v>128</v>
      </c>
      <c r="G15019" s="67" t="s">
        <v>625</v>
      </c>
      <c r="H15019" s="69">
        <v>-0.74</v>
      </c>
    </row>
    <row r="15020" spans="6:8">
      <c r="F15020" s="68" t="s">
        <v>129</v>
      </c>
      <c r="G15020" s="67" t="s">
        <v>625</v>
      </c>
      <c r="H15020" s="69">
        <v>-0.6</v>
      </c>
    </row>
    <row r="15021" spans="6:8">
      <c r="F15021" s="68" t="s">
        <v>254</v>
      </c>
      <c r="G15021" s="67" t="s">
        <v>625</v>
      </c>
      <c r="H15021" s="69">
        <v>0.63</v>
      </c>
    </row>
    <row r="15022" spans="6:8">
      <c r="F15022" s="68" t="s">
        <v>304</v>
      </c>
      <c r="G15022" s="67" t="s">
        <v>625</v>
      </c>
      <c r="H15022" s="69">
        <v>18.041666666666668</v>
      </c>
    </row>
    <row r="15023" spans="6:8">
      <c r="F15023" s="68" t="s">
        <v>421</v>
      </c>
      <c r="G15023" s="67" t="s">
        <v>625</v>
      </c>
      <c r="H15023" s="69">
        <v>2.2915868134107953</v>
      </c>
    </row>
    <row r="15024" spans="6:8">
      <c r="F15024" s="68" t="s">
        <v>567</v>
      </c>
      <c r="G15024" s="67" t="s">
        <v>625</v>
      </c>
      <c r="H15024" s="69">
        <v>-0.5</v>
      </c>
    </row>
    <row r="15025" spans="6:8">
      <c r="F15025" s="68" t="s">
        <v>130</v>
      </c>
      <c r="G15025" s="67" t="s">
        <v>625</v>
      </c>
      <c r="H15025" s="69">
        <v>-0.8</v>
      </c>
    </row>
    <row r="15026" spans="6:8">
      <c r="F15026" s="68" t="s">
        <v>131</v>
      </c>
      <c r="G15026" s="67" t="s">
        <v>625</v>
      </c>
      <c r="H15026" s="69">
        <v>-0.56999999999999995</v>
      </c>
    </row>
    <row r="15027" spans="6:8">
      <c r="F15027" s="68" t="s">
        <v>255</v>
      </c>
      <c r="G15027" s="67" t="s">
        <v>625</v>
      </c>
      <c r="H15027" s="69">
        <v>0.78</v>
      </c>
    </row>
    <row r="15028" spans="6:8">
      <c r="F15028" s="68" t="s">
        <v>303</v>
      </c>
      <c r="G15028" s="67" t="s">
        <v>625</v>
      </c>
      <c r="H15028" s="69">
        <v>19.135416666666668</v>
      </c>
    </row>
    <row r="15029" spans="6:8">
      <c r="F15029" s="68" t="s">
        <v>422</v>
      </c>
      <c r="G15029" s="67" t="s">
        <v>625</v>
      </c>
      <c r="H15029" s="69">
        <v>2.2977984751922698</v>
      </c>
    </row>
    <row r="15030" spans="6:8">
      <c r="F15030" s="68" t="s">
        <v>568</v>
      </c>
      <c r="G15030" s="67" t="s">
        <v>625</v>
      </c>
      <c r="H15030" s="69">
        <v>-0.17</v>
      </c>
    </row>
    <row r="15031" spans="6:8">
      <c r="F15031" s="68" t="s">
        <v>132</v>
      </c>
      <c r="G15031" s="67" t="s">
        <v>625</v>
      </c>
      <c r="H15031" s="69">
        <v>-0.7</v>
      </c>
    </row>
    <row r="15032" spans="6:8">
      <c r="F15032" s="68" t="s">
        <v>133</v>
      </c>
      <c r="G15032" s="67" t="s">
        <v>625</v>
      </c>
      <c r="H15032" s="69">
        <v>-0.62</v>
      </c>
    </row>
    <row r="15033" spans="6:8">
      <c r="F15033" s="68" t="s">
        <v>256</v>
      </c>
      <c r="G15033" s="67" t="s">
        <v>625</v>
      </c>
      <c r="H15033" s="69">
        <v>0.88</v>
      </c>
    </row>
    <row r="15034" spans="6:8">
      <c r="F15034" s="68" t="s">
        <v>423</v>
      </c>
      <c r="G15034" s="67" t="s">
        <v>625</v>
      </c>
      <c r="H15034" s="69">
        <v>2.3591187649628864</v>
      </c>
    </row>
    <row r="15035" spans="6:8">
      <c r="F15035" s="68" t="s">
        <v>569</v>
      </c>
      <c r="G15035" s="67" t="s">
        <v>625</v>
      </c>
      <c r="H15035" s="69">
        <v>-0.05</v>
      </c>
    </row>
    <row r="15036" spans="6:8">
      <c r="F15036" s="68" t="s">
        <v>134</v>
      </c>
      <c r="G15036" s="67" t="s">
        <v>625</v>
      </c>
      <c r="H15036" s="69">
        <v>-0.65</v>
      </c>
    </row>
    <row r="15037" spans="6:8">
      <c r="F15037" s="68" t="s">
        <v>135</v>
      </c>
      <c r="G15037" s="67" t="s">
        <v>625</v>
      </c>
      <c r="H15037" s="69">
        <v>-0.72</v>
      </c>
    </row>
    <row r="15038" spans="6:8">
      <c r="F15038" s="68" t="s">
        <v>257</v>
      </c>
      <c r="G15038" s="67" t="s">
        <v>625</v>
      </c>
      <c r="H15038" s="69">
        <v>0.95</v>
      </c>
    </row>
    <row r="15039" spans="6:8">
      <c r="F15039" s="68" t="s">
        <v>258</v>
      </c>
      <c r="G15039" s="67" t="s">
        <v>625</v>
      </c>
      <c r="H15039" s="69">
        <v>0.15</v>
      </c>
    </row>
    <row r="15040" spans="6:8">
      <c r="F15040" s="68" t="s">
        <v>424</v>
      </c>
      <c r="G15040" s="67" t="s">
        <v>625</v>
      </c>
      <c r="H15040" s="69">
        <v>3.0424834303487636</v>
      </c>
    </row>
    <row r="15041" spans="6:8">
      <c r="F15041" s="68" t="s">
        <v>136</v>
      </c>
      <c r="G15041" s="67" t="s">
        <v>625</v>
      </c>
      <c r="H15041" s="69">
        <v>-0.66</v>
      </c>
    </row>
    <row r="15042" spans="6:8">
      <c r="F15042" s="68" t="s">
        <v>137</v>
      </c>
      <c r="G15042" s="67" t="s">
        <v>625</v>
      </c>
      <c r="H15042" s="69">
        <v>-0.59</v>
      </c>
    </row>
    <row r="15043" spans="6:8">
      <c r="F15043" s="68" t="s">
        <v>138</v>
      </c>
      <c r="G15043" s="67" t="s">
        <v>625</v>
      </c>
      <c r="H15043" s="69">
        <v>-0.6</v>
      </c>
    </row>
    <row r="15044" spans="6:8">
      <c r="F15044" s="68" t="s">
        <v>259</v>
      </c>
      <c r="G15044" s="67" t="s">
        <v>625</v>
      </c>
      <c r="H15044" s="69">
        <v>0.16</v>
      </c>
    </row>
    <row r="15045" spans="6:8">
      <c r="F15045" s="68" t="s">
        <v>425</v>
      </c>
      <c r="G15045" s="67" t="s">
        <v>625</v>
      </c>
      <c r="H15045" s="69">
        <v>3.0341446888135337</v>
      </c>
    </row>
    <row r="15046" spans="6:8">
      <c r="F15046" s="68" t="s">
        <v>425</v>
      </c>
      <c r="G15046" s="67" t="s">
        <v>626</v>
      </c>
      <c r="H15046" s="69">
        <v>3.0106776242297073</v>
      </c>
    </row>
    <row r="15047" spans="6:8">
      <c r="F15047" s="68" t="s">
        <v>259</v>
      </c>
      <c r="G15047" s="67" t="s">
        <v>626</v>
      </c>
      <c r="H15047" s="69">
        <v>0.16</v>
      </c>
    </row>
    <row r="15048" spans="6:8">
      <c r="F15048" s="68" t="s">
        <v>138</v>
      </c>
      <c r="G15048" s="67" t="s">
        <v>626</v>
      </c>
      <c r="H15048" s="69">
        <v>-0.6</v>
      </c>
    </row>
    <row r="15049" spans="6:8">
      <c r="F15049" s="68" t="s">
        <v>137</v>
      </c>
      <c r="G15049" s="67" t="s">
        <v>626</v>
      </c>
      <c r="H15049" s="69">
        <v>-0.59</v>
      </c>
    </row>
    <row r="15050" spans="6:8">
      <c r="F15050" s="68" t="s">
        <v>136</v>
      </c>
      <c r="G15050" s="67" t="s">
        <v>626</v>
      </c>
      <c r="H15050" s="69">
        <v>-0.66</v>
      </c>
    </row>
    <row r="15051" spans="6:8">
      <c r="F15051" s="68" t="s">
        <v>424</v>
      </c>
      <c r="G15051" s="67" t="s">
        <v>626</v>
      </c>
      <c r="H15051" s="69">
        <v>3.0229358153183838</v>
      </c>
    </row>
    <row r="15052" spans="6:8">
      <c r="F15052" s="68" t="s">
        <v>258</v>
      </c>
      <c r="G15052" s="67" t="s">
        <v>626</v>
      </c>
      <c r="H15052" s="69">
        <v>0.15</v>
      </c>
    </row>
    <row r="15053" spans="6:8">
      <c r="F15053" s="68" t="s">
        <v>257</v>
      </c>
      <c r="G15053" s="67" t="s">
        <v>626</v>
      </c>
      <c r="H15053" s="69">
        <v>0.95</v>
      </c>
    </row>
    <row r="15054" spans="6:8">
      <c r="F15054" s="68" t="s">
        <v>135</v>
      </c>
      <c r="G15054" s="67" t="s">
        <v>626</v>
      </c>
      <c r="H15054" s="69">
        <v>-0.72</v>
      </c>
    </row>
    <row r="15055" spans="6:8">
      <c r="F15055" s="68" t="s">
        <v>134</v>
      </c>
      <c r="G15055" s="67" t="s">
        <v>626</v>
      </c>
      <c r="H15055" s="69">
        <v>-0.65</v>
      </c>
    </row>
    <row r="15056" spans="6:8">
      <c r="F15056" s="68" t="s">
        <v>569</v>
      </c>
      <c r="G15056" s="67" t="s">
        <v>626</v>
      </c>
      <c r="H15056" s="69">
        <v>-0.05</v>
      </c>
    </row>
    <row r="15057" spans="6:8">
      <c r="F15057" s="68" t="s">
        <v>423</v>
      </c>
      <c r="G15057" s="67" t="s">
        <v>626</v>
      </c>
      <c r="H15057" s="69">
        <v>2.344574116870346</v>
      </c>
    </row>
    <row r="15058" spans="6:8">
      <c r="F15058" s="68" t="s">
        <v>256</v>
      </c>
      <c r="G15058" s="67" t="s">
        <v>626</v>
      </c>
      <c r="H15058" s="69">
        <v>0.88</v>
      </c>
    </row>
    <row r="15059" spans="6:8">
      <c r="F15059" s="68" t="s">
        <v>133</v>
      </c>
      <c r="G15059" s="67" t="s">
        <v>626</v>
      </c>
      <c r="H15059" s="69">
        <v>-0.62</v>
      </c>
    </row>
    <row r="15060" spans="6:8">
      <c r="F15060" s="68" t="s">
        <v>132</v>
      </c>
      <c r="G15060" s="67" t="s">
        <v>626</v>
      </c>
      <c r="H15060" s="69">
        <v>-0.7</v>
      </c>
    </row>
    <row r="15061" spans="6:8">
      <c r="F15061" s="68" t="s">
        <v>568</v>
      </c>
      <c r="G15061" s="67" t="s">
        <v>626</v>
      </c>
      <c r="H15061" s="69">
        <v>-0.17</v>
      </c>
    </row>
    <row r="15062" spans="6:8">
      <c r="F15062" s="68" t="s">
        <v>422</v>
      </c>
      <c r="G15062" s="67" t="s">
        <v>626</v>
      </c>
      <c r="H15062" s="69">
        <v>2.2845582454896096</v>
      </c>
    </row>
    <row r="15063" spans="6:8">
      <c r="F15063" s="68" t="s">
        <v>303</v>
      </c>
      <c r="G15063" s="67" t="s">
        <v>626</v>
      </c>
      <c r="H15063" s="69">
        <v>19.135416666666668</v>
      </c>
    </row>
    <row r="15064" spans="6:8">
      <c r="F15064" s="68" t="s">
        <v>255</v>
      </c>
      <c r="G15064" s="67" t="s">
        <v>626</v>
      </c>
      <c r="H15064" s="69">
        <v>0.78</v>
      </c>
    </row>
    <row r="15065" spans="6:8">
      <c r="F15065" s="68" t="s">
        <v>131</v>
      </c>
      <c r="G15065" s="67" t="s">
        <v>626</v>
      </c>
      <c r="H15065" s="69">
        <v>-0.56999999999999995</v>
      </c>
    </row>
    <row r="15066" spans="6:8">
      <c r="F15066" s="68" t="s">
        <v>130</v>
      </c>
      <c r="G15066" s="67" t="s">
        <v>626</v>
      </c>
      <c r="H15066" s="69">
        <v>-0.8</v>
      </c>
    </row>
    <row r="15067" spans="6:8">
      <c r="F15067" s="68" t="s">
        <v>567</v>
      </c>
      <c r="G15067" s="67" t="s">
        <v>626</v>
      </c>
      <c r="H15067" s="69">
        <v>-0.5</v>
      </c>
    </row>
    <row r="15068" spans="6:8">
      <c r="F15068" s="68" t="s">
        <v>421</v>
      </c>
      <c r="G15068" s="67" t="s">
        <v>626</v>
      </c>
      <c r="H15068" s="69">
        <v>2.2784381157711753</v>
      </c>
    </row>
    <row r="15069" spans="6:8">
      <c r="F15069" s="68" t="s">
        <v>304</v>
      </c>
      <c r="G15069" s="67" t="s">
        <v>626</v>
      </c>
      <c r="H15069" s="69">
        <v>18.041666666666668</v>
      </c>
    </row>
    <row r="15070" spans="6:8">
      <c r="F15070" s="68" t="s">
        <v>254</v>
      </c>
      <c r="G15070" s="67" t="s">
        <v>626</v>
      </c>
      <c r="H15070" s="69">
        <v>0.63</v>
      </c>
    </row>
    <row r="15071" spans="6:8">
      <c r="F15071" s="68" t="s">
        <v>129</v>
      </c>
      <c r="G15071" s="67" t="s">
        <v>626</v>
      </c>
      <c r="H15071" s="69">
        <v>-0.6</v>
      </c>
    </row>
    <row r="15072" spans="6:8">
      <c r="F15072" s="68" t="s">
        <v>128</v>
      </c>
      <c r="G15072" s="67" t="s">
        <v>626</v>
      </c>
      <c r="H15072" s="69">
        <v>-0.74</v>
      </c>
    </row>
    <row r="15073" spans="6:8">
      <c r="F15073" s="68" t="s">
        <v>315</v>
      </c>
      <c r="G15073" s="67" t="s">
        <v>626</v>
      </c>
      <c r="H15073" s="69">
        <v>-0.1</v>
      </c>
    </row>
    <row r="15074" spans="6:8">
      <c r="F15074" s="68" t="s">
        <v>253</v>
      </c>
      <c r="G15074" s="67" t="s">
        <v>626</v>
      </c>
      <c r="H15074" s="69">
        <v>0.45</v>
      </c>
    </row>
    <row r="15075" spans="6:8">
      <c r="F15075" s="68" t="s">
        <v>127</v>
      </c>
      <c r="G15075" s="67" t="s">
        <v>626</v>
      </c>
      <c r="H15075" s="69">
        <v>-0.45</v>
      </c>
    </row>
    <row r="15076" spans="6:8">
      <c r="F15076" s="68" t="s">
        <v>126</v>
      </c>
      <c r="G15076" s="67" t="s">
        <v>626</v>
      </c>
      <c r="H15076" s="69">
        <v>-0.79</v>
      </c>
    </row>
    <row r="15077" spans="6:8">
      <c r="F15077" s="68" t="s">
        <v>125</v>
      </c>
      <c r="G15077" s="67" t="s">
        <v>626</v>
      </c>
      <c r="H15077" s="69">
        <v>-0.38</v>
      </c>
    </row>
    <row r="15078" spans="6:8">
      <c r="F15078" s="68" t="s">
        <v>314</v>
      </c>
      <c r="G15078" s="67" t="s">
        <v>626</v>
      </c>
      <c r="H15078" s="69">
        <v>-0.28000000000000003</v>
      </c>
    </row>
    <row r="15079" spans="6:8">
      <c r="F15079" s="68" t="s">
        <v>252</v>
      </c>
      <c r="G15079" s="67" t="s">
        <v>626</v>
      </c>
      <c r="H15079" s="69">
        <v>0.3</v>
      </c>
    </row>
    <row r="15080" spans="6:8">
      <c r="F15080" s="68" t="s">
        <v>124</v>
      </c>
      <c r="G15080" s="67" t="s">
        <v>626</v>
      </c>
      <c r="H15080" s="69">
        <v>-0.45</v>
      </c>
    </row>
    <row r="15081" spans="6:8">
      <c r="F15081" s="68" t="s">
        <v>123</v>
      </c>
      <c r="G15081" s="67" t="s">
        <v>626</v>
      </c>
      <c r="H15081" s="69">
        <v>-0.79</v>
      </c>
    </row>
    <row r="15082" spans="6:8">
      <c r="F15082" s="68" t="s">
        <v>122</v>
      </c>
      <c r="G15082" s="67" t="s">
        <v>626</v>
      </c>
      <c r="H15082" s="69">
        <v>-0.51</v>
      </c>
    </row>
    <row r="15083" spans="6:8">
      <c r="F15083" s="68" t="s">
        <v>420</v>
      </c>
      <c r="G15083" s="67" t="s">
        <v>626</v>
      </c>
      <c r="H15083" s="69">
        <v>3.2676928756403711</v>
      </c>
    </row>
    <row r="15084" spans="6:8">
      <c r="F15084" s="68" t="s">
        <v>251</v>
      </c>
      <c r="G15084" s="67" t="s">
        <v>626</v>
      </c>
      <c r="H15084" s="69">
        <v>0.21</v>
      </c>
    </row>
    <row r="15085" spans="6:8">
      <c r="F15085" s="68" t="s">
        <v>121</v>
      </c>
      <c r="G15085" s="67" t="s">
        <v>626</v>
      </c>
      <c r="H15085" s="69">
        <v>-0.55000000000000004</v>
      </c>
    </row>
    <row r="15086" spans="6:8">
      <c r="F15086" s="68" t="s">
        <v>120</v>
      </c>
      <c r="G15086" s="67" t="s">
        <v>626</v>
      </c>
      <c r="H15086" s="69">
        <v>-0.69</v>
      </c>
    </row>
    <row r="15087" spans="6:8">
      <c r="F15087" s="68" t="s">
        <v>119</v>
      </c>
      <c r="G15087" s="67" t="s">
        <v>626</v>
      </c>
      <c r="H15087" s="69">
        <v>-0.56000000000000005</v>
      </c>
    </row>
    <row r="15088" spans="6:8">
      <c r="F15088" s="68" t="s">
        <v>119</v>
      </c>
      <c r="G15088" s="67" t="s">
        <v>627</v>
      </c>
      <c r="H15088" s="69">
        <v>-0.56000000000000005</v>
      </c>
    </row>
    <row r="15089" spans="6:8">
      <c r="F15089" s="68" t="s">
        <v>120</v>
      </c>
      <c r="G15089" s="67" t="s">
        <v>627</v>
      </c>
      <c r="H15089" s="69">
        <v>-0.69</v>
      </c>
    </row>
    <row r="15090" spans="6:8">
      <c r="F15090" s="68" t="s">
        <v>121</v>
      </c>
      <c r="G15090" s="67" t="s">
        <v>627</v>
      </c>
      <c r="H15090" s="69">
        <v>-0.55000000000000004</v>
      </c>
    </row>
    <row r="15091" spans="6:8">
      <c r="F15091" s="68" t="s">
        <v>251</v>
      </c>
      <c r="G15091" s="67" t="s">
        <v>627</v>
      </c>
      <c r="H15091" s="69">
        <v>0.21</v>
      </c>
    </row>
    <row r="15092" spans="6:8">
      <c r="F15092" s="68" t="s">
        <v>420</v>
      </c>
      <c r="G15092" s="67" t="s">
        <v>627</v>
      </c>
      <c r="H15092" s="69">
        <v>3.2362872749051252</v>
      </c>
    </row>
    <row r="15093" spans="6:8">
      <c r="F15093" s="68" t="s">
        <v>122</v>
      </c>
      <c r="G15093" s="67" t="s">
        <v>627</v>
      </c>
      <c r="H15093" s="69">
        <v>-0.51</v>
      </c>
    </row>
    <row r="15094" spans="6:8">
      <c r="F15094" s="68" t="s">
        <v>123</v>
      </c>
      <c r="G15094" s="67" t="s">
        <v>627</v>
      </c>
      <c r="H15094" s="69">
        <v>-0.79</v>
      </c>
    </row>
    <row r="15095" spans="6:8">
      <c r="F15095" s="68" t="s">
        <v>124</v>
      </c>
      <c r="G15095" s="67" t="s">
        <v>627</v>
      </c>
      <c r="H15095" s="69">
        <v>-0.45</v>
      </c>
    </row>
    <row r="15096" spans="6:8">
      <c r="F15096" s="68" t="s">
        <v>252</v>
      </c>
      <c r="G15096" s="67" t="s">
        <v>627</v>
      </c>
      <c r="H15096" s="69">
        <v>0.3</v>
      </c>
    </row>
    <row r="15097" spans="6:8">
      <c r="F15097" s="68" t="s">
        <v>314</v>
      </c>
      <c r="G15097" s="67" t="s">
        <v>627</v>
      </c>
      <c r="H15097" s="69">
        <v>-0.28000000000000003</v>
      </c>
    </row>
    <row r="15098" spans="6:8">
      <c r="F15098" s="68" t="s">
        <v>125</v>
      </c>
      <c r="G15098" s="67" t="s">
        <v>627</v>
      </c>
      <c r="H15098" s="69">
        <v>-0.38</v>
      </c>
    </row>
    <row r="15099" spans="6:8">
      <c r="F15099" s="68" t="s">
        <v>126</v>
      </c>
      <c r="G15099" s="67" t="s">
        <v>627</v>
      </c>
      <c r="H15099" s="69">
        <v>-0.79</v>
      </c>
    </row>
    <row r="15100" spans="6:8">
      <c r="F15100" s="68" t="s">
        <v>127</v>
      </c>
      <c r="G15100" s="67" t="s">
        <v>627</v>
      </c>
      <c r="H15100" s="69">
        <v>-0.45</v>
      </c>
    </row>
    <row r="15101" spans="6:8">
      <c r="F15101" s="68" t="s">
        <v>253</v>
      </c>
      <c r="G15101" s="67" t="s">
        <v>627</v>
      </c>
      <c r="H15101" s="69">
        <v>0.45</v>
      </c>
    </row>
    <row r="15102" spans="6:8">
      <c r="F15102" s="68" t="s">
        <v>315</v>
      </c>
      <c r="G15102" s="67" t="s">
        <v>627</v>
      </c>
      <c r="H15102" s="69">
        <v>-0.1</v>
      </c>
    </row>
    <row r="15103" spans="6:8">
      <c r="F15103" s="68" t="s">
        <v>128</v>
      </c>
      <c r="G15103" s="67" t="s">
        <v>627</v>
      </c>
      <c r="H15103" s="69">
        <v>-0.74</v>
      </c>
    </row>
    <row r="15104" spans="6:8">
      <c r="F15104" s="68" t="s">
        <v>129</v>
      </c>
      <c r="G15104" s="67" t="s">
        <v>627</v>
      </c>
      <c r="H15104" s="69">
        <v>-0.6</v>
      </c>
    </row>
    <row r="15105" spans="6:8">
      <c r="F15105" s="68" t="s">
        <v>254</v>
      </c>
      <c r="G15105" s="67" t="s">
        <v>627</v>
      </c>
      <c r="H15105" s="69">
        <v>0.63</v>
      </c>
    </row>
    <row r="15106" spans="6:8">
      <c r="F15106" s="68" t="s">
        <v>304</v>
      </c>
      <c r="G15106" s="67" t="s">
        <v>627</v>
      </c>
      <c r="H15106" s="69">
        <v>17.916666666666668</v>
      </c>
    </row>
    <row r="15107" spans="6:8">
      <c r="F15107" s="68" t="s">
        <v>421</v>
      </c>
      <c r="G15107" s="67" t="s">
        <v>627</v>
      </c>
      <c r="H15107" s="69">
        <v>2.2453149230733604</v>
      </c>
    </row>
    <row r="15108" spans="6:8">
      <c r="F15108" s="68" t="s">
        <v>567</v>
      </c>
      <c r="G15108" s="67" t="s">
        <v>627</v>
      </c>
      <c r="H15108" s="69">
        <v>-0.5</v>
      </c>
    </row>
    <row r="15109" spans="6:8">
      <c r="F15109" s="68" t="s">
        <v>130</v>
      </c>
      <c r="G15109" s="67" t="s">
        <v>627</v>
      </c>
      <c r="H15109" s="69">
        <v>-0.8</v>
      </c>
    </row>
    <row r="15110" spans="6:8">
      <c r="F15110" s="68" t="s">
        <v>131</v>
      </c>
      <c r="G15110" s="67" t="s">
        <v>627</v>
      </c>
      <c r="H15110" s="69">
        <v>-0.56999999999999995</v>
      </c>
    </row>
    <row r="15111" spans="6:8">
      <c r="F15111" s="68" t="s">
        <v>255</v>
      </c>
      <c r="G15111" s="67" t="s">
        <v>627</v>
      </c>
      <c r="H15111" s="69">
        <v>0.78</v>
      </c>
    </row>
    <row r="15112" spans="6:8">
      <c r="F15112" s="68" t="s">
        <v>303</v>
      </c>
      <c r="G15112" s="67" t="s">
        <v>627</v>
      </c>
      <c r="H15112" s="69">
        <v>19</v>
      </c>
    </row>
    <row r="15113" spans="6:8">
      <c r="F15113" s="68" t="s">
        <v>422</v>
      </c>
      <c r="G15113" s="67" t="s">
        <v>627</v>
      </c>
      <c r="H15113" s="69">
        <v>2.2512739774564583</v>
      </c>
    </row>
    <row r="15114" spans="6:8">
      <c r="F15114" s="68" t="s">
        <v>568</v>
      </c>
      <c r="G15114" s="67" t="s">
        <v>627</v>
      </c>
      <c r="H15114" s="69">
        <v>-0.17</v>
      </c>
    </row>
    <row r="15115" spans="6:8">
      <c r="F15115" s="68" t="s">
        <v>132</v>
      </c>
      <c r="G15115" s="67" t="s">
        <v>627</v>
      </c>
      <c r="H15115" s="69">
        <v>-0.7</v>
      </c>
    </row>
    <row r="15116" spans="6:8">
      <c r="F15116" s="68" t="s">
        <v>133</v>
      </c>
      <c r="G15116" s="67" t="s">
        <v>627</v>
      </c>
      <c r="H15116" s="69">
        <v>-0.62</v>
      </c>
    </row>
    <row r="15117" spans="6:8">
      <c r="F15117" s="68" t="s">
        <v>256</v>
      </c>
      <c r="G15117" s="67" t="s">
        <v>627</v>
      </c>
      <c r="H15117" s="69">
        <v>0.88</v>
      </c>
    </row>
    <row r="15118" spans="6:8">
      <c r="F15118" s="68" t="s">
        <v>423</v>
      </c>
      <c r="G15118" s="67" t="s">
        <v>627</v>
      </c>
      <c r="H15118" s="69">
        <v>2.3215669341183798</v>
      </c>
    </row>
    <row r="15119" spans="6:8">
      <c r="F15119" s="68" t="s">
        <v>569</v>
      </c>
      <c r="G15119" s="67" t="s">
        <v>627</v>
      </c>
      <c r="H15119" s="69">
        <v>-0.05</v>
      </c>
    </row>
    <row r="15120" spans="6:8">
      <c r="F15120" s="68" t="s">
        <v>134</v>
      </c>
      <c r="G15120" s="67" t="s">
        <v>627</v>
      </c>
      <c r="H15120" s="69">
        <v>-0.65</v>
      </c>
    </row>
    <row r="15121" spans="6:8">
      <c r="F15121" s="68" t="s">
        <v>135</v>
      </c>
      <c r="G15121" s="67" t="s">
        <v>627</v>
      </c>
      <c r="H15121" s="69">
        <v>-0.72</v>
      </c>
    </row>
    <row r="15122" spans="6:8">
      <c r="F15122" s="68" t="s">
        <v>257</v>
      </c>
      <c r="G15122" s="67" t="s">
        <v>627</v>
      </c>
      <c r="H15122" s="69">
        <v>0.95</v>
      </c>
    </row>
    <row r="15123" spans="6:8">
      <c r="F15123" s="68" t="s">
        <v>258</v>
      </c>
      <c r="G15123" s="67" t="s">
        <v>627</v>
      </c>
      <c r="H15123" s="69">
        <v>0.15</v>
      </c>
    </row>
    <row r="15124" spans="6:8">
      <c r="F15124" s="68" t="s">
        <v>424</v>
      </c>
      <c r="G15124" s="67" t="s">
        <v>627</v>
      </c>
      <c r="H15124" s="69">
        <v>2.9955208195811434</v>
      </c>
    </row>
    <row r="15125" spans="6:8">
      <c r="F15125" s="68" t="s">
        <v>136</v>
      </c>
      <c r="G15125" s="67" t="s">
        <v>627</v>
      </c>
      <c r="H15125" s="69">
        <v>-0.66</v>
      </c>
    </row>
    <row r="15126" spans="6:8">
      <c r="F15126" s="68" t="s">
        <v>137</v>
      </c>
      <c r="G15126" s="67" t="s">
        <v>627</v>
      </c>
      <c r="H15126" s="69">
        <v>-0.59</v>
      </c>
    </row>
    <row r="15127" spans="6:8">
      <c r="F15127" s="68" t="s">
        <v>138</v>
      </c>
      <c r="G15127" s="67" t="s">
        <v>627</v>
      </c>
      <c r="H15127" s="69">
        <v>-0.6</v>
      </c>
    </row>
    <row r="15128" spans="6:8">
      <c r="F15128" s="68" t="s">
        <v>259</v>
      </c>
      <c r="G15128" s="67" t="s">
        <v>627</v>
      </c>
      <c r="H15128" s="69">
        <v>0.16</v>
      </c>
    </row>
    <row r="15129" spans="6:8">
      <c r="F15129" s="68" t="s">
        <v>425</v>
      </c>
      <c r="G15129" s="67" t="s">
        <v>627</v>
      </c>
      <c r="H15129" s="69">
        <v>3.0188912793886136</v>
      </c>
    </row>
    <row r="15130" spans="6:8">
      <c r="F15130" s="68" t="s">
        <v>425</v>
      </c>
      <c r="G15130" s="67" t="s">
        <v>628</v>
      </c>
      <c r="H15130" s="69">
        <v>3.0129426054120501</v>
      </c>
    </row>
    <row r="15131" spans="6:8">
      <c r="F15131" s="68" t="s">
        <v>259</v>
      </c>
      <c r="G15131" s="67" t="s">
        <v>628</v>
      </c>
      <c r="H15131" s="69">
        <v>0.16</v>
      </c>
    </row>
    <row r="15132" spans="6:8">
      <c r="F15132" s="68" t="s">
        <v>138</v>
      </c>
      <c r="G15132" s="67" t="s">
        <v>628</v>
      </c>
      <c r="H15132" s="69">
        <v>-0.6</v>
      </c>
    </row>
    <row r="15133" spans="6:8">
      <c r="F15133" s="68" t="s">
        <v>137</v>
      </c>
      <c r="G15133" s="67" t="s">
        <v>628</v>
      </c>
      <c r="H15133" s="69">
        <v>-0.59</v>
      </c>
    </row>
    <row r="15134" spans="6:8">
      <c r="F15134" s="68" t="s">
        <v>136</v>
      </c>
      <c r="G15134" s="67" t="s">
        <v>628</v>
      </c>
      <c r="H15134" s="69">
        <v>-0.66</v>
      </c>
    </row>
    <row r="15135" spans="6:8">
      <c r="F15135" s="68" t="s">
        <v>424</v>
      </c>
      <c r="G15135" s="67" t="s">
        <v>628</v>
      </c>
      <c r="H15135" s="69">
        <v>2.9911303641012577</v>
      </c>
    </row>
    <row r="15136" spans="6:8">
      <c r="F15136" s="68" t="s">
        <v>258</v>
      </c>
      <c r="G15136" s="67" t="s">
        <v>628</v>
      </c>
      <c r="H15136" s="69">
        <v>0.15</v>
      </c>
    </row>
    <row r="15137" spans="6:8">
      <c r="F15137" s="68" t="s">
        <v>257</v>
      </c>
      <c r="G15137" s="67" t="s">
        <v>628</v>
      </c>
      <c r="H15137" s="69">
        <v>0.95</v>
      </c>
    </row>
    <row r="15138" spans="6:8">
      <c r="F15138" s="68" t="s">
        <v>135</v>
      </c>
      <c r="G15138" s="67" t="s">
        <v>628</v>
      </c>
      <c r="H15138" s="69">
        <v>-0.72</v>
      </c>
    </row>
    <row r="15139" spans="6:8">
      <c r="F15139" s="68" t="s">
        <v>134</v>
      </c>
      <c r="G15139" s="67" t="s">
        <v>628</v>
      </c>
      <c r="H15139" s="69">
        <v>-0.65</v>
      </c>
    </row>
    <row r="15140" spans="6:8">
      <c r="F15140" s="68" t="s">
        <v>569</v>
      </c>
      <c r="G15140" s="67" t="s">
        <v>628</v>
      </c>
      <c r="H15140" s="69">
        <v>-0.05</v>
      </c>
    </row>
    <row r="15141" spans="6:8">
      <c r="F15141" s="68" t="s">
        <v>423</v>
      </c>
      <c r="G15141" s="67" t="s">
        <v>628</v>
      </c>
      <c r="H15141" s="69">
        <v>2.3037050955263094</v>
      </c>
    </row>
    <row r="15142" spans="6:8">
      <c r="F15142" s="68" t="s">
        <v>256</v>
      </c>
      <c r="G15142" s="67" t="s">
        <v>628</v>
      </c>
      <c r="H15142" s="69">
        <v>0.88</v>
      </c>
    </row>
    <row r="15143" spans="6:8">
      <c r="F15143" s="68" t="s">
        <v>133</v>
      </c>
      <c r="G15143" s="67" t="s">
        <v>628</v>
      </c>
      <c r="H15143" s="69">
        <v>-0.62</v>
      </c>
    </row>
    <row r="15144" spans="6:8">
      <c r="F15144" s="68" t="s">
        <v>132</v>
      </c>
      <c r="G15144" s="67" t="s">
        <v>628</v>
      </c>
      <c r="H15144" s="69">
        <v>-0.7</v>
      </c>
    </row>
    <row r="15145" spans="6:8">
      <c r="F15145" s="68" t="s">
        <v>568</v>
      </c>
      <c r="G15145" s="67" t="s">
        <v>628</v>
      </c>
      <c r="H15145" s="69">
        <v>-0.17</v>
      </c>
    </row>
    <row r="15146" spans="6:8">
      <c r="F15146" s="68" t="s">
        <v>422</v>
      </c>
      <c r="G15146" s="67" t="s">
        <v>628</v>
      </c>
      <c r="H15146" s="69">
        <v>2.2237784911804059</v>
      </c>
    </row>
    <row r="15147" spans="6:8">
      <c r="F15147" s="68" t="s">
        <v>303</v>
      </c>
      <c r="G15147" s="67" t="s">
        <v>628</v>
      </c>
      <c r="H15147" s="69">
        <v>19</v>
      </c>
    </row>
    <row r="15148" spans="6:8">
      <c r="F15148" s="68" t="s">
        <v>255</v>
      </c>
      <c r="G15148" s="67" t="s">
        <v>628</v>
      </c>
      <c r="H15148" s="69">
        <v>0.78</v>
      </c>
    </row>
    <row r="15149" spans="6:8">
      <c r="F15149" s="68" t="s">
        <v>131</v>
      </c>
      <c r="G15149" s="67" t="s">
        <v>628</v>
      </c>
      <c r="H15149" s="69">
        <v>-0.56999999999999995</v>
      </c>
    </row>
    <row r="15150" spans="6:8">
      <c r="F15150" s="68" t="s">
        <v>130</v>
      </c>
      <c r="G15150" s="67" t="s">
        <v>628</v>
      </c>
      <c r="H15150" s="69">
        <v>-0.8</v>
      </c>
    </row>
    <row r="15151" spans="6:8">
      <c r="F15151" s="68" t="s">
        <v>567</v>
      </c>
      <c r="G15151" s="67" t="s">
        <v>628</v>
      </c>
      <c r="H15151" s="69">
        <v>-0.5</v>
      </c>
    </row>
    <row r="15152" spans="6:8">
      <c r="F15152" s="68" t="s">
        <v>421</v>
      </c>
      <c r="G15152" s="67" t="s">
        <v>628</v>
      </c>
      <c r="H15152" s="69">
        <v>2.2172757790344555</v>
      </c>
    </row>
    <row r="15153" spans="6:8">
      <c r="F15153" s="68" t="s">
        <v>304</v>
      </c>
      <c r="G15153" s="67" t="s">
        <v>628</v>
      </c>
      <c r="H15153" s="69">
        <v>17.916666666666668</v>
      </c>
    </row>
    <row r="15154" spans="6:8">
      <c r="F15154" s="68" t="s">
        <v>254</v>
      </c>
      <c r="G15154" s="67" t="s">
        <v>628</v>
      </c>
      <c r="H15154" s="69">
        <v>0.63</v>
      </c>
    </row>
    <row r="15155" spans="6:8">
      <c r="F15155" s="68" t="s">
        <v>129</v>
      </c>
      <c r="G15155" s="67" t="s">
        <v>628</v>
      </c>
      <c r="H15155" s="69">
        <v>-0.6</v>
      </c>
    </row>
    <row r="15156" spans="6:8">
      <c r="F15156" s="68" t="s">
        <v>128</v>
      </c>
      <c r="G15156" s="67" t="s">
        <v>628</v>
      </c>
      <c r="H15156" s="69">
        <v>-0.74</v>
      </c>
    </row>
    <row r="15157" spans="6:8">
      <c r="F15157" s="68" t="s">
        <v>315</v>
      </c>
      <c r="G15157" s="67" t="s">
        <v>628</v>
      </c>
      <c r="H15157" s="69">
        <v>-0.1</v>
      </c>
    </row>
    <row r="15158" spans="6:8">
      <c r="F15158" s="68" t="s">
        <v>253</v>
      </c>
      <c r="G15158" s="67" t="s">
        <v>628</v>
      </c>
      <c r="H15158" s="69">
        <v>0.45</v>
      </c>
    </row>
    <row r="15159" spans="6:8">
      <c r="F15159" s="68" t="s">
        <v>127</v>
      </c>
      <c r="G15159" s="67" t="s">
        <v>628</v>
      </c>
      <c r="H15159" s="69">
        <v>-0.45</v>
      </c>
    </row>
    <row r="15160" spans="6:8">
      <c r="F15160" s="68" t="s">
        <v>126</v>
      </c>
      <c r="G15160" s="67" t="s">
        <v>628</v>
      </c>
      <c r="H15160" s="69">
        <v>-0.79</v>
      </c>
    </row>
    <row r="15161" spans="6:8">
      <c r="F15161" s="68" t="s">
        <v>125</v>
      </c>
      <c r="G15161" s="67" t="s">
        <v>628</v>
      </c>
      <c r="H15161" s="69">
        <v>-0.38</v>
      </c>
    </row>
    <row r="15162" spans="6:8">
      <c r="F15162" s="68" t="s">
        <v>314</v>
      </c>
      <c r="G15162" s="67" t="s">
        <v>628</v>
      </c>
      <c r="H15162" s="69">
        <v>-0.28000000000000003</v>
      </c>
    </row>
    <row r="15163" spans="6:8">
      <c r="F15163" s="68" t="s">
        <v>252</v>
      </c>
      <c r="G15163" s="67" t="s">
        <v>628</v>
      </c>
      <c r="H15163" s="69">
        <v>0.3</v>
      </c>
    </row>
    <row r="15164" spans="6:8">
      <c r="F15164" s="68" t="s">
        <v>124</v>
      </c>
      <c r="G15164" s="67" t="s">
        <v>628</v>
      </c>
      <c r="H15164" s="69">
        <v>-0.45</v>
      </c>
    </row>
    <row r="15165" spans="6:8">
      <c r="F15165" s="68" t="s">
        <v>123</v>
      </c>
      <c r="G15165" s="67" t="s">
        <v>628</v>
      </c>
      <c r="H15165" s="69">
        <v>-0.79</v>
      </c>
    </row>
    <row r="15166" spans="6:8">
      <c r="F15166" s="68" t="s">
        <v>122</v>
      </c>
      <c r="G15166" s="67" t="s">
        <v>628</v>
      </c>
      <c r="H15166" s="69">
        <v>-0.51</v>
      </c>
    </row>
    <row r="15167" spans="6:8">
      <c r="F15167" s="68" t="s">
        <v>420</v>
      </c>
      <c r="G15167" s="67" t="s">
        <v>628</v>
      </c>
      <c r="H15167" s="69">
        <v>3.2298668087684224</v>
      </c>
    </row>
    <row r="15168" spans="6:8">
      <c r="F15168" s="68" t="s">
        <v>251</v>
      </c>
      <c r="G15168" s="67" t="s">
        <v>628</v>
      </c>
      <c r="H15168" s="69">
        <v>0.21</v>
      </c>
    </row>
    <row r="15169" spans="6:8">
      <c r="F15169" s="68" t="s">
        <v>121</v>
      </c>
      <c r="G15169" s="67" t="s">
        <v>628</v>
      </c>
      <c r="H15169" s="69">
        <v>-0.55000000000000004</v>
      </c>
    </row>
    <row r="15170" spans="6:8">
      <c r="F15170" s="68" t="s">
        <v>120</v>
      </c>
      <c r="G15170" s="67" t="s">
        <v>628</v>
      </c>
      <c r="H15170" s="69">
        <v>-0.69</v>
      </c>
    </row>
    <row r="15171" spans="6:8">
      <c r="F15171" s="68" t="s">
        <v>119</v>
      </c>
      <c r="G15171" s="67" t="s">
        <v>628</v>
      </c>
      <c r="H15171" s="69">
        <v>-0.56000000000000005</v>
      </c>
    </row>
    <row r="15172" spans="6:8">
      <c r="F15172" s="68" t="s">
        <v>119</v>
      </c>
      <c r="G15172" s="67" t="s">
        <v>629</v>
      </c>
      <c r="H15172" s="69">
        <v>-0.56000000000000005</v>
      </c>
    </row>
    <row r="15173" spans="6:8">
      <c r="F15173" s="68" t="s">
        <v>120</v>
      </c>
      <c r="G15173" s="67" t="s">
        <v>629</v>
      </c>
      <c r="H15173" s="69">
        <v>-0.69</v>
      </c>
    </row>
    <row r="15174" spans="6:8">
      <c r="F15174" s="68" t="s">
        <v>121</v>
      </c>
      <c r="G15174" s="67" t="s">
        <v>629</v>
      </c>
      <c r="H15174" s="69">
        <v>-0.55000000000000004</v>
      </c>
    </row>
    <row r="15175" spans="6:8">
      <c r="F15175" s="68" t="s">
        <v>251</v>
      </c>
      <c r="G15175" s="67" t="s">
        <v>629</v>
      </c>
      <c r="H15175" s="69">
        <v>0.21</v>
      </c>
    </row>
    <row r="15176" spans="6:8">
      <c r="F15176" s="68" t="s">
        <v>420</v>
      </c>
      <c r="G15176" s="67" t="s">
        <v>629</v>
      </c>
      <c r="H15176" s="69">
        <v>3.2674880703077669</v>
      </c>
    </row>
    <row r="15177" spans="6:8">
      <c r="F15177" s="68" t="s">
        <v>122</v>
      </c>
      <c r="G15177" s="67" t="s">
        <v>629</v>
      </c>
      <c r="H15177" s="69">
        <v>-0.51</v>
      </c>
    </row>
    <row r="15178" spans="6:8">
      <c r="F15178" s="68" t="s">
        <v>123</v>
      </c>
      <c r="G15178" s="67" t="s">
        <v>629</v>
      </c>
      <c r="H15178" s="69">
        <v>-0.79</v>
      </c>
    </row>
    <row r="15179" spans="6:8">
      <c r="F15179" s="68" t="s">
        <v>124</v>
      </c>
      <c r="G15179" s="67" t="s">
        <v>629</v>
      </c>
      <c r="H15179" s="69">
        <v>-0.45</v>
      </c>
    </row>
    <row r="15180" spans="6:8">
      <c r="F15180" s="68" t="s">
        <v>252</v>
      </c>
      <c r="G15180" s="67" t="s">
        <v>629</v>
      </c>
      <c r="H15180" s="69">
        <v>0.3</v>
      </c>
    </row>
    <row r="15181" spans="6:8">
      <c r="F15181" s="68" t="s">
        <v>314</v>
      </c>
      <c r="G15181" s="67" t="s">
        <v>629</v>
      </c>
      <c r="H15181" s="69">
        <v>-0.28000000000000003</v>
      </c>
    </row>
    <row r="15182" spans="6:8">
      <c r="F15182" s="68" t="s">
        <v>125</v>
      </c>
      <c r="G15182" s="67" t="s">
        <v>629</v>
      </c>
      <c r="H15182" s="69">
        <v>-0.38</v>
      </c>
    </row>
    <row r="15183" spans="6:8">
      <c r="F15183" s="68" t="s">
        <v>126</v>
      </c>
      <c r="G15183" s="67" t="s">
        <v>629</v>
      </c>
      <c r="H15183" s="69">
        <v>-0.79</v>
      </c>
    </row>
    <row r="15184" spans="6:8">
      <c r="F15184" s="68" t="s">
        <v>127</v>
      </c>
      <c r="G15184" s="67" t="s">
        <v>629</v>
      </c>
      <c r="H15184" s="69">
        <v>-0.45</v>
      </c>
    </row>
    <row r="15185" spans="6:8">
      <c r="F15185" s="68" t="s">
        <v>253</v>
      </c>
      <c r="G15185" s="67" t="s">
        <v>629</v>
      </c>
      <c r="H15185" s="69">
        <v>0.45</v>
      </c>
    </row>
    <row r="15186" spans="6:8">
      <c r="F15186" s="68" t="s">
        <v>315</v>
      </c>
      <c r="G15186" s="67" t="s">
        <v>629</v>
      </c>
      <c r="H15186" s="69">
        <v>-0.1</v>
      </c>
    </row>
    <row r="15187" spans="6:8">
      <c r="F15187" s="68" t="s">
        <v>128</v>
      </c>
      <c r="G15187" s="67" t="s">
        <v>629</v>
      </c>
      <c r="H15187" s="69">
        <v>-0.74</v>
      </c>
    </row>
    <row r="15188" spans="6:8">
      <c r="F15188" s="68" t="s">
        <v>129</v>
      </c>
      <c r="G15188" s="67" t="s">
        <v>629</v>
      </c>
      <c r="H15188" s="69">
        <v>-0.6</v>
      </c>
    </row>
    <row r="15189" spans="6:8">
      <c r="F15189" s="68" t="s">
        <v>254</v>
      </c>
      <c r="G15189" s="67" t="s">
        <v>629</v>
      </c>
      <c r="H15189" s="69">
        <v>0.63</v>
      </c>
    </row>
    <row r="15190" spans="6:8">
      <c r="F15190" s="68" t="s">
        <v>304</v>
      </c>
      <c r="G15190" s="67" t="s">
        <v>629</v>
      </c>
      <c r="H15190" s="69">
        <v>17.875</v>
      </c>
    </row>
    <row r="15191" spans="6:8">
      <c r="F15191" s="68" t="s">
        <v>421</v>
      </c>
      <c r="G15191" s="67" t="s">
        <v>629</v>
      </c>
      <c r="H15191" s="69">
        <v>2.2062302491157482</v>
      </c>
    </row>
    <row r="15192" spans="6:8">
      <c r="F15192" s="68" t="s">
        <v>567</v>
      </c>
      <c r="G15192" s="67" t="s">
        <v>629</v>
      </c>
      <c r="H15192" s="69">
        <v>-0.5</v>
      </c>
    </row>
    <row r="15193" spans="6:8">
      <c r="F15193" s="68" t="s">
        <v>130</v>
      </c>
      <c r="G15193" s="67" t="s">
        <v>629</v>
      </c>
      <c r="H15193" s="69">
        <v>-0.8</v>
      </c>
    </row>
    <row r="15194" spans="6:8">
      <c r="F15194" s="68" t="s">
        <v>131</v>
      </c>
      <c r="G15194" s="67" t="s">
        <v>629</v>
      </c>
      <c r="H15194" s="69">
        <v>-0.56999999999999995</v>
      </c>
    </row>
    <row r="15195" spans="6:8">
      <c r="F15195" s="68" t="s">
        <v>255</v>
      </c>
      <c r="G15195" s="67" t="s">
        <v>629</v>
      </c>
      <c r="H15195" s="69">
        <v>0.78</v>
      </c>
    </row>
    <row r="15196" spans="6:8">
      <c r="F15196" s="68" t="s">
        <v>303</v>
      </c>
      <c r="G15196" s="67" t="s">
        <v>629</v>
      </c>
      <c r="H15196" s="69">
        <v>18.9375</v>
      </c>
    </row>
    <row r="15197" spans="6:8">
      <c r="F15197" s="68" t="s">
        <v>422</v>
      </c>
      <c r="G15197" s="67" t="s">
        <v>629</v>
      </c>
      <c r="H15197" s="69">
        <v>2.2129429277558454</v>
      </c>
    </row>
    <row r="15198" spans="6:8">
      <c r="F15198" s="68" t="s">
        <v>568</v>
      </c>
      <c r="G15198" s="67" t="s">
        <v>629</v>
      </c>
      <c r="H15198" s="69">
        <v>-0.17</v>
      </c>
    </row>
    <row r="15199" spans="6:8">
      <c r="F15199" s="68" t="s">
        <v>132</v>
      </c>
      <c r="G15199" s="67" t="s">
        <v>629</v>
      </c>
      <c r="H15199" s="69">
        <v>-0.7</v>
      </c>
    </row>
    <row r="15200" spans="6:8">
      <c r="F15200" s="68" t="s">
        <v>133</v>
      </c>
      <c r="G15200" s="67" t="s">
        <v>629</v>
      </c>
      <c r="H15200" s="69">
        <v>-0.62</v>
      </c>
    </row>
    <row r="15201" spans="6:8">
      <c r="F15201" s="68" t="s">
        <v>256</v>
      </c>
      <c r="G15201" s="67" t="s">
        <v>629</v>
      </c>
      <c r="H15201" s="69">
        <v>0.88</v>
      </c>
    </row>
    <row r="15202" spans="6:8">
      <c r="F15202" s="68" t="s">
        <v>423</v>
      </c>
      <c r="G15202" s="67" t="s">
        <v>629</v>
      </c>
      <c r="H15202" s="69">
        <v>2.3349399342118105</v>
      </c>
    </row>
    <row r="15203" spans="6:8">
      <c r="F15203" s="68" t="s">
        <v>569</v>
      </c>
      <c r="G15203" s="67" t="s">
        <v>629</v>
      </c>
      <c r="H15203" s="69">
        <v>-0.05</v>
      </c>
    </row>
    <row r="15204" spans="6:8">
      <c r="F15204" s="68" t="s">
        <v>134</v>
      </c>
      <c r="G15204" s="67" t="s">
        <v>629</v>
      </c>
      <c r="H15204" s="69">
        <v>-0.65</v>
      </c>
    </row>
    <row r="15205" spans="6:8">
      <c r="F15205" s="68" t="s">
        <v>135</v>
      </c>
      <c r="G15205" s="67" t="s">
        <v>629</v>
      </c>
      <c r="H15205" s="69">
        <v>-0.72</v>
      </c>
    </row>
    <row r="15206" spans="6:8">
      <c r="F15206" s="68" t="s">
        <v>257</v>
      </c>
      <c r="G15206" s="67" t="s">
        <v>629</v>
      </c>
      <c r="H15206" s="69">
        <v>0.95</v>
      </c>
    </row>
    <row r="15207" spans="6:8">
      <c r="F15207" s="68" t="s">
        <v>258</v>
      </c>
      <c r="G15207" s="67" t="s">
        <v>629</v>
      </c>
      <c r="H15207" s="69">
        <v>0.15</v>
      </c>
    </row>
    <row r="15208" spans="6:8">
      <c r="F15208" s="68" t="s">
        <v>424</v>
      </c>
      <c r="G15208" s="67" t="s">
        <v>629</v>
      </c>
      <c r="H15208" s="69">
        <v>3.0347135667212033</v>
      </c>
    </row>
    <row r="15209" spans="6:8">
      <c r="F15209" s="68" t="s">
        <v>136</v>
      </c>
      <c r="G15209" s="67" t="s">
        <v>629</v>
      </c>
      <c r="H15209" s="69">
        <v>-0.66</v>
      </c>
    </row>
    <row r="15210" spans="6:8">
      <c r="F15210" s="68" t="s">
        <v>137</v>
      </c>
      <c r="G15210" s="67" t="s">
        <v>629</v>
      </c>
      <c r="H15210" s="69">
        <v>-0.59</v>
      </c>
    </row>
    <row r="15211" spans="6:8">
      <c r="F15211" s="68" t="s">
        <v>138</v>
      </c>
      <c r="G15211" s="67" t="s">
        <v>629</v>
      </c>
      <c r="H15211" s="69">
        <v>-0.6</v>
      </c>
    </row>
    <row r="15212" spans="6:8">
      <c r="F15212" s="68" t="s">
        <v>259</v>
      </c>
      <c r="G15212" s="67" t="s">
        <v>629</v>
      </c>
      <c r="H15212" s="69">
        <v>0.16</v>
      </c>
    </row>
    <row r="15213" spans="6:8">
      <c r="F15213" s="68" t="s">
        <v>425</v>
      </c>
      <c r="G15213" s="67" t="s">
        <v>629</v>
      </c>
      <c r="H15213" s="69">
        <v>3.0565279777380994</v>
      </c>
    </row>
    <row r="15214" spans="6:8">
      <c r="F15214" s="68" t="s">
        <v>425</v>
      </c>
      <c r="G15214" s="67" t="s">
        <v>630</v>
      </c>
      <c r="H15214" s="69">
        <v>3.0899799804728012</v>
      </c>
    </row>
    <row r="15215" spans="6:8">
      <c r="F15215" s="68" t="s">
        <v>259</v>
      </c>
      <c r="G15215" s="67" t="s">
        <v>630</v>
      </c>
      <c r="H15215" s="69">
        <v>0.16</v>
      </c>
    </row>
    <row r="15216" spans="6:8">
      <c r="F15216" s="68" t="s">
        <v>138</v>
      </c>
      <c r="G15216" s="67" t="s">
        <v>630</v>
      </c>
      <c r="H15216" s="69">
        <v>-0.6</v>
      </c>
    </row>
    <row r="15217" spans="6:8">
      <c r="F15217" s="68" t="s">
        <v>137</v>
      </c>
      <c r="G15217" s="67" t="s">
        <v>630</v>
      </c>
      <c r="H15217" s="69">
        <v>-0.59</v>
      </c>
    </row>
    <row r="15218" spans="6:8">
      <c r="F15218" s="68" t="s">
        <v>136</v>
      </c>
      <c r="G15218" s="67" t="s">
        <v>630</v>
      </c>
      <c r="H15218" s="69">
        <v>-0.66</v>
      </c>
    </row>
    <row r="15219" spans="6:8">
      <c r="F15219" s="68" t="s">
        <v>424</v>
      </c>
      <c r="G15219" s="67" t="s">
        <v>630</v>
      </c>
      <c r="H15219" s="69">
        <v>3.0711003842627704</v>
      </c>
    </row>
    <row r="15220" spans="6:8">
      <c r="F15220" s="68" t="s">
        <v>258</v>
      </c>
      <c r="G15220" s="67" t="s">
        <v>630</v>
      </c>
      <c r="H15220" s="69">
        <v>0.15</v>
      </c>
    </row>
    <row r="15221" spans="6:8">
      <c r="F15221" s="68" t="s">
        <v>257</v>
      </c>
      <c r="G15221" s="67" t="s">
        <v>630</v>
      </c>
      <c r="H15221" s="69">
        <v>0.95</v>
      </c>
    </row>
    <row r="15222" spans="6:8">
      <c r="F15222" s="68" t="s">
        <v>135</v>
      </c>
      <c r="G15222" s="67" t="s">
        <v>630</v>
      </c>
      <c r="H15222" s="69">
        <v>-0.72</v>
      </c>
    </row>
    <row r="15223" spans="6:8">
      <c r="F15223" s="68" t="s">
        <v>134</v>
      </c>
      <c r="G15223" s="67" t="s">
        <v>630</v>
      </c>
      <c r="H15223" s="69">
        <v>-0.65</v>
      </c>
    </row>
    <row r="15224" spans="6:8">
      <c r="F15224" s="68" t="s">
        <v>569</v>
      </c>
      <c r="G15224" s="67" t="s">
        <v>630</v>
      </c>
      <c r="H15224" s="69">
        <v>-0.05</v>
      </c>
    </row>
    <row r="15225" spans="6:8">
      <c r="F15225" s="68" t="s">
        <v>423</v>
      </c>
      <c r="G15225" s="67" t="s">
        <v>630</v>
      </c>
      <c r="H15225" s="69">
        <v>2.3577567810428857</v>
      </c>
    </row>
    <row r="15226" spans="6:8">
      <c r="F15226" s="68" t="s">
        <v>256</v>
      </c>
      <c r="G15226" s="67" t="s">
        <v>630</v>
      </c>
      <c r="H15226" s="69">
        <v>0.88</v>
      </c>
    </row>
    <row r="15227" spans="6:8">
      <c r="F15227" s="68" t="s">
        <v>133</v>
      </c>
      <c r="G15227" s="67" t="s">
        <v>630</v>
      </c>
      <c r="H15227" s="69">
        <v>-0.62</v>
      </c>
    </row>
    <row r="15228" spans="6:8">
      <c r="F15228" s="68" t="s">
        <v>132</v>
      </c>
      <c r="G15228" s="67" t="s">
        <v>630</v>
      </c>
      <c r="H15228" s="69">
        <v>-0.7</v>
      </c>
    </row>
    <row r="15229" spans="6:8">
      <c r="F15229" s="68" t="s">
        <v>568</v>
      </c>
      <c r="G15229" s="67" t="s">
        <v>630</v>
      </c>
      <c r="H15229" s="69">
        <v>-0.17</v>
      </c>
    </row>
    <row r="15230" spans="6:8">
      <c r="F15230" s="68" t="s">
        <v>422</v>
      </c>
      <c r="G15230" s="67" t="s">
        <v>630</v>
      </c>
      <c r="H15230" s="69">
        <v>2.3462380674094785</v>
      </c>
    </row>
    <row r="15231" spans="6:8">
      <c r="F15231" s="68" t="s">
        <v>303</v>
      </c>
      <c r="G15231" s="67" t="s">
        <v>630</v>
      </c>
      <c r="H15231" s="69">
        <v>18.989583333333332</v>
      </c>
    </row>
    <row r="15232" spans="6:8">
      <c r="F15232" s="68" t="s">
        <v>255</v>
      </c>
      <c r="G15232" s="67" t="s">
        <v>630</v>
      </c>
      <c r="H15232" s="69">
        <v>0.78</v>
      </c>
    </row>
    <row r="15233" spans="6:8">
      <c r="F15233" s="68" t="s">
        <v>131</v>
      </c>
      <c r="G15233" s="67" t="s">
        <v>630</v>
      </c>
      <c r="H15233" s="69">
        <v>-0.56999999999999995</v>
      </c>
    </row>
    <row r="15234" spans="6:8">
      <c r="F15234" s="68" t="s">
        <v>130</v>
      </c>
      <c r="G15234" s="67" t="s">
        <v>630</v>
      </c>
      <c r="H15234" s="69">
        <v>-0.8</v>
      </c>
    </row>
    <row r="15235" spans="6:8">
      <c r="F15235" s="68" t="s">
        <v>567</v>
      </c>
      <c r="G15235" s="67" t="s">
        <v>630</v>
      </c>
      <c r="H15235" s="69">
        <v>-0.5</v>
      </c>
    </row>
    <row r="15236" spans="6:8">
      <c r="F15236" s="68" t="s">
        <v>421</v>
      </c>
      <c r="G15236" s="67" t="s">
        <v>630</v>
      </c>
      <c r="H15236" s="69">
        <v>2.3402052496232617</v>
      </c>
    </row>
    <row r="15237" spans="6:8">
      <c r="F15237" s="68" t="s">
        <v>304</v>
      </c>
      <c r="G15237" s="67" t="s">
        <v>630</v>
      </c>
      <c r="H15237" s="69">
        <v>17.9375</v>
      </c>
    </row>
    <row r="15238" spans="6:8">
      <c r="F15238" s="68" t="s">
        <v>254</v>
      </c>
      <c r="G15238" s="67" t="s">
        <v>630</v>
      </c>
      <c r="H15238" s="69">
        <v>0.63</v>
      </c>
    </row>
    <row r="15239" spans="6:8">
      <c r="F15239" s="68" t="s">
        <v>129</v>
      </c>
      <c r="G15239" s="67" t="s">
        <v>630</v>
      </c>
      <c r="H15239" s="69">
        <v>-0.6</v>
      </c>
    </row>
    <row r="15240" spans="6:8">
      <c r="F15240" s="68" t="s">
        <v>128</v>
      </c>
      <c r="G15240" s="67" t="s">
        <v>630</v>
      </c>
      <c r="H15240" s="69">
        <v>-0.74</v>
      </c>
    </row>
    <row r="15241" spans="6:8">
      <c r="F15241" s="68" t="s">
        <v>315</v>
      </c>
      <c r="G15241" s="67" t="s">
        <v>630</v>
      </c>
      <c r="H15241" s="69">
        <v>-0.1</v>
      </c>
    </row>
    <row r="15242" spans="6:8">
      <c r="F15242" s="68" t="s">
        <v>253</v>
      </c>
      <c r="G15242" s="67" t="s">
        <v>630</v>
      </c>
      <c r="H15242" s="69">
        <v>0.45</v>
      </c>
    </row>
    <row r="15243" spans="6:8">
      <c r="F15243" s="68" t="s">
        <v>127</v>
      </c>
      <c r="G15243" s="67" t="s">
        <v>630</v>
      </c>
      <c r="H15243" s="69">
        <v>-0.45</v>
      </c>
    </row>
    <row r="15244" spans="6:8">
      <c r="F15244" s="68" t="s">
        <v>126</v>
      </c>
      <c r="G15244" s="67" t="s">
        <v>630</v>
      </c>
      <c r="H15244" s="69">
        <v>-0.79</v>
      </c>
    </row>
    <row r="15245" spans="6:8">
      <c r="F15245" s="68" t="s">
        <v>125</v>
      </c>
      <c r="G15245" s="67" t="s">
        <v>630</v>
      </c>
      <c r="H15245" s="69">
        <v>-0.38</v>
      </c>
    </row>
    <row r="15246" spans="6:8">
      <c r="F15246" s="68" t="s">
        <v>314</v>
      </c>
      <c r="G15246" s="67" t="s">
        <v>630</v>
      </c>
      <c r="H15246" s="69">
        <v>-0.28000000000000003</v>
      </c>
    </row>
    <row r="15247" spans="6:8">
      <c r="F15247" s="68" t="s">
        <v>252</v>
      </c>
      <c r="G15247" s="67" t="s">
        <v>630</v>
      </c>
      <c r="H15247" s="69">
        <v>0.3</v>
      </c>
    </row>
    <row r="15248" spans="6:8">
      <c r="F15248" s="68" t="s">
        <v>124</v>
      </c>
      <c r="G15248" s="67" t="s">
        <v>630</v>
      </c>
      <c r="H15248" s="69">
        <v>-0.45</v>
      </c>
    </row>
    <row r="15249" spans="6:8">
      <c r="F15249" s="68" t="s">
        <v>123</v>
      </c>
      <c r="G15249" s="67" t="s">
        <v>630</v>
      </c>
      <c r="H15249" s="69">
        <v>-0.79</v>
      </c>
    </row>
    <row r="15250" spans="6:8">
      <c r="F15250" s="68" t="s">
        <v>122</v>
      </c>
      <c r="G15250" s="67" t="s">
        <v>630</v>
      </c>
      <c r="H15250" s="69">
        <v>-0.51</v>
      </c>
    </row>
    <row r="15251" spans="6:8">
      <c r="F15251" s="68" t="s">
        <v>420</v>
      </c>
      <c r="G15251" s="67" t="s">
        <v>630</v>
      </c>
      <c r="H15251" s="69">
        <v>3.2955171100772063</v>
      </c>
    </row>
    <row r="15252" spans="6:8">
      <c r="F15252" s="68" t="s">
        <v>251</v>
      </c>
      <c r="G15252" s="67" t="s">
        <v>630</v>
      </c>
      <c r="H15252" s="69">
        <v>0.21</v>
      </c>
    </row>
    <row r="15253" spans="6:8">
      <c r="F15253" s="68" t="s">
        <v>121</v>
      </c>
      <c r="G15253" s="67" t="s">
        <v>630</v>
      </c>
      <c r="H15253" s="69">
        <v>-0.55000000000000004</v>
      </c>
    </row>
    <row r="15254" spans="6:8">
      <c r="F15254" s="68" t="s">
        <v>120</v>
      </c>
      <c r="G15254" s="67" t="s">
        <v>630</v>
      </c>
      <c r="H15254" s="69">
        <v>-0.69</v>
      </c>
    </row>
    <row r="15255" spans="6:8">
      <c r="F15255" s="68" t="s">
        <v>119</v>
      </c>
      <c r="G15255" s="67" t="s">
        <v>630</v>
      </c>
      <c r="H15255" s="69">
        <v>-0.56000000000000005</v>
      </c>
    </row>
    <row r="15256" spans="6:8">
      <c r="F15256" s="68" t="s">
        <v>119</v>
      </c>
      <c r="G15256" s="67" t="s">
        <v>631</v>
      </c>
      <c r="H15256" s="69">
        <v>-0.56000000000000005</v>
      </c>
    </row>
    <row r="15257" spans="6:8">
      <c r="F15257" s="68" t="s">
        <v>120</v>
      </c>
      <c r="G15257" s="67" t="s">
        <v>631</v>
      </c>
      <c r="H15257" s="69">
        <v>-0.69</v>
      </c>
    </row>
    <row r="15258" spans="6:8">
      <c r="F15258" s="68" t="s">
        <v>121</v>
      </c>
      <c r="G15258" s="67" t="s">
        <v>631</v>
      </c>
      <c r="H15258" s="69">
        <v>-0.55000000000000004</v>
      </c>
    </row>
    <row r="15259" spans="6:8">
      <c r="F15259" s="68" t="s">
        <v>251</v>
      </c>
      <c r="G15259" s="67" t="s">
        <v>631</v>
      </c>
      <c r="H15259" s="69">
        <v>0.21</v>
      </c>
    </row>
    <row r="15260" spans="6:8">
      <c r="F15260" s="68" t="s">
        <v>420</v>
      </c>
      <c r="G15260" s="67" t="s">
        <v>631</v>
      </c>
      <c r="H15260" s="69">
        <v>3.2728026621505979</v>
      </c>
    </row>
    <row r="15261" spans="6:8">
      <c r="F15261" s="68" t="s">
        <v>122</v>
      </c>
      <c r="G15261" s="67" t="s">
        <v>631</v>
      </c>
      <c r="H15261" s="69">
        <v>-0.51</v>
      </c>
    </row>
    <row r="15262" spans="6:8">
      <c r="F15262" s="68" t="s">
        <v>123</v>
      </c>
      <c r="G15262" s="67" t="s">
        <v>631</v>
      </c>
      <c r="H15262" s="69">
        <v>-0.79</v>
      </c>
    </row>
    <row r="15263" spans="6:8">
      <c r="F15263" s="68" t="s">
        <v>124</v>
      </c>
      <c r="G15263" s="67" t="s">
        <v>631</v>
      </c>
      <c r="H15263" s="69">
        <v>-0.45</v>
      </c>
    </row>
    <row r="15264" spans="6:8">
      <c r="F15264" s="68" t="s">
        <v>252</v>
      </c>
      <c r="G15264" s="67" t="s">
        <v>631</v>
      </c>
      <c r="H15264" s="69">
        <v>0.3</v>
      </c>
    </row>
    <row r="15265" spans="6:8">
      <c r="F15265" s="68" t="s">
        <v>314</v>
      </c>
      <c r="G15265" s="67" t="s">
        <v>631</v>
      </c>
      <c r="H15265" s="69">
        <v>-0.28000000000000003</v>
      </c>
    </row>
    <row r="15266" spans="6:8">
      <c r="F15266" s="68" t="s">
        <v>125</v>
      </c>
      <c r="G15266" s="67" t="s">
        <v>631</v>
      </c>
      <c r="H15266" s="69">
        <v>-0.38</v>
      </c>
    </row>
    <row r="15267" spans="6:8">
      <c r="F15267" s="68" t="s">
        <v>126</v>
      </c>
      <c r="G15267" s="67" t="s">
        <v>631</v>
      </c>
      <c r="H15267" s="69">
        <v>-0.79</v>
      </c>
    </row>
    <row r="15268" spans="6:8">
      <c r="F15268" s="68" t="s">
        <v>127</v>
      </c>
      <c r="G15268" s="67" t="s">
        <v>631</v>
      </c>
      <c r="H15268" s="69">
        <v>-0.45</v>
      </c>
    </row>
    <row r="15269" spans="6:8">
      <c r="F15269" s="68" t="s">
        <v>253</v>
      </c>
      <c r="G15269" s="67" t="s">
        <v>631</v>
      </c>
      <c r="H15269" s="69">
        <v>0.45</v>
      </c>
    </row>
    <row r="15270" spans="6:8">
      <c r="F15270" s="68" t="s">
        <v>315</v>
      </c>
      <c r="G15270" s="67" t="s">
        <v>631</v>
      </c>
      <c r="H15270" s="69">
        <v>-0.1</v>
      </c>
    </row>
    <row r="15271" spans="6:8">
      <c r="F15271" s="68" t="s">
        <v>128</v>
      </c>
      <c r="G15271" s="67" t="s">
        <v>631</v>
      </c>
      <c r="H15271" s="69">
        <v>-0.74</v>
      </c>
    </row>
    <row r="15272" spans="6:8">
      <c r="F15272" s="68" t="s">
        <v>129</v>
      </c>
      <c r="G15272" s="67" t="s">
        <v>631</v>
      </c>
      <c r="H15272" s="69">
        <v>-0.6</v>
      </c>
    </row>
    <row r="15273" spans="6:8">
      <c r="F15273" s="68" t="s">
        <v>254</v>
      </c>
      <c r="G15273" s="67" t="s">
        <v>631</v>
      </c>
      <c r="H15273" s="69">
        <v>0.63</v>
      </c>
    </row>
    <row r="15274" spans="6:8">
      <c r="F15274" s="68" t="s">
        <v>304</v>
      </c>
      <c r="G15274" s="67" t="s">
        <v>631</v>
      </c>
      <c r="H15274" s="69">
        <v>17.916666666666668</v>
      </c>
    </row>
    <row r="15275" spans="6:8">
      <c r="F15275" s="68" t="s">
        <v>421</v>
      </c>
      <c r="G15275" s="67" t="s">
        <v>631</v>
      </c>
      <c r="H15275" s="69">
        <v>2.3160658271643708</v>
      </c>
    </row>
    <row r="15276" spans="6:8">
      <c r="F15276" s="68" t="s">
        <v>567</v>
      </c>
      <c r="G15276" s="67" t="s">
        <v>631</v>
      </c>
      <c r="H15276" s="69">
        <v>-0.5</v>
      </c>
    </row>
    <row r="15277" spans="6:8">
      <c r="F15277" s="68" t="s">
        <v>130</v>
      </c>
      <c r="G15277" s="67" t="s">
        <v>631</v>
      </c>
      <c r="H15277" s="69">
        <v>-0.8</v>
      </c>
    </row>
    <row r="15278" spans="6:8">
      <c r="F15278" s="68" t="s">
        <v>131</v>
      </c>
      <c r="G15278" s="67" t="s">
        <v>631</v>
      </c>
      <c r="H15278" s="69">
        <v>-0.56999999999999995</v>
      </c>
    </row>
    <row r="15279" spans="6:8">
      <c r="F15279" s="68" t="s">
        <v>255</v>
      </c>
      <c r="G15279" s="67" t="s">
        <v>631</v>
      </c>
      <c r="H15279" s="69">
        <v>0.78</v>
      </c>
    </row>
    <row r="15280" spans="6:8">
      <c r="F15280" s="68" t="s">
        <v>303</v>
      </c>
      <c r="G15280" s="67" t="s">
        <v>631</v>
      </c>
      <c r="H15280" s="69">
        <v>18.989583333333332</v>
      </c>
    </row>
    <row r="15281" spans="6:8">
      <c r="F15281" s="68" t="s">
        <v>422</v>
      </c>
      <c r="G15281" s="67" t="s">
        <v>631</v>
      </c>
      <c r="H15281" s="69">
        <v>2.3220189386530254</v>
      </c>
    </row>
    <row r="15282" spans="6:8">
      <c r="F15282" s="68" t="s">
        <v>568</v>
      </c>
      <c r="G15282" s="67" t="s">
        <v>631</v>
      </c>
      <c r="H15282" s="69">
        <v>-0.17</v>
      </c>
    </row>
    <row r="15283" spans="6:8">
      <c r="F15283" s="68" t="s">
        <v>132</v>
      </c>
      <c r="G15283" s="67" t="s">
        <v>631</v>
      </c>
      <c r="H15283" s="69">
        <v>-0.7</v>
      </c>
    </row>
    <row r="15284" spans="6:8">
      <c r="F15284" s="68" t="s">
        <v>133</v>
      </c>
      <c r="G15284" s="67" t="s">
        <v>631</v>
      </c>
      <c r="H15284" s="69">
        <v>-0.62</v>
      </c>
    </row>
    <row r="15285" spans="6:8">
      <c r="F15285" s="68" t="s">
        <v>256</v>
      </c>
      <c r="G15285" s="67" t="s">
        <v>631</v>
      </c>
      <c r="H15285" s="69">
        <v>0.88</v>
      </c>
    </row>
    <row r="15286" spans="6:8">
      <c r="F15286" s="68" t="s">
        <v>423</v>
      </c>
      <c r="G15286" s="67" t="s">
        <v>631</v>
      </c>
      <c r="H15286" s="69">
        <v>2.3341448916782692</v>
      </c>
    </row>
    <row r="15287" spans="6:8">
      <c r="F15287" s="68" t="s">
        <v>569</v>
      </c>
      <c r="G15287" s="67" t="s">
        <v>631</v>
      </c>
      <c r="H15287" s="69">
        <v>-0.05</v>
      </c>
    </row>
    <row r="15288" spans="6:8">
      <c r="F15288" s="68" t="s">
        <v>134</v>
      </c>
      <c r="G15288" s="67" t="s">
        <v>631</v>
      </c>
      <c r="H15288" s="69">
        <v>-0.65</v>
      </c>
    </row>
    <row r="15289" spans="6:8">
      <c r="F15289" s="68" t="s">
        <v>135</v>
      </c>
      <c r="G15289" s="67" t="s">
        <v>631</v>
      </c>
      <c r="H15289" s="69">
        <v>-0.72</v>
      </c>
    </row>
    <row r="15290" spans="6:8">
      <c r="F15290" s="68" t="s">
        <v>257</v>
      </c>
      <c r="G15290" s="67" t="s">
        <v>631</v>
      </c>
      <c r="H15290" s="69">
        <v>0.95</v>
      </c>
    </row>
    <row r="15291" spans="6:8">
      <c r="F15291" s="68" t="s">
        <v>258</v>
      </c>
      <c r="G15291" s="67" t="s">
        <v>631</v>
      </c>
      <c r="H15291" s="69">
        <v>0.15</v>
      </c>
    </row>
    <row r="15292" spans="6:8">
      <c r="F15292" s="68" t="s">
        <v>424</v>
      </c>
      <c r="G15292" s="67" t="s">
        <v>631</v>
      </c>
      <c r="H15292" s="69">
        <v>3.0488504126198634</v>
      </c>
    </row>
    <row r="15293" spans="6:8">
      <c r="F15293" s="68" t="s">
        <v>136</v>
      </c>
      <c r="G15293" s="67" t="s">
        <v>631</v>
      </c>
      <c r="H15293" s="69">
        <v>-0.66</v>
      </c>
    </row>
    <row r="15294" spans="6:8">
      <c r="F15294" s="68" t="s">
        <v>137</v>
      </c>
      <c r="G15294" s="67" t="s">
        <v>631</v>
      </c>
      <c r="H15294" s="69">
        <v>-0.59</v>
      </c>
    </row>
    <row r="15295" spans="6:8">
      <c r="F15295" s="68" t="s">
        <v>138</v>
      </c>
      <c r="G15295" s="67" t="s">
        <v>631</v>
      </c>
      <c r="H15295" s="69">
        <v>-0.6</v>
      </c>
    </row>
    <row r="15296" spans="6:8">
      <c r="F15296" s="68" t="s">
        <v>259</v>
      </c>
      <c r="G15296" s="67" t="s">
        <v>631</v>
      </c>
      <c r="H15296" s="69">
        <v>0.16</v>
      </c>
    </row>
    <row r="15297" spans="6:8">
      <c r="F15297" s="68" t="s">
        <v>425</v>
      </c>
      <c r="G15297" s="67" t="s">
        <v>631</v>
      </c>
      <c r="H15297" s="69">
        <v>3.0656119319135922</v>
      </c>
    </row>
    <row r="15298" spans="6:8">
      <c r="F15298" s="68" t="s">
        <v>425</v>
      </c>
      <c r="G15298" s="67" t="s">
        <v>632</v>
      </c>
      <c r="H15298" s="69">
        <v>2.9672476962897321</v>
      </c>
    </row>
    <row r="15299" spans="6:8">
      <c r="F15299" s="68" t="s">
        <v>259</v>
      </c>
      <c r="G15299" s="67" t="s">
        <v>632</v>
      </c>
      <c r="H15299" s="69">
        <v>0.16</v>
      </c>
    </row>
    <row r="15300" spans="6:8">
      <c r="F15300" s="68" t="s">
        <v>138</v>
      </c>
      <c r="G15300" s="67" t="s">
        <v>632</v>
      </c>
      <c r="H15300" s="69">
        <v>-0.6</v>
      </c>
    </row>
    <row r="15301" spans="6:8">
      <c r="F15301" s="68" t="s">
        <v>137</v>
      </c>
      <c r="G15301" s="67" t="s">
        <v>632</v>
      </c>
      <c r="H15301" s="69">
        <v>-0.59</v>
      </c>
    </row>
    <row r="15302" spans="6:8">
      <c r="F15302" s="68" t="s">
        <v>136</v>
      </c>
      <c r="G15302" s="67" t="s">
        <v>632</v>
      </c>
      <c r="H15302" s="69">
        <v>-0.66</v>
      </c>
    </row>
    <row r="15303" spans="6:8">
      <c r="F15303" s="68" t="s">
        <v>424</v>
      </c>
      <c r="G15303" s="67" t="s">
        <v>632</v>
      </c>
      <c r="H15303" s="69">
        <v>2.9599910542968733</v>
      </c>
    </row>
    <row r="15304" spans="6:8">
      <c r="F15304" s="68" t="s">
        <v>258</v>
      </c>
      <c r="G15304" s="67" t="s">
        <v>632</v>
      </c>
      <c r="H15304" s="69">
        <v>0.15</v>
      </c>
    </row>
    <row r="15305" spans="6:8">
      <c r="F15305" s="68" t="s">
        <v>257</v>
      </c>
      <c r="G15305" s="67" t="s">
        <v>632</v>
      </c>
      <c r="H15305" s="69">
        <v>0.95</v>
      </c>
    </row>
    <row r="15306" spans="6:8">
      <c r="F15306" s="68" t="s">
        <v>135</v>
      </c>
      <c r="G15306" s="67" t="s">
        <v>632</v>
      </c>
      <c r="H15306" s="69">
        <v>-0.72</v>
      </c>
    </row>
    <row r="15307" spans="6:8">
      <c r="F15307" s="68" t="s">
        <v>134</v>
      </c>
      <c r="G15307" s="67" t="s">
        <v>632</v>
      </c>
      <c r="H15307" s="69">
        <v>-0.65</v>
      </c>
    </row>
    <row r="15308" spans="6:8">
      <c r="F15308" s="68" t="s">
        <v>569</v>
      </c>
      <c r="G15308" s="67" t="s">
        <v>632</v>
      </c>
      <c r="H15308" s="69">
        <v>-0.05</v>
      </c>
    </row>
    <row r="15309" spans="6:8">
      <c r="F15309" s="68" t="s">
        <v>423</v>
      </c>
      <c r="G15309" s="67" t="s">
        <v>632</v>
      </c>
      <c r="H15309" s="69">
        <v>2.2668381310171348</v>
      </c>
    </row>
    <row r="15310" spans="6:8">
      <c r="F15310" s="68" t="s">
        <v>256</v>
      </c>
      <c r="G15310" s="67" t="s">
        <v>632</v>
      </c>
      <c r="H15310" s="69">
        <v>0.88</v>
      </c>
    </row>
    <row r="15311" spans="6:8">
      <c r="F15311" s="68" t="s">
        <v>133</v>
      </c>
      <c r="G15311" s="67" t="s">
        <v>632</v>
      </c>
      <c r="H15311" s="69">
        <v>-0.62</v>
      </c>
    </row>
    <row r="15312" spans="6:8">
      <c r="F15312" s="68" t="s">
        <v>132</v>
      </c>
      <c r="G15312" s="67" t="s">
        <v>632</v>
      </c>
      <c r="H15312" s="69">
        <v>-0.7</v>
      </c>
    </row>
    <row r="15313" spans="6:8">
      <c r="F15313" s="68" t="s">
        <v>568</v>
      </c>
      <c r="G15313" s="67" t="s">
        <v>632</v>
      </c>
      <c r="H15313" s="69">
        <v>-0.17</v>
      </c>
    </row>
    <row r="15314" spans="6:8">
      <c r="F15314" s="68" t="s">
        <v>422</v>
      </c>
      <c r="G15314" s="67" t="s">
        <v>632</v>
      </c>
      <c r="H15314" s="69">
        <v>2.2476397175784424</v>
      </c>
    </row>
    <row r="15315" spans="6:8">
      <c r="F15315" s="68" t="s">
        <v>303</v>
      </c>
      <c r="G15315" s="67" t="s">
        <v>632</v>
      </c>
      <c r="H15315" s="69">
        <v>19.135416666666668</v>
      </c>
    </row>
    <row r="15316" spans="6:8">
      <c r="F15316" s="68" t="s">
        <v>255</v>
      </c>
      <c r="G15316" s="67" t="s">
        <v>632</v>
      </c>
      <c r="H15316" s="69">
        <v>0.78</v>
      </c>
    </row>
    <row r="15317" spans="6:8">
      <c r="F15317" s="68" t="s">
        <v>131</v>
      </c>
      <c r="G15317" s="67" t="s">
        <v>632</v>
      </c>
      <c r="H15317" s="69">
        <v>-0.56999999999999995</v>
      </c>
    </row>
    <row r="15318" spans="6:8">
      <c r="F15318" s="68" t="s">
        <v>130</v>
      </c>
      <c r="G15318" s="67" t="s">
        <v>632</v>
      </c>
      <c r="H15318" s="69">
        <v>-0.8</v>
      </c>
    </row>
    <row r="15319" spans="6:8">
      <c r="F15319" s="68" t="s">
        <v>567</v>
      </c>
      <c r="G15319" s="67" t="s">
        <v>632</v>
      </c>
      <c r="H15319" s="69">
        <v>-0.5</v>
      </c>
    </row>
    <row r="15320" spans="6:8">
      <c r="F15320" s="68" t="s">
        <v>421</v>
      </c>
      <c r="G15320" s="67" t="s">
        <v>632</v>
      </c>
      <c r="H15320" s="69">
        <v>2.241742764130894</v>
      </c>
    </row>
    <row r="15321" spans="6:8">
      <c r="F15321" s="68" t="s">
        <v>304</v>
      </c>
      <c r="G15321" s="67" t="s">
        <v>632</v>
      </c>
      <c r="H15321" s="69">
        <v>18.067708333333332</v>
      </c>
    </row>
    <row r="15322" spans="6:8">
      <c r="F15322" s="68" t="s">
        <v>254</v>
      </c>
      <c r="G15322" s="67" t="s">
        <v>632</v>
      </c>
      <c r="H15322" s="69">
        <v>0.63</v>
      </c>
    </row>
    <row r="15323" spans="6:8">
      <c r="F15323" s="68" t="s">
        <v>129</v>
      </c>
      <c r="G15323" s="67" t="s">
        <v>632</v>
      </c>
      <c r="H15323" s="69">
        <v>-0.6</v>
      </c>
    </row>
    <row r="15324" spans="6:8">
      <c r="F15324" s="68" t="s">
        <v>128</v>
      </c>
      <c r="G15324" s="67" t="s">
        <v>632</v>
      </c>
      <c r="H15324" s="69">
        <v>-0.74</v>
      </c>
    </row>
    <row r="15325" spans="6:8">
      <c r="F15325" s="68" t="s">
        <v>315</v>
      </c>
      <c r="G15325" s="67" t="s">
        <v>632</v>
      </c>
      <c r="H15325" s="69">
        <v>-0.1</v>
      </c>
    </row>
    <row r="15326" spans="6:8">
      <c r="F15326" s="68" t="s">
        <v>253</v>
      </c>
      <c r="G15326" s="67" t="s">
        <v>632</v>
      </c>
      <c r="H15326" s="69">
        <v>0.45</v>
      </c>
    </row>
    <row r="15327" spans="6:8">
      <c r="F15327" s="68" t="s">
        <v>127</v>
      </c>
      <c r="G15327" s="67" t="s">
        <v>632</v>
      </c>
      <c r="H15327" s="69">
        <v>-0.45</v>
      </c>
    </row>
    <row r="15328" spans="6:8">
      <c r="F15328" s="68" t="s">
        <v>126</v>
      </c>
      <c r="G15328" s="67" t="s">
        <v>632</v>
      </c>
      <c r="H15328" s="69">
        <v>-0.79</v>
      </c>
    </row>
    <row r="15329" spans="6:8">
      <c r="F15329" s="68" t="s">
        <v>125</v>
      </c>
      <c r="G15329" s="67" t="s">
        <v>632</v>
      </c>
      <c r="H15329" s="69">
        <v>-0.38</v>
      </c>
    </row>
    <row r="15330" spans="6:8">
      <c r="F15330" s="68" t="s">
        <v>314</v>
      </c>
      <c r="G15330" s="67" t="s">
        <v>632</v>
      </c>
      <c r="H15330" s="69">
        <v>-0.28000000000000003</v>
      </c>
    </row>
    <row r="15331" spans="6:8">
      <c r="F15331" s="68" t="s">
        <v>252</v>
      </c>
      <c r="G15331" s="67" t="s">
        <v>632</v>
      </c>
      <c r="H15331" s="69">
        <v>0.3</v>
      </c>
    </row>
    <row r="15332" spans="6:8">
      <c r="F15332" s="68" t="s">
        <v>124</v>
      </c>
      <c r="G15332" s="67" t="s">
        <v>632</v>
      </c>
      <c r="H15332" s="69">
        <v>-0.45</v>
      </c>
    </row>
    <row r="15333" spans="6:8">
      <c r="F15333" s="68" t="s">
        <v>123</v>
      </c>
      <c r="G15333" s="67" t="s">
        <v>632</v>
      </c>
      <c r="H15333" s="69">
        <v>-0.79</v>
      </c>
    </row>
    <row r="15334" spans="6:8">
      <c r="F15334" s="68" t="s">
        <v>122</v>
      </c>
      <c r="G15334" s="67" t="s">
        <v>632</v>
      </c>
      <c r="H15334" s="69">
        <v>-0.51</v>
      </c>
    </row>
    <row r="15335" spans="6:8">
      <c r="F15335" s="68" t="s">
        <v>420</v>
      </c>
      <c r="G15335" s="67" t="s">
        <v>632</v>
      </c>
      <c r="H15335" s="69">
        <v>3.1970892272743079</v>
      </c>
    </row>
    <row r="15336" spans="6:8">
      <c r="F15336" s="68" t="s">
        <v>251</v>
      </c>
      <c r="G15336" s="67" t="s">
        <v>632</v>
      </c>
      <c r="H15336" s="69">
        <v>0.21</v>
      </c>
    </row>
    <row r="15337" spans="6:8">
      <c r="F15337" s="68" t="s">
        <v>121</v>
      </c>
      <c r="G15337" s="67" t="s">
        <v>632</v>
      </c>
      <c r="H15337" s="69">
        <v>-0.55000000000000004</v>
      </c>
    </row>
    <row r="15338" spans="6:8">
      <c r="F15338" s="68" t="s">
        <v>120</v>
      </c>
      <c r="G15338" s="67" t="s">
        <v>632</v>
      </c>
      <c r="H15338" s="69">
        <v>-0.69</v>
      </c>
    </row>
    <row r="15339" spans="6:8">
      <c r="F15339" s="68" t="s">
        <v>119</v>
      </c>
      <c r="G15339" s="67" t="s">
        <v>632</v>
      </c>
      <c r="H15339" s="69">
        <v>-0.56000000000000005</v>
      </c>
    </row>
    <row r="15340" spans="6:8">
      <c r="F15340" s="68" t="s">
        <v>119</v>
      </c>
      <c r="G15340" s="67" t="s">
        <v>633</v>
      </c>
      <c r="H15340" s="69">
        <v>-0.56000000000000005</v>
      </c>
    </row>
    <row r="15341" spans="6:8">
      <c r="F15341" s="68" t="s">
        <v>120</v>
      </c>
      <c r="G15341" s="67" t="s">
        <v>633</v>
      </c>
      <c r="H15341" s="69">
        <v>-0.69</v>
      </c>
    </row>
    <row r="15342" spans="6:8">
      <c r="F15342" s="68" t="s">
        <v>121</v>
      </c>
      <c r="G15342" s="67" t="s">
        <v>633</v>
      </c>
      <c r="H15342" s="69">
        <v>-0.55000000000000004</v>
      </c>
    </row>
    <row r="15343" spans="6:8">
      <c r="F15343" s="68" t="s">
        <v>251</v>
      </c>
      <c r="G15343" s="67" t="s">
        <v>633</v>
      </c>
      <c r="H15343" s="69">
        <v>0.21</v>
      </c>
    </row>
    <row r="15344" spans="6:8">
      <c r="F15344" s="68" t="s">
        <v>420</v>
      </c>
      <c r="G15344" s="67" t="s">
        <v>633</v>
      </c>
      <c r="H15344" s="69">
        <v>3.1795097734540256</v>
      </c>
    </row>
    <row r="15345" spans="6:8">
      <c r="F15345" s="68" t="s">
        <v>122</v>
      </c>
      <c r="G15345" s="67" t="s">
        <v>633</v>
      </c>
      <c r="H15345" s="69">
        <v>-0.51</v>
      </c>
    </row>
    <row r="15346" spans="6:8">
      <c r="F15346" s="68" t="s">
        <v>123</v>
      </c>
      <c r="G15346" s="67" t="s">
        <v>633</v>
      </c>
      <c r="H15346" s="69">
        <v>-0.79</v>
      </c>
    </row>
    <row r="15347" spans="6:8">
      <c r="F15347" s="68" t="s">
        <v>124</v>
      </c>
      <c r="G15347" s="67" t="s">
        <v>633</v>
      </c>
      <c r="H15347" s="69">
        <v>-0.45</v>
      </c>
    </row>
    <row r="15348" spans="6:8">
      <c r="F15348" s="68" t="s">
        <v>252</v>
      </c>
      <c r="G15348" s="67" t="s">
        <v>633</v>
      </c>
      <c r="H15348" s="69">
        <v>0.3</v>
      </c>
    </row>
    <row r="15349" spans="6:8">
      <c r="F15349" s="68" t="s">
        <v>314</v>
      </c>
      <c r="G15349" s="67" t="s">
        <v>633</v>
      </c>
      <c r="H15349" s="69">
        <v>-0.28000000000000003</v>
      </c>
    </row>
    <row r="15350" spans="6:8">
      <c r="F15350" s="68" t="s">
        <v>125</v>
      </c>
      <c r="G15350" s="67" t="s">
        <v>633</v>
      </c>
      <c r="H15350" s="69">
        <v>-0.38</v>
      </c>
    </row>
    <row r="15351" spans="6:8">
      <c r="F15351" s="68" t="s">
        <v>126</v>
      </c>
      <c r="G15351" s="67" t="s">
        <v>633</v>
      </c>
      <c r="H15351" s="69">
        <v>-0.79</v>
      </c>
    </row>
    <row r="15352" spans="6:8">
      <c r="F15352" s="68" t="s">
        <v>127</v>
      </c>
      <c r="G15352" s="67" t="s">
        <v>633</v>
      </c>
      <c r="H15352" s="69">
        <v>-0.45</v>
      </c>
    </row>
    <row r="15353" spans="6:8">
      <c r="F15353" s="68" t="s">
        <v>253</v>
      </c>
      <c r="G15353" s="67" t="s">
        <v>633</v>
      </c>
      <c r="H15353" s="69">
        <v>0.45</v>
      </c>
    </row>
    <row r="15354" spans="6:8">
      <c r="F15354" s="68" t="s">
        <v>315</v>
      </c>
      <c r="G15354" s="67" t="s">
        <v>633</v>
      </c>
      <c r="H15354" s="69">
        <v>-0.1</v>
      </c>
    </row>
    <row r="15355" spans="6:8">
      <c r="F15355" s="68" t="s">
        <v>128</v>
      </c>
      <c r="G15355" s="67" t="s">
        <v>633</v>
      </c>
      <c r="H15355" s="69">
        <v>-0.74</v>
      </c>
    </row>
    <row r="15356" spans="6:8">
      <c r="F15356" s="68" t="s">
        <v>129</v>
      </c>
      <c r="G15356" s="67" t="s">
        <v>633</v>
      </c>
      <c r="H15356" s="69">
        <v>-0.6</v>
      </c>
    </row>
    <row r="15357" spans="6:8">
      <c r="F15357" s="68" t="s">
        <v>254</v>
      </c>
      <c r="G15357" s="67" t="s">
        <v>633</v>
      </c>
      <c r="H15357" s="69">
        <v>0.63</v>
      </c>
    </row>
    <row r="15358" spans="6:8">
      <c r="F15358" s="68" t="s">
        <v>304</v>
      </c>
      <c r="G15358" s="67" t="s">
        <v>633</v>
      </c>
      <c r="H15358" s="69">
        <v>17.8125</v>
      </c>
    </row>
    <row r="15359" spans="6:8">
      <c r="F15359" s="68" t="s">
        <v>421</v>
      </c>
      <c r="G15359" s="67" t="s">
        <v>633</v>
      </c>
      <c r="H15359" s="69">
        <v>2.232354287205629</v>
      </c>
    </row>
    <row r="15360" spans="6:8">
      <c r="F15360" s="68" t="s">
        <v>567</v>
      </c>
      <c r="G15360" s="67" t="s">
        <v>633</v>
      </c>
      <c r="H15360" s="69">
        <v>-0.5</v>
      </c>
    </row>
    <row r="15361" spans="6:8">
      <c r="F15361" s="68" t="s">
        <v>130</v>
      </c>
      <c r="G15361" s="67" t="s">
        <v>633</v>
      </c>
      <c r="H15361" s="69">
        <v>-0.8</v>
      </c>
    </row>
    <row r="15362" spans="6:8">
      <c r="F15362" s="68" t="s">
        <v>131</v>
      </c>
      <c r="G15362" s="67" t="s">
        <v>633</v>
      </c>
      <c r="H15362" s="69">
        <v>-0.56999999999999995</v>
      </c>
    </row>
    <row r="15363" spans="6:8">
      <c r="F15363" s="68" t="s">
        <v>255</v>
      </c>
      <c r="G15363" s="67" t="s">
        <v>633</v>
      </c>
      <c r="H15363" s="69">
        <v>0.78</v>
      </c>
    </row>
    <row r="15364" spans="6:8">
      <c r="F15364" s="68" t="s">
        <v>303</v>
      </c>
      <c r="G15364" s="67" t="s">
        <v>633</v>
      </c>
      <c r="H15364" s="69">
        <v>18.854166666666668</v>
      </c>
    </row>
    <row r="15365" spans="6:8">
      <c r="F15365" s="68" t="s">
        <v>422</v>
      </c>
      <c r="G15365" s="67" t="s">
        <v>633</v>
      </c>
      <c r="H15365" s="69">
        <v>2.2381749944026197</v>
      </c>
    </row>
    <row r="15366" spans="6:8">
      <c r="F15366" s="68" t="s">
        <v>568</v>
      </c>
      <c r="G15366" s="67" t="s">
        <v>633</v>
      </c>
      <c r="H15366" s="69">
        <v>-0.17</v>
      </c>
    </row>
    <row r="15367" spans="6:8">
      <c r="F15367" s="68" t="s">
        <v>132</v>
      </c>
      <c r="G15367" s="67" t="s">
        <v>633</v>
      </c>
      <c r="H15367" s="69">
        <v>-0.7</v>
      </c>
    </row>
    <row r="15368" spans="6:8">
      <c r="F15368" s="68" t="s">
        <v>133</v>
      </c>
      <c r="G15368" s="67" t="s">
        <v>633</v>
      </c>
      <c r="H15368" s="69">
        <v>-0.62</v>
      </c>
    </row>
    <row r="15369" spans="6:8">
      <c r="F15369" s="68" t="s">
        <v>256</v>
      </c>
      <c r="G15369" s="67" t="s">
        <v>633</v>
      </c>
      <c r="H15369" s="69">
        <v>0.88</v>
      </c>
    </row>
    <row r="15370" spans="6:8">
      <c r="F15370" s="68" t="s">
        <v>423</v>
      </c>
      <c r="G15370" s="67" t="s">
        <v>633</v>
      </c>
      <c r="H15370" s="69">
        <v>2.2548811782957312</v>
      </c>
    </row>
    <row r="15371" spans="6:8">
      <c r="F15371" s="68" t="s">
        <v>569</v>
      </c>
      <c r="G15371" s="67" t="s">
        <v>633</v>
      </c>
      <c r="H15371" s="69">
        <v>-0.05</v>
      </c>
    </row>
    <row r="15372" spans="6:8">
      <c r="F15372" s="68" t="s">
        <v>134</v>
      </c>
      <c r="G15372" s="67" t="s">
        <v>633</v>
      </c>
      <c r="H15372" s="69">
        <v>-0.65</v>
      </c>
    </row>
    <row r="15373" spans="6:8">
      <c r="F15373" s="68" t="s">
        <v>135</v>
      </c>
      <c r="G15373" s="67" t="s">
        <v>633</v>
      </c>
      <c r="H15373" s="69">
        <v>-0.72</v>
      </c>
    </row>
    <row r="15374" spans="6:8">
      <c r="F15374" s="68" t="s">
        <v>257</v>
      </c>
      <c r="G15374" s="67" t="s">
        <v>633</v>
      </c>
      <c r="H15374" s="69">
        <v>0.95</v>
      </c>
    </row>
    <row r="15375" spans="6:8">
      <c r="F15375" s="68" t="s">
        <v>258</v>
      </c>
      <c r="G15375" s="67" t="s">
        <v>633</v>
      </c>
      <c r="H15375" s="69">
        <v>0.15</v>
      </c>
    </row>
    <row r="15376" spans="6:8">
      <c r="F15376" s="68" t="s">
        <v>424</v>
      </c>
      <c r="G15376" s="67" t="s">
        <v>633</v>
      </c>
      <c r="H15376" s="69">
        <v>2.9439650027615283</v>
      </c>
    </row>
    <row r="15377" spans="6:8">
      <c r="F15377" s="68" t="s">
        <v>136</v>
      </c>
      <c r="G15377" s="67" t="s">
        <v>633</v>
      </c>
      <c r="H15377" s="69">
        <v>-0.66</v>
      </c>
    </row>
    <row r="15378" spans="6:8">
      <c r="F15378" s="68" t="s">
        <v>137</v>
      </c>
      <c r="G15378" s="67" t="s">
        <v>633</v>
      </c>
      <c r="H15378" s="69">
        <v>-0.59</v>
      </c>
    </row>
    <row r="15379" spans="6:8">
      <c r="F15379" s="68" t="s">
        <v>138</v>
      </c>
      <c r="G15379" s="67" t="s">
        <v>633</v>
      </c>
      <c r="H15379" s="69">
        <v>-0.6</v>
      </c>
    </row>
    <row r="15380" spans="6:8">
      <c r="F15380" s="68" t="s">
        <v>259</v>
      </c>
      <c r="G15380" s="67" t="s">
        <v>633</v>
      </c>
      <c r="H15380" s="69">
        <v>0.16</v>
      </c>
    </row>
    <row r="15381" spans="6:8">
      <c r="F15381" s="68" t="s">
        <v>425</v>
      </c>
      <c r="G15381" s="67" t="s">
        <v>633</v>
      </c>
      <c r="H15381" s="69">
        <v>2.9544955611900736</v>
      </c>
    </row>
    <row r="15382" spans="6:8">
      <c r="F15382" s="68" t="s">
        <v>425</v>
      </c>
      <c r="G15382" s="67" t="s">
        <v>634</v>
      </c>
      <c r="H15382" s="69">
        <v>2.9849407999686939</v>
      </c>
    </row>
    <row r="15383" spans="6:8">
      <c r="F15383" s="68" t="s">
        <v>259</v>
      </c>
      <c r="G15383" s="67" t="s">
        <v>634</v>
      </c>
      <c r="H15383" s="69">
        <v>0.16</v>
      </c>
    </row>
    <row r="15384" spans="6:8">
      <c r="F15384" s="68" t="s">
        <v>138</v>
      </c>
      <c r="G15384" s="67" t="s">
        <v>634</v>
      </c>
      <c r="H15384" s="69">
        <v>-0.6</v>
      </c>
    </row>
    <row r="15385" spans="6:8">
      <c r="F15385" s="68" t="s">
        <v>137</v>
      </c>
      <c r="G15385" s="67" t="s">
        <v>634</v>
      </c>
      <c r="H15385" s="69">
        <v>-0.59</v>
      </c>
    </row>
    <row r="15386" spans="6:8">
      <c r="F15386" s="68" t="s">
        <v>136</v>
      </c>
      <c r="G15386" s="67" t="s">
        <v>634</v>
      </c>
      <c r="H15386" s="69">
        <v>-0.66</v>
      </c>
    </row>
    <row r="15387" spans="6:8">
      <c r="F15387" s="68" t="s">
        <v>424</v>
      </c>
      <c r="G15387" s="67" t="s">
        <v>634</v>
      </c>
      <c r="H15387" s="69">
        <v>2.9743817611744827</v>
      </c>
    </row>
    <row r="15388" spans="6:8">
      <c r="F15388" s="68" t="s">
        <v>258</v>
      </c>
      <c r="G15388" s="67" t="s">
        <v>634</v>
      </c>
      <c r="H15388" s="69">
        <v>0.15</v>
      </c>
    </row>
    <row r="15389" spans="6:8">
      <c r="F15389" s="68" t="s">
        <v>257</v>
      </c>
      <c r="G15389" s="67" t="s">
        <v>634</v>
      </c>
      <c r="H15389" s="69">
        <v>0.95</v>
      </c>
    </row>
    <row r="15390" spans="6:8">
      <c r="F15390" s="68" t="s">
        <v>135</v>
      </c>
      <c r="G15390" s="67" t="s">
        <v>634</v>
      </c>
      <c r="H15390" s="69">
        <v>-0.72</v>
      </c>
    </row>
    <row r="15391" spans="6:8">
      <c r="F15391" s="68" t="s">
        <v>134</v>
      </c>
      <c r="G15391" s="67" t="s">
        <v>634</v>
      </c>
      <c r="H15391" s="69">
        <v>-0.65</v>
      </c>
    </row>
    <row r="15392" spans="6:8">
      <c r="F15392" s="68" t="s">
        <v>569</v>
      </c>
      <c r="G15392" s="67" t="s">
        <v>634</v>
      </c>
      <c r="H15392" s="69">
        <v>-0.05</v>
      </c>
    </row>
    <row r="15393" spans="6:8">
      <c r="F15393" s="68" t="s">
        <v>423</v>
      </c>
      <c r="G15393" s="67" t="s">
        <v>634</v>
      </c>
      <c r="H15393" s="69">
        <v>2.2852896675756629</v>
      </c>
    </row>
    <row r="15394" spans="6:8">
      <c r="F15394" s="68" t="s">
        <v>256</v>
      </c>
      <c r="G15394" s="67" t="s">
        <v>634</v>
      </c>
      <c r="H15394" s="69">
        <v>0.88</v>
      </c>
    </row>
    <row r="15395" spans="6:8">
      <c r="F15395" s="68" t="s">
        <v>133</v>
      </c>
      <c r="G15395" s="67" t="s">
        <v>634</v>
      </c>
      <c r="H15395" s="69">
        <v>-0.62</v>
      </c>
    </row>
    <row r="15396" spans="6:8">
      <c r="F15396" s="68" t="s">
        <v>132</v>
      </c>
      <c r="G15396" s="67" t="s">
        <v>634</v>
      </c>
      <c r="H15396" s="69">
        <v>-0.7</v>
      </c>
    </row>
    <row r="15397" spans="6:8">
      <c r="F15397" s="68" t="s">
        <v>568</v>
      </c>
      <c r="G15397" s="67" t="s">
        <v>634</v>
      </c>
      <c r="H15397" s="69">
        <v>-0.17</v>
      </c>
    </row>
    <row r="15398" spans="6:8">
      <c r="F15398" s="68" t="s">
        <v>422</v>
      </c>
      <c r="G15398" s="67" t="s">
        <v>634</v>
      </c>
      <c r="H15398" s="69">
        <v>2.2662394449298073</v>
      </c>
    </row>
    <row r="15399" spans="6:8">
      <c r="F15399" s="68" t="s">
        <v>303</v>
      </c>
      <c r="G15399" s="67" t="s">
        <v>634</v>
      </c>
      <c r="H15399" s="69">
        <v>18.989583333333332</v>
      </c>
    </row>
    <row r="15400" spans="6:8">
      <c r="F15400" s="68" t="s">
        <v>255</v>
      </c>
      <c r="G15400" s="67" t="s">
        <v>634</v>
      </c>
      <c r="H15400" s="69">
        <v>0.78</v>
      </c>
    </row>
    <row r="15401" spans="6:8">
      <c r="F15401" s="68" t="s">
        <v>131</v>
      </c>
      <c r="G15401" s="67" t="s">
        <v>634</v>
      </c>
      <c r="H15401" s="69">
        <v>-0.56999999999999995</v>
      </c>
    </row>
    <row r="15402" spans="6:8">
      <c r="F15402" s="68" t="s">
        <v>130</v>
      </c>
      <c r="G15402" s="67" t="s">
        <v>634</v>
      </c>
      <c r="H15402" s="69">
        <v>-0.8</v>
      </c>
    </row>
    <row r="15403" spans="6:8">
      <c r="F15403" s="68" t="s">
        <v>567</v>
      </c>
      <c r="G15403" s="67" t="s">
        <v>634</v>
      </c>
      <c r="H15403" s="69">
        <v>-0.5</v>
      </c>
    </row>
    <row r="15404" spans="6:8">
      <c r="F15404" s="68" t="s">
        <v>421</v>
      </c>
      <c r="G15404" s="67" t="s">
        <v>634</v>
      </c>
      <c r="H15404" s="69">
        <v>2.2602759449785292</v>
      </c>
    </row>
    <row r="15405" spans="6:8">
      <c r="F15405" s="68" t="s">
        <v>304</v>
      </c>
      <c r="G15405" s="67" t="s">
        <v>634</v>
      </c>
      <c r="H15405" s="69">
        <v>17.947916666666668</v>
      </c>
    </row>
    <row r="15406" spans="6:8">
      <c r="F15406" s="68" t="s">
        <v>254</v>
      </c>
      <c r="G15406" s="67" t="s">
        <v>634</v>
      </c>
      <c r="H15406" s="69">
        <v>0.63</v>
      </c>
    </row>
    <row r="15407" spans="6:8">
      <c r="F15407" s="68" t="s">
        <v>129</v>
      </c>
      <c r="G15407" s="67" t="s">
        <v>634</v>
      </c>
      <c r="H15407" s="69">
        <v>-0.6</v>
      </c>
    </row>
    <row r="15408" spans="6:8">
      <c r="F15408" s="68" t="s">
        <v>128</v>
      </c>
      <c r="G15408" s="67" t="s">
        <v>634</v>
      </c>
      <c r="H15408" s="69">
        <v>-0.74</v>
      </c>
    </row>
    <row r="15409" spans="6:8">
      <c r="F15409" s="68" t="s">
        <v>315</v>
      </c>
      <c r="G15409" s="67" t="s">
        <v>634</v>
      </c>
      <c r="H15409" s="69">
        <v>-0.1</v>
      </c>
    </row>
    <row r="15410" spans="6:8">
      <c r="F15410" s="68" t="s">
        <v>253</v>
      </c>
      <c r="G15410" s="67" t="s">
        <v>634</v>
      </c>
      <c r="H15410" s="69">
        <v>0.45</v>
      </c>
    </row>
    <row r="15411" spans="6:8">
      <c r="F15411" s="68" t="s">
        <v>127</v>
      </c>
      <c r="G15411" s="67" t="s">
        <v>634</v>
      </c>
      <c r="H15411" s="69">
        <v>-0.45</v>
      </c>
    </row>
    <row r="15412" spans="6:8">
      <c r="F15412" s="68" t="s">
        <v>126</v>
      </c>
      <c r="G15412" s="67" t="s">
        <v>634</v>
      </c>
      <c r="H15412" s="69">
        <v>-0.79</v>
      </c>
    </row>
    <row r="15413" spans="6:8">
      <c r="F15413" s="68" t="s">
        <v>125</v>
      </c>
      <c r="G15413" s="67" t="s">
        <v>634</v>
      </c>
      <c r="H15413" s="69">
        <v>-0.38</v>
      </c>
    </row>
    <row r="15414" spans="6:8">
      <c r="F15414" s="68" t="s">
        <v>314</v>
      </c>
      <c r="G15414" s="67" t="s">
        <v>634</v>
      </c>
      <c r="H15414" s="69">
        <v>-0.28000000000000003</v>
      </c>
    </row>
    <row r="15415" spans="6:8">
      <c r="F15415" s="68" t="s">
        <v>252</v>
      </c>
      <c r="G15415" s="67" t="s">
        <v>634</v>
      </c>
      <c r="H15415" s="69">
        <v>0.3</v>
      </c>
    </row>
    <row r="15416" spans="6:8">
      <c r="F15416" s="68" t="s">
        <v>124</v>
      </c>
      <c r="G15416" s="67" t="s">
        <v>634</v>
      </c>
      <c r="H15416" s="69">
        <v>-0.45</v>
      </c>
    </row>
    <row r="15417" spans="6:8">
      <c r="F15417" s="68" t="s">
        <v>123</v>
      </c>
      <c r="G15417" s="67" t="s">
        <v>634</v>
      </c>
      <c r="H15417" s="69">
        <v>-0.79</v>
      </c>
    </row>
    <row r="15418" spans="6:8">
      <c r="F15418" s="68" t="s">
        <v>122</v>
      </c>
      <c r="G15418" s="67" t="s">
        <v>634</v>
      </c>
      <c r="H15418" s="69">
        <v>-0.51</v>
      </c>
    </row>
    <row r="15419" spans="6:8">
      <c r="F15419" s="68" t="s">
        <v>420</v>
      </c>
      <c r="G15419" s="67" t="s">
        <v>634</v>
      </c>
      <c r="H15419" s="69">
        <v>3.2071722937792924</v>
      </c>
    </row>
    <row r="15420" spans="6:8">
      <c r="F15420" s="68" t="s">
        <v>251</v>
      </c>
      <c r="G15420" s="67" t="s">
        <v>634</v>
      </c>
      <c r="H15420" s="69">
        <v>0.21</v>
      </c>
    </row>
    <row r="15421" spans="6:8">
      <c r="F15421" s="68" t="s">
        <v>121</v>
      </c>
      <c r="G15421" s="67" t="s">
        <v>634</v>
      </c>
      <c r="H15421" s="69">
        <v>-0.55000000000000004</v>
      </c>
    </row>
    <row r="15422" spans="6:8">
      <c r="F15422" s="68" t="s">
        <v>120</v>
      </c>
      <c r="G15422" s="67" t="s">
        <v>634</v>
      </c>
      <c r="H15422" s="69">
        <v>-0.69</v>
      </c>
    </row>
    <row r="15423" spans="6:8">
      <c r="F15423" s="68" t="s">
        <v>119</v>
      </c>
      <c r="G15423" s="67" t="s">
        <v>634</v>
      </c>
      <c r="H15423" s="69">
        <v>-0.56000000000000005</v>
      </c>
    </row>
    <row r="15424" spans="6:8">
      <c r="F15424" s="68" t="s">
        <v>119</v>
      </c>
      <c r="G15424" s="67" t="s">
        <v>635</v>
      </c>
      <c r="H15424" s="69">
        <v>-0.56000000000000005</v>
      </c>
    </row>
    <row r="15425" spans="6:8">
      <c r="F15425" s="68" t="s">
        <v>120</v>
      </c>
      <c r="G15425" s="67" t="s">
        <v>635</v>
      </c>
      <c r="H15425" s="69">
        <v>-0.69</v>
      </c>
    </row>
    <row r="15426" spans="6:8">
      <c r="F15426" s="68" t="s">
        <v>121</v>
      </c>
      <c r="G15426" s="67" t="s">
        <v>635</v>
      </c>
      <c r="H15426" s="69">
        <v>-0.55000000000000004</v>
      </c>
    </row>
    <row r="15427" spans="6:8">
      <c r="F15427" s="68" t="s">
        <v>251</v>
      </c>
      <c r="G15427" s="67" t="s">
        <v>635</v>
      </c>
      <c r="H15427" s="69">
        <v>0.21</v>
      </c>
    </row>
    <row r="15428" spans="6:8">
      <c r="F15428" s="68" t="s">
        <v>420</v>
      </c>
      <c r="G15428" s="67" t="s">
        <v>635</v>
      </c>
      <c r="H15428" s="69">
        <v>3.2249711814966275</v>
      </c>
    </row>
    <row r="15429" spans="6:8">
      <c r="F15429" s="68" t="s">
        <v>122</v>
      </c>
      <c r="G15429" s="67" t="s">
        <v>635</v>
      </c>
      <c r="H15429" s="69">
        <v>-0.51</v>
      </c>
    </row>
    <row r="15430" spans="6:8">
      <c r="F15430" s="68" t="s">
        <v>123</v>
      </c>
      <c r="G15430" s="67" t="s">
        <v>635</v>
      </c>
      <c r="H15430" s="69">
        <v>-0.79</v>
      </c>
    </row>
    <row r="15431" spans="6:8">
      <c r="F15431" s="68" t="s">
        <v>124</v>
      </c>
      <c r="G15431" s="67" t="s">
        <v>635</v>
      </c>
      <c r="H15431" s="69">
        <v>-0.45</v>
      </c>
    </row>
    <row r="15432" spans="6:8">
      <c r="F15432" s="68" t="s">
        <v>252</v>
      </c>
      <c r="G15432" s="67" t="s">
        <v>635</v>
      </c>
      <c r="H15432" s="69">
        <v>0.3</v>
      </c>
    </row>
    <row r="15433" spans="6:8">
      <c r="F15433" s="68" t="s">
        <v>314</v>
      </c>
      <c r="G15433" s="67" t="s">
        <v>635</v>
      </c>
      <c r="H15433" s="69">
        <v>-0.28000000000000003</v>
      </c>
    </row>
    <row r="15434" spans="6:8">
      <c r="F15434" s="68" t="s">
        <v>125</v>
      </c>
      <c r="G15434" s="67" t="s">
        <v>635</v>
      </c>
      <c r="H15434" s="69">
        <v>-0.38</v>
      </c>
    </row>
    <row r="15435" spans="6:8">
      <c r="F15435" s="68" t="s">
        <v>126</v>
      </c>
      <c r="G15435" s="67" t="s">
        <v>635</v>
      </c>
      <c r="H15435" s="69">
        <v>-0.79</v>
      </c>
    </row>
    <row r="15436" spans="6:8">
      <c r="F15436" s="68" t="s">
        <v>127</v>
      </c>
      <c r="G15436" s="67" t="s">
        <v>635</v>
      </c>
      <c r="H15436" s="69">
        <v>-0.45</v>
      </c>
    </row>
    <row r="15437" spans="6:8">
      <c r="F15437" s="68" t="s">
        <v>253</v>
      </c>
      <c r="G15437" s="67" t="s">
        <v>635</v>
      </c>
      <c r="H15437" s="69">
        <v>0.45</v>
      </c>
    </row>
    <row r="15438" spans="6:8">
      <c r="F15438" s="68" t="s">
        <v>315</v>
      </c>
      <c r="G15438" s="67" t="s">
        <v>635</v>
      </c>
      <c r="H15438" s="69">
        <v>-0.1</v>
      </c>
    </row>
    <row r="15439" spans="6:8">
      <c r="F15439" s="68" t="s">
        <v>128</v>
      </c>
      <c r="G15439" s="67" t="s">
        <v>635</v>
      </c>
      <c r="H15439" s="69">
        <v>-0.74</v>
      </c>
    </row>
    <row r="15440" spans="6:8">
      <c r="F15440" s="68" t="s">
        <v>129</v>
      </c>
      <c r="G15440" s="67" t="s">
        <v>635</v>
      </c>
      <c r="H15440" s="69">
        <v>-0.6</v>
      </c>
    </row>
    <row r="15441" spans="6:8">
      <c r="F15441" s="68" t="s">
        <v>254</v>
      </c>
      <c r="G15441" s="67" t="s">
        <v>635</v>
      </c>
      <c r="H15441" s="69">
        <v>0.63</v>
      </c>
    </row>
    <row r="15442" spans="6:8">
      <c r="F15442" s="68" t="s">
        <v>304</v>
      </c>
      <c r="G15442" s="67" t="s">
        <v>635</v>
      </c>
      <c r="H15442" s="69">
        <v>17.9375</v>
      </c>
    </row>
    <row r="15443" spans="6:8">
      <c r="F15443" s="68" t="s">
        <v>421</v>
      </c>
      <c r="G15443" s="67" t="s">
        <v>635</v>
      </c>
      <c r="H15443" s="69">
        <v>2.2640038060727896</v>
      </c>
    </row>
    <row r="15444" spans="6:8">
      <c r="F15444" s="68" t="s">
        <v>567</v>
      </c>
      <c r="G15444" s="67" t="s">
        <v>635</v>
      </c>
      <c r="H15444" s="69">
        <v>-0.5</v>
      </c>
    </row>
    <row r="15445" spans="6:8">
      <c r="F15445" s="68" t="s">
        <v>130</v>
      </c>
      <c r="G15445" s="67" t="s">
        <v>635</v>
      </c>
      <c r="H15445" s="69">
        <v>-0.8</v>
      </c>
    </row>
    <row r="15446" spans="6:8">
      <c r="F15446" s="68" t="s">
        <v>131</v>
      </c>
      <c r="G15446" s="67" t="s">
        <v>635</v>
      </c>
      <c r="H15446" s="69">
        <v>-0.56999999999999995</v>
      </c>
    </row>
    <row r="15447" spans="6:8">
      <c r="F15447" s="68" t="s">
        <v>255</v>
      </c>
      <c r="G15447" s="67" t="s">
        <v>635</v>
      </c>
      <c r="H15447" s="69">
        <v>0.78</v>
      </c>
    </row>
    <row r="15448" spans="6:8">
      <c r="F15448" s="68" t="s">
        <v>303</v>
      </c>
      <c r="G15448" s="67" t="s">
        <v>635</v>
      </c>
      <c r="H15448" s="69">
        <v>18.979166666666668</v>
      </c>
    </row>
    <row r="15449" spans="6:8">
      <c r="F15449" s="68" t="s">
        <v>422</v>
      </c>
      <c r="G15449" s="67" t="s">
        <v>635</v>
      </c>
      <c r="H15449" s="69">
        <v>2.2699948883302845</v>
      </c>
    </row>
    <row r="15450" spans="6:8">
      <c r="F15450" s="68" t="s">
        <v>568</v>
      </c>
      <c r="G15450" s="67" t="s">
        <v>635</v>
      </c>
      <c r="H15450" s="69">
        <v>-0.17</v>
      </c>
    </row>
    <row r="15451" spans="6:8">
      <c r="F15451" s="68" t="s">
        <v>132</v>
      </c>
      <c r="G15451" s="67" t="s">
        <v>635</v>
      </c>
      <c r="H15451" s="69">
        <v>-0.7</v>
      </c>
    </row>
    <row r="15452" spans="6:8">
      <c r="F15452" s="68" t="s">
        <v>133</v>
      </c>
      <c r="G15452" s="67" t="s">
        <v>635</v>
      </c>
      <c r="H15452" s="69">
        <v>-0.62</v>
      </c>
    </row>
    <row r="15453" spans="6:8">
      <c r="F15453" s="68" t="s">
        <v>256</v>
      </c>
      <c r="G15453" s="67" t="s">
        <v>635</v>
      </c>
      <c r="H15453" s="69">
        <v>0.88</v>
      </c>
    </row>
    <row r="15454" spans="6:8">
      <c r="F15454" s="68" t="s">
        <v>423</v>
      </c>
      <c r="G15454" s="67" t="s">
        <v>635</v>
      </c>
      <c r="H15454" s="69">
        <v>2.2944284162362383</v>
      </c>
    </row>
    <row r="15455" spans="6:8">
      <c r="F15455" s="68" t="s">
        <v>569</v>
      </c>
      <c r="G15455" s="67" t="s">
        <v>635</v>
      </c>
      <c r="H15455" s="69">
        <v>-0.05</v>
      </c>
    </row>
    <row r="15456" spans="6:8">
      <c r="F15456" s="68" t="s">
        <v>134</v>
      </c>
      <c r="G15456" s="67" t="s">
        <v>635</v>
      </c>
      <c r="H15456" s="69">
        <v>-0.65</v>
      </c>
    </row>
    <row r="15457" spans="6:8">
      <c r="F15457" s="68" t="s">
        <v>135</v>
      </c>
      <c r="G15457" s="67" t="s">
        <v>635</v>
      </c>
      <c r="H15457" s="69">
        <v>-0.72</v>
      </c>
    </row>
    <row r="15458" spans="6:8">
      <c r="F15458" s="68" t="s">
        <v>257</v>
      </c>
      <c r="G15458" s="67" t="s">
        <v>635</v>
      </c>
      <c r="H15458" s="69">
        <v>0.95</v>
      </c>
    </row>
    <row r="15459" spans="6:8">
      <c r="F15459" s="68" t="s">
        <v>258</v>
      </c>
      <c r="G15459" s="67" t="s">
        <v>635</v>
      </c>
      <c r="H15459" s="69">
        <v>0.15</v>
      </c>
    </row>
    <row r="15460" spans="6:8">
      <c r="F15460" s="68" t="s">
        <v>424</v>
      </c>
      <c r="G15460" s="67" t="s">
        <v>635</v>
      </c>
      <c r="H15460" s="69">
        <v>2.9975697298907367</v>
      </c>
    </row>
    <row r="15461" spans="6:8">
      <c r="F15461" s="68" t="s">
        <v>136</v>
      </c>
      <c r="G15461" s="67" t="s">
        <v>635</v>
      </c>
      <c r="H15461" s="69">
        <v>-0.66</v>
      </c>
    </row>
    <row r="15462" spans="6:8">
      <c r="F15462" s="68" t="s">
        <v>137</v>
      </c>
      <c r="G15462" s="67" t="s">
        <v>635</v>
      </c>
      <c r="H15462" s="69">
        <v>-0.59</v>
      </c>
    </row>
    <row r="15463" spans="6:8">
      <c r="F15463" s="68" t="s">
        <v>138</v>
      </c>
      <c r="G15463" s="67" t="s">
        <v>635</v>
      </c>
      <c r="H15463" s="69">
        <v>-0.6</v>
      </c>
    </row>
    <row r="15464" spans="6:8">
      <c r="F15464" s="68" t="s">
        <v>259</v>
      </c>
      <c r="G15464" s="67" t="s">
        <v>635</v>
      </c>
      <c r="H15464" s="69">
        <v>0.16</v>
      </c>
    </row>
    <row r="15465" spans="6:8">
      <c r="F15465" s="68" t="s">
        <v>425</v>
      </c>
      <c r="G15465" s="67" t="s">
        <v>635</v>
      </c>
      <c r="H15465" s="69">
        <v>3.0045468034845424</v>
      </c>
    </row>
    <row r="15466" spans="6:8">
      <c r="F15466" s="68" t="s">
        <v>425</v>
      </c>
      <c r="G15466" s="67" t="s">
        <v>636</v>
      </c>
      <c r="H15466" s="69">
        <v>2.9654181981021654</v>
      </c>
    </row>
    <row r="15467" spans="6:8">
      <c r="F15467" s="68" t="s">
        <v>259</v>
      </c>
      <c r="G15467" s="67" t="s">
        <v>636</v>
      </c>
      <c r="H15467" s="69">
        <v>0.16</v>
      </c>
    </row>
    <row r="15468" spans="6:8">
      <c r="F15468" s="68" t="s">
        <v>138</v>
      </c>
      <c r="G15468" s="67" t="s">
        <v>636</v>
      </c>
      <c r="H15468" s="69">
        <v>-0.6</v>
      </c>
    </row>
    <row r="15469" spans="6:8">
      <c r="F15469" s="68" t="s">
        <v>137</v>
      </c>
      <c r="G15469" s="67" t="s">
        <v>636</v>
      </c>
      <c r="H15469" s="69">
        <v>-0.59</v>
      </c>
    </row>
    <row r="15470" spans="6:8">
      <c r="F15470" s="68" t="s">
        <v>136</v>
      </c>
      <c r="G15470" s="67" t="s">
        <v>636</v>
      </c>
      <c r="H15470" s="69">
        <v>-0.66</v>
      </c>
    </row>
    <row r="15471" spans="6:8">
      <c r="F15471" s="68" t="s">
        <v>424</v>
      </c>
      <c r="G15471" s="67" t="s">
        <v>636</v>
      </c>
      <c r="H15471" s="69">
        <v>2.9610609424594703</v>
      </c>
    </row>
    <row r="15472" spans="6:8">
      <c r="F15472" s="68" t="s">
        <v>258</v>
      </c>
      <c r="G15472" s="67" t="s">
        <v>636</v>
      </c>
      <c r="H15472" s="69">
        <v>0.15</v>
      </c>
    </row>
    <row r="15473" spans="6:8">
      <c r="F15473" s="68" t="s">
        <v>257</v>
      </c>
      <c r="G15473" s="67" t="s">
        <v>636</v>
      </c>
      <c r="H15473" s="69">
        <v>0.95</v>
      </c>
    </row>
    <row r="15474" spans="6:8">
      <c r="F15474" s="68" t="s">
        <v>135</v>
      </c>
      <c r="G15474" s="67" t="s">
        <v>636</v>
      </c>
      <c r="H15474" s="69">
        <v>-0.72</v>
      </c>
    </row>
    <row r="15475" spans="6:8">
      <c r="F15475" s="68" t="s">
        <v>134</v>
      </c>
      <c r="G15475" s="67" t="s">
        <v>636</v>
      </c>
      <c r="H15475" s="69">
        <v>-0.65</v>
      </c>
    </row>
    <row r="15476" spans="6:8">
      <c r="F15476" s="68" t="s">
        <v>569</v>
      </c>
      <c r="G15476" s="67" t="s">
        <v>636</v>
      </c>
      <c r="H15476" s="69">
        <v>-0.05</v>
      </c>
    </row>
    <row r="15477" spans="6:8">
      <c r="F15477" s="68" t="s">
        <v>423</v>
      </c>
      <c r="G15477" s="67" t="s">
        <v>636</v>
      </c>
      <c r="H15477" s="69">
        <v>2.2465404130307398</v>
      </c>
    </row>
    <row r="15478" spans="6:8">
      <c r="F15478" s="68" t="s">
        <v>256</v>
      </c>
      <c r="G15478" s="67" t="s">
        <v>636</v>
      </c>
      <c r="H15478" s="69">
        <v>0.88</v>
      </c>
    </row>
    <row r="15479" spans="6:8">
      <c r="F15479" s="68" t="s">
        <v>133</v>
      </c>
      <c r="G15479" s="67" t="s">
        <v>636</v>
      </c>
      <c r="H15479" s="69">
        <v>-0.62</v>
      </c>
    </row>
    <row r="15480" spans="6:8">
      <c r="F15480" s="68" t="s">
        <v>132</v>
      </c>
      <c r="G15480" s="67" t="s">
        <v>636</v>
      </c>
      <c r="H15480" s="69">
        <v>-0.7</v>
      </c>
    </row>
    <row r="15481" spans="6:8">
      <c r="F15481" s="68" t="s">
        <v>568</v>
      </c>
      <c r="G15481" s="67" t="s">
        <v>636</v>
      </c>
      <c r="H15481" s="69">
        <v>-0.17</v>
      </c>
    </row>
    <row r="15482" spans="6:8">
      <c r="F15482" s="68" t="s">
        <v>422</v>
      </c>
      <c r="G15482" s="67" t="s">
        <v>636</v>
      </c>
      <c r="H15482" s="69">
        <v>2.2104893366655443</v>
      </c>
    </row>
    <row r="15483" spans="6:8">
      <c r="F15483" s="68" t="s">
        <v>303</v>
      </c>
      <c r="G15483" s="67" t="s">
        <v>636</v>
      </c>
      <c r="H15483" s="69">
        <v>18.979166666666668</v>
      </c>
    </row>
    <row r="15484" spans="6:8">
      <c r="F15484" s="68" t="s">
        <v>255</v>
      </c>
      <c r="G15484" s="67" t="s">
        <v>636</v>
      </c>
      <c r="H15484" s="69">
        <v>0.78</v>
      </c>
    </row>
    <row r="15485" spans="6:8">
      <c r="F15485" s="68" t="s">
        <v>131</v>
      </c>
      <c r="G15485" s="67" t="s">
        <v>636</v>
      </c>
      <c r="H15485" s="69">
        <v>-0.56999999999999995</v>
      </c>
    </row>
    <row r="15486" spans="6:8">
      <c r="F15486" s="68" t="s">
        <v>130</v>
      </c>
      <c r="G15486" s="67" t="s">
        <v>636</v>
      </c>
      <c r="H15486" s="69">
        <v>-0.8</v>
      </c>
    </row>
    <row r="15487" spans="6:8">
      <c r="F15487" s="68" t="s">
        <v>567</v>
      </c>
      <c r="G15487" s="67" t="s">
        <v>636</v>
      </c>
      <c r="H15487" s="69">
        <v>-0.5</v>
      </c>
    </row>
    <row r="15488" spans="6:8">
      <c r="F15488" s="68" t="s">
        <v>421</v>
      </c>
      <c r="G15488" s="67" t="s">
        <v>636</v>
      </c>
      <c r="H15488" s="69">
        <v>2.2045147680530341</v>
      </c>
    </row>
    <row r="15489" spans="6:8">
      <c r="F15489" s="68" t="s">
        <v>304</v>
      </c>
      <c r="G15489" s="67" t="s">
        <v>636</v>
      </c>
      <c r="H15489" s="69">
        <v>17.947916666666668</v>
      </c>
    </row>
    <row r="15490" spans="6:8">
      <c r="F15490" s="68" t="s">
        <v>254</v>
      </c>
      <c r="G15490" s="67" t="s">
        <v>636</v>
      </c>
      <c r="H15490" s="69">
        <v>0.63</v>
      </c>
    </row>
    <row r="15491" spans="6:8">
      <c r="F15491" s="68" t="s">
        <v>129</v>
      </c>
      <c r="G15491" s="67" t="s">
        <v>636</v>
      </c>
      <c r="H15491" s="69">
        <v>-0.6</v>
      </c>
    </row>
    <row r="15492" spans="6:8">
      <c r="F15492" s="68" t="s">
        <v>128</v>
      </c>
      <c r="G15492" s="67" t="s">
        <v>636</v>
      </c>
      <c r="H15492" s="69">
        <v>-0.74</v>
      </c>
    </row>
    <row r="15493" spans="6:8">
      <c r="F15493" s="68" t="s">
        <v>315</v>
      </c>
      <c r="G15493" s="67" t="s">
        <v>636</v>
      </c>
      <c r="H15493" s="69">
        <v>-0.1</v>
      </c>
    </row>
    <row r="15494" spans="6:8">
      <c r="F15494" s="68" t="s">
        <v>253</v>
      </c>
      <c r="G15494" s="67" t="s">
        <v>636</v>
      </c>
      <c r="H15494" s="69">
        <v>0.45</v>
      </c>
    </row>
    <row r="15495" spans="6:8">
      <c r="F15495" s="68" t="s">
        <v>127</v>
      </c>
      <c r="G15495" s="67" t="s">
        <v>636</v>
      </c>
      <c r="H15495" s="69">
        <v>-0.45</v>
      </c>
    </row>
    <row r="15496" spans="6:8">
      <c r="F15496" s="68" t="s">
        <v>126</v>
      </c>
      <c r="G15496" s="67" t="s">
        <v>636</v>
      </c>
      <c r="H15496" s="69">
        <v>-0.79</v>
      </c>
    </row>
    <row r="15497" spans="6:8">
      <c r="F15497" s="68" t="s">
        <v>125</v>
      </c>
      <c r="G15497" s="67" t="s">
        <v>636</v>
      </c>
      <c r="H15497" s="69">
        <v>-0.38</v>
      </c>
    </row>
    <row r="15498" spans="6:8">
      <c r="F15498" s="68" t="s">
        <v>314</v>
      </c>
      <c r="G15498" s="67" t="s">
        <v>636</v>
      </c>
      <c r="H15498" s="69">
        <v>-0.28000000000000003</v>
      </c>
    </row>
    <row r="15499" spans="6:8">
      <c r="F15499" s="68" t="s">
        <v>252</v>
      </c>
      <c r="G15499" s="67" t="s">
        <v>636</v>
      </c>
      <c r="H15499" s="69">
        <v>0.3</v>
      </c>
    </row>
    <row r="15500" spans="6:8">
      <c r="F15500" s="68" t="s">
        <v>124</v>
      </c>
      <c r="G15500" s="67" t="s">
        <v>636</v>
      </c>
      <c r="H15500" s="69">
        <v>-0.45</v>
      </c>
    </row>
    <row r="15501" spans="6:8">
      <c r="F15501" s="68" t="s">
        <v>123</v>
      </c>
      <c r="G15501" s="67" t="s">
        <v>636</v>
      </c>
      <c r="H15501" s="69">
        <v>-0.79</v>
      </c>
    </row>
    <row r="15502" spans="6:8">
      <c r="F15502" s="68" t="s">
        <v>122</v>
      </c>
      <c r="G15502" s="67" t="s">
        <v>636</v>
      </c>
      <c r="H15502" s="69">
        <v>-0.51</v>
      </c>
    </row>
    <row r="15503" spans="6:8">
      <c r="F15503" s="68" t="s">
        <v>420</v>
      </c>
      <c r="G15503" s="67" t="s">
        <v>636</v>
      </c>
      <c r="H15503" s="69">
        <v>3.1906249352690708</v>
      </c>
    </row>
    <row r="15504" spans="6:8">
      <c r="F15504" s="68" t="s">
        <v>251</v>
      </c>
      <c r="G15504" s="67" t="s">
        <v>636</v>
      </c>
      <c r="H15504" s="69">
        <v>0.21</v>
      </c>
    </row>
    <row r="15505" spans="6:8">
      <c r="F15505" s="68" t="s">
        <v>121</v>
      </c>
      <c r="G15505" s="67" t="s">
        <v>636</v>
      </c>
      <c r="H15505" s="69">
        <v>-0.55000000000000004</v>
      </c>
    </row>
    <row r="15506" spans="6:8">
      <c r="F15506" s="68" t="s">
        <v>120</v>
      </c>
      <c r="G15506" s="67" t="s">
        <v>636</v>
      </c>
      <c r="H15506" s="69">
        <v>-0.69</v>
      </c>
    </row>
    <row r="15507" spans="6:8">
      <c r="F15507" s="68" t="s">
        <v>119</v>
      </c>
      <c r="G15507" s="67" t="s">
        <v>636</v>
      </c>
      <c r="H15507" s="69">
        <v>-0.56000000000000005</v>
      </c>
    </row>
    <row r="15508" spans="6:8">
      <c r="F15508" s="68" t="s">
        <v>119</v>
      </c>
      <c r="G15508" s="67" t="s">
        <v>637</v>
      </c>
      <c r="H15508" s="69">
        <v>-0.56000000000000005</v>
      </c>
    </row>
    <row r="15509" spans="6:8">
      <c r="F15509" s="68" t="s">
        <v>120</v>
      </c>
      <c r="G15509" s="67" t="s">
        <v>637</v>
      </c>
      <c r="H15509" s="69">
        <v>-0.69</v>
      </c>
    </row>
    <row r="15510" spans="6:8">
      <c r="F15510" s="68" t="s">
        <v>121</v>
      </c>
      <c r="G15510" s="67" t="s">
        <v>637</v>
      </c>
      <c r="H15510" s="69">
        <v>-0.55000000000000004</v>
      </c>
    </row>
    <row r="15511" spans="6:8">
      <c r="F15511" s="68" t="s">
        <v>251</v>
      </c>
      <c r="G15511" s="67" t="s">
        <v>637</v>
      </c>
      <c r="H15511" s="69">
        <v>0.21</v>
      </c>
    </row>
    <row r="15512" spans="6:8">
      <c r="F15512" s="68" t="s">
        <v>420</v>
      </c>
      <c r="G15512" s="67" t="s">
        <v>637</v>
      </c>
      <c r="H15512" s="69">
        <v>3.2003729321605334</v>
      </c>
    </row>
    <row r="15513" spans="6:8">
      <c r="F15513" s="68" t="s">
        <v>122</v>
      </c>
      <c r="G15513" s="67" t="s">
        <v>637</v>
      </c>
      <c r="H15513" s="69">
        <v>-0.51</v>
      </c>
    </row>
    <row r="15514" spans="6:8">
      <c r="F15514" s="68" t="s">
        <v>123</v>
      </c>
      <c r="G15514" s="67" t="s">
        <v>637</v>
      </c>
      <c r="H15514" s="69">
        <v>-0.79</v>
      </c>
    </row>
    <row r="15515" spans="6:8">
      <c r="F15515" s="68" t="s">
        <v>124</v>
      </c>
      <c r="G15515" s="67" t="s">
        <v>637</v>
      </c>
      <c r="H15515" s="69">
        <v>-0.45</v>
      </c>
    </row>
    <row r="15516" spans="6:8">
      <c r="F15516" s="68" t="s">
        <v>252</v>
      </c>
      <c r="G15516" s="67" t="s">
        <v>637</v>
      </c>
      <c r="H15516" s="69">
        <v>0.3</v>
      </c>
    </row>
    <row r="15517" spans="6:8">
      <c r="F15517" s="68" t="s">
        <v>314</v>
      </c>
      <c r="G15517" s="67" t="s">
        <v>637</v>
      </c>
      <c r="H15517" s="69">
        <v>-0.28000000000000003</v>
      </c>
    </row>
    <row r="15518" spans="6:8">
      <c r="F15518" s="68" t="s">
        <v>125</v>
      </c>
      <c r="G15518" s="67" t="s">
        <v>637</v>
      </c>
      <c r="H15518" s="69">
        <v>-0.38</v>
      </c>
    </row>
    <row r="15519" spans="6:8">
      <c r="F15519" s="68" t="s">
        <v>126</v>
      </c>
      <c r="G15519" s="67" t="s">
        <v>637</v>
      </c>
      <c r="H15519" s="69">
        <v>-0.79</v>
      </c>
    </row>
    <row r="15520" spans="6:8">
      <c r="F15520" s="68" t="s">
        <v>127</v>
      </c>
      <c r="G15520" s="67" t="s">
        <v>637</v>
      </c>
      <c r="H15520" s="69">
        <v>-0.45</v>
      </c>
    </row>
    <row r="15521" spans="6:8">
      <c r="F15521" s="68" t="s">
        <v>253</v>
      </c>
      <c r="G15521" s="67" t="s">
        <v>637</v>
      </c>
      <c r="H15521" s="69">
        <v>0.45</v>
      </c>
    </row>
    <row r="15522" spans="6:8">
      <c r="F15522" s="68" t="s">
        <v>315</v>
      </c>
      <c r="G15522" s="67" t="s">
        <v>637</v>
      </c>
      <c r="H15522" s="69">
        <v>-0.1</v>
      </c>
    </row>
    <row r="15523" spans="6:8">
      <c r="F15523" s="68" t="s">
        <v>128</v>
      </c>
      <c r="G15523" s="67" t="s">
        <v>637</v>
      </c>
      <c r="H15523" s="69">
        <v>-0.74</v>
      </c>
    </row>
    <row r="15524" spans="6:8">
      <c r="F15524" s="68" t="s">
        <v>129</v>
      </c>
      <c r="G15524" s="67" t="s">
        <v>637</v>
      </c>
      <c r="H15524" s="69">
        <v>-0.6</v>
      </c>
    </row>
    <row r="15525" spans="6:8">
      <c r="F15525" s="68" t="s">
        <v>254</v>
      </c>
      <c r="G15525" s="67" t="s">
        <v>637</v>
      </c>
      <c r="H15525" s="69">
        <v>0.63</v>
      </c>
    </row>
    <row r="15526" spans="6:8">
      <c r="F15526" s="68" t="s">
        <v>304</v>
      </c>
      <c r="G15526" s="67" t="s">
        <v>637</v>
      </c>
      <c r="H15526" s="69">
        <v>17.947916666666668</v>
      </c>
    </row>
    <row r="15527" spans="6:8">
      <c r="F15527" s="68" t="s">
        <v>421</v>
      </c>
      <c r="G15527" s="67" t="s">
        <v>637</v>
      </c>
      <c r="H15527" s="69">
        <v>2.2088029604758308</v>
      </c>
    </row>
    <row r="15528" spans="6:8">
      <c r="F15528" s="68" t="s">
        <v>567</v>
      </c>
      <c r="G15528" s="67" t="s">
        <v>637</v>
      </c>
      <c r="H15528" s="69">
        <v>-0.5</v>
      </c>
    </row>
    <row r="15529" spans="6:8">
      <c r="F15529" s="68" t="s">
        <v>130</v>
      </c>
      <c r="G15529" s="67" t="s">
        <v>637</v>
      </c>
      <c r="H15529" s="69">
        <v>-0.8</v>
      </c>
    </row>
    <row r="15530" spans="6:8">
      <c r="F15530" s="68" t="s">
        <v>131</v>
      </c>
      <c r="G15530" s="67" t="s">
        <v>637</v>
      </c>
      <c r="H15530" s="69">
        <v>-0.56999999999999995</v>
      </c>
    </row>
    <row r="15531" spans="6:8">
      <c r="F15531" s="68" t="s">
        <v>255</v>
      </c>
      <c r="G15531" s="67" t="s">
        <v>637</v>
      </c>
      <c r="H15531" s="69">
        <v>0.78</v>
      </c>
    </row>
    <row r="15532" spans="6:8">
      <c r="F15532" s="68" t="s">
        <v>303</v>
      </c>
      <c r="G15532" s="67" t="s">
        <v>637</v>
      </c>
      <c r="H15532" s="69">
        <v>18.989583333333332</v>
      </c>
    </row>
    <row r="15533" spans="6:8">
      <c r="F15533" s="68" t="s">
        <v>422</v>
      </c>
      <c r="G15533" s="67" t="s">
        <v>637</v>
      </c>
      <c r="H15533" s="69">
        <v>2.2147351911344426</v>
      </c>
    </row>
    <row r="15534" spans="6:8">
      <c r="F15534" s="68" t="s">
        <v>568</v>
      </c>
      <c r="G15534" s="67" t="s">
        <v>637</v>
      </c>
      <c r="H15534" s="69">
        <v>-0.17</v>
      </c>
    </row>
    <row r="15535" spans="6:8">
      <c r="F15535" s="68" t="s">
        <v>132</v>
      </c>
      <c r="G15535" s="67" t="s">
        <v>637</v>
      </c>
      <c r="H15535" s="69">
        <v>-0.7</v>
      </c>
    </row>
    <row r="15536" spans="6:8">
      <c r="F15536" s="68" t="s">
        <v>133</v>
      </c>
      <c r="G15536" s="67" t="s">
        <v>637</v>
      </c>
      <c r="H15536" s="69">
        <v>-0.62</v>
      </c>
    </row>
    <row r="15537" spans="6:8">
      <c r="F15537" s="68" t="s">
        <v>256</v>
      </c>
      <c r="G15537" s="67" t="s">
        <v>637</v>
      </c>
      <c r="H15537" s="69">
        <v>0.88</v>
      </c>
    </row>
    <row r="15538" spans="6:8">
      <c r="F15538" s="68" t="s">
        <v>423</v>
      </c>
      <c r="G15538" s="67" t="s">
        <v>637</v>
      </c>
      <c r="H15538" s="69">
        <v>2.2477799513548558</v>
      </c>
    </row>
    <row r="15539" spans="6:8">
      <c r="F15539" s="68" t="s">
        <v>569</v>
      </c>
      <c r="G15539" s="67" t="s">
        <v>637</v>
      </c>
      <c r="H15539" s="69">
        <v>-0.05</v>
      </c>
    </row>
    <row r="15540" spans="6:8">
      <c r="F15540" s="68" t="s">
        <v>134</v>
      </c>
      <c r="G15540" s="67" t="s">
        <v>637</v>
      </c>
      <c r="H15540" s="69">
        <v>-0.65</v>
      </c>
    </row>
    <row r="15541" spans="6:8">
      <c r="F15541" s="68" t="s">
        <v>135</v>
      </c>
      <c r="G15541" s="67" t="s">
        <v>637</v>
      </c>
      <c r="H15541" s="69">
        <v>-0.72</v>
      </c>
    </row>
    <row r="15542" spans="6:8">
      <c r="F15542" s="68" t="s">
        <v>257</v>
      </c>
      <c r="G15542" s="67" t="s">
        <v>637</v>
      </c>
      <c r="H15542" s="69">
        <v>0.95</v>
      </c>
    </row>
    <row r="15543" spans="6:8">
      <c r="F15543" s="68" t="s">
        <v>258</v>
      </c>
      <c r="G15543" s="67" t="s">
        <v>637</v>
      </c>
      <c r="H15543" s="69">
        <v>0.15</v>
      </c>
    </row>
    <row r="15544" spans="6:8">
      <c r="F15544" s="68" t="s">
        <v>424</v>
      </c>
      <c r="G15544" s="67" t="s">
        <v>637</v>
      </c>
      <c r="H15544" s="69">
        <v>2.973717871910031</v>
      </c>
    </row>
    <row r="15545" spans="6:8">
      <c r="F15545" s="68" t="s">
        <v>136</v>
      </c>
      <c r="G15545" s="67" t="s">
        <v>637</v>
      </c>
      <c r="H15545" s="69">
        <v>-0.66</v>
      </c>
    </row>
    <row r="15546" spans="6:8">
      <c r="F15546" s="68" t="s">
        <v>137</v>
      </c>
      <c r="G15546" s="67" t="s">
        <v>637</v>
      </c>
      <c r="H15546" s="69">
        <v>-0.59</v>
      </c>
    </row>
    <row r="15547" spans="6:8">
      <c r="F15547" s="68" t="s">
        <v>138</v>
      </c>
      <c r="G15547" s="67" t="s">
        <v>637</v>
      </c>
      <c r="H15547" s="69">
        <v>-0.6</v>
      </c>
    </row>
    <row r="15548" spans="6:8">
      <c r="F15548" s="68" t="s">
        <v>259</v>
      </c>
      <c r="G15548" s="67" t="s">
        <v>637</v>
      </c>
      <c r="H15548" s="69">
        <v>0.16</v>
      </c>
    </row>
    <row r="15549" spans="6:8">
      <c r="F15549" s="68" t="s">
        <v>425</v>
      </c>
      <c r="G15549" s="67" t="s">
        <v>637</v>
      </c>
      <c r="H15549" s="69">
        <v>2.9769368832795351</v>
      </c>
    </row>
    <row r="15550" spans="6:8">
      <c r="F15550" s="68" t="s">
        <v>425</v>
      </c>
      <c r="G15550" s="67" t="s">
        <v>638</v>
      </c>
      <c r="H15550" s="69">
        <v>3.0000329705972106</v>
      </c>
    </row>
    <row r="15551" spans="6:8">
      <c r="F15551" s="68" t="s">
        <v>259</v>
      </c>
      <c r="G15551" s="67" t="s">
        <v>638</v>
      </c>
      <c r="H15551" s="69">
        <v>0.19</v>
      </c>
    </row>
    <row r="15552" spans="6:8">
      <c r="F15552" s="68" t="s">
        <v>138</v>
      </c>
      <c r="G15552" s="67" t="s">
        <v>638</v>
      </c>
      <c r="H15552" s="69">
        <v>-0.77</v>
      </c>
    </row>
    <row r="15553" spans="6:8">
      <c r="F15553" s="68" t="s">
        <v>137</v>
      </c>
      <c r="G15553" s="67" t="s">
        <v>638</v>
      </c>
      <c r="H15553" s="69">
        <v>-0.62</v>
      </c>
    </row>
    <row r="15554" spans="6:8">
      <c r="F15554" s="68" t="s">
        <v>136</v>
      </c>
      <c r="G15554" s="67" t="s">
        <v>638</v>
      </c>
      <c r="H15554" s="69">
        <v>-0.77</v>
      </c>
    </row>
    <row r="15555" spans="6:8">
      <c r="F15555" s="68" t="s">
        <v>424</v>
      </c>
      <c r="G15555" s="67" t="s">
        <v>638</v>
      </c>
      <c r="H15555" s="69">
        <v>2.9996408740157854</v>
      </c>
    </row>
    <row r="15556" spans="6:8">
      <c r="F15556" s="68" t="s">
        <v>258</v>
      </c>
      <c r="G15556" s="67" t="s">
        <v>638</v>
      </c>
      <c r="H15556" s="69">
        <v>0.15</v>
      </c>
    </row>
    <row r="15557" spans="6:8">
      <c r="F15557" s="68" t="s">
        <v>257</v>
      </c>
      <c r="G15557" s="67" t="s">
        <v>638</v>
      </c>
      <c r="H15557" s="69">
        <v>0.89</v>
      </c>
    </row>
    <row r="15558" spans="6:8">
      <c r="F15558" s="68" t="s">
        <v>135</v>
      </c>
      <c r="G15558" s="67" t="s">
        <v>638</v>
      </c>
      <c r="H15558" s="69">
        <v>-0.75</v>
      </c>
    </row>
    <row r="15559" spans="6:8">
      <c r="F15559" s="68" t="s">
        <v>134</v>
      </c>
      <c r="G15559" s="67" t="s">
        <v>638</v>
      </c>
      <c r="H15559" s="69">
        <v>-0.78</v>
      </c>
    </row>
    <row r="15560" spans="6:8">
      <c r="F15560" s="68" t="s">
        <v>569</v>
      </c>
      <c r="G15560" s="67" t="s">
        <v>638</v>
      </c>
      <c r="H15560" s="69">
        <v>-0.18</v>
      </c>
    </row>
    <row r="15561" spans="6:8">
      <c r="F15561" s="68" t="s">
        <v>423</v>
      </c>
      <c r="G15561" s="67" t="s">
        <v>638</v>
      </c>
      <c r="H15561" s="69">
        <v>2.2539902587442207</v>
      </c>
    </row>
    <row r="15562" spans="6:8">
      <c r="F15562" s="68" t="s">
        <v>256</v>
      </c>
      <c r="G15562" s="67" t="s">
        <v>638</v>
      </c>
      <c r="H15562" s="69">
        <v>0.84</v>
      </c>
    </row>
    <row r="15563" spans="6:8">
      <c r="F15563" s="68" t="s">
        <v>133</v>
      </c>
      <c r="G15563" s="67" t="s">
        <v>638</v>
      </c>
      <c r="H15563" s="69">
        <v>-0.62</v>
      </c>
    </row>
    <row r="15564" spans="6:8">
      <c r="F15564" s="68" t="s">
        <v>132</v>
      </c>
      <c r="G15564" s="67" t="s">
        <v>638</v>
      </c>
      <c r="H15564" s="69">
        <v>-0.83</v>
      </c>
    </row>
    <row r="15565" spans="6:8">
      <c r="F15565" s="68" t="s">
        <v>568</v>
      </c>
      <c r="G15565" s="67" t="s">
        <v>638</v>
      </c>
      <c r="H15565" s="69">
        <v>-0.39</v>
      </c>
    </row>
    <row r="15566" spans="6:8">
      <c r="F15566" s="68" t="s">
        <v>422</v>
      </c>
      <c r="G15566" s="67" t="s">
        <v>638</v>
      </c>
      <c r="H15566" s="69">
        <v>2.2011648488868829</v>
      </c>
    </row>
    <row r="15567" spans="6:8">
      <c r="F15567" s="68" t="s">
        <v>303</v>
      </c>
      <c r="G15567" s="67" t="s">
        <v>638</v>
      </c>
      <c r="H15567" s="69">
        <v>19.125</v>
      </c>
    </row>
    <row r="15568" spans="6:8">
      <c r="F15568" s="68" t="s">
        <v>255</v>
      </c>
      <c r="G15568" s="67" t="s">
        <v>638</v>
      </c>
      <c r="H15568" s="69">
        <v>0.76</v>
      </c>
    </row>
    <row r="15569" spans="6:8">
      <c r="F15569" s="68" t="s">
        <v>131</v>
      </c>
      <c r="G15569" s="67" t="s">
        <v>638</v>
      </c>
      <c r="H15569" s="69">
        <v>-0.52</v>
      </c>
    </row>
    <row r="15570" spans="6:8">
      <c r="F15570" s="68" t="s">
        <v>130</v>
      </c>
      <c r="G15570" s="67" t="s">
        <v>638</v>
      </c>
      <c r="H15570" s="69">
        <v>-0.89</v>
      </c>
    </row>
    <row r="15571" spans="6:8">
      <c r="F15571" s="68" t="s">
        <v>567</v>
      </c>
      <c r="G15571" s="67" t="s">
        <v>638</v>
      </c>
      <c r="H15571" s="69">
        <v>-0.79</v>
      </c>
    </row>
    <row r="15572" spans="6:8">
      <c r="F15572" s="68" t="s">
        <v>421</v>
      </c>
      <c r="G15572" s="67" t="s">
        <v>638</v>
      </c>
      <c r="H15572" s="69">
        <v>2.1951241757793394</v>
      </c>
    </row>
    <row r="15573" spans="6:8">
      <c r="F15573" s="68" t="s">
        <v>304</v>
      </c>
      <c r="G15573" s="67" t="s">
        <v>638</v>
      </c>
      <c r="H15573" s="69">
        <v>18.03125</v>
      </c>
    </row>
    <row r="15574" spans="6:8">
      <c r="F15574" s="68" t="s">
        <v>254</v>
      </c>
      <c r="G15574" s="67" t="s">
        <v>638</v>
      </c>
      <c r="H15574" s="69">
        <v>0.61</v>
      </c>
    </row>
    <row r="15575" spans="6:8">
      <c r="F15575" s="68" t="s">
        <v>129</v>
      </c>
      <c r="G15575" s="67" t="s">
        <v>638</v>
      </c>
      <c r="H15575" s="69">
        <v>-0.67</v>
      </c>
    </row>
    <row r="15576" spans="6:8">
      <c r="F15576" s="68" t="s">
        <v>128</v>
      </c>
      <c r="G15576" s="67" t="s">
        <v>638</v>
      </c>
      <c r="H15576" s="69">
        <v>-0.84</v>
      </c>
    </row>
    <row r="15577" spans="6:8">
      <c r="F15577" s="68" t="s">
        <v>315</v>
      </c>
      <c r="G15577" s="67" t="s">
        <v>638</v>
      </c>
      <c r="H15577" s="69">
        <v>-0.21</v>
      </c>
    </row>
    <row r="15578" spans="6:8">
      <c r="F15578" s="68" t="s">
        <v>253</v>
      </c>
      <c r="G15578" s="67" t="s">
        <v>638</v>
      </c>
      <c r="H15578" s="69">
        <v>0.44</v>
      </c>
    </row>
    <row r="15579" spans="6:8">
      <c r="F15579" s="68" t="s">
        <v>127</v>
      </c>
      <c r="G15579" s="67" t="s">
        <v>638</v>
      </c>
      <c r="H15579" s="69">
        <v>-0.49</v>
      </c>
    </row>
    <row r="15580" spans="6:8">
      <c r="F15580" s="68" t="s">
        <v>126</v>
      </c>
      <c r="G15580" s="67" t="s">
        <v>638</v>
      </c>
      <c r="H15580" s="69">
        <v>-0.87</v>
      </c>
    </row>
    <row r="15581" spans="6:8">
      <c r="F15581" s="68" t="s">
        <v>125</v>
      </c>
      <c r="G15581" s="67" t="s">
        <v>638</v>
      </c>
      <c r="H15581" s="69">
        <v>-0.52</v>
      </c>
    </row>
    <row r="15582" spans="6:8">
      <c r="F15582" s="68" t="s">
        <v>314</v>
      </c>
      <c r="G15582" s="67" t="s">
        <v>638</v>
      </c>
      <c r="H15582" s="69">
        <v>-0.43</v>
      </c>
    </row>
    <row r="15583" spans="6:8">
      <c r="F15583" s="68" t="s">
        <v>252</v>
      </c>
      <c r="G15583" s="67" t="s">
        <v>638</v>
      </c>
      <c r="H15583" s="69">
        <v>0.26</v>
      </c>
    </row>
    <row r="15584" spans="6:8">
      <c r="F15584" s="68" t="s">
        <v>124</v>
      </c>
      <c r="G15584" s="67" t="s">
        <v>638</v>
      </c>
      <c r="H15584" s="69">
        <v>-0.53</v>
      </c>
    </row>
    <row r="15585" spans="6:8">
      <c r="F15585" s="68" t="s">
        <v>123</v>
      </c>
      <c r="G15585" s="67" t="s">
        <v>638</v>
      </c>
      <c r="H15585" s="69">
        <v>-0.8</v>
      </c>
    </row>
    <row r="15586" spans="6:8">
      <c r="F15586" s="68" t="s">
        <v>122</v>
      </c>
      <c r="G15586" s="67" t="s">
        <v>638</v>
      </c>
      <c r="H15586" s="69">
        <v>-0.68</v>
      </c>
    </row>
    <row r="15587" spans="6:8">
      <c r="F15587" s="68" t="s">
        <v>420</v>
      </c>
      <c r="G15587" s="67" t="s">
        <v>638</v>
      </c>
      <c r="H15587" s="69">
        <v>3.2144312113226103</v>
      </c>
    </row>
    <row r="15588" spans="6:8">
      <c r="F15588" s="68" t="s">
        <v>251</v>
      </c>
      <c r="G15588" s="67" t="s">
        <v>638</v>
      </c>
      <c r="H15588" s="69">
        <v>0.22</v>
      </c>
    </row>
    <row r="15589" spans="6:8">
      <c r="F15589" s="68" t="s">
        <v>121</v>
      </c>
      <c r="G15589" s="67" t="s">
        <v>638</v>
      </c>
      <c r="H15589" s="69">
        <v>-0.72</v>
      </c>
    </row>
    <row r="15590" spans="6:8">
      <c r="F15590" s="68" t="s">
        <v>120</v>
      </c>
      <c r="G15590" s="67" t="s">
        <v>638</v>
      </c>
      <c r="H15590" s="69">
        <v>-0.75</v>
      </c>
    </row>
    <row r="15591" spans="6:8">
      <c r="F15591" s="68" t="s">
        <v>119</v>
      </c>
      <c r="G15591" s="67" t="s">
        <v>638</v>
      </c>
      <c r="H15591" s="69">
        <v>-0.71</v>
      </c>
    </row>
    <row r="15592" spans="6:8">
      <c r="F15592" s="68" t="s">
        <v>119</v>
      </c>
      <c r="G15592" s="67" t="s">
        <v>639</v>
      </c>
      <c r="H15592" s="69">
        <v>-0.56000000000000005</v>
      </c>
    </row>
    <row r="15593" spans="6:8">
      <c r="F15593" s="68" t="s">
        <v>120</v>
      </c>
      <c r="G15593" s="67" t="s">
        <v>639</v>
      </c>
      <c r="H15593" s="69">
        <v>-0.69</v>
      </c>
    </row>
    <row r="15594" spans="6:8">
      <c r="F15594" s="68" t="s">
        <v>121</v>
      </c>
      <c r="G15594" s="67" t="s">
        <v>639</v>
      </c>
      <c r="H15594" s="69">
        <v>-0.55000000000000004</v>
      </c>
    </row>
    <row r="15595" spans="6:8">
      <c r="F15595" s="68" t="s">
        <v>251</v>
      </c>
      <c r="G15595" s="67" t="s">
        <v>639</v>
      </c>
      <c r="H15595" s="69">
        <v>0.21</v>
      </c>
    </row>
    <row r="15596" spans="6:8">
      <c r="F15596" s="68" t="s">
        <v>420</v>
      </c>
      <c r="G15596" s="67" t="s">
        <v>639</v>
      </c>
      <c r="H15596" s="69">
        <v>3.2062850314999114</v>
      </c>
    </row>
    <row r="15597" spans="6:8">
      <c r="F15597" s="68" t="s">
        <v>122</v>
      </c>
      <c r="G15597" s="67" t="s">
        <v>639</v>
      </c>
      <c r="H15597" s="69">
        <v>-0.51</v>
      </c>
    </row>
    <row r="15598" spans="6:8">
      <c r="F15598" s="68" t="s">
        <v>123</v>
      </c>
      <c r="G15598" s="67" t="s">
        <v>639</v>
      </c>
      <c r="H15598" s="69">
        <v>-0.79</v>
      </c>
    </row>
    <row r="15599" spans="6:8">
      <c r="F15599" s="68" t="s">
        <v>124</v>
      </c>
      <c r="G15599" s="67" t="s">
        <v>639</v>
      </c>
      <c r="H15599" s="69">
        <v>-0.45</v>
      </c>
    </row>
    <row r="15600" spans="6:8">
      <c r="F15600" s="68" t="s">
        <v>252</v>
      </c>
      <c r="G15600" s="67" t="s">
        <v>639</v>
      </c>
      <c r="H15600" s="69">
        <v>0.3</v>
      </c>
    </row>
    <row r="15601" spans="6:8">
      <c r="F15601" s="68" t="s">
        <v>314</v>
      </c>
      <c r="G15601" s="67" t="s">
        <v>639</v>
      </c>
      <c r="H15601" s="69">
        <v>-0.28000000000000003</v>
      </c>
    </row>
    <row r="15602" spans="6:8">
      <c r="F15602" s="68" t="s">
        <v>125</v>
      </c>
      <c r="G15602" s="67" t="s">
        <v>639</v>
      </c>
      <c r="H15602" s="69">
        <v>-0.38</v>
      </c>
    </row>
    <row r="15603" spans="6:8">
      <c r="F15603" s="68" t="s">
        <v>126</v>
      </c>
      <c r="G15603" s="67" t="s">
        <v>639</v>
      </c>
      <c r="H15603" s="69">
        <v>-0.79</v>
      </c>
    </row>
    <row r="15604" spans="6:8">
      <c r="F15604" s="68" t="s">
        <v>127</v>
      </c>
      <c r="G15604" s="67" t="s">
        <v>639</v>
      </c>
      <c r="H15604" s="69">
        <v>-0.45</v>
      </c>
    </row>
    <row r="15605" spans="6:8">
      <c r="F15605" s="68" t="s">
        <v>253</v>
      </c>
      <c r="G15605" s="67" t="s">
        <v>639</v>
      </c>
      <c r="H15605" s="69">
        <v>0.45</v>
      </c>
    </row>
    <row r="15606" spans="6:8">
      <c r="F15606" s="68" t="s">
        <v>315</v>
      </c>
      <c r="G15606" s="67" t="s">
        <v>639</v>
      </c>
      <c r="H15606" s="69">
        <v>-0.1</v>
      </c>
    </row>
    <row r="15607" spans="6:8">
      <c r="F15607" s="68" t="s">
        <v>128</v>
      </c>
      <c r="G15607" s="67" t="s">
        <v>639</v>
      </c>
      <c r="H15607" s="69">
        <v>-0.74</v>
      </c>
    </row>
    <row r="15608" spans="6:8">
      <c r="F15608" s="68" t="s">
        <v>129</v>
      </c>
      <c r="G15608" s="67" t="s">
        <v>639</v>
      </c>
      <c r="H15608" s="69">
        <v>-0.6</v>
      </c>
    </row>
    <row r="15609" spans="6:8">
      <c r="F15609" s="68" t="s">
        <v>254</v>
      </c>
      <c r="G15609" s="67" t="s">
        <v>639</v>
      </c>
      <c r="H15609" s="69">
        <v>0.63</v>
      </c>
    </row>
    <row r="15610" spans="6:8">
      <c r="F15610" s="68" t="s">
        <v>304</v>
      </c>
      <c r="G15610" s="67" t="s">
        <v>639</v>
      </c>
      <c r="H15610" s="69">
        <v>18.020833333333332</v>
      </c>
    </row>
    <row r="15611" spans="6:8">
      <c r="F15611" s="68" t="s">
        <v>421</v>
      </c>
      <c r="G15611" s="67" t="s">
        <v>639</v>
      </c>
      <c r="H15611" s="69">
        <v>2.1822914917457137</v>
      </c>
    </row>
    <row r="15612" spans="6:8">
      <c r="F15612" s="68" t="s">
        <v>567</v>
      </c>
      <c r="G15612" s="67" t="s">
        <v>639</v>
      </c>
      <c r="H15612" s="69">
        <v>-0.5</v>
      </c>
    </row>
    <row r="15613" spans="6:8">
      <c r="F15613" s="68" t="s">
        <v>130</v>
      </c>
      <c r="G15613" s="67" t="s">
        <v>639</v>
      </c>
      <c r="H15613" s="69">
        <v>-0.8</v>
      </c>
    </row>
    <row r="15614" spans="6:8">
      <c r="F15614" s="68" t="s">
        <v>131</v>
      </c>
      <c r="G15614" s="67" t="s">
        <v>639</v>
      </c>
      <c r="H15614" s="69">
        <v>-0.56999999999999995</v>
      </c>
    </row>
    <row r="15615" spans="6:8">
      <c r="F15615" s="68" t="s">
        <v>255</v>
      </c>
      <c r="G15615" s="67" t="s">
        <v>639</v>
      </c>
      <c r="H15615" s="69">
        <v>0.78</v>
      </c>
    </row>
    <row r="15616" spans="6:8">
      <c r="F15616" s="68" t="s">
        <v>303</v>
      </c>
      <c r="G15616" s="67" t="s">
        <v>639</v>
      </c>
      <c r="H15616" s="69">
        <v>19.104166666666668</v>
      </c>
    </row>
    <row r="15617" spans="6:8">
      <c r="F15617" s="68" t="s">
        <v>422</v>
      </c>
      <c r="G15617" s="67" t="s">
        <v>639</v>
      </c>
      <c r="H15617" s="69">
        <v>2.1883906735267633</v>
      </c>
    </row>
    <row r="15618" spans="6:8">
      <c r="F15618" s="68" t="s">
        <v>568</v>
      </c>
      <c r="G15618" s="67" t="s">
        <v>639</v>
      </c>
      <c r="H15618" s="69">
        <v>-0.17</v>
      </c>
    </row>
    <row r="15619" spans="6:8">
      <c r="F15619" s="68" t="s">
        <v>132</v>
      </c>
      <c r="G15619" s="67" t="s">
        <v>639</v>
      </c>
      <c r="H15619" s="69">
        <v>-0.7</v>
      </c>
    </row>
    <row r="15620" spans="6:8">
      <c r="F15620" s="68" t="s">
        <v>133</v>
      </c>
      <c r="G15620" s="67" t="s">
        <v>639</v>
      </c>
      <c r="H15620" s="69">
        <v>-0.62</v>
      </c>
    </row>
    <row r="15621" spans="6:8">
      <c r="F15621" s="68" t="s">
        <v>256</v>
      </c>
      <c r="G15621" s="67" t="s">
        <v>639</v>
      </c>
      <c r="H15621" s="69">
        <v>0.88</v>
      </c>
    </row>
    <row r="15622" spans="6:8">
      <c r="F15622" s="68" t="s">
        <v>423</v>
      </c>
      <c r="G15622" s="67" t="s">
        <v>639</v>
      </c>
      <c r="H15622" s="69">
        <v>2.2495470572577059</v>
      </c>
    </row>
    <row r="15623" spans="6:8">
      <c r="F15623" s="68" t="s">
        <v>569</v>
      </c>
      <c r="G15623" s="67" t="s">
        <v>639</v>
      </c>
      <c r="H15623" s="69">
        <v>-0.05</v>
      </c>
    </row>
    <row r="15624" spans="6:8">
      <c r="F15624" s="68" t="s">
        <v>134</v>
      </c>
      <c r="G15624" s="67" t="s">
        <v>639</v>
      </c>
      <c r="H15624" s="69">
        <v>-0.65</v>
      </c>
    </row>
    <row r="15625" spans="6:8">
      <c r="F15625" s="68" t="s">
        <v>135</v>
      </c>
      <c r="G15625" s="67" t="s">
        <v>639</v>
      </c>
      <c r="H15625" s="69">
        <v>-0.72</v>
      </c>
    </row>
    <row r="15626" spans="6:8">
      <c r="F15626" s="68" t="s">
        <v>257</v>
      </c>
      <c r="G15626" s="67" t="s">
        <v>639</v>
      </c>
      <c r="H15626" s="69">
        <v>0.95</v>
      </c>
    </row>
    <row r="15627" spans="6:8">
      <c r="F15627" s="68" t="s">
        <v>258</v>
      </c>
      <c r="G15627" s="67" t="s">
        <v>639</v>
      </c>
      <c r="H15627" s="69">
        <v>0.15</v>
      </c>
    </row>
    <row r="15628" spans="6:8">
      <c r="F15628" s="68" t="s">
        <v>424</v>
      </c>
      <c r="G15628" s="67" t="s">
        <v>639</v>
      </c>
      <c r="H15628" s="69">
        <v>2.9919947604269748</v>
      </c>
    </row>
    <row r="15629" spans="6:8">
      <c r="F15629" s="68" t="s">
        <v>136</v>
      </c>
      <c r="G15629" s="67" t="s">
        <v>639</v>
      </c>
      <c r="H15629" s="69">
        <v>-0.66</v>
      </c>
    </row>
    <row r="15630" spans="6:8">
      <c r="F15630" s="68" t="s">
        <v>137</v>
      </c>
      <c r="G15630" s="67" t="s">
        <v>639</v>
      </c>
      <c r="H15630" s="69">
        <v>-0.59</v>
      </c>
    </row>
    <row r="15631" spans="6:8">
      <c r="F15631" s="68" t="s">
        <v>138</v>
      </c>
      <c r="G15631" s="67" t="s">
        <v>639</v>
      </c>
      <c r="H15631" s="69">
        <v>-0.6</v>
      </c>
    </row>
    <row r="15632" spans="6:8">
      <c r="F15632" s="68" t="s">
        <v>259</v>
      </c>
      <c r="G15632" s="67" t="s">
        <v>639</v>
      </c>
      <c r="H15632" s="69">
        <v>0.16</v>
      </c>
    </row>
    <row r="15633" spans="6:8">
      <c r="F15633" s="68" t="s">
        <v>425</v>
      </c>
      <c r="G15633" s="67" t="s">
        <v>639</v>
      </c>
      <c r="H15633" s="69">
        <v>2.9896043099253422</v>
      </c>
    </row>
    <row r="15634" spans="6:8">
      <c r="F15634" s="68" t="s">
        <v>425</v>
      </c>
      <c r="G15634" s="67" t="s">
        <v>640</v>
      </c>
      <c r="H15634" s="69">
        <v>2.957800920047049</v>
      </c>
    </row>
    <row r="15635" spans="6:8">
      <c r="F15635" s="68" t="s">
        <v>259</v>
      </c>
      <c r="G15635" s="67" t="s">
        <v>640</v>
      </c>
      <c r="H15635" s="69">
        <v>0.16</v>
      </c>
    </row>
    <row r="15636" spans="6:8">
      <c r="F15636" s="68" t="s">
        <v>138</v>
      </c>
      <c r="G15636" s="67" t="s">
        <v>640</v>
      </c>
      <c r="H15636" s="69">
        <v>-0.6</v>
      </c>
    </row>
    <row r="15637" spans="6:8">
      <c r="F15637" s="68" t="s">
        <v>137</v>
      </c>
      <c r="G15637" s="67" t="s">
        <v>640</v>
      </c>
      <c r="H15637" s="69">
        <v>-0.59</v>
      </c>
    </row>
    <row r="15638" spans="6:8">
      <c r="F15638" s="68" t="s">
        <v>136</v>
      </c>
      <c r="G15638" s="67" t="s">
        <v>640</v>
      </c>
      <c r="H15638" s="69">
        <v>-0.66</v>
      </c>
    </row>
    <row r="15639" spans="6:8">
      <c r="F15639" s="68" t="s">
        <v>424</v>
      </c>
      <c r="G15639" s="67" t="s">
        <v>640</v>
      </c>
      <c r="H15639" s="69">
        <v>2.9663806121873915</v>
      </c>
    </row>
    <row r="15640" spans="6:8">
      <c r="F15640" s="68" t="s">
        <v>258</v>
      </c>
      <c r="G15640" s="67" t="s">
        <v>640</v>
      </c>
      <c r="H15640" s="69">
        <v>0.15</v>
      </c>
    </row>
    <row r="15641" spans="6:8">
      <c r="F15641" s="68" t="s">
        <v>257</v>
      </c>
      <c r="G15641" s="67" t="s">
        <v>640</v>
      </c>
      <c r="H15641" s="69">
        <v>0.95</v>
      </c>
    </row>
    <row r="15642" spans="6:8">
      <c r="F15642" s="68" t="s">
        <v>135</v>
      </c>
      <c r="G15642" s="67" t="s">
        <v>640</v>
      </c>
      <c r="H15642" s="69">
        <v>-0.72</v>
      </c>
    </row>
    <row r="15643" spans="6:8">
      <c r="F15643" s="68" t="s">
        <v>134</v>
      </c>
      <c r="G15643" s="67" t="s">
        <v>640</v>
      </c>
      <c r="H15643" s="69">
        <v>-0.65</v>
      </c>
    </row>
    <row r="15644" spans="6:8">
      <c r="F15644" s="68" t="s">
        <v>569</v>
      </c>
      <c r="G15644" s="67" t="s">
        <v>640</v>
      </c>
      <c r="H15644" s="69">
        <v>-0.05</v>
      </c>
    </row>
    <row r="15645" spans="6:8">
      <c r="F15645" s="68" t="s">
        <v>423</v>
      </c>
      <c r="G15645" s="67" t="s">
        <v>640</v>
      </c>
      <c r="H15645" s="69">
        <v>2.2360478061072442</v>
      </c>
    </row>
    <row r="15646" spans="6:8">
      <c r="F15646" s="68" t="s">
        <v>256</v>
      </c>
      <c r="G15646" s="67" t="s">
        <v>640</v>
      </c>
      <c r="H15646" s="69">
        <v>0.88</v>
      </c>
    </row>
    <row r="15647" spans="6:8">
      <c r="F15647" s="68" t="s">
        <v>133</v>
      </c>
      <c r="G15647" s="67" t="s">
        <v>640</v>
      </c>
      <c r="H15647" s="69">
        <v>-0.62</v>
      </c>
    </row>
    <row r="15648" spans="6:8">
      <c r="F15648" s="68" t="s">
        <v>132</v>
      </c>
      <c r="G15648" s="67" t="s">
        <v>640</v>
      </c>
      <c r="H15648" s="69">
        <v>-0.7</v>
      </c>
    </row>
    <row r="15649" spans="6:8">
      <c r="F15649" s="68" t="s">
        <v>568</v>
      </c>
      <c r="G15649" s="67" t="s">
        <v>640</v>
      </c>
      <c r="H15649" s="69">
        <v>-0.17</v>
      </c>
    </row>
    <row r="15650" spans="6:8">
      <c r="F15650" s="68" t="s">
        <v>422</v>
      </c>
      <c r="G15650" s="67" t="s">
        <v>640</v>
      </c>
      <c r="H15650" s="69">
        <v>2.1662817488311781</v>
      </c>
    </row>
    <row r="15651" spans="6:8">
      <c r="F15651" s="68" t="s">
        <v>303</v>
      </c>
      <c r="G15651" s="67" t="s">
        <v>640</v>
      </c>
      <c r="H15651" s="69">
        <v>19.104166666666668</v>
      </c>
    </row>
    <row r="15652" spans="6:8">
      <c r="F15652" s="68" t="s">
        <v>255</v>
      </c>
      <c r="G15652" s="67" t="s">
        <v>640</v>
      </c>
      <c r="H15652" s="69">
        <v>0.78</v>
      </c>
    </row>
    <row r="15653" spans="6:8">
      <c r="F15653" s="68" t="s">
        <v>131</v>
      </c>
      <c r="G15653" s="67" t="s">
        <v>640</v>
      </c>
      <c r="H15653" s="69">
        <v>-0.56999999999999995</v>
      </c>
    </row>
    <row r="15654" spans="6:8">
      <c r="F15654" s="68" t="s">
        <v>130</v>
      </c>
      <c r="G15654" s="67" t="s">
        <v>640</v>
      </c>
      <c r="H15654" s="69">
        <v>-0.8</v>
      </c>
    </row>
    <row r="15655" spans="6:8">
      <c r="F15655" s="68" t="s">
        <v>567</v>
      </c>
      <c r="G15655" s="67" t="s">
        <v>640</v>
      </c>
      <c r="H15655" s="69">
        <v>-0.5</v>
      </c>
    </row>
    <row r="15656" spans="6:8">
      <c r="F15656" s="68" t="s">
        <v>421</v>
      </c>
      <c r="G15656" s="67" t="s">
        <v>640</v>
      </c>
      <c r="H15656" s="69">
        <v>2.160244457344529</v>
      </c>
    </row>
    <row r="15657" spans="6:8">
      <c r="F15657" s="68" t="s">
        <v>304</v>
      </c>
      <c r="G15657" s="67" t="s">
        <v>640</v>
      </c>
      <c r="H15657" s="69">
        <v>18.104166666666668</v>
      </c>
    </row>
    <row r="15658" spans="6:8">
      <c r="F15658" s="68" t="s">
        <v>254</v>
      </c>
      <c r="G15658" s="67" t="s">
        <v>640</v>
      </c>
      <c r="H15658" s="69">
        <v>0.63</v>
      </c>
    </row>
    <row r="15659" spans="6:8">
      <c r="F15659" s="68" t="s">
        <v>129</v>
      </c>
      <c r="G15659" s="67" t="s">
        <v>640</v>
      </c>
      <c r="H15659" s="69">
        <v>-0.6</v>
      </c>
    </row>
    <row r="15660" spans="6:8">
      <c r="F15660" s="68" t="s">
        <v>128</v>
      </c>
      <c r="G15660" s="67" t="s">
        <v>640</v>
      </c>
      <c r="H15660" s="69">
        <v>-0.74</v>
      </c>
    </row>
    <row r="15661" spans="6:8">
      <c r="F15661" s="68" t="s">
        <v>315</v>
      </c>
      <c r="G15661" s="67" t="s">
        <v>640</v>
      </c>
      <c r="H15661" s="69">
        <v>-0.1</v>
      </c>
    </row>
    <row r="15662" spans="6:8">
      <c r="F15662" s="68" t="s">
        <v>253</v>
      </c>
      <c r="G15662" s="67" t="s">
        <v>640</v>
      </c>
      <c r="H15662" s="69">
        <v>0.45</v>
      </c>
    </row>
    <row r="15663" spans="6:8">
      <c r="F15663" s="68" t="s">
        <v>127</v>
      </c>
      <c r="G15663" s="67" t="s">
        <v>640</v>
      </c>
      <c r="H15663" s="69">
        <v>-0.45</v>
      </c>
    </row>
    <row r="15664" spans="6:8">
      <c r="F15664" s="68" t="s">
        <v>126</v>
      </c>
      <c r="G15664" s="67" t="s">
        <v>640</v>
      </c>
      <c r="H15664" s="69">
        <v>-0.79</v>
      </c>
    </row>
    <row r="15665" spans="6:8">
      <c r="F15665" s="68" t="s">
        <v>125</v>
      </c>
      <c r="G15665" s="67" t="s">
        <v>640</v>
      </c>
      <c r="H15665" s="69">
        <v>-0.38</v>
      </c>
    </row>
    <row r="15666" spans="6:8">
      <c r="F15666" s="68" t="s">
        <v>314</v>
      </c>
      <c r="G15666" s="67" t="s">
        <v>640</v>
      </c>
      <c r="H15666" s="69">
        <v>-0.28000000000000003</v>
      </c>
    </row>
    <row r="15667" spans="6:8">
      <c r="F15667" s="68" t="s">
        <v>252</v>
      </c>
      <c r="G15667" s="67" t="s">
        <v>640</v>
      </c>
      <c r="H15667" s="69">
        <v>0.3</v>
      </c>
    </row>
    <row r="15668" spans="6:8">
      <c r="F15668" s="68" t="s">
        <v>124</v>
      </c>
      <c r="G15668" s="67" t="s">
        <v>640</v>
      </c>
      <c r="H15668" s="69">
        <v>-0.45</v>
      </c>
    </row>
    <row r="15669" spans="6:8">
      <c r="F15669" s="68" t="s">
        <v>123</v>
      </c>
      <c r="G15669" s="67" t="s">
        <v>640</v>
      </c>
      <c r="H15669" s="69">
        <v>-0.79</v>
      </c>
    </row>
    <row r="15670" spans="6:8">
      <c r="F15670" s="68" t="s">
        <v>122</v>
      </c>
      <c r="G15670" s="67" t="s">
        <v>640</v>
      </c>
      <c r="H15670" s="69">
        <v>-0.51</v>
      </c>
    </row>
    <row r="15671" spans="6:8">
      <c r="F15671" s="68" t="s">
        <v>420</v>
      </c>
      <c r="G15671" s="67" t="s">
        <v>640</v>
      </c>
      <c r="H15671" s="69">
        <v>3.1863361498629672</v>
      </c>
    </row>
    <row r="15672" spans="6:8">
      <c r="F15672" s="68" t="s">
        <v>251</v>
      </c>
      <c r="G15672" s="67" t="s">
        <v>640</v>
      </c>
      <c r="H15672" s="69">
        <v>0.21</v>
      </c>
    </row>
    <row r="15673" spans="6:8">
      <c r="F15673" s="68" t="s">
        <v>121</v>
      </c>
      <c r="G15673" s="67" t="s">
        <v>640</v>
      </c>
      <c r="H15673" s="69">
        <v>-0.55000000000000004</v>
      </c>
    </row>
    <row r="15674" spans="6:8">
      <c r="F15674" s="68" t="s">
        <v>120</v>
      </c>
      <c r="G15674" s="67" t="s">
        <v>640</v>
      </c>
      <c r="H15674" s="69">
        <v>-0.69</v>
      </c>
    </row>
    <row r="15675" spans="6:8">
      <c r="F15675" s="68" t="s">
        <v>119</v>
      </c>
      <c r="G15675" s="67" t="s">
        <v>640</v>
      </c>
      <c r="H15675" s="69">
        <v>-0.56000000000000005</v>
      </c>
    </row>
    <row r="15676" spans="6:8">
      <c r="F15676" s="68" t="s">
        <v>119</v>
      </c>
      <c r="G15676" s="67" t="s">
        <v>641</v>
      </c>
      <c r="H15676" s="69">
        <v>-0.56000000000000005</v>
      </c>
    </row>
    <row r="15677" spans="6:8">
      <c r="F15677" s="68" t="s">
        <v>120</v>
      </c>
      <c r="G15677" s="67" t="s">
        <v>641</v>
      </c>
      <c r="H15677" s="69">
        <v>-0.69</v>
      </c>
    </row>
    <row r="15678" spans="6:8">
      <c r="F15678" s="68" t="s">
        <v>121</v>
      </c>
      <c r="G15678" s="67" t="s">
        <v>641</v>
      </c>
      <c r="H15678" s="69">
        <v>-0.55000000000000004</v>
      </c>
    </row>
    <row r="15679" spans="6:8">
      <c r="F15679" s="68" t="s">
        <v>251</v>
      </c>
      <c r="G15679" s="67" t="s">
        <v>641</v>
      </c>
      <c r="H15679" s="69">
        <v>0.21</v>
      </c>
    </row>
    <row r="15680" spans="6:8">
      <c r="F15680" s="68" t="s">
        <v>420</v>
      </c>
      <c r="G15680" s="67" t="s">
        <v>641</v>
      </c>
      <c r="H15680" s="69">
        <v>3.0965824543668141</v>
      </c>
    </row>
    <row r="15681" spans="6:8">
      <c r="F15681" s="68" t="s">
        <v>122</v>
      </c>
      <c r="G15681" s="67" t="s">
        <v>641</v>
      </c>
      <c r="H15681" s="69">
        <v>-0.51</v>
      </c>
    </row>
    <row r="15682" spans="6:8">
      <c r="F15682" s="68" t="s">
        <v>123</v>
      </c>
      <c r="G15682" s="67" t="s">
        <v>641</v>
      </c>
      <c r="H15682" s="69">
        <v>-0.79</v>
      </c>
    </row>
    <row r="15683" spans="6:8">
      <c r="F15683" s="68" t="s">
        <v>124</v>
      </c>
      <c r="G15683" s="67" t="s">
        <v>641</v>
      </c>
      <c r="H15683" s="69">
        <v>-0.45</v>
      </c>
    </row>
    <row r="15684" spans="6:8">
      <c r="F15684" s="68" t="s">
        <v>252</v>
      </c>
      <c r="G15684" s="67" t="s">
        <v>641</v>
      </c>
      <c r="H15684" s="69">
        <v>0.3</v>
      </c>
    </row>
    <row r="15685" spans="6:8">
      <c r="F15685" s="68" t="s">
        <v>314</v>
      </c>
      <c r="G15685" s="67" t="s">
        <v>641</v>
      </c>
      <c r="H15685" s="69">
        <v>-0.28000000000000003</v>
      </c>
    </row>
    <row r="15686" spans="6:8">
      <c r="F15686" s="68" t="s">
        <v>125</v>
      </c>
      <c r="G15686" s="67" t="s">
        <v>641</v>
      </c>
      <c r="H15686" s="69">
        <v>-0.38</v>
      </c>
    </row>
    <row r="15687" spans="6:8">
      <c r="F15687" s="68" t="s">
        <v>126</v>
      </c>
      <c r="G15687" s="67" t="s">
        <v>641</v>
      </c>
      <c r="H15687" s="69">
        <v>-0.79</v>
      </c>
    </row>
    <row r="15688" spans="6:8">
      <c r="F15688" s="68" t="s">
        <v>127</v>
      </c>
      <c r="G15688" s="67" t="s">
        <v>641</v>
      </c>
      <c r="H15688" s="69">
        <v>-0.45</v>
      </c>
    </row>
    <row r="15689" spans="6:8">
      <c r="F15689" s="68" t="s">
        <v>253</v>
      </c>
      <c r="G15689" s="67" t="s">
        <v>641</v>
      </c>
      <c r="H15689" s="69">
        <v>0.45</v>
      </c>
    </row>
    <row r="15690" spans="6:8">
      <c r="F15690" s="68" t="s">
        <v>315</v>
      </c>
      <c r="G15690" s="67" t="s">
        <v>641</v>
      </c>
      <c r="H15690" s="69">
        <v>-0.1</v>
      </c>
    </row>
    <row r="15691" spans="6:8">
      <c r="F15691" s="68" t="s">
        <v>128</v>
      </c>
      <c r="G15691" s="67" t="s">
        <v>641</v>
      </c>
      <c r="H15691" s="69">
        <v>-0.74</v>
      </c>
    </row>
    <row r="15692" spans="6:8">
      <c r="F15692" s="68" t="s">
        <v>129</v>
      </c>
      <c r="G15692" s="67" t="s">
        <v>641</v>
      </c>
      <c r="H15692" s="69">
        <v>-0.6</v>
      </c>
    </row>
    <row r="15693" spans="6:8">
      <c r="F15693" s="68" t="s">
        <v>254</v>
      </c>
      <c r="G15693" s="67" t="s">
        <v>641</v>
      </c>
      <c r="H15693" s="69">
        <v>0.63</v>
      </c>
    </row>
    <row r="15694" spans="6:8">
      <c r="F15694" s="68" t="s">
        <v>304</v>
      </c>
      <c r="G15694" s="67" t="s">
        <v>641</v>
      </c>
      <c r="H15694" s="69">
        <v>17.885416666666668</v>
      </c>
    </row>
    <row r="15695" spans="6:8">
      <c r="F15695" s="68" t="s">
        <v>421</v>
      </c>
      <c r="G15695" s="67" t="s">
        <v>641</v>
      </c>
      <c r="H15695" s="69">
        <v>2.0428595634877311</v>
      </c>
    </row>
    <row r="15696" spans="6:8">
      <c r="F15696" s="68" t="s">
        <v>567</v>
      </c>
      <c r="G15696" s="67" t="s">
        <v>641</v>
      </c>
      <c r="H15696" s="69">
        <v>-0.5</v>
      </c>
    </row>
    <row r="15697" spans="6:8">
      <c r="F15697" s="68" t="s">
        <v>130</v>
      </c>
      <c r="G15697" s="67" t="s">
        <v>641</v>
      </c>
      <c r="H15697" s="69">
        <v>-0.8</v>
      </c>
    </row>
    <row r="15698" spans="6:8">
      <c r="F15698" s="68" t="s">
        <v>131</v>
      </c>
      <c r="G15698" s="67" t="s">
        <v>641</v>
      </c>
      <c r="H15698" s="69">
        <v>-0.56999999999999995</v>
      </c>
    </row>
    <row r="15699" spans="6:8">
      <c r="F15699" s="68" t="s">
        <v>255</v>
      </c>
      <c r="G15699" s="67" t="s">
        <v>641</v>
      </c>
      <c r="H15699" s="69">
        <v>0.78</v>
      </c>
    </row>
    <row r="15700" spans="6:8">
      <c r="F15700" s="68" t="s">
        <v>303</v>
      </c>
      <c r="G15700" s="67" t="s">
        <v>641</v>
      </c>
      <c r="H15700" s="69">
        <v>18.958333333333332</v>
      </c>
    </row>
    <row r="15701" spans="6:8">
      <c r="F15701" s="68" t="s">
        <v>422</v>
      </c>
      <c r="G15701" s="67" t="s">
        <v>641</v>
      </c>
      <c r="H15701" s="69">
        <v>2.0489689898972152</v>
      </c>
    </row>
    <row r="15702" spans="6:8">
      <c r="F15702" s="68" t="s">
        <v>568</v>
      </c>
      <c r="G15702" s="67" t="s">
        <v>641</v>
      </c>
      <c r="H15702" s="69">
        <v>-0.17</v>
      </c>
    </row>
    <row r="15703" spans="6:8">
      <c r="F15703" s="68" t="s">
        <v>132</v>
      </c>
      <c r="G15703" s="67" t="s">
        <v>641</v>
      </c>
      <c r="H15703" s="69">
        <v>-0.7</v>
      </c>
    </row>
    <row r="15704" spans="6:8">
      <c r="F15704" s="68" t="s">
        <v>133</v>
      </c>
      <c r="G15704" s="67" t="s">
        <v>641</v>
      </c>
      <c r="H15704" s="69">
        <v>-0.62</v>
      </c>
    </row>
    <row r="15705" spans="6:8">
      <c r="F15705" s="68" t="s">
        <v>256</v>
      </c>
      <c r="G15705" s="67" t="s">
        <v>641</v>
      </c>
      <c r="H15705" s="69">
        <v>0.88</v>
      </c>
    </row>
    <row r="15706" spans="6:8">
      <c r="F15706" s="68" t="s">
        <v>423</v>
      </c>
      <c r="G15706" s="67" t="s">
        <v>641</v>
      </c>
      <c r="H15706" s="69">
        <v>2.1640090300552028</v>
      </c>
    </row>
    <row r="15707" spans="6:8">
      <c r="F15707" s="68" t="s">
        <v>569</v>
      </c>
      <c r="G15707" s="67" t="s">
        <v>641</v>
      </c>
      <c r="H15707" s="69">
        <v>-0.05</v>
      </c>
    </row>
    <row r="15708" spans="6:8">
      <c r="F15708" s="68" t="s">
        <v>134</v>
      </c>
      <c r="G15708" s="67" t="s">
        <v>641</v>
      </c>
      <c r="H15708" s="69">
        <v>-0.65</v>
      </c>
    </row>
    <row r="15709" spans="6:8">
      <c r="F15709" s="68" t="s">
        <v>135</v>
      </c>
      <c r="G15709" s="67" t="s">
        <v>641</v>
      </c>
      <c r="H15709" s="69">
        <v>-0.72</v>
      </c>
    </row>
    <row r="15710" spans="6:8">
      <c r="F15710" s="68" t="s">
        <v>257</v>
      </c>
      <c r="G15710" s="67" t="s">
        <v>641</v>
      </c>
      <c r="H15710" s="69">
        <v>0.95</v>
      </c>
    </row>
    <row r="15711" spans="6:8">
      <c r="F15711" s="68" t="s">
        <v>258</v>
      </c>
      <c r="G15711" s="67" t="s">
        <v>641</v>
      </c>
      <c r="H15711" s="69">
        <v>0.15</v>
      </c>
    </row>
    <row r="15712" spans="6:8">
      <c r="F15712" s="68" t="s">
        <v>424</v>
      </c>
      <c r="G15712" s="67" t="s">
        <v>641</v>
      </c>
      <c r="H15712" s="69">
        <v>2.8541524859532874</v>
      </c>
    </row>
    <row r="15713" spans="6:8">
      <c r="F15713" s="68" t="s">
        <v>136</v>
      </c>
      <c r="G15713" s="67" t="s">
        <v>641</v>
      </c>
      <c r="H15713" s="69">
        <v>-0.66</v>
      </c>
    </row>
    <row r="15714" spans="6:8">
      <c r="F15714" s="68" t="s">
        <v>137</v>
      </c>
      <c r="G15714" s="67" t="s">
        <v>641</v>
      </c>
      <c r="H15714" s="69">
        <v>-0.59</v>
      </c>
    </row>
    <row r="15715" spans="6:8">
      <c r="F15715" s="68" t="s">
        <v>138</v>
      </c>
      <c r="G15715" s="67" t="s">
        <v>641</v>
      </c>
      <c r="H15715" s="69">
        <v>-0.6</v>
      </c>
    </row>
    <row r="15716" spans="6:8">
      <c r="F15716" s="68" t="s">
        <v>259</v>
      </c>
      <c r="G15716" s="67" t="s">
        <v>641</v>
      </c>
      <c r="H15716" s="69">
        <v>0.16</v>
      </c>
    </row>
    <row r="15717" spans="6:8">
      <c r="F15717" s="68" t="s">
        <v>425</v>
      </c>
      <c r="G15717" s="67" t="s">
        <v>641</v>
      </c>
      <c r="H15717" s="69">
        <v>2.839558365674888</v>
      </c>
    </row>
    <row r="15718" spans="6:8">
      <c r="F15718" s="68" t="s">
        <v>425</v>
      </c>
      <c r="G15718" s="67" t="s">
        <v>642</v>
      </c>
      <c r="H15718" s="69">
        <v>2.8761804042281014</v>
      </c>
    </row>
    <row r="15719" spans="6:8">
      <c r="F15719" s="68" t="s">
        <v>259</v>
      </c>
      <c r="G15719" s="67" t="s">
        <v>642</v>
      </c>
      <c r="H15719" s="69">
        <v>0.19</v>
      </c>
    </row>
    <row r="15720" spans="6:8">
      <c r="F15720" s="68" t="s">
        <v>138</v>
      </c>
      <c r="G15720" s="67" t="s">
        <v>642</v>
      </c>
      <c r="H15720" s="69">
        <v>-0.74</v>
      </c>
    </row>
    <row r="15721" spans="6:8">
      <c r="F15721" s="68" t="s">
        <v>137</v>
      </c>
      <c r="G15721" s="67" t="s">
        <v>642</v>
      </c>
      <c r="H15721" s="69">
        <v>-0.66</v>
      </c>
    </row>
    <row r="15722" spans="6:8">
      <c r="F15722" s="68" t="s">
        <v>136</v>
      </c>
      <c r="G15722" s="67" t="s">
        <v>642</v>
      </c>
      <c r="H15722" s="69">
        <v>-0.79</v>
      </c>
    </row>
    <row r="15723" spans="6:8">
      <c r="F15723" s="68" t="s">
        <v>424</v>
      </c>
      <c r="G15723" s="67" t="s">
        <v>642</v>
      </c>
      <c r="H15723" s="69">
        <v>2.8897157895550585</v>
      </c>
    </row>
    <row r="15724" spans="6:8">
      <c r="F15724" s="68" t="s">
        <v>258</v>
      </c>
      <c r="G15724" s="67" t="s">
        <v>642</v>
      </c>
      <c r="H15724" s="69">
        <v>0.15</v>
      </c>
    </row>
    <row r="15725" spans="6:8">
      <c r="F15725" s="68" t="s">
        <v>257</v>
      </c>
      <c r="G15725" s="67" t="s">
        <v>642</v>
      </c>
      <c r="H15725" s="69">
        <v>0.87</v>
      </c>
    </row>
    <row r="15726" spans="6:8">
      <c r="F15726" s="68" t="s">
        <v>135</v>
      </c>
      <c r="G15726" s="67" t="s">
        <v>642</v>
      </c>
      <c r="H15726" s="69">
        <v>-0.8</v>
      </c>
    </row>
    <row r="15727" spans="6:8">
      <c r="F15727" s="68" t="s">
        <v>134</v>
      </c>
      <c r="G15727" s="67" t="s">
        <v>642</v>
      </c>
      <c r="H15727" s="69">
        <v>-0.82</v>
      </c>
    </row>
    <row r="15728" spans="6:8">
      <c r="F15728" s="68" t="s">
        <v>569</v>
      </c>
      <c r="G15728" s="67" t="s">
        <v>642</v>
      </c>
      <c r="H15728" s="69">
        <v>-0.18</v>
      </c>
    </row>
    <row r="15729" spans="6:8">
      <c r="F15729" s="68" t="s">
        <v>423</v>
      </c>
      <c r="G15729" s="67" t="s">
        <v>642</v>
      </c>
      <c r="H15729" s="69">
        <v>2.1889489296026632</v>
      </c>
    </row>
    <row r="15730" spans="6:8">
      <c r="F15730" s="68" t="s">
        <v>256</v>
      </c>
      <c r="G15730" s="67" t="s">
        <v>642</v>
      </c>
      <c r="H15730" s="69">
        <v>0.82</v>
      </c>
    </row>
    <row r="15731" spans="6:8">
      <c r="F15731" s="68" t="s">
        <v>133</v>
      </c>
      <c r="G15731" s="67" t="s">
        <v>642</v>
      </c>
      <c r="H15731" s="69">
        <v>-0.64</v>
      </c>
    </row>
    <row r="15732" spans="6:8">
      <c r="F15732" s="68" t="s">
        <v>132</v>
      </c>
      <c r="G15732" s="67" t="s">
        <v>642</v>
      </c>
      <c r="H15732" s="69">
        <v>-0.86</v>
      </c>
    </row>
    <row r="15733" spans="6:8">
      <c r="F15733" s="68" t="s">
        <v>568</v>
      </c>
      <c r="G15733" s="67" t="s">
        <v>642</v>
      </c>
      <c r="H15733" s="69">
        <v>-0.35</v>
      </c>
    </row>
    <row r="15734" spans="6:8">
      <c r="F15734" s="68" t="s">
        <v>422</v>
      </c>
      <c r="G15734" s="67" t="s">
        <v>642</v>
      </c>
      <c r="H15734" s="69">
        <v>2.0875626365573385</v>
      </c>
    </row>
    <row r="15735" spans="6:8">
      <c r="F15735" s="68" t="s">
        <v>303</v>
      </c>
      <c r="G15735" s="67" t="s">
        <v>642</v>
      </c>
      <c r="H15735" s="69">
        <v>19</v>
      </c>
    </row>
    <row r="15736" spans="6:8">
      <c r="F15736" s="68" t="s">
        <v>255</v>
      </c>
      <c r="G15736" s="67" t="s">
        <v>642</v>
      </c>
      <c r="H15736" s="69">
        <v>0.73</v>
      </c>
    </row>
    <row r="15737" spans="6:8">
      <c r="F15737" s="68" t="s">
        <v>131</v>
      </c>
      <c r="G15737" s="67" t="s">
        <v>642</v>
      </c>
      <c r="H15737" s="69">
        <v>-0.56999999999999995</v>
      </c>
    </row>
    <row r="15738" spans="6:8">
      <c r="F15738" s="68" t="s">
        <v>130</v>
      </c>
      <c r="G15738" s="67" t="s">
        <v>642</v>
      </c>
      <c r="H15738" s="69">
        <v>-0.96</v>
      </c>
    </row>
    <row r="15739" spans="6:8">
      <c r="F15739" s="68" t="s">
        <v>567</v>
      </c>
      <c r="G15739" s="67" t="s">
        <v>642</v>
      </c>
      <c r="H15739" s="69">
        <v>-0.68</v>
      </c>
    </row>
    <row r="15740" spans="6:8">
      <c r="F15740" s="68" t="s">
        <v>421</v>
      </c>
      <c r="G15740" s="67" t="s">
        <v>642</v>
      </c>
      <c r="H15740" s="69">
        <v>2.0813583645664657</v>
      </c>
    </row>
    <row r="15741" spans="6:8">
      <c r="F15741" s="68" t="s">
        <v>304</v>
      </c>
      <c r="G15741" s="67" t="s">
        <v>642</v>
      </c>
      <c r="H15741" s="69">
        <v>17.916666666666668</v>
      </c>
    </row>
    <row r="15742" spans="6:8">
      <c r="F15742" s="68" t="s">
        <v>254</v>
      </c>
      <c r="G15742" s="67" t="s">
        <v>642</v>
      </c>
      <c r="H15742" s="69">
        <v>0.57999999999999996</v>
      </c>
    </row>
    <row r="15743" spans="6:8">
      <c r="F15743" s="68" t="s">
        <v>129</v>
      </c>
      <c r="G15743" s="67" t="s">
        <v>642</v>
      </c>
      <c r="H15743" s="69">
        <v>-0.73</v>
      </c>
    </row>
    <row r="15744" spans="6:8">
      <c r="F15744" s="68" t="s">
        <v>128</v>
      </c>
      <c r="G15744" s="67" t="s">
        <v>642</v>
      </c>
      <c r="H15744" s="69">
        <v>-0.85</v>
      </c>
    </row>
    <row r="15745" spans="6:8">
      <c r="F15745" s="68" t="s">
        <v>315</v>
      </c>
      <c r="G15745" s="67" t="s">
        <v>642</v>
      </c>
      <c r="H15745" s="69">
        <v>-0.19</v>
      </c>
    </row>
    <row r="15746" spans="6:8">
      <c r="F15746" s="68" t="s">
        <v>253</v>
      </c>
      <c r="G15746" s="67" t="s">
        <v>642</v>
      </c>
      <c r="H15746" s="69">
        <v>0.45</v>
      </c>
    </row>
    <row r="15747" spans="6:8">
      <c r="F15747" s="68" t="s">
        <v>127</v>
      </c>
      <c r="G15747" s="67" t="s">
        <v>642</v>
      </c>
      <c r="H15747" s="69">
        <v>-0.43</v>
      </c>
    </row>
    <row r="15748" spans="6:8">
      <c r="F15748" s="68" t="s">
        <v>126</v>
      </c>
      <c r="G15748" s="67" t="s">
        <v>642</v>
      </c>
      <c r="H15748" s="69">
        <v>-0.88</v>
      </c>
    </row>
    <row r="15749" spans="6:8">
      <c r="F15749" s="68" t="s">
        <v>125</v>
      </c>
      <c r="G15749" s="67" t="s">
        <v>642</v>
      </c>
      <c r="H15749" s="69">
        <v>-0.53</v>
      </c>
    </row>
    <row r="15750" spans="6:8">
      <c r="F15750" s="68" t="s">
        <v>314</v>
      </c>
      <c r="G15750" s="67" t="s">
        <v>642</v>
      </c>
      <c r="H15750" s="69">
        <v>-0.41</v>
      </c>
    </row>
    <row r="15751" spans="6:8">
      <c r="F15751" s="68" t="s">
        <v>252</v>
      </c>
      <c r="G15751" s="67" t="s">
        <v>642</v>
      </c>
      <c r="H15751" s="69">
        <v>0.27</v>
      </c>
    </row>
    <row r="15752" spans="6:8">
      <c r="F15752" s="68" t="s">
        <v>124</v>
      </c>
      <c r="G15752" s="67" t="s">
        <v>642</v>
      </c>
      <c r="H15752" s="69">
        <v>-0.5</v>
      </c>
    </row>
    <row r="15753" spans="6:8">
      <c r="F15753" s="68" t="s">
        <v>123</v>
      </c>
      <c r="G15753" s="67" t="s">
        <v>642</v>
      </c>
      <c r="H15753" s="69">
        <v>-0.95</v>
      </c>
    </row>
    <row r="15754" spans="6:8">
      <c r="F15754" s="68" t="s">
        <v>122</v>
      </c>
      <c r="G15754" s="67" t="s">
        <v>642</v>
      </c>
      <c r="H15754" s="69">
        <v>-0.64</v>
      </c>
    </row>
    <row r="15755" spans="6:8">
      <c r="F15755" s="68" t="s">
        <v>420</v>
      </c>
      <c r="G15755" s="67" t="s">
        <v>642</v>
      </c>
      <c r="H15755" s="69">
        <v>3.1236000383689344</v>
      </c>
    </row>
    <row r="15756" spans="6:8">
      <c r="F15756" s="68" t="s">
        <v>251</v>
      </c>
      <c r="G15756" s="67" t="s">
        <v>642</v>
      </c>
      <c r="H15756" s="69">
        <v>0.21</v>
      </c>
    </row>
    <row r="15757" spans="6:8">
      <c r="F15757" s="68" t="s">
        <v>121</v>
      </c>
      <c r="G15757" s="67" t="s">
        <v>642</v>
      </c>
      <c r="H15757" s="69">
        <v>-0.64</v>
      </c>
    </row>
    <row r="15758" spans="6:8">
      <c r="F15758" s="68" t="s">
        <v>120</v>
      </c>
      <c r="G15758" s="67" t="s">
        <v>642</v>
      </c>
      <c r="H15758" s="69">
        <v>-0.81</v>
      </c>
    </row>
    <row r="15759" spans="6:8">
      <c r="F15759" s="68" t="s">
        <v>119</v>
      </c>
      <c r="G15759" s="67" t="s">
        <v>642</v>
      </c>
      <c r="H15759" s="69">
        <v>-0.68</v>
      </c>
    </row>
    <row r="15760" spans="6:8">
      <c r="F15760" s="68" t="s">
        <v>119</v>
      </c>
      <c r="G15760" s="67" t="s">
        <v>643</v>
      </c>
      <c r="H15760" s="69">
        <v>-0.68</v>
      </c>
    </row>
    <row r="15761" spans="6:8">
      <c r="F15761" s="68" t="s">
        <v>120</v>
      </c>
      <c r="G15761" s="67" t="s">
        <v>643</v>
      </c>
      <c r="H15761" s="69">
        <v>-0.81</v>
      </c>
    </row>
    <row r="15762" spans="6:8">
      <c r="F15762" s="68" t="s">
        <v>121</v>
      </c>
      <c r="G15762" s="67" t="s">
        <v>643</v>
      </c>
      <c r="H15762" s="69">
        <v>-0.64</v>
      </c>
    </row>
    <row r="15763" spans="6:8">
      <c r="F15763" s="68" t="s">
        <v>251</v>
      </c>
      <c r="G15763" s="67" t="s">
        <v>643</v>
      </c>
      <c r="H15763" s="69">
        <v>0.21</v>
      </c>
    </row>
    <row r="15764" spans="6:8">
      <c r="F15764" s="68" t="s">
        <v>420</v>
      </c>
      <c r="G15764" s="67" t="s">
        <v>643</v>
      </c>
      <c r="H15764" s="69">
        <v>3.1327170492887468</v>
      </c>
    </row>
    <row r="15765" spans="6:8">
      <c r="F15765" s="68" t="s">
        <v>122</v>
      </c>
      <c r="G15765" s="67" t="s">
        <v>643</v>
      </c>
      <c r="H15765" s="69">
        <v>-0.64</v>
      </c>
    </row>
    <row r="15766" spans="6:8">
      <c r="F15766" s="68" t="s">
        <v>123</v>
      </c>
      <c r="G15766" s="67" t="s">
        <v>643</v>
      </c>
      <c r="H15766" s="69">
        <v>-0.95</v>
      </c>
    </row>
    <row r="15767" spans="6:8">
      <c r="F15767" s="68" t="s">
        <v>124</v>
      </c>
      <c r="G15767" s="67" t="s">
        <v>643</v>
      </c>
      <c r="H15767" s="69">
        <v>-0.5</v>
      </c>
    </row>
    <row r="15768" spans="6:8">
      <c r="F15768" s="68" t="s">
        <v>252</v>
      </c>
      <c r="G15768" s="67" t="s">
        <v>643</v>
      </c>
      <c r="H15768" s="69">
        <v>0.27</v>
      </c>
    </row>
    <row r="15769" spans="6:8">
      <c r="F15769" s="68" t="s">
        <v>314</v>
      </c>
      <c r="G15769" s="67" t="s">
        <v>643</v>
      </c>
      <c r="H15769" s="69">
        <v>-0.41</v>
      </c>
    </row>
    <row r="15770" spans="6:8">
      <c r="F15770" s="68" t="s">
        <v>125</v>
      </c>
      <c r="G15770" s="67" t="s">
        <v>643</v>
      </c>
      <c r="H15770" s="69">
        <v>-0.53</v>
      </c>
    </row>
    <row r="15771" spans="6:8">
      <c r="F15771" s="68" t="s">
        <v>126</v>
      </c>
      <c r="G15771" s="67" t="s">
        <v>643</v>
      </c>
      <c r="H15771" s="69">
        <v>-0.88</v>
      </c>
    </row>
    <row r="15772" spans="6:8">
      <c r="F15772" s="68" t="s">
        <v>127</v>
      </c>
      <c r="G15772" s="67" t="s">
        <v>643</v>
      </c>
      <c r="H15772" s="69">
        <v>-0.43</v>
      </c>
    </row>
    <row r="15773" spans="6:8">
      <c r="F15773" s="68" t="s">
        <v>253</v>
      </c>
      <c r="G15773" s="67" t="s">
        <v>643</v>
      </c>
      <c r="H15773" s="69">
        <v>0.45</v>
      </c>
    </row>
    <row r="15774" spans="6:8">
      <c r="F15774" s="68" t="s">
        <v>315</v>
      </c>
      <c r="G15774" s="67" t="s">
        <v>643</v>
      </c>
      <c r="H15774" s="69">
        <v>-0.19</v>
      </c>
    </row>
    <row r="15775" spans="6:8">
      <c r="F15775" s="68" t="s">
        <v>128</v>
      </c>
      <c r="G15775" s="67" t="s">
        <v>643</v>
      </c>
      <c r="H15775" s="69">
        <v>-0.85</v>
      </c>
    </row>
    <row r="15776" spans="6:8">
      <c r="F15776" s="68" t="s">
        <v>129</v>
      </c>
      <c r="G15776" s="67" t="s">
        <v>643</v>
      </c>
      <c r="H15776" s="69">
        <v>-0.73</v>
      </c>
    </row>
    <row r="15777" spans="6:8">
      <c r="F15777" s="68" t="s">
        <v>254</v>
      </c>
      <c r="G15777" s="67" t="s">
        <v>643</v>
      </c>
      <c r="H15777" s="69">
        <v>0.57999999999999996</v>
      </c>
    </row>
    <row r="15778" spans="6:8">
      <c r="F15778" s="68" t="s">
        <v>304</v>
      </c>
      <c r="G15778" s="67" t="s">
        <v>643</v>
      </c>
      <c r="H15778" s="69">
        <v>17.916666666666668</v>
      </c>
    </row>
    <row r="15779" spans="6:8">
      <c r="F15779" s="68" t="s">
        <v>421</v>
      </c>
      <c r="G15779" s="67" t="s">
        <v>643</v>
      </c>
      <c r="H15779" s="69">
        <v>2.0858790110691139</v>
      </c>
    </row>
    <row r="15780" spans="6:8">
      <c r="F15780" s="68" t="s">
        <v>567</v>
      </c>
      <c r="G15780" s="67" t="s">
        <v>643</v>
      </c>
      <c r="H15780" s="69">
        <v>-0.68</v>
      </c>
    </row>
    <row r="15781" spans="6:8">
      <c r="F15781" s="68" t="s">
        <v>130</v>
      </c>
      <c r="G15781" s="67" t="s">
        <v>643</v>
      </c>
      <c r="H15781" s="69">
        <v>-0.96</v>
      </c>
    </row>
    <row r="15782" spans="6:8">
      <c r="F15782" s="68" t="s">
        <v>131</v>
      </c>
      <c r="G15782" s="67" t="s">
        <v>643</v>
      </c>
      <c r="H15782" s="69">
        <v>-0.56999999999999995</v>
      </c>
    </row>
    <row r="15783" spans="6:8">
      <c r="F15783" s="68" t="s">
        <v>255</v>
      </c>
      <c r="G15783" s="67" t="s">
        <v>643</v>
      </c>
      <c r="H15783" s="69">
        <v>0.73</v>
      </c>
    </row>
    <row r="15784" spans="6:8">
      <c r="F15784" s="68" t="s">
        <v>303</v>
      </c>
      <c r="G15784" s="67" t="s">
        <v>643</v>
      </c>
      <c r="H15784" s="69">
        <v>19.041666666666668</v>
      </c>
    </row>
    <row r="15785" spans="6:8">
      <c r="F15785" s="68" t="s">
        <v>422</v>
      </c>
      <c r="G15785" s="67" t="s">
        <v>643</v>
      </c>
      <c r="H15785" s="69">
        <v>2.0920555686971376</v>
      </c>
    </row>
    <row r="15786" spans="6:8">
      <c r="F15786" s="68" t="s">
        <v>568</v>
      </c>
      <c r="G15786" s="67" t="s">
        <v>643</v>
      </c>
      <c r="H15786" s="69">
        <v>-0.35</v>
      </c>
    </row>
    <row r="15787" spans="6:8">
      <c r="F15787" s="68" t="s">
        <v>132</v>
      </c>
      <c r="G15787" s="67" t="s">
        <v>643</v>
      </c>
      <c r="H15787" s="69">
        <v>-0.86</v>
      </c>
    </row>
    <row r="15788" spans="6:8">
      <c r="F15788" s="68" t="s">
        <v>133</v>
      </c>
      <c r="G15788" s="67" t="s">
        <v>643</v>
      </c>
      <c r="H15788" s="69">
        <v>-0.64</v>
      </c>
    </row>
    <row r="15789" spans="6:8">
      <c r="F15789" s="68" t="s">
        <v>256</v>
      </c>
      <c r="G15789" s="67" t="s">
        <v>643</v>
      </c>
      <c r="H15789" s="69">
        <v>0.82</v>
      </c>
    </row>
    <row r="15790" spans="6:8">
      <c r="F15790" s="68" t="s">
        <v>423</v>
      </c>
      <c r="G15790" s="67" t="s">
        <v>643</v>
      </c>
      <c r="H15790" s="69">
        <v>2.1970097171687186</v>
      </c>
    </row>
    <row r="15791" spans="6:8">
      <c r="F15791" s="68" t="s">
        <v>569</v>
      </c>
      <c r="G15791" s="67" t="s">
        <v>643</v>
      </c>
      <c r="H15791" s="69">
        <v>-0.18</v>
      </c>
    </row>
    <row r="15792" spans="6:8">
      <c r="F15792" s="68" t="s">
        <v>134</v>
      </c>
      <c r="G15792" s="67" t="s">
        <v>643</v>
      </c>
      <c r="H15792" s="69">
        <v>-0.82</v>
      </c>
    </row>
    <row r="15793" spans="6:8">
      <c r="F15793" s="68" t="s">
        <v>135</v>
      </c>
      <c r="G15793" s="67" t="s">
        <v>643</v>
      </c>
      <c r="H15793" s="69">
        <v>-0.8</v>
      </c>
    </row>
    <row r="15794" spans="6:8">
      <c r="F15794" s="68" t="s">
        <v>257</v>
      </c>
      <c r="G15794" s="67" t="s">
        <v>643</v>
      </c>
      <c r="H15794" s="69">
        <v>0.87</v>
      </c>
    </row>
    <row r="15795" spans="6:8">
      <c r="F15795" s="68" t="s">
        <v>258</v>
      </c>
      <c r="G15795" s="67" t="s">
        <v>643</v>
      </c>
      <c r="H15795" s="69">
        <v>0.15</v>
      </c>
    </row>
    <row r="15796" spans="6:8">
      <c r="F15796" s="68" t="s">
        <v>424</v>
      </c>
      <c r="G15796" s="67" t="s">
        <v>643</v>
      </c>
      <c r="H15796" s="69">
        <v>2.8956785522399109</v>
      </c>
    </row>
    <row r="15797" spans="6:8">
      <c r="F15797" s="68" t="s">
        <v>136</v>
      </c>
      <c r="G15797" s="67" t="s">
        <v>643</v>
      </c>
      <c r="H15797" s="69">
        <v>-0.79</v>
      </c>
    </row>
    <row r="15798" spans="6:8">
      <c r="F15798" s="68" t="s">
        <v>137</v>
      </c>
      <c r="G15798" s="67" t="s">
        <v>643</v>
      </c>
      <c r="H15798" s="69">
        <v>-0.66</v>
      </c>
    </row>
    <row r="15799" spans="6:8">
      <c r="F15799" s="68" t="s">
        <v>138</v>
      </c>
      <c r="G15799" s="67" t="s">
        <v>643</v>
      </c>
      <c r="H15799" s="69">
        <v>-0.74</v>
      </c>
    </row>
    <row r="15800" spans="6:8">
      <c r="F15800" s="68" t="s">
        <v>259</v>
      </c>
      <c r="G15800" s="67" t="s">
        <v>643</v>
      </c>
      <c r="H15800" s="69">
        <v>0.19</v>
      </c>
    </row>
    <row r="15801" spans="6:8">
      <c r="F15801" s="68" t="s">
        <v>425</v>
      </c>
      <c r="G15801" s="67" t="s">
        <v>643</v>
      </c>
      <c r="H15801" s="69">
        <v>2.8806867702219741</v>
      </c>
    </row>
    <row r="15802" spans="6:8">
      <c r="F15802" s="68" t="s">
        <v>425</v>
      </c>
      <c r="G15802" s="67" t="s">
        <v>644</v>
      </c>
      <c r="H15802" s="69">
        <v>2.9649232743859333</v>
      </c>
    </row>
    <row r="15803" spans="6:8">
      <c r="F15803" s="68" t="s">
        <v>259</v>
      </c>
      <c r="G15803" s="67" t="s">
        <v>644</v>
      </c>
      <c r="H15803" s="69">
        <v>0.21</v>
      </c>
    </row>
    <row r="15804" spans="6:8">
      <c r="F15804" s="68" t="s">
        <v>138</v>
      </c>
      <c r="G15804" s="67" t="s">
        <v>644</v>
      </c>
      <c r="H15804" s="69">
        <v>-0.75</v>
      </c>
    </row>
    <row r="15805" spans="6:8">
      <c r="F15805" s="68" t="s">
        <v>137</v>
      </c>
      <c r="G15805" s="67" t="s">
        <v>644</v>
      </c>
      <c r="H15805" s="69">
        <v>-0.66</v>
      </c>
    </row>
    <row r="15806" spans="6:8">
      <c r="F15806" s="68" t="s">
        <v>136</v>
      </c>
      <c r="G15806" s="67" t="s">
        <v>644</v>
      </c>
      <c r="H15806" s="69">
        <v>-0.81499999999999995</v>
      </c>
    </row>
    <row r="15807" spans="6:8">
      <c r="F15807" s="68" t="s">
        <v>424</v>
      </c>
      <c r="G15807" s="67" t="s">
        <v>644</v>
      </c>
      <c r="H15807" s="69">
        <v>2.98285937986984</v>
      </c>
    </row>
    <row r="15808" spans="6:8">
      <c r="F15808" s="68" t="s">
        <v>258</v>
      </c>
      <c r="G15808" s="67" t="s">
        <v>644</v>
      </c>
      <c r="H15808" s="69">
        <v>0.15</v>
      </c>
    </row>
    <row r="15809" spans="6:8">
      <c r="F15809" s="68" t="s">
        <v>257</v>
      </c>
      <c r="G15809" s="67" t="s">
        <v>644</v>
      </c>
      <c r="H15809" s="69">
        <v>0.87</v>
      </c>
    </row>
    <row r="15810" spans="6:8">
      <c r="F15810" s="68" t="s">
        <v>135</v>
      </c>
      <c r="G15810" s="67" t="s">
        <v>644</v>
      </c>
      <c r="H15810" s="69">
        <v>-0.8</v>
      </c>
    </row>
    <row r="15811" spans="6:8">
      <c r="F15811" s="68" t="s">
        <v>134</v>
      </c>
      <c r="G15811" s="67" t="s">
        <v>644</v>
      </c>
      <c r="H15811" s="69">
        <v>-0.84</v>
      </c>
    </row>
    <row r="15812" spans="6:8">
      <c r="F15812" s="68" t="s">
        <v>569</v>
      </c>
      <c r="G15812" s="67" t="s">
        <v>644</v>
      </c>
      <c r="H15812" s="69">
        <v>-0.20499999999999999</v>
      </c>
    </row>
    <row r="15813" spans="6:8">
      <c r="F15813" s="68" t="s">
        <v>423</v>
      </c>
      <c r="G15813" s="67" t="s">
        <v>644</v>
      </c>
      <c r="H15813" s="69">
        <v>2.271881912804119</v>
      </c>
    </row>
    <row r="15814" spans="6:8">
      <c r="F15814" s="68" t="s">
        <v>256</v>
      </c>
      <c r="G15814" s="67" t="s">
        <v>644</v>
      </c>
      <c r="H15814" s="69">
        <v>0.82</v>
      </c>
    </row>
    <row r="15815" spans="6:8">
      <c r="F15815" s="68" t="s">
        <v>133</v>
      </c>
      <c r="G15815" s="67" t="s">
        <v>644</v>
      </c>
      <c r="H15815" s="69">
        <v>-0.65</v>
      </c>
    </row>
    <row r="15816" spans="6:8">
      <c r="F15816" s="68" t="s">
        <v>132</v>
      </c>
      <c r="G15816" s="67" t="s">
        <v>644</v>
      </c>
      <c r="H15816" s="69">
        <v>-0.88</v>
      </c>
    </row>
    <row r="15817" spans="6:8">
      <c r="F15817" s="68" t="s">
        <v>568</v>
      </c>
      <c r="G15817" s="67" t="s">
        <v>644</v>
      </c>
      <c r="H15817" s="69">
        <v>-0.37</v>
      </c>
    </row>
    <row r="15818" spans="6:8">
      <c r="F15818" s="68" t="s">
        <v>422</v>
      </c>
      <c r="G15818" s="67" t="s">
        <v>644</v>
      </c>
      <c r="H15818" s="69">
        <v>2.1692362844039081</v>
      </c>
    </row>
    <row r="15819" spans="6:8">
      <c r="F15819" s="68" t="s">
        <v>303</v>
      </c>
      <c r="G15819" s="67" t="s">
        <v>644</v>
      </c>
      <c r="H15819" s="69">
        <v>19.0625</v>
      </c>
    </row>
    <row r="15820" spans="6:8">
      <c r="F15820" s="68" t="s">
        <v>255</v>
      </c>
      <c r="G15820" s="67" t="s">
        <v>644</v>
      </c>
      <c r="H15820" s="69">
        <v>0.72</v>
      </c>
    </row>
    <row r="15821" spans="6:8">
      <c r="F15821" s="68" t="s">
        <v>131</v>
      </c>
      <c r="G15821" s="67" t="s">
        <v>644</v>
      </c>
      <c r="H15821" s="69">
        <v>-0.57999999999999996</v>
      </c>
    </row>
    <row r="15822" spans="6:8">
      <c r="F15822" s="68" t="s">
        <v>130</v>
      </c>
      <c r="G15822" s="67" t="s">
        <v>644</v>
      </c>
      <c r="H15822" s="69">
        <v>-0.98</v>
      </c>
    </row>
    <row r="15823" spans="6:8">
      <c r="F15823" s="68" t="s">
        <v>567</v>
      </c>
      <c r="G15823" s="67" t="s">
        <v>644</v>
      </c>
      <c r="H15823" s="69">
        <v>-0.7</v>
      </c>
    </row>
    <row r="15824" spans="6:8">
      <c r="F15824" s="68" t="s">
        <v>421</v>
      </c>
      <c r="G15824" s="67" t="s">
        <v>644</v>
      </c>
      <c r="H15824" s="69">
        <v>2.163015985958916</v>
      </c>
    </row>
    <row r="15825" spans="6:8">
      <c r="F15825" s="68" t="s">
        <v>304</v>
      </c>
      <c r="G15825" s="67" t="s">
        <v>644</v>
      </c>
      <c r="H15825" s="69">
        <v>17.979166666666668</v>
      </c>
    </row>
    <row r="15826" spans="6:8">
      <c r="F15826" s="68" t="s">
        <v>254</v>
      </c>
      <c r="G15826" s="67" t="s">
        <v>644</v>
      </c>
      <c r="H15826" s="69">
        <v>0.56999999999999995</v>
      </c>
    </row>
    <row r="15827" spans="6:8">
      <c r="F15827" s="68" t="s">
        <v>129</v>
      </c>
      <c r="G15827" s="67" t="s">
        <v>644</v>
      </c>
      <c r="H15827" s="69">
        <v>-0.73</v>
      </c>
    </row>
    <row r="15828" spans="6:8">
      <c r="F15828" s="68" t="s">
        <v>128</v>
      </c>
      <c r="G15828" s="67" t="s">
        <v>644</v>
      </c>
      <c r="H15828" s="69">
        <v>-0.86</v>
      </c>
    </row>
    <row r="15829" spans="6:8">
      <c r="F15829" s="68" t="s">
        <v>315</v>
      </c>
      <c r="G15829" s="67" t="s">
        <v>644</v>
      </c>
      <c r="H15829" s="69">
        <v>-0.19</v>
      </c>
    </row>
    <row r="15830" spans="6:8">
      <c r="F15830" s="68" t="s">
        <v>253</v>
      </c>
      <c r="G15830" s="67" t="s">
        <v>644</v>
      </c>
      <c r="H15830" s="69">
        <v>0.42</v>
      </c>
    </row>
    <row r="15831" spans="6:8">
      <c r="F15831" s="68" t="s">
        <v>127</v>
      </c>
      <c r="G15831" s="67" t="s">
        <v>644</v>
      </c>
      <c r="H15831" s="69">
        <v>-0.43</v>
      </c>
    </row>
    <row r="15832" spans="6:8">
      <c r="F15832" s="68" t="s">
        <v>126</v>
      </c>
      <c r="G15832" s="67" t="s">
        <v>644</v>
      </c>
      <c r="H15832" s="69">
        <v>-0.88</v>
      </c>
    </row>
    <row r="15833" spans="6:8">
      <c r="F15833" s="68" t="s">
        <v>125</v>
      </c>
      <c r="G15833" s="67" t="s">
        <v>644</v>
      </c>
      <c r="H15833" s="69">
        <v>-0.55000000000000004</v>
      </c>
    </row>
    <row r="15834" spans="6:8">
      <c r="F15834" s="68" t="s">
        <v>314</v>
      </c>
      <c r="G15834" s="67" t="s">
        <v>644</v>
      </c>
      <c r="H15834" s="69">
        <v>-0.43</v>
      </c>
    </row>
    <row r="15835" spans="6:8">
      <c r="F15835" s="68" t="s">
        <v>252</v>
      </c>
      <c r="G15835" s="67" t="s">
        <v>644</v>
      </c>
      <c r="H15835" s="69">
        <v>0.28999999999999998</v>
      </c>
    </row>
    <row r="15836" spans="6:8">
      <c r="F15836" s="68" t="s">
        <v>124</v>
      </c>
      <c r="G15836" s="67" t="s">
        <v>644</v>
      </c>
      <c r="H15836" s="69">
        <v>-0.52</v>
      </c>
    </row>
    <row r="15837" spans="6:8">
      <c r="F15837" s="68" t="s">
        <v>123</v>
      </c>
      <c r="G15837" s="67" t="s">
        <v>644</v>
      </c>
      <c r="H15837" s="69">
        <v>-0.95</v>
      </c>
    </row>
    <row r="15838" spans="6:8">
      <c r="F15838" s="68" t="s">
        <v>122</v>
      </c>
      <c r="G15838" s="67" t="s">
        <v>644</v>
      </c>
      <c r="H15838" s="69">
        <v>-0.66</v>
      </c>
    </row>
    <row r="15839" spans="6:8">
      <c r="F15839" s="68" t="s">
        <v>420</v>
      </c>
      <c r="G15839" s="67" t="s">
        <v>644</v>
      </c>
      <c r="H15839" s="69">
        <v>3.2077358231055619</v>
      </c>
    </row>
    <row r="15840" spans="6:8">
      <c r="F15840" s="68" t="s">
        <v>251</v>
      </c>
      <c r="G15840" s="67" t="s">
        <v>644</v>
      </c>
      <c r="H15840" s="69">
        <v>0.22</v>
      </c>
    </row>
    <row r="15841" spans="6:8">
      <c r="F15841" s="68" t="s">
        <v>121</v>
      </c>
      <c r="G15841" s="67" t="s">
        <v>644</v>
      </c>
      <c r="H15841" s="69">
        <v>-0.65</v>
      </c>
    </row>
    <row r="15842" spans="6:8">
      <c r="F15842" s="68" t="s">
        <v>120</v>
      </c>
      <c r="G15842" s="67" t="s">
        <v>644</v>
      </c>
      <c r="H15842" s="69">
        <v>-0.81</v>
      </c>
    </row>
    <row r="15843" spans="6:8">
      <c r="F15843" s="68" t="s">
        <v>119</v>
      </c>
      <c r="G15843" s="67" t="s">
        <v>644</v>
      </c>
      <c r="H15843" s="69">
        <v>-0.7</v>
      </c>
    </row>
    <row r="15844" spans="6:8">
      <c r="F15844" s="68" t="s">
        <v>119</v>
      </c>
      <c r="G15844" s="67" t="s">
        <v>645</v>
      </c>
      <c r="H15844" s="69">
        <v>-0.7</v>
      </c>
    </row>
    <row r="15845" spans="6:8">
      <c r="F15845" s="68" t="s">
        <v>120</v>
      </c>
      <c r="G15845" s="67" t="s">
        <v>645</v>
      </c>
      <c r="H15845" s="69">
        <v>-0.81</v>
      </c>
    </row>
    <row r="15846" spans="6:8">
      <c r="F15846" s="68" t="s">
        <v>121</v>
      </c>
      <c r="G15846" s="67" t="s">
        <v>645</v>
      </c>
      <c r="H15846" s="69">
        <v>-0.65</v>
      </c>
    </row>
    <row r="15847" spans="6:8">
      <c r="F15847" s="68" t="s">
        <v>251</v>
      </c>
      <c r="G15847" s="67" t="s">
        <v>645</v>
      </c>
      <c r="H15847" s="69">
        <v>0.22</v>
      </c>
    </row>
    <row r="15848" spans="6:8">
      <c r="F15848" s="68" t="s">
        <v>420</v>
      </c>
      <c r="G15848" s="67" t="s">
        <v>645</v>
      </c>
      <c r="H15848" s="69">
        <v>3.2594551208520173</v>
      </c>
    </row>
    <row r="15849" spans="6:8">
      <c r="F15849" s="68" t="s">
        <v>122</v>
      </c>
      <c r="G15849" s="67" t="s">
        <v>645</v>
      </c>
      <c r="H15849" s="69">
        <v>-0.66</v>
      </c>
    </row>
    <row r="15850" spans="6:8">
      <c r="F15850" s="68" t="s">
        <v>123</v>
      </c>
      <c r="G15850" s="67" t="s">
        <v>645</v>
      </c>
      <c r="H15850" s="69">
        <v>-0.95</v>
      </c>
    </row>
    <row r="15851" spans="6:8">
      <c r="F15851" s="68" t="s">
        <v>124</v>
      </c>
      <c r="G15851" s="67" t="s">
        <v>645</v>
      </c>
      <c r="H15851" s="69">
        <v>-0.52</v>
      </c>
    </row>
    <row r="15852" spans="6:8">
      <c r="F15852" s="68" t="s">
        <v>252</v>
      </c>
      <c r="G15852" s="67" t="s">
        <v>645</v>
      </c>
      <c r="H15852" s="69">
        <v>0.28999999999999998</v>
      </c>
    </row>
    <row r="15853" spans="6:8">
      <c r="F15853" s="68" t="s">
        <v>314</v>
      </c>
      <c r="G15853" s="67" t="s">
        <v>645</v>
      </c>
      <c r="H15853" s="69">
        <v>-0.43</v>
      </c>
    </row>
    <row r="15854" spans="6:8">
      <c r="F15854" s="68" t="s">
        <v>125</v>
      </c>
      <c r="G15854" s="67" t="s">
        <v>645</v>
      </c>
      <c r="H15854" s="69">
        <v>-0.55000000000000004</v>
      </c>
    </row>
    <row r="15855" spans="6:8">
      <c r="F15855" s="68" t="s">
        <v>126</v>
      </c>
      <c r="G15855" s="67" t="s">
        <v>645</v>
      </c>
      <c r="H15855" s="69">
        <v>-0.88</v>
      </c>
    </row>
    <row r="15856" spans="6:8">
      <c r="F15856" s="68" t="s">
        <v>127</v>
      </c>
      <c r="G15856" s="67" t="s">
        <v>645</v>
      </c>
      <c r="H15856" s="69">
        <v>-0.43</v>
      </c>
    </row>
    <row r="15857" spans="6:8">
      <c r="F15857" s="68" t="s">
        <v>253</v>
      </c>
      <c r="G15857" s="67" t="s">
        <v>645</v>
      </c>
      <c r="H15857" s="69">
        <v>0.42</v>
      </c>
    </row>
    <row r="15858" spans="6:8">
      <c r="F15858" s="68" t="s">
        <v>315</v>
      </c>
      <c r="G15858" s="67" t="s">
        <v>645</v>
      </c>
      <c r="H15858" s="69">
        <v>-0.19</v>
      </c>
    </row>
    <row r="15859" spans="6:8">
      <c r="F15859" s="68" t="s">
        <v>128</v>
      </c>
      <c r="G15859" s="67" t="s">
        <v>645</v>
      </c>
      <c r="H15859" s="69">
        <v>-0.86</v>
      </c>
    </row>
    <row r="15860" spans="6:8">
      <c r="F15860" s="68" t="s">
        <v>129</v>
      </c>
      <c r="G15860" s="67" t="s">
        <v>645</v>
      </c>
      <c r="H15860" s="69">
        <v>-0.73</v>
      </c>
    </row>
    <row r="15861" spans="6:8">
      <c r="F15861" s="68" t="s">
        <v>254</v>
      </c>
      <c r="G15861" s="67" t="s">
        <v>645</v>
      </c>
      <c r="H15861" s="69">
        <v>0.56999999999999995</v>
      </c>
    </row>
    <row r="15862" spans="6:8">
      <c r="F15862" s="68" t="s">
        <v>304</v>
      </c>
      <c r="G15862" s="67" t="s">
        <v>645</v>
      </c>
      <c r="H15862" s="69">
        <v>18.052083333333332</v>
      </c>
    </row>
    <row r="15863" spans="6:8">
      <c r="F15863" s="68" t="s">
        <v>421</v>
      </c>
      <c r="G15863" s="67" t="s">
        <v>645</v>
      </c>
      <c r="H15863" s="69">
        <v>2.2337302231001832</v>
      </c>
    </row>
    <row r="15864" spans="6:8">
      <c r="F15864" s="68" t="s">
        <v>567</v>
      </c>
      <c r="G15864" s="67" t="s">
        <v>645</v>
      </c>
      <c r="H15864" s="69">
        <v>-0.7</v>
      </c>
    </row>
    <row r="15865" spans="6:8">
      <c r="F15865" s="68" t="s">
        <v>130</v>
      </c>
      <c r="G15865" s="67" t="s">
        <v>645</v>
      </c>
      <c r="H15865" s="69">
        <v>-0.98</v>
      </c>
    </row>
    <row r="15866" spans="6:8">
      <c r="F15866" s="68" t="s">
        <v>131</v>
      </c>
      <c r="G15866" s="67" t="s">
        <v>645</v>
      </c>
      <c r="H15866" s="69">
        <v>-0.57999999999999996</v>
      </c>
    </row>
    <row r="15867" spans="6:8">
      <c r="F15867" s="68" t="s">
        <v>255</v>
      </c>
      <c r="G15867" s="67" t="s">
        <v>645</v>
      </c>
      <c r="H15867" s="69">
        <v>0.72</v>
      </c>
    </row>
    <row r="15868" spans="6:8">
      <c r="F15868" s="68" t="s">
        <v>303</v>
      </c>
      <c r="G15868" s="67" t="s">
        <v>645</v>
      </c>
      <c r="H15868" s="69">
        <v>19.083333333333332</v>
      </c>
    </row>
    <row r="15869" spans="6:8">
      <c r="F15869" s="68" t="s">
        <v>422</v>
      </c>
      <c r="G15869" s="67" t="s">
        <v>645</v>
      </c>
      <c r="H15869" s="69">
        <v>2.2399157491244104</v>
      </c>
    </row>
    <row r="15870" spans="6:8">
      <c r="F15870" s="68" t="s">
        <v>568</v>
      </c>
      <c r="G15870" s="67" t="s">
        <v>645</v>
      </c>
      <c r="H15870" s="69">
        <v>-0.37</v>
      </c>
    </row>
    <row r="15871" spans="6:8">
      <c r="F15871" s="68" t="s">
        <v>132</v>
      </c>
      <c r="G15871" s="67" t="s">
        <v>645</v>
      </c>
      <c r="H15871" s="69">
        <v>-0.88</v>
      </c>
    </row>
    <row r="15872" spans="6:8">
      <c r="F15872" s="68" t="s">
        <v>133</v>
      </c>
      <c r="G15872" s="67" t="s">
        <v>645</v>
      </c>
      <c r="H15872" s="69">
        <v>-0.65</v>
      </c>
    </row>
    <row r="15873" spans="6:8">
      <c r="F15873" s="68" t="s">
        <v>256</v>
      </c>
      <c r="G15873" s="67" t="s">
        <v>645</v>
      </c>
      <c r="H15873" s="69">
        <v>0.82</v>
      </c>
    </row>
    <row r="15874" spans="6:8">
      <c r="F15874" s="68" t="s">
        <v>423</v>
      </c>
      <c r="G15874" s="67" t="s">
        <v>645</v>
      </c>
      <c r="H15874" s="69">
        <v>2.3160238982920411</v>
      </c>
    </row>
    <row r="15875" spans="6:8">
      <c r="F15875" s="68" t="s">
        <v>569</v>
      </c>
      <c r="G15875" s="67" t="s">
        <v>645</v>
      </c>
      <c r="H15875" s="69">
        <v>-0.20499999999999999</v>
      </c>
    </row>
    <row r="15876" spans="6:8">
      <c r="F15876" s="68" t="s">
        <v>134</v>
      </c>
      <c r="G15876" s="67" t="s">
        <v>645</v>
      </c>
      <c r="H15876" s="69">
        <v>-0.84</v>
      </c>
    </row>
    <row r="15877" spans="6:8">
      <c r="F15877" s="68" t="s">
        <v>135</v>
      </c>
      <c r="G15877" s="67" t="s">
        <v>645</v>
      </c>
      <c r="H15877" s="69">
        <v>-0.8</v>
      </c>
    </row>
    <row r="15878" spans="6:8">
      <c r="F15878" s="68" t="s">
        <v>257</v>
      </c>
      <c r="G15878" s="67" t="s">
        <v>645</v>
      </c>
      <c r="H15878" s="69">
        <v>0.87</v>
      </c>
    </row>
    <row r="15879" spans="6:8">
      <c r="F15879" s="68" t="s">
        <v>258</v>
      </c>
      <c r="G15879" s="67" t="s">
        <v>645</v>
      </c>
      <c r="H15879" s="69">
        <v>0.15</v>
      </c>
    </row>
    <row r="15880" spans="6:8">
      <c r="F15880" s="68" t="s">
        <v>424</v>
      </c>
      <c r="G15880" s="67" t="s">
        <v>645</v>
      </c>
      <c r="H15880" s="69">
        <v>3.0287890792188854</v>
      </c>
    </row>
    <row r="15881" spans="6:8">
      <c r="F15881" s="68" t="s">
        <v>136</v>
      </c>
      <c r="G15881" s="67" t="s">
        <v>645</v>
      </c>
      <c r="H15881" s="69">
        <v>-0.81499999999999995</v>
      </c>
    </row>
    <row r="15882" spans="6:8">
      <c r="F15882" s="68" t="s">
        <v>137</v>
      </c>
      <c r="G15882" s="67" t="s">
        <v>645</v>
      </c>
      <c r="H15882" s="69">
        <v>-0.66</v>
      </c>
    </row>
    <row r="15883" spans="6:8">
      <c r="F15883" s="68" t="s">
        <v>138</v>
      </c>
      <c r="G15883" s="67" t="s">
        <v>645</v>
      </c>
      <c r="H15883" s="69">
        <v>-0.75</v>
      </c>
    </row>
    <row r="15884" spans="6:8">
      <c r="F15884" s="68" t="s">
        <v>259</v>
      </c>
      <c r="G15884" s="67" t="s">
        <v>645</v>
      </c>
      <c r="H15884" s="69">
        <v>0.21</v>
      </c>
    </row>
    <row r="15885" spans="6:8">
      <c r="F15885" s="68" t="s">
        <v>425</v>
      </c>
      <c r="G15885" s="67" t="s">
        <v>645</v>
      </c>
      <c r="H15885" s="69">
        <v>3.0153788147996075</v>
      </c>
    </row>
    <row r="15886" spans="6:8">
      <c r="F15886" s="68" t="s">
        <v>425</v>
      </c>
      <c r="G15886" s="67" t="s">
        <v>646</v>
      </c>
      <c r="H15886" s="69">
        <v>3.0177225587948442</v>
      </c>
    </row>
    <row r="15887" spans="6:8">
      <c r="F15887" s="68" t="s">
        <v>259</v>
      </c>
      <c r="G15887" s="67" t="s">
        <v>646</v>
      </c>
      <c r="H15887" s="69">
        <v>0.2</v>
      </c>
    </row>
    <row r="15888" spans="6:8">
      <c r="F15888" s="68" t="s">
        <v>138</v>
      </c>
      <c r="G15888" s="67" t="s">
        <v>646</v>
      </c>
      <c r="H15888" s="69">
        <v>-0.73</v>
      </c>
    </row>
    <row r="15889" spans="6:8">
      <c r="F15889" s="68" t="s">
        <v>137</v>
      </c>
      <c r="G15889" s="67" t="s">
        <v>646</v>
      </c>
      <c r="H15889" s="69">
        <v>-0.65</v>
      </c>
    </row>
    <row r="15890" spans="6:8">
      <c r="F15890" s="68" t="s">
        <v>136</v>
      </c>
      <c r="G15890" s="67" t="s">
        <v>646</v>
      </c>
      <c r="H15890" s="69">
        <v>-0.78</v>
      </c>
    </row>
    <row r="15891" spans="6:8">
      <c r="F15891" s="68" t="s">
        <v>424</v>
      </c>
      <c r="G15891" s="67" t="s">
        <v>646</v>
      </c>
      <c r="H15891" s="69">
        <v>3.0323791088393559</v>
      </c>
    </row>
    <row r="15892" spans="6:8">
      <c r="F15892" s="68" t="s">
        <v>258</v>
      </c>
      <c r="G15892" s="67" t="s">
        <v>646</v>
      </c>
      <c r="H15892" s="69">
        <v>0.15</v>
      </c>
    </row>
    <row r="15893" spans="6:8">
      <c r="F15893" s="68" t="s">
        <v>257</v>
      </c>
      <c r="G15893" s="67" t="s">
        <v>646</v>
      </c>
      <c r="H15893" s="69">
        <v>0.9</v>
      </c>
    </row>
    <row r="15894" spans="6:8">
      <c r="F15894" s="68" t="s">
        <v>135</v>
      </c>
      <c r="G15894" s="67" t="s">
        <v>646</v>
      </c>
      <c r="H15894" s="69">
        <v>-0.8</v>
      </c>
    </row>
    <row r="15895" spans="6:8">
      <c r="F15895" s="68" t="s">
        <v>134</v>
      </c>
      <c r="G15895" s="67" t="s">
        <v>646</v>
      </c>
      <c r="H15895" s="69">
        <v>-0.81</v>
      </c>
    </row>
    <row r="15896" spans="6:8">
      <c r="F15896" s="68" t="s">
        <v>569</v>
      </c>
      <c r="G15896" s="67" t="s">
        <v>646</v>
      </c>
      <c r="H15896" s="69">
        <v>-0.19</v>
      </c>
    </row>
    <row r="15897" spans="6:8">
      <c r="F15897" s="68" t="s">
        <v>423</v>
      </c>
      <c r="G15897" s="67" t="s">
        <v>646</v>
      </c>
      <c r="H15897" s="69">
        <v>2.3134190452795966</v>
      </c>
    </row>
    <row r="15898" spans="6:8">
      <c r="F15898" s="68" t="s">
        <v>256</v>
      </c>
      <c r="G15898" s="67" t="s">
        <v>646</v>
      </c>
      <c r="H15898" s="69">
        <v>0.85</v>
      </c>
    </row>
    <row r="15899" spans="6:8">
      <c r="F15899" s="68" t="s">
        <v>133</v>
      </c>
      <c r="G15899" s="67" t="s">
        <v>646</v>
      </c>
      <c r="H15899" s="69">
        <v>-0.64</v>
      </c>
    </row>
    <row r="15900" spans="6:8">
      <c r="F15900" s="68" t="s">
        <v>132</v>
      </c>
      <c r="G15900" s="67" t="s">
        <v>646</v>
      </c>
      <c r="H15900" s="69">
        <v>-0.85</v>
      </c>
    </row>
    <row r="15901" spans="6:8">
      <c r="F15901" s="68" t="s">
        <v>568</v>
      </c>
      <c r="G15901" s="67" t="s">
        <v>646</v>
      </c>
      <c r="H15901" s="69">
        <v>-0.36</v>
      </c>
    </row>
    <row r="15902" spans="6:8">
      <c r="F15902" s="68" t="s">
        <v>422</v>
      </c>
      <c r="G15902" s="67" t="s">
        <v>646</v>
      </c>
      <c r="H15902" s="69">
        <v>2.2332968476534099</v>
      </c>
    </row>
    <row r="15903" spans="6:8">
      <c r="F15903" s="68" t="s">
        <v>303</v>
      </c>
      <c r="G15903" s="67" t="s">
        <v>646</v>
      </c>
      <c r="H15903" s="69">
        <v>19.052083333333332</v>
      </c>
    </row>
    <row r="15904" spans="6:8">
      <c r="F15904" s="68" t="s">
        <v>255</v>
      </c>
      <c r="G15904" s="67" t="s">
        <v>646</v>
      </c>
      <c r="H15904" s="69">
        <v>0.75</v>
      </c>
    </row>
    <row r="15905" spans="6:8">
      <c r="F15905" s="68" t="s">
        <v>131</v>
      </c>
      <c r="G15905" s="67" t="s">
        <v>646</v>
      </c>
      <c r="H15905" s="69">
        <v>-0.56999999999999995</v>
      </c>
    </row>
    <row r="15906" spans="6:8">
      <c r="F15906" s="68" t="s">
        <v>130</v>
      </c>
      <c r="G15906" s="67" t="s">
        <v>646</v>
      </c>
      <c r="H15906" s="69">
        <v>-0.95</v>
      </c>
    </row>
    <row r="15907" spans="6:8">
      <c r="F15907" s="68" t="s">
        <v>567</v>
      </c>
      <c r="G15907" s="67" t="s">
        <v>646</v>
      </c>
      <c r="H15907" s="69">
        <v>-0.7</v>
      </c>
    </row>
    <row r="15908" spans="6:8">
      <c r="F15908" s="68" t="s">
        <v>421</v>
      </c>
      <c r="G15908" s="67" t="s">
        <v>646</v>
      </c>
      <c r="H15908" s="69">
        <v>2.2272235869146062</v>
      </c>
    </row>
    <row r="15909" spans="6:8">
      <c r="F15909" s="68" t="s">
        <v>304</v>
      </c>
      <c r="G15909" s="67" t="s">
        <v>646</v>
      </c>
      <c r="H15909" s="69">
        <v>18</v>
      </c>
    </row>
    <row r="15910" spans="6:8">
      <c r="F15910" s="68" t="s">
        <v>254</v>
      </c>
      <c r="G15910" s="67" t="s">
        <v>646</v>
      </c>
      <c r="H15910" s="69">
        <v>0.6</v>
      </c>
    </row>
    <row r="15911" spans="6:8">
      <c r="F15911" s="68" t="s">
        <v>129</v>
      </c>
      <c r="G15911" s="67" t="s">
        <v>646</v>
      </c>
      <c r="H15911" s="69">
        <v>-0.72</v>
      </c>
    </row>
    <row r="15912" spans="6:8">
      <c r="F15912" s="68" t="s">
        <v>128</v>
      </c>
      <c r="G15912" s="67" t="s">
        <v>646</v>
      </c>
      <c r="H15912" s="69">
        <v>-0.84</v>
      </c>
    </row>
    <row r="15913" spans="6:8">
      <c r="F15913" s="68" t="s">
        <v>315</v>
      </c>
      <c r="G15913" s="67" t="s">
        <v>646</v>
      </c>
      <c r="H15913" s="69">
        <v>-0.19</v>
      </c>
    </row>
    <row r="15914" spans="6:8">
      <c r="F15914" s="68" t="s">
        <v>253</v>
      </c>
      <c r="G15914" s="67" t="s">
        <v>646</v>
      </c>
      <c r="H15914" s="69">
        <v>0.45</v>
      </c>
    </row>
    <row r="15915" spans="6:8">
      <c r="F15915" s="68" t="s">
        <v>127</v>
      </c>
      <c r="G15915" s="67" t="s">
        <v>646</v>
      </c>
      <c r="H15915" s="69">
        <v>-0.43</v>
      </c>
    </row>
    <row r="15916" spans="6:8">
      <c r="F15916" s="68" t="s">
        <v>126</v>
      </c>
      <c r="G15916" s="67" t="s">
        <v>646</v>
      </c>
      <c r="H15916" s="69">
        <v>-0.87</v>
      </c>
    </row>
    <row r="15917" spans="6:8">
      <c r="F15917" s="68" t="s">
        <v>125</v>
      </c>
      <c r="G15917" s="67" t="s">
        <v>646</v>
      </c>
      <c r="H15917" s="69">
        <v>-0.52</v>
      </c>
    </row>
    <row r="15918" spans="6:8">
      <c r="F15918" s="68" t="s">
        <v>314</v>
      </c>
      <c r="G15918" s="67" t="s">
        <v>646</v>
      </c>
      <c r="H15918" s="69">
        <v>-0.4</v>
      </c>
    </row>
    <row r="15919" spans="6:8">
      <c r="F15919" s="68" t="s">
        <v>252</v>
      </c>
      <c r="G15919" s="67" t="s">
        <v>646</v>
      </c>
      <c r="H15919" s="69">
        <v>0.31</v>
      </c>
    </row>
    <row r="15920" spans="6:8">
      <c r="F15920" s="68" t="s">
        <v>124</v>
      </c>
      <c r="G15920" s="67" t="s">
        <v>646</v>
      </c>
      <c r="H15920" s="69">
        <v>-0.5</v>
      </c>
    </row>
    <row r="15921" spans="6:8">
      <c r="F15921" s="68" t="s">
        <v>123</v>
      </c>
      <c r="G15921" s="67" t="s">
        <v>646</v>
      </c>
      <c r="H15921" s="69">
        <v>-0.95</v>
      </c>
    </row>
    <row r="15922" spans="6:8">
      <c r="F15922" s="68" t="s">
        <v>122</v>
      </c>
      <c r="G15922" s="67" t="s">
        <v>646</v>
      </c>
      <c r="H15922" s="69">
        <v>-0.63</v>
      </c>
    </row>
    <row r="15923" spans="6:8">
      <c r="F15923" s="68" t="s">
        <v>420</v>
      </c>
      <c r="G15923" s="67" t="s">
        <v>646</v>
      </c>
      <c r="H15923" s="69">
        <v>3.2635254657079837</v>
      </c>
    </row>
    <row r="15924" spans="6:8">
      <c r="F15924" s="68" t="s">
        <v>251</v>
      </c>
      <c r="G15924" s="67" t="s">
        <v>646</v>
      </c>
      <c r="H15924" s="69">
        <v>0.23</v>
      </c>
    </row>
    <row r="15925" spans="6:8">
      <c r="F15925" s="68" t="s">
        <v>121</v>
      </c>
      <c r="G15925" s="67" t="s">
        <v>646</v>
      </c>
      <c r="H15925" s="69">
        <v>-0.64</v>
      </c>
    </row>
    <row r="15926" spans="6:8">
      <c r="F15926" s="68" t="s">
        <v>120</v>
      </c>
      <c r="G15926" s="67" t="s">
        <v>646</v>
      </c>
      <c r="H15926" s="69">
        <v>-0.81</v>
      </c>
    </row>
    <row r="15927" spans="6:8">
      <c r="F15927" s="68" t="s">
        <v>119</v>
      </c>
      <c r="G15927" s="67" t="s">
        <v>646</v>
      </c>
      <c r="H15927" s="69">
        <v>-0.67</v>
      </c>
    </row>
    <row r="15928" spans="6:8">
      <c r="F15928" s="68" t="s">
        <v>119</v>
      </c>
      <c r="G15928" s="67" t="s">
        <v>647</v>
      </c>
      <c r="H15928" s="69">
        <v>-0.67</v>
      </c>
    </row>
    <row r="15929" spans="6:8">
      <c r="F15929" s="68" t="s">
        <v>120</v>
      </c>
      <c r="G15929" s="67" t="s">
        <v>647</v>
      </c>
      <c r="H15929" s="69">
        <v>-0.81</v>
      </c>
    </row>
    <row r="15930" spans="6:8">
      <c r="F15930" s="68" t="s">
        <v>121</v>
      </c>
      <c r="G15930" s="67" t="s">
        <v>647</v>
      </c>
      <c r="H15930" s="69">
        <v>-0.64</v>
      </c>
    </row>
    <row r="15931" spans="6:8">
      <c r="F15931" s="68" t="s">
        <v>251</v>
      </c>
      <c r="G15931" s="67" t="s">
        <v>647</v>
      </c>
      <c r="H15931" s="69">
        <v>0.23</v>
      </c>
    </row>
    <row r="15932" spans="6:8">
      <c r="F15932" s="68" t="s">
        <v>420</v>
      </c>
      <c r="G15932" s="67" t="s">
        <v>647</v>
      </c>
      <c r="H15932" s="69">
        <v>3.2377628105001666</v>
      </c>
    </row>
    <row r="15933" spans="6:8">
      <c r="F15933" s="68" t="s">
        <v>122</v>
      </c>
      <c r="G15933" s="67" t="s">
        <v>647</v>
      </c>
      <c r="H15933" s="69">
        <v>-0.63</v>
      </c>
    </row>
    <row r="15934" spans="6:8">
      <c r="F15934" s="68" t="s">
        <v>123</v>
      </c>
      <c r="G15934" s="67" t="s">
        <v>647</v>
      </c>
      <c r="H15934" s="69">
        <v>-0.95</v>
      </c>
    </row>
    <row r="15935" spans="6:8">
      <c r="F15935" s="68" t="s">
        <v>124</v>
      </c>
      <c r="G15935" s="67" t="s">
        <v>647</v>
      </c>
      <c r="H15935" s="69">
        <v>-0.5</v>
      </c>
    </row>
    <row r="15936" spans="6:8">
      <c r="F15936" s="68" t="s">
        <v>252</v>
      </c>
      <c r="G15936" s="67" t="s">
        <v>647</v>
      </c>
      <c r="H15936" s="69">
        <v>0.31</v>
      </c>
    </row>
    <row r="15937" spans="6:8">
      <c r="F15937" s="68" t="s">
        <v>314</v>
      </c>
      <c r="G15937" s="67" t="s">
        <v>647</v>
      </c>
      <c r="H15937" s="69">
        <v>-0.4</v>
      </c>
    </row>
    <row r="15938" spans="6:8">
      <c r="F15938" s="68" t="s">
        <v>125</v>
      </c>
      <c r="G15938" s="67" t="s">
        <v>647</v>
      </c>
      <c r="H15938" s="69">
        <v>-0.52</v>
      </c>
    </row>
    <row r="15939" spans="6:8">
      <c r="F15939" s="68" t="s">
        <v>126</v>
      </c>
      <c r="G15939" s="67" t="s">
        <v>647</v>
      </c>
      <c r="H15939" s="69">
        <v>-0.87</v>
      </c>
    </row>
    <row r="15940" spans="6:8">
      <c r="F15940" s="68" t="s">
        <v>127</v>
      </c>
      <c r="G15940" s="67" t="s">
        <v>647</v>
      </c>
      <c r="H15940" s="69">
        <v>-0.43</v>
      </c>
    </row>
    <row r="15941" spans="6:8">
      <c r="F15941" s="68" t="s">
        <v>253</v>
      </c>
      <c r="G15941" s="67" t="s">
        <v>647</v>
      </c>
      <c r="H15941" s="69">
        <v>0.45</v>
      </c>
    </row>
    <row r="15942" spans="6:8">
      <c r="F15942" s="68" t="s">
        <v>315</v>
      </c>
      <c r="G15942" s="67" t="s">
        <v>647</v>
      </c>
      <c r="H15942" s="69">
        <v>-0.19</v>
      </c>
    </row>
    <row r="15943" spans="6:8">
      <c r="F15943" s="68" t="s">
        <v>128</v>
      </c>
      <c r="G15943" s="67" t="s">
        <v>647</v>
      </c>
      <c r="H15943" s="69">
        <v>-0.84</v>
      </c>
    </row>
    <row r="15944" spans="6:8">
      <c r="F15944" s="68" t="s">
        <v>129</v>
      </c>
      <c r="G15944" s="67" t="s">
        <v>647</v>
      </c>
      <c r="H15944" s="69">
        <v>-0.72</v>
      </c>
    </row>
    <row r="15945" spans="6:8">
      <c r="F15945" s="68" t="s">
        <v>254</v>
      </c>
      <c r="G15945" s="67" t="s">
        <v>647</v>
      </c>
      <c r="H15945" s="69">
        <v>0.6</v>
      </c>
    </row>
    <row r="15946" spans="6:8">
      <c r="F15946" s="68" t="s">
        <v>304</v>
      </c>
      <c r="G15946" s="67" t="s">
        <v>647</v>
      </c>
      <c r="H15946" s="69">
        <v>18</v>
      </c>
    </row>
    <row r="15947" spans="6:8">
      <c r="F15947" s="68" t="s">
        <v>421</v>
      </c>
      <c r="G15947" s="67" t="s">
        <v>647</v>
      </c>
      <c r="H15947" s="69">
        <v>2.1949538131361468</v>
      </c>
    </row>
    <row r="15948" spans="6:8">
      <c r="F15948" s="68" t="s">
        <v>567</v>
      </c>
      <c r="G15948" s="67" t="s">
        <v>647</v>
      </c>
      <c r="H15948" s="69">
        <v>-0.7</v>
      </c>
    </row>
    <row r="15949" spans="6:8">
      <c r="F15949" s="68" t="s">
        <v>130</v>
      </c>
      <c r="G15949" s="67" t="s">
        <v>647</v>
      </c>
      <c r="H15949" s="69">
        <v>-0.95</v>
      </c>
    </row>
    <row r="15950" spans="6:8">
      <c r="F15950" s="68" t="s">
        <v>131</v>
      </c>
      <c r="G15950" s="67" t="s">
        <v>647</v>
      </c>
      <c r="H15950" s="69">
        <v>-0.56999999999999995</v>
      </c>
    </row>
    <row r="15951" spans="6:8">
      <c r="F15951" s="68" t="s">
        <v>255</v>
      </c>
      <c r="G15951" s="67" t="s">
        <v>647</v>
      </c>
      <c r="H15951" s="69">
        <v>0.75</v>
      </c>
    </row>
    <row r="15952" spans="6:8">
      <c r="F15952" s="68" t="s">
        <v>303</v>
      </c>
      <c r="G15952" s="67" t="s">
        <v>647</v>
      </c>
      <c r="H15952" s="69">
        <v>19.052083333333332</v>
      </c>
    </row>
    <row r="15953" spans="6:8">
      <c r="F15953" s="68" t="s">
        <v>422</v>
      </c>
      <c r="G15953" s="67" t="s">
        <v>647</v>
      </c>
      <c r="H15953" s="69">
        <v>2.2009386814823007</v>
      </c>
    </row>
    <row r="15954" spans="6:8">
      <c r="F15954" s="68" t="s">
        <v>568</v>
      </c>
      <c r="G15954" s="67" t="s">
        <v>647</v>
      </c>
      <c r="H15954" s="69">
        <v>-0.36</v>
      </c>
    </row>
    <row r="15955" spans="6:8">
      <c r="F15955" s="68" t="s">
        <v>132</v>
      </c>
      <c r="G15955" s="67" t="s">
        <v>647</v>
      </c>
      <c r="H15955" s="69">
        <v>-0.85</v>
      </c>
    </row>
    <row r="15956" spans="6:8">
      <c r="F15956" s="68" t="s">
        <v>133</v>
      </c>
      <c r="G15956" s="67" t="s">
        <v>647</v>
      </c>
      <c r="H15956" s="69">
        <v>-0.64</v>
      </c>
    </row>
    <row r="15957" spans="6:8">
      <c r="F15957" s="68" t="s">
        <v>256</v>
      </c>
      <c r="G15957" s="67" t="s">
        <v>647</v>
      </c>
      <c r="H15957" s="69">
        <v>0.85</v>
      </c>
    </row>
    <row r="15958" spans="6:8">
      <c r="F15958" s="68" t="s">
        <v>423</v>
      </c>
      <c r="G15958" s="67" t="s">
        <v>647</v>
      </c>
      <c r="H15958" s="69">
        <v>2.2848334598775999</v>
      </c>
    </row>
    <row r="15959" spans="6:8">
      <c r="F15959" s="68" t="s">
        <v>569</v>
      </c>
      <c r="G15959" s="67" t="s">
        <v>647</v>
      </c>
      <c r="H15959" s="69">
        <v>-0.19</v>
      </c>
    </row>
    <row r="15960" spans="6:8">
      <c r="F15960" s="68" t="s">
        <v>134</v>
      </c>
      <c r="G15960" s="67" t="s">
        <v>647</v>
      </c>
      <c r="H15960" s="69">
        <v>-0.81</v>
      </c>
    </row>
    <row r="15961" spans="6:8">
      <c r="F15961" s="68" t="s">
        <v>135</v>
      </c>
      <c r="G15961" s="67" t="s">
        <v>647</v>
      </c>
      <c r="H15961" s="69">
        <v>-0.8</v>
      </c>
    </row>
    <row r="15962" spans="6:8">
      <c r="F15962" s="68" t="s">
        <v>257</v>
      </c>
      <c r="G15962" s="67" t="s">
        <v>647</v>
      </c>
      <c r="H15962" s="69">
        <v>0.9</v>
      </c>
    </row>
    <row r="15963" spans="6:8">
      <c r="F15963" s="68" t="s">
        <v>258</v>
      </c>
      <c r="G15963" s="67" t="s">
        <v>647</v>
      </c>
      <c r="H15963" s="69">
        <v>0.15</v>
      </c>
    </row>
    <row r="15964" spans="6:8">
      <c r="F15964" s="68" t="s">
        <v>424</v>
      </c>
      <c r="G15964" s="67" t="s">
        <v>647</v>
      </c>
      <c r="H15964" s="69">
        <v>3.0021766152853235</v>
      </c>
    </row>
    <row r="15965" spans="6:8">
      <c r="F15965" s="68" t="s">
        <v>136</v>
      </c>
      <c r="G15965" s="67" t="s">
        <v>647</v>
      </c>
      <c r="H15965" s="69">
        <v>-0.78</v>
      </c>
    </row>
    <row r="15966" spans="6:8">
      <c r="F15966" s="68" t="s">
        <v>137</v>
      </c>
      <c r="G15966" s="67" t="s">
        <v>647</v>
      </c>
      <c r="H15966" s="69">
        <v>-0.65</v>
      </c>
    </row>
    <row r="15967" spans="6:8">
      <c r="F15967" s="68" t="s">
        <v>138</v>
      </c>
      <c r="G15967" s="67" t="s">
        <v>647</v>
      </c>
      <c r="H15967" s="69">
        <v>-0.73</v>
      </c>
    </row>
    <row r="15968" spans="6:8">
      <c r="F15968" s="68" t="s">
        <v>259</v>
      </c>
      <c r="G15968" s="67" t="s">
        <v>647</v>
      </c>
      <c r="H15968" s="69">
        <v>0.2</v>
      </c>
    </row>
    <row r="15969" spans="6:8">
      <c r="F15969" s="68" t="s">
        <v>425</v>
      </c>
      <c r="G15969" s="67" t="s">
        <v>647</v>
      </c>
      <c r="H15969" s="69">
        <v>2.9849449536841099</v>
      </c>
    </row>
    <row r="15970" spans="6:8">
      <c r="F15970" s="68" t="s">
        <v>425</v>
      </c>
      <c r="G15970" s="67" t="s">
        <v>648</v>
      </c>
      <c r="H15970" s="69">
        <v>3.032431890505416</v>
      </c>
    </row>
    <row r="15971" spans="6:8">
      <c r="F15971" s="68" t="s">
        <v>259</v>
      </c>
      <c r="G15971" s="67" t="s">
        <v>648</v>
      </c>
      <c r="H15971" s="69">
        <v>0.2</v>
      </c>
    </row>
    <row r="15972" spans="6:8">
      <c r="F15972" s="68" t="s">
        <v>138</v>
      </c>
      <c r="G15972" s="67" t="s">
        <v>648</v>
      </c>
      <c r="H15972" s="69">
        <v>-0.73</v>
      </c>
    </row>
    <row r="15973" spans="6:8">
      <c r="F15973" s="68" t="s">
        <v>137</v>
      </c>
      <c r="G15973" s="67" t="s">
        <v>648</v>
      </c>
      <c r="H15973" s="69">
        <v>-0.65</v>
      </c>
    </row>
    <row r="15974" spans="6:8">
      <c r="F15974" s="68" t="s">
        <v>136</v>
      </c>
      <c r="G15974" s="67" t="s">
        <v>648</v>
      </c>
      <c r="H15974" s="69">
        <v>-0.78</v>
      </c>
    </row>
    <row r="15975" spans="6:8">
      <c r="F15975" s="68" t="s">
        <v>424</v>
      </c>
      <c r="G15975" s="67" t="s">
        <v>648</v>
      </c>
      <c r="H15975" s="69">
        <v>3.0063767551243625</v>
      </c>
    </row>
    <row r="15976" spans="6:8">
      <c r="F15976" s="68" t="s">
        <v>258</v>
      </c>
      <c r="G15976" s="67" t="s">
        <v>648</v>
      </c>
      <c r="H15976" s="69">
        <v>0.15</v>
      </c>
    </row>
    <row r="15977" spans="6:8">
      <c r="F15977" s="68" t="s">
        <v>257</v>
      </c>
      <c r="G15977" s="67" t="s">
        <v>648</v>
      </c>
      <c r="H15977" s="69">
        <v>0.91</v>
      </c>
    </row>
    <row r="15978" spans="6:8">
      <c r="F15978" s="68" t="s">
        <v>135</v>
      </c>
      <c r="G15978" s="67" t="s">
        <v>648</v>
      </c>
      <c r="H15978" s="69">
        <v>-0.8</v>
      </c>
    </row>
    <row r="15979" spans="6:8">
      <c r="F15979" s="68" t="s">
        <v>134</v>
      </c>
      <c r="G15979" s="67" t="s">
        <v>648</v>
      </c>
      <c r="H15979" s="69">
        <v>-0.81</v>
      </c>
    </row>
    <row r="15980" spans="6:8">
      <c r="F15980" s="68" t="s">
        <v>569</v>
      </c>
      <c r="G15980" s="67" t="s">
        <v>648</v>
      </c>
      <c r="H15980" s="69">
        <v>-0.19</v>
      </c>
    </row>
    <row r="15981" spans="6:8">
      <c r="F15981" s="68" t="s">
        <v>423</v>
      </c>
      <c r="G15981" s="67" t="s">
        <v>648</v>
      </c>
      <c r="H15981" s="69">
        <v>2.316664392047052</v>
      </c>
    </row>
    <row r="15982" spans="6:8">
      <c r="F15982" s="68" t="s">
        <v>256</v>
      </c>
      <c r="G15982" s="67" t="s">
        <v>648</v>
      </c>
      <c r="H15982" s="69">
        <v>0.87</v>
      </c>
    </row>
    <row r="15983" spans="6:8">
      <c r="F15983" s="68" t="s">
        <v>133</v>
      </c>
      <c r="G15983" s="67" t="s">
        <v>648</v>
      </c>
      <c r="H15983" s="69">
        <v>-0.64</v>
      </c>
    </row>
    <row r="15984" spans="6:8">
      <c r="F15984" s="68" t="s">
        <v>132</v>
      </c>
      <c r="G15984" s="67" t="s">
        <v>648</v>
      </c>
      <c r="H15984" s="69">
        <v>-0.85</v>
      </c>
    </row>
    <row r="15985" spans="6:8">
      <c r="F15985" s="68" t="s">
        <v>568</v>
      </c>
      <c r="G15985" s="67" t="s">
        <v>648</v>
      </c>
      <c r="H15985" s="69">
        <v>-0.36</v>
      </c>
    </row>
    <row r="15986" spans="6:8">
      <c r="F15986" s="68" t="s">
        <v>422</v>
      </c>
      <c r="G15986" s="67" t="s">
        <v>648</v>
      </c>
      <c r="H15986" s="69">
        <v>2.244851802403014</v>
      </c>
    </row>
    <row r="15987" spans="6:8">
      <c r="F15987" s="68" t="s">
        <v>303</v>
      </c>
      <c r="G15987" s="67" t="s">
        <v>648</v>
      </c>
      <c r="H15987" s="69">
        <v>19</v>
      </c>
    </row>
    <row r="15988" spans="6:8">
      <c r="F15988" s="68" t="s">
        <v>255</v>
      </c>
      <c r="G15988" s="67" t="s">
        <v>648</v>
      </c>
      <c r="H15988" s="69">
        <v>0.75</v>
      </c>
    </row>
    <row r="15989" spans="6:8">
      <c r="F15989" s="68" t="s">
        <v>131</v>
      </c>
      <c r="G15989" s="67" t="s">
        <v>648</v>
      </c>
      <c r="H15989" s="69">
        <v>-0.56999999999999995</v>
      </c>
    </row>
    <row r="15990" spans="6:8">
      <c r="F15990" s="68" t="s">
        <v>130</v>
      </c>
      <c r="G15990" s="67" t="s">
        <v>648</v>
      </c>
      <c r="H15990" s="69">
        <v>-0.95</v>
      </c>
    </row>
    <row r="15991" spans="6:8">
      <c r="F15991" s="68" t="s">
        <v>567</v>
      </c>
      <c r="G15991" s="67" t="s">
        <v>648</v>
      </c>
      <c r="H15991" s="69">
        <v>-0.7</v>
      </c>
    </row>
    <row r="15992" spans="6:8">
      <c r="F15992" s="68" t="s">
        <v>421</v>
      </c>
      <c r="G15992" s="67" t="s">
        <v>648</v>
      </c>
      <c r="H15992" s="69">
        <v>2.239030604876957</v>
      </c>
    </row>
    <row r="15993" spans="6:8">
      <c r="F15993" s="68" t="s">
        <v>304</v>
      </c>
      <c r="G15993" s="67" t="s">
        <v>648</v>
      </c>
      <c r="H15993" s="69">
        <v>17.9375</v>
      </c>
    </row>
    <row r="15994" spans="6:8">
      <c r="F15994" s="68" t="s">
        <v>254</v>
      </c>
      <c r="G15994" s="67" t="s">
        <v>648</v>
      </c>
      <c r="H15994" s="69">
        <v>0.6</v>
      </c>
    </row>
    <row r="15995" spans="6:8">
      <c r="F15995" s="68" t="s">
        <v>129</v>
      </c>
      <c r="G15995" s="67" t="s">
        <v>648</v>
      </c>
      <c r="H15995" s="69">
        <v>-0.72</v>
      </c>
    </row>
    <row r="15996" spans="6:8">
      <c r="F15996" s="68" t="s">
        <v>128</v>
      </c>
      <c r="G15996" s="67" t="s">
        <v>648</v>
      </c>
      <c r="H15996" s="69">
        <v>-0.84</v>
      </c>
    </row>
    <row r="15997" spans="6:8">
      <c r="F15997" s="68" t="s">
        <v>315</v>
      </c>
      <c r="G15997" s="67" t="s">
        <v>648</v>
      </c>
      <c r="H15997" s="69">
        <v>-0.19</v>
      </c>
    </row>
    <row r="15998" spans="6:8">
      <c r="F15998" s="68" t="s">
        <v>253</v>
      </c>
      <c r="G15998" s="67" t="s">
        <v>648</v>
      </c>
      <c r="H15998" s="69">
        <v>0.45</v>
      </c>
    </row>
    <row r="15999" spans="6:8">
      <c r="F15999" s="68" t="s">
        <v>127</v>
      </c>
      <c r="G15999" s="67" t="s">
        <v>648</v>
      </c>
      <c r="H15999" s="69">
        <v>-0.43</v>
      </c>
    </row>
    <row r="16000" spans="6:8">
      <c r="F16000" s="68" t="s">
        <v>126</v>
      </c>
      <c r="G16000" s="67" t="s">
        <v>648</v>
      </c>
      <c r="H16000" s="69">
        <v>-0.87</v>
      </c>
    </row>
    <row r="16001" spans="6:8">
      <c r="F16001" s="68" t="s">
        <v>125</v>
      </c>
      <c r="G16001" s="67" t="s">
        <v>648</v>
      </c>
      <c r="H16001" s="69">
        <v>-0.52</v>
      </c>
    </row>
    <row r="16002" spans="6:8">
      <c r="F16002" s="68" t="s">
        <v>314</v>
      </c>
      <c r="G16002" s="67" t="s">
        <v>648</v>
      </c>
      <c r="H16002" s="69">
        <v>-0.4</v>
      </c>
    </row>
    <row r="16003" spans="6:8">
      <c r="F16003" s="68" t="s">
        <v>252</v>
      </c>
      <c r="G16003" s="67" t="s">
        <v>648</v>
      </c>
      <c r="H16003" s="69">
        <v>0.31</v>
      </c>
    </row>
    <row r="16004" spans="6:8">
      <c r="F16004" s="68" t="s">
        <v>124</v>
      </c>
      <c r="G16004" s="67" t="s">
        <v>648</v>
      </c>
      <c r="H16004" s="69">
        <v>-0.5</v>
      </c>
    </row>
    <row r="16005" spans="6:8">
      <c r="F16005" s="68" t="s">
        <v>123</v>
      </c>
      <c r="G16005" s="67" t="s">
        <v>648</v>
      </c>
      <c r="H16005" s="69">
        <v>-0.95</v>
      </c>
    </row>
    <row r="16006" spans="6:8">
      <c r="F16006" s="68" t="s">
        <v>122</v>
      </c>
      <c r="G16006" s="67" t="s">
        <v>648</v>
      </c>
      <c r="H16006" s="69">
        <v>-0.63</v>
      </c>
    </row>
    <row r="16007" spans="6:8">
      <c r="F16007" s="68" t="s">
        <v>420</v>
      </c>
      <c r="G16007" s="67" t="s">
        <v>648</v>
      </c>
      <c r="H16007" s="69">
        <v>3.2495979587230384</v>
      </c>
    </row>
    <row r="16008" spans="6:8">
      <c r="F16008" s="68" t="s">
        <v>251</v>
      </c>
      <c r="G16008" s="67" t="s">
        <v>648</v>
      </c>
      <c r="H16008" s="69">
        <v>0.23</v>
      </c>
    </row>
    <row r="16009" spans="6:8">
      <c r="F16009" s="68" t="s">
        <v>121</v>
      </c>
      <c r="G16009" s="67" t="s">
        <v>648</v>
      </c>
      <c r="H16009" s="69">
        <v>-0.64</v>
      </c>
    </row>
    <row r="16010" spans="6:8">
      <c r="F16010" s="68" t="s">
        <v>120</v>
      </c>
      <c r="G16010" s="67" t="s">
        <v>648</v>
      </c>
      <c r="H16010" s="69">
        <v>-0.81</v>
      </c>
    </row>
    <row r="16011" spans="6:8">
      <c r="F16011" s="68" t="s">
        <v>119</v>
      </c>
      <c r="G16011" s="67" t="s">
        <v>648</v>
      </c>
      <c r="H16011" s="69">
        <v>-0.67</v>
      </c>
    </row>
    <row r="16012" spans="6:8">
      <c r="F16012" s="68" t="s">
        <v>119</v>
      </c>
      <c r="G16012" s="67" t="s">
        <v>649</v>
      </c>
      <c r="H16012" s="69">
        <v>-0.66</v>
      </c>
    </row>
    <row r="16013" spans="6:8">
      <c r="F16013" s="68" t="s">
        <v>120</v>
      </c>
      <c r="G16013" s="67" t="s">
        <v>649</v>
      </c>
      <c r="H16013" s="69">
        <v>-0.8</v>
      </c>
    </row>
    <row r="16014" spans="6:8">
      <c r="F16014" s="68" t="s">
        <v>121</v>
      </c>
      <c r="G16014" s="67" t="s">
        <v>649</v>
      </c>
      <c r="H16014" s="69">
        <v>-0.63</v>
      </c>
    </row>
    <row r="16015" spans="6:8">
      <c r="F16015" s="68" t="s">
        <v>251</v>
      </c>
      <c r="G16015" s="67" t="s">
        <v>649</v>
      </c>
      <c r="H16015" s="69">
        <v>0.23</v>
      </c>
    </row>
    <row r="16016" spans="6:8">
      <c r="F16016" s="68" t="s">
        <v>420</v>
      </c>
      <c r="G16016" s="67" t="s">
        <v>649</v>
      </c>
      <c r="H16016" s="69">
        <v>3.2649381619976214</v>
      </c>
    </row>
    <row r="16017" spans="6:8">
      <c r="F16017" s="68" t="s">
        <v>122</v>
      </c>
      <c r="G16017" s="67" t="s">
        <v>649</v>
      </c>
      <c r="H16017" s="69">
        <v>-0.62</v>
      </c>
    </row>
    <row r="16018" spans="6:8">
      <c r="F16018" s="68" t="s">
        <v>123</v>
      </c>
      <c r="G16018" s="67" t="s">
        <v>649</v>
      </c>
      <c r="H16018" s="69">
        <v>-0.95</v>
      </c>
    </row>
    <row r="16019" spans="6:8">
      <c r="F16019" s="68" t="s">
        <v>124</v>
      </c>
      <c r="G16019" s="67" t="s">
        <v>649</v>
      </c>
      <c r="H16019" s="69">
        <v>-0.49</v>
      </c>
    </row>
    <row r="16020" spans="6:8">
      <c r="F16020" s="68" t="s">
        <v>252</v>
      </c>
      <c r="G16020" s="67" t="s">
        <v>649</v>
      </c>
      <c r="H16020" s="69">
        <v>0.28999999999999998</v>
      </c>
    </row>
    <row r="16021" spans="6:8">
      <c r="F16021" s="68" t="s">
        <v>314</v>
      </c>
      <c r="G16021" s="67" t="s">
        <v>649</v>
      </c>
      <c r="H16021" s="69">
        <v>-0.39</v>
      </c>
    </row>
    <row r="16022" spans="6:8">
      <c r="F16022" s="68" t="s">
        <v>125</v>
      </c>
      <c r="G16022" s="67" t="s">
        <v>649</v>
      </c>
      <c r="H16022" s="69">
        <v>-0.51</v>
      </c>
    </row>
    <row r="16023" spans="6:8">
      <c r="F16023" s="68" t="s">
        <v>126</v>
      </c>
      <c r="G16023" s="67" t="s">
        <v>649</v>
      </c>
      <c r="H16023" s="69">
        <v>-0.87</v>
      </c>
    </row>
    <row r="16024" spans="6:8">
      <c r="F16024" s="68" t="s">
        <v>127</v>
      </c>
      <c r="G16024" s="67" t="s">
        <v>649</v>
      </c>
      <c r="H16024" s="69">
        <v>-0.43</v>
      </c>
    </row>
    <row r="16025" spans="6:8">
      <c r="F16025" s="68" t="s">
        <v>253</v>
      </c>
      <c r="G16025" s="67" t="s">
        <v>649</v>
      </c>
      <c r="H16025" s="69">
        <v>0.47</v>
      </c>
    </row>
    <row r="16026" spans="6:8">
      <c r="F16026" s="68" t="s">
        <v>315</v>
      </c>
      <c r="G16026" s="67" t="s">
        <v>649</v>
      </c>
      <c r="H16026" s="69">
        <v>-0.19</v>
      </c>
    </row>
    <row r="16027" spans="6:8">
      <c r="F16027" s="68" t="s">
        <v>128</v>
      </c>
      <c r="G16027" s="67" t="s">
        <v>649</v>
      </c>
      <c r="H16027" s="69">
        <v>-0.83</v>
      </c>
    </row>
    <row r="16028" spans="6:8">
      <c r="F16028" s="68" t="s">
        <v>129</v>
      </c>
      <c r="G16028" s="67" t="s">
        <v>649</v>
      </c>
      <c r="H16028" s="69">
        <v>-0.72</v>
      </c>
    </row>
    <row r="16029" spans="6:8">
      <c r="F16029" s="68" t="s">
        <v>254</v>
      </c>
      <c r="G16029" s="67" t="s">
        <v>649</v>
      </c>
      <c r="H16029" s="69">
        <v>0.61</v>
      </c>
    </row>
    <row r="16030" spans="6:8">
      <c r="F16030" s="68" t="s">
        <v>304</v>
      </c>
      <c r="G16030" s="67" t="s">
        <v>649</v>
      </c>
      <c r="H16030" s="69">
        <v>17.854166666666668</v>
      </c>
    </row>
    <row r="16031" spans="6:8">
      <c r="F16031" s="68" t="s">
        <v>421</v>
      </c>
      <c r="G16031" s="67" t="s">
        <v>649</v>
      </c>
      <c r="H16031" s="69">
        <v>2.2537643944729346</v>
      </c>
    </row>
    <row r="16032" spans="6:8">
      <c r="F16032" s="68" t="s">
        <v>567</v>
      </c>
      <c r="G16032" s="67" t="s">
        <v>649</v>
      </c>
      <c r="H16032" s="69">
        <v>-0.69</v>
      </c>
    </row>
    <row r="16033" spans="6:8">
      <c r="F16033" s="68" t="s">
        <v>130</v>
      </c>
      <c r="G16033" s="67" t="s">
        <v>649</v>
      </c>
      <c r="H16033" s="69">
        <v>-0.94</v>
      </c>
    </row>
    <row r="16034" spans="6:8">
      <c r="F16034" s="68" t="s">
        <v>131</v>
      </c>
      <c r="G16034" s="67" t="s">
        <v>649</v>
      </c>
      <c r="H16034" s="69">
        <v>-0.56999999999999995</v>
      </c>
    </row>
    <row r="16035" spans="6:8">
      <c r="F16035" s="68" t="s">
        <v>255</v>
      </c>
      <c r="G16035" s="67" t="s">
        <v>649</v>
      </c>
      <c r="H16035" s="69">
        <v>0.76</v>
      </c>
    </row>
    <row r="16036" spans="6:8">
      <c r="F16036" s="68" t="s">
        <v>303</v>
      </c>
      <c r="G16036" s="67" t="s">
        <v>649</v>
      </c>
      <c r="H16036" s="69">
        <v>18.895833333333332</v>
      </c>
    </row>
    <row r="16037" spans="6:8">
      <c r="F16037" s="68" t="s">
        <v>422</v>
      </c>
      <c r="G16037" s="67" t="s">
        <v>649</v>
      </c>
      <c r="H16037" s="69">
        <v>2.2595566234137721</v>
      </c>
    </row>
    <row r="16038" spans="6:8">
      <c r="F16038" s="68" t="s">
        <v>568</v>
      </c>
      <c r="G16038" s="67" t="s">
        <v>649</v>
      </c>
      <c r="H16038" s="69">
        <v>-0.35</v>
      </c>
    </row>
    <row r="16039" spans="6:8">
      <c r="F16039" s="68" t="s">
        <v>132</v>
      </c>
      <c r="G16039" s="67" t="s">
        <v>649</v>
      </c>
      <c r="H16039" s="69">
        <v>-0.84</v>
      </c>
    </row>
    <row r="16040" spans="6:8">
      <c r="F16040" s="68" t="s">
        <v>133</v>
      </c>
      <c r="G16040" s="67" t="s">
        <v>649</v>
      </c>
      <c r="H16040" s="69">
        <v>-0.64</v>
      </c>
    </row>
    <row r="16041" spans="6:8">
      <c r="F16041" s="68" t="s">
        <v>256</v>
      </c>
      <c r="G16041" s="67" t="s">
        <v>649</v>
      </c>
      <c r="H16041" s="69">
        <v>0.85</v>
      </c>
    </row>
    <row r="16042" spans="6:8">
      <c r="F16042" s="68" t="s">
        <v>423</v>
      </c>
      <c r="G16042" s="67" t="s">
        <v>649</v>
      </c>
      <c r="H16042" s="69">
        <v>2.3315898394697498</v>
      </c>
    </row>
    <row r="16043" spans="6:8">
      <c r="F16043" s="68" t="s">
        <v>569</v>
      </c>
      <c r="G16043" s="67" t="s">
        <v>649</v>
      </c>
      <c r="H16043" s="69">
        <v>-0.18</v>
      </c>
    </row>
    <row r="16044" spans="6:8">
      <c r="F16044" s="68" t="s">
        <v>134</v>
      </c>
      <c r="G16044" s="67" t="s">
        <v>649</v>
      </c>
      <c r="H16044" s="69">
        <v>-0.8</v>
      </c>
    </row>
    <row r="16045" spans="6:8">
      <c r="F16045" s="68" t="s">
        <v>135</v>
      </c>
      <c r="G16045" s="67" t="s">
        <v>649</v>
      </c>
      <c r="H16045" s="69">
        <v>-0.79</v>
      </c>
    </row>
    <row r="16046" spans="6:8">
      <c r="F16046" s="68" t="s">
        <v>257</v>
      </c>
      <c r="G16046" s="67" t="s">
        <v>649</v>
      </c>
      <c r="H16046" s="69">
        <v>0.91</v>
      </c>
    </row>
    <row r="16047" spans="6:8">
      <c r="F16047" s="68" t="s">
        <v>258</v>
      </c>
      <c r="G16047" s="67" t="s">
        <v>649</v>
      </c>
      <c r="H16047" s="69">
        <v>0.15</v>
      </c>
    </row>
    <row r="16048" spans="6:8">
      <c r="F16048" s="68" t="s">
        <v>424</v>
      </c>
      <c r="G16048" s="67" t="s">
        <v>649</v>
      </c>
      <c r="H16048" s="69">
        <v>3.0227579322086306</v>
      </c>
    </row>
    <row r="16049" spans="6:8">
      <c r="F16049" s="68" t="s">
        <v>136</v>
      </c>
      <c r="G16049" s="67" t="s">
        <v>649</v>
      </c>
      <c r="H16049" s="69">
        <v>-0.77</v>
      </c>
    </row>
    <row r="16050" spans="6:8">
      <c r="F16050" s="68" t="s">
        <v>137</v>
      </c>
      <c r="G16050" s="67" t="s">
        <v>649</v>
      </c>
      <c r="H16050" s="69">
        <v>-0.65</v>
      </c>
    </row>
    <row r="16051" spans="6:8">
      <c r="F16051" s="68" t="s">
        <v>138</v>
      </c>
      <c r="G16051" s="67" t="s">
        <v>649</v>
      </c>
      <c r="H16051" s="69">
        <v>-0.73</v>
      </c>
    </row>
    <row r="16052" spans="6:8">
      <c r="F16052" s="68" t="s">
        <v>259</v>
      </c>
      <c r="G16052" s="67" t="s">
        <v>649</v>
      </c>
      <c r="H16052" s="69">
        <v>0.21</v>
      </c>
    </row>
    <row r="16053" spans="6:8">
      <c r="F16053" s="68" t="s">
        <v>425</v>
      </c>
      <c r="G16053" s="67" t="s">
        <v>649</v>
      </c>
      <c r="H16053" s="69">
        <v>3.0497217877841543</v>
      </c>
    </row>
    <row r="16054" spans="6:8">
      <c r="F16054" s="68" t="s">
        <v>425</v>
      </c>
      <c r="G16054" s="67" t="s">
        <v>650</v>
      </c>
      <c r="H16054" s="69">
        <v>3.0588194392015211</v>
      </c>
    </row>
    <row r="16055" spans="6:8">
      <c r="F16055" s="68" t="s">
        <v>259</v>
      </c>
      <c r="G16055" s="67" t="s">
        <v>650</v>
      </c>
      <c r="H16055" s="69">
        <v>0.21</v>
      </c>
    </row>
    <row r="16056" spans="6:8">
      <c r="F16056" s="68" t="s">
        <v>138</v>
      </c>
      <c r="G16056" s="67" t="s">
        <v>650</v>
      </c>
      <c r="H16056" s="69">
        <v>-0.73</v>
      </c>
    </row>
    <row r="16057" spans="6:8">
      <c r="F16057" s="68" t="s">
        <v>137</v>
      </c>
      <c r="G16057" s="67" t="s">
        <v>650</v>
      </c>
      <c r="H16057" s="69">
        <v>-0.65</v>
      </c>
    </row>
    <row r="16058" spans="6:8">
      <c r="F16058" s="68" t="s">
        <v>136</v>
      </c>
      <c r="G16058" s="67" t="s">
        <v>650</v>
      </c>
      <c r="H16058" s="69">
        <v>-0.77</v>
      </c>
    </row>
    <row r="16059" spans="6:8">
      <c r="F16059" s="68" t="s">
        <v>424</v>
      </c>
      <c r="G16059" s="67" t="s">
        <v>650</v>
      </c>
      <c r="H16059" s="69">
        <v>3.0313217140814253</v>
      </c>
    </row>
    <row r="16060" spans="6:8">
      <c r="F16060" s="68" t="s">
        <v>258</v>
      </c>
      <c r="G16060" s="67" t="s">
        <v>650</v>
      </c>
      <c r="H16060" s="69">
        <v>0.15</v>
      </c>
    </row>
    <row r="16061" spans="6:8">
      <c r="F16061" s="68" t="s">
        <v>257</v>
      </c>
      <c r="G16061" s="67" t="s">
        <v>650</v>
      </c>
      <c r="H16061" s="69">
        <v>0.91</v>
      </c>
    </row>
    <row r="16062" spans="6:8">
      <c r="F16062" s="68" t="s">
        <v>135</v>
      </c>
      <c r="G16062" s="67" t="s">
        <v>650</v>
      </c>
      <c r="H16062" s="69">
        <v>-0.79</v>
      </c>
    </row>
    <row r="16063" spans="6:8">
      <c r="F16063" s="68" t="s">
        <v>134</v>
      </c>
      <c r="G16063" s="67" t="s">
        <v>650</v>
      </c>
      <c r="H16063" s="69">
        <v>-0.8</v>
      </c>
    </row>
    <row r="16064" spans="6:8">
      <c r="F16064" s="68" t="s">
        <v>569</v>
      </c>
      <c r="G16064" s="67" t="s">
        <v>650</v>
      </c>
      <c r="H16064" s="69">
        <v>-0.18</v>
      </c>
    </row>
    <row r="16065" spans="6:8">
      <c r="F16065" s="68" t="s">
        <v>423</v>
      </c>
      <c r="G16065" s="67" t="s">
        <v>650</v>
      </c>
      <c r="H16065" s="69">
        <v>2.3602648473447285</v>
      </c>
    </row>
    <row r="16066" spans="6:8">
      <c r="F16066" s="68" t="s">
        <v>256</v>
      </c>
      <c r="G16066" s="67" t="s">
        <v>650</v>
      </c>
      <c r="H16066" s="69">
        <v>0.85</v>
      </c>
    </row>
    <row r="16067" spans="6:8">
      <c r="F16067" s="68" t="s">
        <v>133</v>
      </c>
      <c r="G16067" s="67" t="s">
        <v>650</v>
      </c>
      <c r="H16067" s="69">
        <v>-0.64</v>
      </c>
    </row>
    <row r="16068" spans="6:8">
      <c r="F16068" s="68" t="s">
        <v>132</v>
      </c>
      <c r="G16068" s="67" t="s">
        <v>650</v>
      </c>
      <c r="H16068" s="69">
        <v>-0.84</v>
      </c>
    </row>
    <row r="16069" spans="6:8">
      <c r="F16069" s="68" t="s">
        <v>568</v>
      </c>
      <c r="G16069" s="67" t="s">
        <v>650</v>
      </c>
      <c r="H16069" s="69">
        <v>-0.35</v>
      </c>
    </row>
    <row r="16070" spans="6:8">
      <c r="F16070" s="68" t="s">
        <v>422</v>
      </c>
      <c r="G16070" s="67" t="s">
        <v>650</v>
      </c>
      <c r="H16070" s="69">
        <v>2.2056147200870235</v>
      </c>
    </row>
    <row r="16071" spans="6:8">
      <c r="F16071" s="68" t="s">
        <v>303</v>
      </c>
      <c r="G16071" s="67" t="s">
        <v>650</v>
      </c>
      <c r="H16071" s="69">
        <v>18.96875</v>
      </c>
    </row>
    <row r="16072" spans="6:8">
      <c r="F16072" s="68" t="s">
        <v>255</v>
      </c>
      <c r="G16072" s="67" t="s">
        <v>650</v>
      </c>
      <c r="H16072" s="69">
        <v>0.76</v>
      </c>
    </row>
    <row r="16073" spans="6:8">
      <c r="F16073" s="68" t="s">
        <v>131</v>
      </c>
      <c r="G16073" s="67" t="s">
        <v>650</v>
      </c>
      <c r="H16073" s="69">
        <v>-0.56999999999999995</v>
      </c>
    </row>
    <row r="16074" spans="6:8">
      <c r="F16074" s="68" t="s">
        <v>130</v>
      </c>
      <c r="G16074" s="67" t="s">
        <v>650</v>
      </c>
      <c r="H16074" s="69">
        <v>-0.94</v>
      </c>
    </row>
    <row r="16075" spans="6:8">
      <c r="F16075" s="68" t="s">
        <v>567</v>
      </c>
      <c r="G16075" s="67" t="s">
        <v>650</v>
      </c>
      <c r="H16075" s="69">
        <v>-0.69</v>
      </c>
    </row>
    <row r="16076" spans="6:8">
      <c r="F16076" s="68" t="s">
        <v>421</v>
      </c>
      <c r="G16076" s="67" t="s">
        <v>650</v>
      </c>
      <c r="H16076" s="69">
        <v>2.1987614101907305</v>
      </c>
    </row>
    <row r="16077" spans="6:8">
      <c r="F16077" s="68" t="s">
        <v>304</v>
      </c>
      <c r="G16077" s="67" t="s">
        <v>650</v>
      </c>
      <c r="H16077" s="69">
        <v>17.885416666666668</v>
      </c>
    </row>
    <row r="16078" spans="6:8">
      <c r="F16078" s="68" t="s">
        <v>254</v>
      </c>
      <c r="G16078" s="67" t="s">
        <v>650</v>
      </c>
      <c r="H16078" s="69">
        <v>0.61</v>
      </c>
    </row>
    <row r="16079" spans="6:8">
      <c r="F16079" s="68" t="s">
        <v>129</v>
      </c>
      <c r="G16079" s="67" t="s">
        <v>650</v>
      </c>
      <c r="H16079" s="69">
        <v>-0.72</v>
      </c>
    </row>
    <row r="16080" spans="6:8">
      <c r="F16080" s="68" t="s">
        <v>128</v>
      </c>
      <c r="G16080" s="67" t="s">
        <v>650</v>
      </c>
      <c r="H16080" s="69">
        <v>-0.83</v>
      </c>
    </row>
    <row r="16081" spans="6:8">
      <c r="F16081" s="68" t="s">
        <v>315</v>
      </c>
      <c r="G16081" s="67" t="s">
        <v>650</v>
      </c>
      <c r="H16081" s="69">
        <v>-0.19</v>
      </c>
    </row>
    <row r="16082" spans="6:8">
      <c r="F16082" s="68" t="s">
        <v>253</v>
      </c>
      <c r="G16082" s="67" t="s">
        <v>650</v>
      </c>
      <c r="H16082" s="69">
        <v>0.47</v>
      </c>
    </row>
    <row r="16083" spans="6:8">
      <c r="F16083" s="68" t="s">
        <v>127</v>
      </c>
      <c r="G16083" s="67" t="s">
        <v>650</v>
      </c>
      <c r="H16083" s="69">
        <v>-0.43</v>
      </c>
    </row>
    <row r="16084" spans="6:8">
      <c r="F16084" s="68" t="s">
        <v>126</v>
      </c>
      <c r="G16084" s="67" t="s">
        <v>650</v>
      </c>
      <c r="H16084" s="69">
        <v>-0.87</v>
      </c>
    </row>
    <row r="16085" spans="6:8">
      <c r="F16085" s="68" t="s">
        <v>125</v>
      </c>
      <c r="G16085" s="67" t="s">
        <v>650</v>
      </c>
      <c r="H16085" s="69">
        <v>-0.51</v>
      </c>
    </row>
    <row r="16086" spans="6:8">
      <c r="F16086" s="68" t="s">
        <v>314</v>
      </c>
      <c r="G16086" s="67" t="s">
        <v>650</v>
      </c>
      <c r="H16086" s="69">
        <v>-0.39</v>
      </c>
    </row>
    <row r="16087" spans="6:8">
      <c r="F16087" s="68" t="s">
        <v>252</v>
      </c>
      <c r="G16087" s="67" t="s">
        <v>650</v>
      </c>
      <c r="H16087" s="69">
        <v>0.28999999999999998</v>
      </c>
    </row>
    <row r="16088" spans="6:8">
      <c r="F16088" s="68" t="s">
        <v>124</v>
      </c>
      <c r="G16088" s="67" t="s">
        <v>650</v>
      </c>
      <c r="H16088" s="69">
        <v>-0.49</v>
      </c>
    </row>
    <row r="16089" spans="6:8">
      <c r="F16089" s="68" t="s">
        <v>123</v>
      </c>
      <c r="G16089" s="67" t="s">
        <v>650</v>
      </c>
      <c r="H16089" s="69">
        <v>-0.95</v>
      </c>
    </row>
    <row r="16090" spans="6:8">
      <c r="F16090" s="68" t="s">
        <v>122</v>
      </c>
      <c r="G16090" s="67" t="s">
        <v>650</v>
      </c>
      <c r="H16090" s="69">
        <v>-0.62</v>
      </c>
    </row>
    <row r="16091" spans="6:8">
      <c r="F16091" s="68" t="s">
        <v>420</v>
      </c>
      <c r="G16091" s="67" t="s">
        <v>650</v>
      </c>
      <c r="H16091" s="69">
        <v>3.2862217009341776</v>
      </c>
    </row>
    <row r="16092" spans="6:8">
      <c r="F16092" s="68" t="s">
        <v>251</v>
      </c>
      <c r="G16092" s="67" t="s">
        <v>650</v>
      </c>
      <c r="H16092" s="69">
        <v>0.23</v>
      </c>
    </row>
    <row r="16093" spans="6:8">
      <c r="F16093" s="68" t="s">
        <v>121</v>
      </c>
      <c r="G16093" s="67" t="s">
        <v>650</v>
      </c>
      <c r="H16093" s="69">
        <v>-0.63</v>
      </c>
    </row>
    <row r="16094" spans="6:8">
      <c r="F16094" s="68" t="s">
        <v>120</v>
      </c>
      <c r="G16094" s="67" t="s">
        <v>650</v>
      </c>
      <c r="H16094" s="69">
        <v>-0.8</v>
      </c>
    </row>
    <row r="16095" spans="6:8">
      <c r="F16095" s="68" t="s">
        <v>119</v>
      </c>
      <c r="G16095" s="67" t="s">
        <v>650</v>
      </c>
      <c r="H16095" s="69">
        <v>-0.66</v>
      </c>
    </row>
    <row r="16096" spans="6:8">
      <c r="F16096" s="68" t="s">
        <v>119</v>
      </c>
      <c r="G16096" s="67" t="s">
        <v>651</v>
      </c>
      <c r="H16096" s="69">
        <v>-0.66</v>
      </c>
    </row>
    <row r="16097" spans="6:8">
      <c r="F16097" s="68" t="s">
        <v>120</v>
      </c>
      <c r="G16097" s="67" t="s">
        <v>651</v>
      </c>
      <c r="H16097" s="69">
        <v>-0.8</v>
      </c>
    </row>
    <row r="16098" spans="6:8">
      <c r="F16098" s="68" t="s">
        <v>121</v>
      </c>
      <c r="G16098" s="67" t="s">
        <v>651</v>
      </c>
      <c r="H16098" s="69">
        <v>-0.63</v>
      </c>
    </row>
    <row r="16099" spans="6:8">
      <c r="F16099" s="68" t="s">
        <v>251</v>
      </c>
      <c r="G16099" s="67" t="s">
        <v>651</v>
      </c>
      <c r="H16099" s="69">
        <v>0.23</v>
      </c>
    </row>
    <row r="16100" spans="6:8">
      <c r="F16100" s="68" t="s">
        <v>420</v>
      </c>
      <c r="G16100" s="67" t="s">
        <v>651</v>
      </c>
      <c r="H16100" s="69">
        <v>3.2833321775181279</v>
      </c>
    </row>
    <row r="16101" spans="6:8">
      <c r="F16101" s="68" t="s">
        <v>122</v>
      </c>
      <c r="G16101" s="67" t="s">
        <v>651</v>
      </c>
      <c r="H16101" s="69">
        <v>-0.62</v>
      </c>
    </row>
    <row r="16102" spans="6:8">
      <c r="F16102" s="68" t="s">
        <v>123</v>
      </c>
      <c r="G16102" s="67" t="s">
        <v>651</v>
      </c>
      <c r="H16102" s="69">
        <v>-0.95</v>
      </c>
    </row>
    <row r="16103" spans="6:8">
      <c r="F16103" s="68" t="s">
        <v>124</v>
      </c>
      <c r="G16103" s="67" t="s">
        <v>651</v>
      </c>
      <c r="H16103" s="69">
        <v>-0.49</v>
      </c>
    </row>
    <row r="16104" spans="6:8">
      <c r="F16104" s="68" t="s">
        <v>252</v>
      </c>
      <c r="G16104" s="67" t="s">
        <v>651</v>
      </c>
      <c r="H16104" s="69">
        <v>0.3</v>
      </c>
    </row>
    <row r="16105" spans="6:8">
      <c r="F16105" s="68" t="s">
        <v>314</v>
      </c>
      <c r="G16105" s="67" t="s">
        <v>651</v>
      </c>
      <c r="H16105" s="69">
        <v>-0.39</v>
      </c>
    </row>
    <row r="16106" spans="6:8">
      <c r="F16106" s="68" t="s">
        <v>125</v>
      </c>
      <c r="G16106" s="67" t="s">
        <v>651</v>
      </c>
      <c r="H16106" s="69">
        <v>-0.51</v>
      </c>
    </row>
    <row r="16107" spans="6:8">
      <c r="F16107" s="68" t="s">
        <v>126</v>
      </c>
      <c r="G16107" s="67" t="s">
        <v>651</v>
      </c>
      <c r="H16107" s="69">
        <v>-0.87</v>
      </c>
    </row>
    <row r="16108" spans="6:8">
      <c r="F16108" s="68" t="s">
        <v>127</v>
      </c>
      <c r="G16108" s="67" t="s">
        <v>651</v>
      </c>
      <c r="H16108" s="69">
        <v>-0.43</v>
      </c>
    </row>
    <row r="16109" spans="6:8">
      <c r="F16109" s="68" t="s">
        <v>253</v>
      </c>
      <c r="G16109" s="67" t="s">
        <v>651</v>
      </c>
      <c r="H16109" s="69">
        <v>0.47</v>
      </c>
    </row>
    <row r="16110" spans="6:8">
      <c r="F16110" s="68" t="s">
        <v>315</v>
      </c>
      <c r="G16110" s="67" t="s">
        <v>651</v>
      </c>
      <c r="H16110" s="69">
        <v>-0.19</v>
      </c>
    </row>
    <row r="16111" spans="6:8">
      <c r="F16111" s="68" t="s">
        <v>128</v>
      </c>
      <c r="G16111" s="67" t="s">
        <v>651</v>
      </c>
      <c r="H16111" s="69">
        <v>-0.83</v>
      </c>
    </row>
    <row r="16112" spans="6:8">
      <c r="F16112" s="68" t="s">
        <v>129</v>
      </c>
      <c r="G16112" s="67" t="s">
        <v>651</v>
      </c>
      <c r="H16112" s="69">
        <v>-0.72</v>
      </c>
    </row>
    <row r="16113" spans="6:8">
      <c r="F16113" s="68" t="s">
        <v>254</v>
      </c>
      <c r="G16113" s="67" t="s">
        <v>651</v>
      </c>
      <c r="H16113" s="69">
        <v>0.62</v>
      </c>
    </row>
    <row r="16114" spans="6:8">
      <c r="F16114" s="68" t="s">
        <v>304</v>
      </c>
      <c r="G16114" s="67" t="s">
        <v>651</v>
      </c>
      <c r="H16114" s="69">
        <v>17.885416666666668</v>
      </c>
    </row>
    <row r="16115" spans="6:8">
      <c r="F16115" s="68" t="s">
        <v>421</v>
      </c>
      <c r="G16115" s="67" t="s">
        <v>651</v>
      </c>
      <c r="H16115" s="69">
        <v>2.2020063666982281</v>
      </c>
    </row>
    <row r="16116" spans="6:8">
      <c r="F16116" s="68" t="s">
        <v>567</v>
      </c>
      <c r="G16116" s="67" t="s">
        <v>651</v>
      </c>
      <c r="H16116" s="69">
        <v>-0.69</v>
      </c>
    </row>
    <row r="16117" spans="6:8">
      <c r="F16117" s="68" t="s">
        <v>130</v>
      </c>
      <c r="G16117" s="67" t="s">
        <v>651</v>
      </c>
      <c r="H16117" s="69">
        <v>-0.94</v>
      </c>
    </row>
    <row r="16118" spans="6:8">
      <c r="F16118" s="68" t="s">
        <v>131</v>
      </c>
      <c r="G16118" s="67" t="s">
        <v>651</v>
      </c>
      <c r="H16118" s="69">
        <v>-0.56999999999999995</v>
      </c>
    </row>
    <row r="16119" spans="6:8">
      <c r="F16119" s="68" t="s">
        <v>255</v>
      </c>
      <c r="G16119" s="67" t="s">
        <v>651</v>
      </c>
      <c r="H16119" s="69">
        <v>0.77</v>
      </c>
    </row>
    <row r="16120" spans="6:8">
      <c r="F16120" s="68" t="s">
        <v>303</v>
      </c>
      <c r="G16120" s="67" t="s">
        <v>651</v>
      </c>
      <c r="H16120" s="69">
        <v>18.96875</v>
      </c>
    </row>
    <row r="16121" spans="6:8">
      <c r="F16121" s="68" t="s">
        <v>422</v>
      </c>
      <c r="G16121" s="67" t="s">
        <v>651</v>
      </c>
      <c r="H16121" s="69">
        <v>2.2087987104585149</v>
      </c>
    </row>
    <row r="16122" spans="6:8">
      <c r="F16122" s="68" t="s">
        <v>568</v>
      </c>
      <c r="G16122" s="67" t="s">
        <v>651</v>
      </c>
      <c r="H16122" s="69">
        <v>-0.35</v>
      </c>
    </row>
    <row r="16123" spans="6:8">
      <c r="F16123" s="68" t="s">
        <v>132</v>
      </c>
      <c r="G16123" s="67" t="s">
        <v>651</v>
      </c>
      <c r="H16123" s="69">
        <v>-0.84</v>
      </c>
    </row>
    <row r="16124" spans="6:8">
      <c r="F16124" s="68" t="s">
        <v>133</v>
      </c>
      <c r="G16124" s="67" t="s">
        <v>651</v>
      </c>
      <c r="H16124" s="69">
        <v>-0.64</v>
      </c>
    </row>
    <row r="16125" spans="6:8">
      <c r="F16125" s="68" t="s">
        <v>256</v>
      </c>
      <c r="G16125" s="67" t="s">
        <v>651</v>
      </c>
      <c r="H16125" s="69">
        <v>0.86</v>
      </c>
    </row>
    <row r="16126" spans="6:8">
      <c r="F16126" s="68" t="s">
        <v>423</v>
      </c>
      <c r="G16126" s="67" t="s">
        <v>651</v>
      </c>
      <c r="H16126" s="69">
        <v>2.3482159351511989</v>
      </c>
    </row>
    <row r="16127" spans="6:8">
      <c r="F16127" s="68" t="s">
        <v>569</v>
      </c>
      <c r="G16127" s="67" t="s">
        <v>651</v>
      </c>
      <c r="H16127" s="69">
        <v>-0.18</v>
      </c>
    </row>
    <row r="16128" spans="6:8">
      <c r="F16128" s="68" t="s">
        <v>134</v>
      </c>
      <c r="G16128" s="67" t="s">
        <v>651</v>
      </c>
      <c r="H16128" s="69">
        <v>-0.8</v>
      </c>
    </row>
    <row r="16129" spans="6:8">
      <c r="F16129" s="68" t="s">
        <v>135</v>
      </c>
      <c r="G16129" s="67" t="s">
        <v>651</v>
      </c>
      <c r="H16129" s="69">
        <v>-0.79</v>
      </c>
    </row>
    <row r="16130" spans="6:8">
      <c r="F16130" s="68" t="s">
        <v>257</v>
      </c>
      <c r="G16130" s="67" t="s">
        <v>651</v>
      </c>
      <c r="H16130" s="69">
        <v>0.91</v>
      </c>
    </row>
    <row r="16131" spans="6:8">
      <c r="F16131" s="68" t="s">
        <v>258</v>
      </c>
      <c r="G16131" s="67" t="s">
        <v>651</v>
      </c>
      <c r="H16131" s="69">
        <v>0.15</v>
      </c>
    </row>
    <row r="16132" spans="6:8">
      <c r="F16132" s="68" t="s">
        <v>424</v>
      </c>
      <c r="G16132" s="67" t="s">
        <v>651</v>
      </c>
      <c r="H16132" s="69">
        <v>3.0279469068341669</v>
      </c>
    </row>
    <row r="16133" spans="6:8">
      <c r="F16133" s="68" t="s">
        <v>136</v>
      </c>
      <c r="G16133" s="67" t="s">
        <v>651</v>
      </c>
      <c r="H16133" s="69">
        <v>-0.77</v>
      </c>
    </row>
    <row r="16134" spans="6:8">
      <c r="F16134" s="68" t="s">
        <v>137</v>
      </c>
      <c r="G16134" s="67" t="s">
        <v>651</v>
      </c>
      <c r="H16134" s="69">
        <v>-0.65</v>
      </c>
    </row>
    <row r="16135" spans="6:8">
      <c r="F16135" s="68" t="s">
        <v>138</v>
      </c>
      <c r="G16135" s="67" t="s">
        <v>651</v>
      </c>
      <c r="H16135" s="69">
        <v>-0.73</v>
      </c>
    </row>
    <row r="16136" spans="6:8">
      <c r="F16136" s="68" t="s">
        <v>259</v>
      </c>
      <c r="G16136" s="67" t="s">
        <v>651</v>
      </c>
      <c r="H16136" s="69">
        <v>0.18</v>
      </c>
    </row>
    <row r="16137" spans="6:8">
      <c r="F16137" s="68" t="s">
        <v>425</v>
      </c>
      <c r="G16137" s="67" t="s">
        <v>651</v>
      </c>
      <c r="H16137" s="69">
        <v>3.0538122761059494</v>
      </c>
    </row>
    <row r="16138" spans="6:8">
      <c r="F16138" s="68" t="s">
        <v>425</v>
      </c>
      <c r="G16138" s="67" t="s">
        <v>652</v>
      </c>
      <c r="H16138" s="69">
        <v>2.97686905730421</v>
      </c>
    </row>
    <row r="16139" spans="6:8">
      <c r="F16139" s="68" t="s">
        <v>259</v>
      </c>
      <c r="G16139" s="67" t="s">
        <v>652</v>
      </c>
      <c r="H16139" s="69">
        <v>0.17</v>
      </c>
    </row>
    <row r="16140" spans="6:8">
      <c r="F16140" s="68" t="s">
        <v>138</v>
      </c>
      <c r="G16140" s="67" t="s">
        <v>652</v>
      </c>
      <c r="H16140" s="69">
        <v>-0.73</v>
      </c>
    </row>
    <row r="16141" spans="6:8">
      <c r="F16141" s="68" t="s">
        <v>137</v>
      </c>
      <c r="G16141" s="67" t="s">
        <v>652</v>
      </c>
      <c r="H16141" s="69">
        <v>-0.65</v>
      </c>
    </row>
    <row r="16142" spans="6:8">
      <c r="F16142" s="68" t="s">
        <v>136</v>
      </c>
      <c r="G16142" s="67" t="s">
        <v>652</v>
      </c>
      <c r="H16142" s="69">
        <v>-0.77</v>
      </c>
    </row>
    <row r="16143" spans="6:8">
      <c r="F16143" s="68" t="s">
        <v>424</v>
      </c>
      <c r="G16143" s="67" t="s">
        <v>652</v>
      </c>
      <c r="H16143" s="69">
        <v>2.9537190669260305</v>
      </c>
    </row>
    <row r="16144" spans="6:8">
      <c r="F16144" s="68" t="s">
        <v>258</v>
      </c>
      <c r="G16144" s="67" t="s">
        <v>652</v>
      </c>
      <c r="H16144" s="69">
        <v>0.15</v>
      </c>
    </row>
    <row r="16145" spans="6:8">
      <c r="F16145" s="68" t="s">
        <v>257</v>
      </c>
      <c r="G16145" s="67" t="s">
        <v>652</v>
      </c>
      <c r="H16145" s="69">
        <v>0.92</v>
      </c>
    </row>
    <row r="16146" spans="6:8">
      <c r="F16146" s="68" t="s">
        <v>135</v>
      </c>
      <c r="G16146" s="67" t="s">
        <v>652</v>
      </c>
      <c r="H16146" s="69">
        <v>-0.79</v>
      </c>
    </row>
    <row r="16147" spans="6:8">
      <c r="F16147" s="68" t="s">
        <v>134</v>
      </c>
      <c r="G16147" s="67" t="s">
        <v>652</v>
      </c>
      <c r="H16147" s="69">
        <v>-0.8</v>
      </c>
    </row>
    <row r="16148" spans="6:8">
      <c r="F16148" s="68" t="s">
        <v>569</v>
      </c>
      <c r="G16148" s="67" t="s">
        <v>652</v>
      </c>
      <c r="H16148" s="69">
        <v>-0.18</v>
      </c>
    </row>
    <row r="16149" spans="6:8">
      <c r="F16149" s="68" t="s">
        <v>423</v>
      </c>
      <c r="G16149" s="67" t="s">
        <v>652</v>
      </c>
      <c r="H16149" s="69">
        <v>2.2955542523247274</v>
      </c>
    </row>
    <row r="16150" spans="6:8">
      <c r="F16150" s="68" t="s">
        <v>256</v>
      </c>
      <c r="G16150" s="67" t="s">
        <v>652</v>
      </c>
      <c r="H16150" s="69">
        <v>0.87</v>
      </c>
    </row>
    <row r="16151" spans="6:8">
      <c r="F16151" s="68" t="s">
        <v>133</v>
      </c>
      <c r="G16151" s="67" t="s">
        <v>652</v>
      </c>
      <c r="H16151" s="69">
        <v>-0.64</v>
      </c>
    </row>
    <row r="16152" spans="6:8">
      <c r="F16152" s="68" t="s">
        <v>132</v>
      </c>
      <c r="G16152" s="67" t="s">
        <v>652</v>
      </c>
      <c r="H16152" s="69">
        <v>-0.84</v>
      </c>
    </row>
    <row r="16153" spans="6:8">
      <c r="F16153" s="68" t="s">
        <v>568</v>
      </c>
      <c r="G16153" s="67" t="s">
        <v>652</v>
      </c>
      <c r="H16153" s="69">
        <v>-0.35</v>
      </c>
    </row>
    <row r="16154" spans="6:8">
      <c r="F16154" s="68" t="s">
        <v>422</v>
      </c>
      <c r="G16154" s="67" t="s">
        <v>652</v>
      </c>
      <c r="H16154" s="69">
        <v>2.2293653505372379</v>
      </c>
    </row>
    <row r="16155" spans="6:8">
      <c r="F16155" s="68" t="s">
        <v>303</v>
      </c>
      <c r="G16155" s="67" t="s">
        <v>652</v>
      </c>
      <c r="H16155" s="69">
        <v>18.958333333333332</v>
      </c>
    </row>
    <row r="16156" spans="6:8">
      <c r="F16156" s="68" t="s">
        <v>255</v>
      </c>
      <c r="G16156" s="67" t="s">
        <v>652</v>
      </c>
      <c r="H16156" s="69">
        <v>0.77</v>
      </c>
    </row>
    <row r="16157" spans="6:8">
      <c r="F16157" s="68" t="s">
        <v>131</v>
      </c>
      <c r="G16157" s="67" t="s">
        <v>652</v>
      </c>
      <c r="H16157" s="69">
        <v>-0.56999999999999995</v>
      </c>
    </row>
    <row r="16158" spans="6:8">
      <c r="F16158" s="68" t="s">
        <v>130</v>
      </c>
      <c r="G16158" s="67" t="s">
        <v>652</v>
      </c>
      <c r="H16158" s="69">
        <v>-0.94</v>
      </c>
    </row>
    <row r="16159" spans="6:8">
      <c r="F16159" s="68" t="s">
        <v>567</v>
      </c>
      <c r="G16159" s="67" t="s">
        <v>652</v>
      </c>
      <c r="H16159" s="69">
        <v>-0.69</v>
      </c>
    </row>
    <row r="16160" spans="6:8">
      <c r="F16160" s="68" t="s">
        <v>421</v>
      </c>
      <c r="G16160" s="67" t="s">
        <v>652</v>
      </c>
      <c r="H16160" s="69">
        <v>2.2229718434181756</v>
      </c>
    </row>
    <row r="16161" spans="6:8">
      <c r="F16161" s="68" t="s">
        <v>304</v>
      </c>
      <c r="G16161" s="67" t="s">
        <v>652</v>
      </c>
      <c r="H16161" s="69">
        <v>17.885416666666668</v>
      </c>
    </row>
    <row r="16162" spans="6:8">
      <c r="F16162" s="68" t="s">
        <v>254</v>
      </c>
      <c r="G16162" s="67" t="s">
        <v>652</v>
      </c>
      <c r="H16162" s="69">
        <v>0.62</v>
      </c>
    </row>
    <row r="16163" spans="6:8">
      <c r="F16163" s="68" t="s">
        <v>129</v>
      </c>
      <c r="G16163" s="67" t="s">
        <v>652</v>
      </c>
      <c r="H16163" s="69">
        <v>-0.72</v>
      </c>
    </row>
    <row r="16164" spans="6:8">
      <c r="F16164" s="68" t="s">
        <v>128</v>
      </c>
      <c r="G16164" s="67" t="s">
        <v>652</v>
      </c>
      <c r="H16164" s="69">
        <v>-0.83</v>
      </c>
    </row>
    <row r="16165" spans="6:8">
      <c r="F16165" s="68" t="s">
        <v>315</v>
      </c>
      <c r="G16165" s="67" t="s">
        <v>652</v>
      </c>
      <c r="H16165" s="69">
        <v>-0.19</v>
      </c>
    </row>
    <row r="16166" spans="6:8">
      <c r="F16166" s="68" t="s">
        <v>253</v>
      </c>
      <c r="G16166" s="67" t="s">
        <v>652</v>
      </c>
      <c r="H16166" s="69">
        <v>0.46</v>
      </c>
    </row>
    <row r="16167" spans="6:8">
      <c r="F16167" s="68" t="s">
        <v>127</v>
      </c>
      <c r="G16167" s="67" t="s">
        <v>652</v>
      </c>
      <c r="H16167" s="69">
        <v>-0.43</v>
      </c>
    </row>
    <row r="16168" spans="6:8">
      <c r="F16168" s="68" t="s">
        <v>126</v>
      </c>
      <c r="G16168" s="67" t="s">
        <v>652</v>
      </c>
      <c r="H16168" s="69">
        <v>-0.87</v>
      </c>
    </row>
    <row r="16169" spans="6:8">
      <c r="F16169" s="68" t="s">
        <v>125</v>
      </c>
      <c r="G16169" s="67" t="s">
        <v>652</v>
      </c>
      <c r="H16169" s="69">
        <v>-0.51</v>
      </c>
    </row>
    <row r="16170" spans="6:8">
      <c r="F16170" s="68" t="s">
        <v>314</v>
      </c>
      <c r="G16170" s="67" t="s">
        <v>652</v>
      </c>
      <c r="H16170" s="69">
        <v>-0.39</v>
      </c>
    </row>
    <row r="16171" spans="6:8">
      <c r="F16171" s="68" t="s">
        <v>252</v>
      </c>
      <c r="G16171" s="67" t="s">
        <v>652</v>
      </c>
      <c r="H16171" s="69">
        <v>0.28999999999999998</v>
      </c>
    </row>
    <row r="16172" spans="6:8">
      <c r="F16172" s="68" t="s">
        <v>124</v>
      </c>
      <c r="G16172" s="67" t="s">
        <v>652</v>
      </c>
      <c r="H16172" s="69">
        <v>-0.49</v>
      </c>
    </row>
    <row r="16173" spans="6:8">
      <c r="F16173" s="68" t="s">
        <v>123</v>
      </c>
      <c r="G16173" s="67" t="s">
        <v>652</v>
      </c>
      <c r="H16173" s="69">
        <v>-0.95</v>
      </c>
    </row>
    <row r="16174" spans="6:8">
      <c r="F16174" s="68" t="s">
        <v>122</v>
      </c>
      <c r="G16174" s="67" t="s">
        <v>652</v>
      </c>
      <c r="H16174" s="69">
        <v>-0.62</v>
      </c>
    </row>
    <row r="16175" spans="6:8">
      <c r="F16175" s="68" t="s">
        <v>420</v>
      </c>
      <c r="G16175" s="67" t="s">
        <v>652</v>
      </c>
      <c r="H16175" s="69">
        <v>3.2366347351168834</v>
      </c>
    </row>
    <row r="16176" spans="6:8">
      <c r="F16176" s="68" t="s">
        <v>251</v>
      </c>
      <c r="G16176" s="67" t="s">
        <v>652</v>
      </c>
      <c r="H16176" s="69">
        <v>0.21</v>
      </c>
    </row>
    <row r="16177" spans="6:8">
      <c r="F16177" s="68" t="s">
        <v>121</v>
      </c>
      <c r="G16177" s="67" t="s">
        <v>652</v>
      </c>
      <c r="H16177" s="69">
        <v>-0.63</v>
      </c>
    </row>
    <row r="16178" spans="6:8">
      <c r="F16178" s="68" t="s">
        <v>120</v>
      </c>
      <c r="G16178" s="67" t="s">
        <v>652</v>
      </c>
      <c r="H16178" s="69">
        <v>-0.8</v>
      </c>
    </row>
    <row r="16179" spans="6:8">
      <c r="F16179" s="68" t="s">
        <v>119</v>
      </c>
      <c r="G16179" s="67" t="s">
        <v>652</v>
      </c>
      <c r="H16179" s="69">
        <v>-0.66</v>
      </c>
    </row>
    <row r="16180" spans="6:8">
      <c r="F16180" s="68" t="s">
        <v>119</v>
      </c>
      <c r="G16180" s="67" t="s">
        <v>653</v>
      </c>
      <c r="H16180" s="69">
        <v>-0.66</v>
      </c>
    </row>
    <row r="16181" spans="6:8">
      <c r="F16181" s="68" t="s">
        <v>120</v>
      </c>
      <c r="G16181" s="67" t="s">
        <v>653</v>
      </c>
      <c r="H16181" s="69">
        <v>-0.8</v>
      </c>
    </row>
    <row r="16182" spans="6:8">
      <c r="F16182" s="68" t="s">
        <v>121</v>
      </c>
      <c r="G16182" s="67" t="s">
        <v>653</v>
      </c>
      <c r="H16182" s="69">
        <v>-0.63</v>
      </c>
    </row>
    <row r="16183" spans="6:8">
      <c r="F16183" s="68" t="s">
        <v>251</v>
      </c>
      <c r="G16183" s="67" t="s">
        <v>653</v>
      </c>
      <c r="H16183" s="69">
        <v>0.21</v>
      </c>
    </row>
    <row r="16184" spans="6:8">
      <c r="F16184" s="68" t="s">
        <v>420</v>
      </c>
      <c r="G16184" s="67" t="s">
        <v>653</v>
      </c>
      <c r="H16184" s="69">
        <v>3.2530437920729405</v>
      </c>
    </row>
    <row r="16185" spans="6:8">
      <c r="F16185" s="68" t="s">
        <v>122</v>
      </c>
      <c r="G16185" s="67" t="s">
        <v>653</v>
      </c>
      <c r="H16185" s="69">
        <v>-0.62</v>
      </c>
    </row>
    <row r="16186" spans="6:8">
      <c r="F16186" s="68" t="s">
        <v>123</v>
      </c>
      <c r="G16186" s="67" t="s">
        <v>653</v>
      </c>
      <c r="H16186" s="69">
        <v>-0.95</v>
      </c>
    </row>
    <row r="16187" spans="6:8">
      <c r="F16187" s="68" t="s">
        <v>124</v>
      </c>
      <c r="G16187" s="67" t="s">
        <v>653</v>
      </c>
      <c r="H16187" s="69">
        <v>-0.49</v>
      </c>
    </row>
    <row r="16188" spans="6:8">
      <c r="F16188" s="68" t="s">
        <v>252</v>
      </c>
      <c r="G16188" s="67" t="s">
        <v>653</v>
      </c>
      <c r="H16188" s="69">
        <v>0.28999999999999998</v>
      </c>
    </row>
    <row r="16189" spans="6:8">
      <c r="F16189" s="68" t="s">
        <v>314</v>
      </c>
      <c r="G16189" s="67" t="s">
        <v>653</v>
      </c>
      <c r="H16189" s="69">
        <v>-0.39</v>
      </c>
    </row>
    <row r="16190" spans="6:8">
      <c r="F16190" s="68" t="s">
        <v>125</v>
      </c>
      <c r="G16190" s="67" t="s">
        <v>653</v>
      </c>
      <c r="H16190" s="69">
        <v>-0.51</v>
      </c>
    </row>
    <row r="16191" spans="6:8">
      <c r="F16191" s="68" t="s">
        <v>126</v>
      </c>
      <c r="G16191" s="67" t="s">
        <v>653</v>
      </c>
      <c r="H16191" s="69">
        <v>-0.87</v>
      </c>
    </row>
    <row r="16192" spans="6:8">
      <c r="F16192" s="68" t="s">
        <v>127</v>
      </c>
      <c r="G16192" s="67" t="s">
        <v>653</v>
      </c>
      <c r="H16192" s="69">
        <v>-0.43</v>
      </c>
    </row>
    <row r="16193" spans="6:8">
      <c r="F16193" s="68" t="s">
        <v>253</v>
      </c>
      <c r="G16193" s="67" t="s">
        <v>653</v>
      </c>
      <c r="H16193" s="69">
        <v>0.46</v>
      </c>
    </row>
    <row r="16194" spans="6:8">
      <c r="F16194" s="68" t="s">
        <v>315</v>
      </c>
      <c r="G16194" s="67" t="s">
        <v>653</v>
      </c>
      <c r="H16194" s="69">
        <v>-0.19</v>
      </c>
    </row>
    <row r="16195" spans="6:8">
      <c r="F16195" s="68" t="s">
        <v>128</v>
      </c>
      <c r="G16195" s="67" t="s">
        <v>653</v>
      </c>
      <c r="H16195" s="69">
        <v>-0.83</v>
      </c>
    </row>
    <row r="16196" spans="6:8">
      <c r="F16196" s="68" t="s">
        <v>129</v>
      </c>
      <c r="G16196" s="67" t="s">
        <v>653</v>
      </c>
      <c r="H16196" s="69">
        <v>-0.72</v>
      </c>
    </row>
    <row r="16197" spans="6:8">
      <c r="F16197" s="68" t="s">
        <v>254</v>
      </c>
      <c r="G16197" s="67" t="s">
        <v>653</v>
      </c>
      <c r="H16197" s="69">
        <v>0.62</v>
      </c>
    </row>
    <row r="16198" spans="6:8">
      <c r="F16198" s="68" t="s">
        <v>304</v>
      </c>
      <c r="G16198" s="67" t="s">
        <v>653</v>
      </c>
      <c r="H16198" s="69">
        <v>17.875</v>
      </c>
    </row>
    <row r="16199" spans="6:8">
      <c r="F16199" s="68" t="s">
        <v>421</v>
      </c>
      <c r="G16199" s="67" t="s">
        <v>653</v>
      </c>
      <c r="H16199" s="69">
        <v>2.2792211540165752</v>
      </c>
    </row>
    <row r="16200" spans="6:8">
      <c r="F16200" s="68" t="s">
        <v>567</v>
      </c>
      <c r="G16200" s="67" t="s">
        <v>653</v>
      </c>
      <c r="H16200" s="69">
        <v>-0.69</v>
      </c>
    </row>
    <row r="16201" spans="6:8">
      <c r="F16201" s="68" t="s">
        <v>130</v>
      </c>
      <c r="G16201" s="67" t="s">
        <v>653</v>
      </c>
      <c r="H16201" s="69">
        <v>-0.94</v>
      </c>
    </row>
    <row r="16202" spans="6:8">
      <c r="F16202" s="68" t="s">
        <v>131</v>
      </c>
      <c r="G16202" s="67" t="s">
        <v>653</v>
      </c>
      <c r="H16202" s="69">
        <v>-0.56999999999999995</v>
      </c>
    </row>
    <row r="16203" spans="6:8">
      <c r="F16203" s="68" t="s">
        <v>255</v>
      </c>
      <c r="G16203" s="67" t="s">
        <v>653</v>
      </c>
      <c r="H16203" s="69">
        <v>0.77</v>
      </c>
    </row>
    <row r="16204" spans="6:8">
      <c r="F16204" s="68" t="s">
        <v>303</v>
      </c>
      <c r="G16204" s="67" t="s">
        <v>653</v>
      </c>
      <c r="H16204" s="69">
        <v>18.947916666666668</v>
      </c>
    </row>
    <row r="16205" spans="6:8">
      <c r="F16205" s="68" t="s">
        <v>422</v>
      </c>
      <c r="G16205" s="67" t="s">
        <v>653</v>
      </c>
      <c r="H16205" s="69">
        <v>2.2856125194500088</v>
      </c>
    </row>
    <row r="16206" spans="6:8">
      <c r="F16206" s="68" t="s">
        <v>568</v>
      </c>
      <c r="G16206" s="67" t="s">
        <v>653</v>
      </c>
      <c r="H16206" s="69">
        <v>-0.35</v>
      </c>
    </row>
    <row r="16207" spans="6:8">
      <c r="F16207" s="68" t="s">
        <v>132</v>
      </c>
      <c r="G16207" s="67" t="s">
        <v>653</v>
      </c>
      <c r="H16207" s="69">
        <v>-0.84</v>
      </c>
    </row>
    <row r="16208" spans="6:8">
      <c r="F16208" s="68" t="s">
        <v>133</v>
      </c>
      <c r="G16208" s="67" t="s">
        <v>653</v>
      </c>
      <c r="H16208" s="69">
        <v>-0.64</v>
      </c>
    </row>
    <row r="16209" spans="6:8">
      <c r="F16209" s="68" t="s">
        <v>256</v>
      </c>
      <c r="G16209" s="67" t="s">
        <v>653</v>
      </c>
      <c r="H16209" s="69">
        <v>0.87</v>
      </c>
    </row>
    <row r="16210" spans="6:8">
      <c r="F16210" s="68" t="s">
        <v>423</v>
      </c>
      <c r="G16210" s="67" t="s">
        <v>653</v>
      </c>
      <c r="H16210" s="69">
        <v>2.3316979640881197</v>
      </c>
    </row>
    <row r="16211" spans="6:8">
      <c r="F16211" s="68" t="s">
        <v>569</v>
      </c>
      <c r="G16211" s="67" t="s">
        <v>653</v>
      </c>
      <c r="H16211" s="69">
        <v>-0.18</v>
      </c>
    </row>
    <row r="16212" spans="6:8">
      <c r="F16212" s="68" t="s">
        <v>134</v>
      </c>
      <c r="G16212" s="67" t="s">
        <v>653</v>
      </c>
      <c r="H16212" s="69">
        <v>-0.8</v>
      </c>
    </row>
    <row r="16213" spans="6:8">
      <c r="F16213" s="68" t="s">
        <v>135</v>
      </c>
      <c r="G16213" s="67" t="s">
        <v>653</v>
      </c>
      <c r="H16213" s="69">
        <v>-0.79</v>
      </c>
    </row>
    <row r="16214" spans="6:8">
      <c r="F16214" s="68" t="s">
        <v>257</v>
      </c>
      <c r="G16214" s="67" t="s">
        <v>653</v>
      </c>
      <c r="H16214" s="69">
        <v>0.92</v>
      </c>
    </row>
    <row r="16215" spans="6:8">
      <c r="F16215" s="68" t="s">
        <v>258</v>
      </c>
      <c r="G16215" s="67" t="s">
        <v>653</v>
      </c>
      <c r="H16215" s="69">
        <v>0.15</v>
      </c>
    </row>
    <row r="16216" spans="6:8">
      <c r="F16216" s="68" t="s">
        <v>424</v>
      </c>
      <c r="G16216" s="67" t="s">
        <v>653</v>
      </c>
      <c r="H16216" s="69">
        <v>2.958319364696127</v>
      </c>
    </row>
    <row r="16217" spans="6:8">
      <c r="F16217" s="68" t="s">
        <v>136</v>
      </c>
      <c r="G16217" s="67" t="s">
        <v>653</v>
      </c>
      <c r="H16217" s="69">
        <v>-0.77</v>
      </c>
    </row>
    <row r="16218" spans="6:8">
      <c r="F16218" s="68" t="s">
        <v>137</v>
      </c>
      <c r="G16218" s="67" t="s">
        <v>653</v>
      </c>
      <c r="H16218" s="69">
        <v>-0.65</v>
      </c>
    </row>
    <row r="16219" spans="6:8">
      <c r="F16219" s="68" t="s">
        <v>138</v>
      </c>
      <c r="G16219" s="67" t="s">
        <v>653</v>
      </c>
      <c r="H16219" s="69">
        <v>-0.73</v>
      </c>
    </row>
    <row r="16220" spans="6:8">
      <c r="F16220" s="68" t="s">
        <v>259</v>
      </c>
      <c r="G16220" s="67" t="s">
        <v>653</v>
      </c>
      <c r="H16220" s="69">
        <v>0.17</v>
      </c>
    </row>
    <row r="16221" spans="6:8">
      <c r="F16221" s="68" t="s">
        <v>425</v>
      </c>
      <c r="G16221" s="67" t="s">
        <v>653</v>
      </c>
      <c r="H16221" s="69">
        <v>3.0027442326489684</v>
      </c>
    </row>
    <row r="16222" spans="6:8">
      <c r="F16222" s="68" t="s">
        <v>425</v>
      </c>
      <c r="G16222" s="67" t="s">
        <v>654</v>
      </c>
      <c r="H16222" s="69">
        <v>2.9875900147035228</v>
      </c>
    </row>
    <row r="16223" spans="6:8">
      <c r="F16223" s="68" t="s">
        <v>259</v>
      </c>
      <c r="G16223" s="67" t="s">
        <v>654</v>
      </c>
      <c r="H16223" s="69">
        <v>0.17</v>
      </c>
    </row>
    <row r="16224" spans="6:8">
      <c r="F16224" s="68" t="s">
        <v>138</v>
      </c>
      <c r="G16224" s="67" t="s">
        <v>654</v>
      </c>
      <c r="H16224" s="69">
        <v>-0.74</v>
      </c>
    </row>
    <row r="16225" spans="6:8">
      <c r="F16225" s="68" t="s">
        <v>137</v>
      </c>
      <c r="G16225" s="67" t="s">
        <v>654</v>
      </c>
      <c r="H16225" s="69">
        <v>-0.66</v>
      </c>
    </row>
    <row r="16226" spans="6:8">
      <c r="F16226" s="68" t="s">
        <v>136</v>
      </c>
      <c r="G16226" s="67" t="s">
        <v>654</v>
      </c>
      <c r="H16226" s="69">
        <v>-0.78</v>
      </c>
    </row>
    <row r="16227" spans="6:8">
      <c r="F16227" s="68" t="s">
        <v>424</v>
      </c>
      <c r="G16227" s="67" t="s">
        <v>654</v>
      </c>
      <c r="H16227" s="69">
        <v>2.9495592593862252</v>
      </c>
    </row>
    <row r="16228" spans="6:8">
      <c r="F16228" s="68" t="s">
        <v>258</v>
      </c>
      <c r="G16228" s="67" t="s">
        <v>654</v>
      </c>
      <c r="H16228" s="69">
        <v>0.15</v>
      </c>
    </row>
    <row r="16229" spans="6:8">
      <c r="F16229" s="68" t="s">
        <v>257</v>
      </c>
      <c r="G16229" s="67" t="s">
        <v>654</v>
      </c>
      <c r="H16229" s="69">
        <v>0.92</v>
      </c>
    </row>
    <row r="16230" spans="6:8">
      <c r="F16230" s="68" t="s">
        <v>135</v>
      </c>
      <c r="G16230" s="67" t="s">
        <v>654</v>
      </c>
      <c r="H16230" s="69">
        <v>-0.81</v>
      </c>
    </row>
    <row r="16231" spans="6:8">
      <c r="F16231" s="68" t="s">
        <v>134</v>
      </c>
      <c r="G16231" s="67" t="s">
        <v>654</v>
      </c>
      <c r="H16231" s="69">
        <v>-0.82</v>
      </c>
    </row>
    <row r="16232" spans="6:8">
      <c r="F16232" s="68" t="s">
        <v>569</v>
      </c>
      <c r="G16232" s="67" t="s">
        <v>654</v>
      </c>
      <c r="H16232" s="69">
        <v>-0.17</v>
      </c>
    </row>
    <row r="16233" spans="6:8">
      <c r="F16233" s="68" t="s">
        <v>423</v>
      </c>
      <c r="G16233" s="67" t="s">
        <v>654</v>
      </c>
      <c r="H16233" s="69">
        <v>2.3285930321163217</v>
      </c>
    </row>
    <row r="16234" spans="6:8">
      <c r="F16234" s="68" t="s">
        <v>256</v>
      </c>
      <c r="G16234" s="67" t="s">
        <v>654</v>
      </c>
      <c r="H16234" s="69">
        <v>0.87</v>
      </c>
    </row>
    <row r="16235" spans="6:8">
      <c r="F16235" s="68" t="s">
        <v>133</v>
      </c>
      <c r="G16235" s="67" t="s">
        <v>654</v>
      </c>
      <c r="H16235" s="69">
        <v>-0.65</v>
      </c>
    </row>
    <row r="16236" spans="6:8">
      <c r="F16236" s="68" t="s">
        <v>132</v>
      </c>
      <c r="G16236" s="67" t="s">
        <v>654</v>
      </c>
      <c r="H16236" s="69">
        <v>-0.86</v>
      </c>
    </row>
    <row r="16237" spans="6:8">
      <c r="F16237" s="68" t="s">
        <v>568</v>
      </c>
      <c r="G16237" s="67" t="s">
        <v>654</v>
      </c>
      <c r="H16237" s="69">
        <v>-0.36</v>
      </c>
    </row>
    <row r="16238" spans="6:8">
      <c r="F16238" s="68" t="s">
        <v>422</v>
      </c>
      <c r="G16238" s="67" t="s">
        <v>654</v>
      </c>
      <c r="H16238" s="69">
        <v>2.2761038073766393</v>
      </c>
    </row>
    <row r="16239" spans="6:8">
      <c r="F16239" s="68" t="s">
        <v>303</v>
      </c>
      <c r="G16239" s="67" t="s">
        <v>654</v>
      </c>
      <c r="H16239" s="69">
        <v>19.21875</v>
      </c>
    </row>
    <row r="16240" spans="6:8">
      <c r="F16240" s="68" t="s">
        <v>255</v>
      </c>
      <c r="G16240" s="67" t="s">
        <v>654</v>
      </c>
      <c r="H16240" s="69">
        <v>0.77</v>
      </c>
    </row>
    <row r="16241" spans="6:8">
      <c r="F16241" s="68" t="s">
        <v>131</v>
      </c>
      <c r="G16241" s="67" t="s">
        <v>654</v>
      </c>
      <c r="H16241" s="69">
        <v>-0.56999999999999995</v>
      </c>
    </row>
    <row r="16242" spans="6:8">
      <c r="F16242" s="68" t="s">
        <v>130</v>
      </c>
      <c r="G16242" s="67" t="s">
        <v>654</v>
      </c>
      <c r="H16242" s="69">
        <v>-0.96</v>
      </c>
    </row>
    <row r="16243" spans="6:8">
      <c r="F16243" s="68" t="s">
        <v>567</v>
      </c>
      <c r="G16243" s="67" t="s">
        <v>654</v>
      </c>
      <c r="H16243" s="69">
        <v>-0.7</v>
      </c>
    </row>
    <row r="16244" spans="6:8">
      <c r="F16244" s="68" t="s">
        <v>421</v>
      </c>
      <c r="G16244" s="67" t="s">
        <v>654</v>
      </c>
      <c r="H16244" s="69">
        <v>2.2697391556418367</v>
      </c>
    </row>
    <row r="16245" spans="6:8">
      <c r="F16245" s="68" t="s">
        <v>304</v>
      </c>
      <c r="G16245" s="67" t="s">
        <v>654</v>
      </c>
      <c r="H16245" s="69">
        <v>18.151041666666668</v>
      </c>
    </row>
    <row r="16246" spans="6:8">
      <c r="F16246" s="68" t="s">
        <v>254</v>
      </c>
      <c r="G16246" s="67" t="s">
        <v>654</v>
      </c>
      <c r="H16246" s="69">
        <v>0.62</v>
      </c>
    </row>
    <row r="16247" spans="6:8">
      <c r="F16247" s="68" t="s">
        <v>129</v>
      </c>
      <c r="G16247" s="67" t="s">
        <v>654</v>
      </c>
      <c r="H16247" s="69">
        <v>-0.73</v>
      </c>
    </row>
    <row r="16248" spans="6:8">
      <c r="F16248" s="68" t="s">
        <v>128</v>
      </c>
      <c r="G16248" s="67" t="s">
        <v>654</v>
      </c>
      <c r="H16248" s="69">
        <v>-0.85</v>
      </c>
    </row>
    <row r="16249" spans="6:8">
      <c r="F16249" s="68" t="s">
        <v>315</v>
      </c>
      <c r="G16249" s="67" t="s">
        <v>654</v>
      </c>
      <c r="H16249" s="69">
        <v>-0.18</v>
      </c>
    </row>
    <row r="16250" spans="6:8">
      <c r="F16250" s="68" t="s">
        <v>253</v>
      </c>
      <c r="G16250" s="67" t="s">
        <v>654</v>
      </c>
      <c r="H16250" s="69">
        <v>0.45</v>
      </c>
    </row>
    <row r="16251" spans="6:8">
      <c r="F16251" s="68" t="s">
        <v>127</v>
      </c>
      <c r="G16251" s="67" t="s">
        <v>654</v>
      </c>
      <c r="H16251" s="69">
        <v>-0.44</v>
      </c>
    </row>
    <row r="16252" spans="6:8">
      <c r="F16252" s="68" t="s">
        <v>126</v>
      </c>
      <c r="G16252" s="67" t="s">
        <v>654</v>
      </c>
      <c r="H16252" s="69">
        <v>-0.88</v>
      </c>
    </row>
    <row r="16253" spans="6:8">
      <c r="F16253" s="68" t="s">
        <v>125</v>
      </c>
      <c r="G16253" s="67" t="s">
        <v>654</v>
      </c>
      <c r="H16253" s="69">
        <v>-0.52</v>
      </c>
    </row>
    <row r="16254" spans="6:8">
      <c r="F16254" s="68" t="s">
        <v>314</v>
      </c>
      <c r="G16254" s="67" t="s">
        <v>654</v>
      </c>
      <c r="H16254" s="69">
        <v>-0.4</v>
      </c>
    </row>
    <row r="16255" spans="6:8">
      <c r="F16255" s="68" t="s">
        <v>252</v>
      </c>
      <c r="G16255" s="67" t="s">
        <v>654</v>
      </c>
      <c r="H16255" s="69">
        <v>0.28999999999999998</v>
      </c>
    </row>
    <row r="16256" spans="6:8">
      <c r="F16256" s="68" t="s">
        <v>124</v>
      </c>
      <c r="G16256" s="67" t="s">
        <v>654</v>
      </c>
      <c r="H16256" s="69">
        <v>-0.5</v>
      </c>
    </row>
    <row r="16257" spans="6:8">
      <c r="F16257" s="68" t="s">
        <v>123</v>
      </c>
      <c r="G16257" s="67" t="s">
        <v>654</v>
      </c>
      <c r="H16257" s="69">
        <v>-0.97</v>
      </c>
    </row>
    <row r="16258" spans="6:8">
      <c r="F16258" s="68" t="s">
        <v>122</v>
      </c>
      <c r="G16258" s="67" t="s">
        <v>654</v>
      </c>
      <c r="H16258" s="69">
        <v>-0.63</v>
      </c>
    </row>
    <row r="16259" spans="6:8">
      <c r="F16259" s="68" t="s">
        <v>420</v>
      </c>
      <c r="G16259" s="67" t="s">
        <v>654</v>
      </c>
      <c r="H16259" s="69">
        <v>3.2401980086341542</v>
      </c>
    </row>
    <row r="16260" spans="6:8">
      <c r="F16260" s="68" t="s">
        <v>251</v>
      </c>
      <c r="G16260" s="67" t="s">
        <v>654</v>
      </c>
      <c r="H16260" s="69">
        <v>0.21</v>
      </c>
    </row>
    <row r="16261" spans="6:8">
      <c r="F16261" s="68" t="s">
        <v>121</v>
      </c>
      <c r="G16261" s="67" t="s">
        <v>654</v>
      </c>
      <c r="H16261" s="69">
        <v>-0.64</v>
      </c>
    </row>
    <row r="16262" spans="6:8">
      <c r="F16262" s="68" t="s">
        <v>120</v>
      </c>
      <c r="G16262" s="67" t="s">
        <v>654</v>
      </c>
      <c r="H16262" s="69">
        <v>-0.82</v>
      </c>
    </row>
    <row r="16263" spans="6:8">
      <c r="F16263" s="68" t="s">
        <v>119</v>
      </c>
      <c r="G16263" s="67" t="s">
        <v>654</v>
      </c>
      <c r="H16263" s="69">
        <v>-0.67</v>
      </c>
    </row>
    <row r="16264" spans="6:8">
      <c r="F16264" s="68" t="s">
        <v>119</v>
      </c>
      <c r="G16264" s="67" t="s">
        <v>655</v>
      </c>
      <c r="H16264" s="69">
        <v>-0.67</v>
      </c>
    </row>
    <row r="16265" spans="6:8">
      <c r="F16265" s="68" t="s">
        <v>120</v>
      </c>
      <c r="G16265" s="67" t="s">
        <v>655</v>
      </c>
      <c r="H16265" s="69">
        <v>-0.82</v>
      </c>
    </row>
    <row r="16266" spans="6:8">
      <c r="F16266" s="68" t="s">
        <v>121</v>
      </c>
      <c r="G16266" s="67" t="s">
        <v>655</v>
      </c>
      <c r="H16266" s="69">
        <v>-0.64</v>
      </c>
    </row>
    <row r="16267" spans="6:8">
      <c r="F16267" s="68" t="s">
        <v>251</v>
      </c>
      <c r="G16267" s="67" t="s">
        <v>655</v>
      </c>
      <c r="H16267" s="69">
        <v>0.21</v>
      </c>
    </row>
    <row r="16268" spans="6:8">
      <c r="F16268" s="68" t="s">
        <v>420</v>
      </c>
      <c r="G16268" s="67" t="s">
        <v>655</v>
      </c>
      <c r="H16268" s="69">
        <v>3.2955237008358562</v>
      </c>
    </row>
    <row r="16269" spans="6:8">
      <c r="F16269" s="68" t="s">
        <v>122</v>
      </c>
      <c r="G16269" s="67" t="s">
        <v>655</v>
      </c>
      <c r="H16269" s="69">
        <v>-0.63</v>
      </c>
    </row>
    <row r="16270" spans="6:8">
      <c r="F16270" s="68" t="s">
        <v>123</v>
      </c>
      <c r="G16270" s="67" t="s">
        <v>655</v>
      </c>
      <c r="H16270" s="69">
        <v>-0.97</v>
      </c>
    </row>
    <row r="16271" spans="6:8">
      <c r="F16271" s="68" t="s">
        <v>124</v>
      </c>
      <c r="G16271" s="67" t="s">
        <v>655</v>
      </c>
      <c r="H16271" s="69">
        <v>-0.5</v>
      </c>
    </row>
    <row r="16272" spans="6:8">
      <c r="F16272" s="68" t="s">
        <v>252</v>
      </c>
      <c r="G16272" s="67" t="s">
        <v>655</v>
      </c>
      <c r="H16272" s="69">
        <v>0.28999999999999998</v>
      </c>
    </row>
    <row r="16273" spans="6:8">
      <c r="F16273" s="68" t="s">
        <v>314</v>
      </c>
      <c r="G16273" s="67" t="s">
        <v>655</v>
      </c>
      <c r="H16273" s="69">
        <v>-0.4</v>
      </c>
    </row>
    <row r="16274" spans="6:8">
      <c r="F16274" s="68" t="s">
        <v>125</v>
      </c>
      <c r="G16274" s="67" t="s">
        <v>655</v>
      </c>
      <c r="H16274" s="69">
        <v>-0.52</v>
      </c>
    </row>
    <row r="16275" spans="6:8">
      <c r="F16275" s="68" t="s">
        <v>126</v>
      </c>
      <c r="G16275" s="67" t="s">
        <v>655</v>
      </c>
      <c r="H16275" s="69">
        <v>-0.88</v>
      </c>
    </row>
    <row r="16276" spans="6:8">
      <c r="F16276" s="68" t="s">
        <v>127</v>
      </c>
      <c r="G16276" s="67" t="s">
        <v>655</v>
      </c>
      <c r="H16276" s="69">
        <v>-0.44</v>
      </c>
    </row>
    <row r="16277" spans="6:8">
      <c r="F16277" s="68" t="s">
        <v>253</v>
      </c>
      <c r="G16277" s="67" t="s">
        <v>655</v>
      </c>
      <c r="H16277" s="69">
        <v>0.45</v>
      </c>
    </row>
    <row r="16278" spans="6:8">
      <c r="F16278" s="68" t="s">
        <v>315</v>
      </c>
      <c r="G16278" s="67" t="s">
        <v>655</v>
      </c>
      <c r="H16278" s="69">
        <v>-0.18</v>
      </c>
    </row>
    <row r="16279" spans="6:8">
      <c r="F16279" s="68" t="s">
        <v>128</v>
      </c>
      <c r="G16279" s="67" t="s">
        <v>655</v>
      </c>
      <c r="H16279" s="69">
        <v>-0.85</v>
      </c>
    </row>
    <row r="16280" spans="6:8">
      <c r="F16280" s="68" t="s">
        <v>129</v>
      </c>
      <c r="G16280" s="67" t="s">
        <v>655</v>
      </c>
      <c r="H16280" s="69">
        <v>-0.73</v>
      </c>
    </row>
    <row r="16281" spans="6:8">
      <c r="F16281" s="68" t="s">
        <v>254</v>
      </c>
      <c r="G16281" s="67" t="s">
        <v>655</v>
      </c>
      <c r="H16281" s="69">
        <v>0.62</v>
      </c>
    </row>
    <row r="16282" spans="6:8">
      <c r="F16282" s="68" t="s">
        <v>304</v>
      </c>
      <c r="G16282" s="67" t="s">
        <v>655</v>
      </c>
      <c r="H16282" s="69">
        <v>18.104166666666668</v>
      </c>
    </row>
    <row r="16283" spans="6:8">
      <c r="F16283" s="68" t="s">
        <v>421</v>
      </c>
      <c r="G16283" s="67" t="s">
        <v>655</v>
      </c>
      <c r="H16283" s="69">
        <v>2.321895742343516</v>
      </c>
    </row>
    <row r="16284" spans="6:8">
      <c r="F16284" s="68" t="s">
        <v>567</v>
      </c>
      <c r="G16284" s="67" t="s">
        <v>655</v>
      </c>
      <c r="H16284" s="69">
        <v>-0.7</v>
      </c>
    </row>
    <row r="16285" spans="6:8">
      <c r="F16285" s="68" t="s">
        <v>130</v>
      </c>
      <c r="G16285" s="67" t="s">
        <v>655</v>
      </c>
      <c r="H16285" s="69">
        <v>-0.96</v>
      </c>
    </row>
    <row r="16286" spans="6:8">
      <c r="F16286" s="68" t="s">
        <v>131</v>
      </c>
      <c r="G16286" s="67" t="s">
        <v>655</v>
      </c>
      <c r="H16286" s="69">
        <v>-0.56999999999999995</v>
      </c>
    </row>
    <row r="16287" spans="6:8">
      <c r="F16287" s="68" t="s">
        <v>255</v>
      </c>
      <c r="G16287" s="67" t="s">
        <v>655</v>
      </c>
      <c r="H16287" s="69">
        <v>0.77</v>
      </c>
    </row>
    <row r="16288" spans="6:8">
      <c r="F16288" s="68" t="s">
        <v>303</v>
      </c>
      <c r="G16288" s="67" t="s">
        <v>655</v>
      </c>
      <c r="H16288" s="69">
        <v>19.145833333333332</v>
      </c>
    </row>
    <row r="16289" spans="6:8">
      <c r="F16289" s="68" t="s">
        <v>422</v>
      </c>
      <c r="G16289" s="67" t="s">
        <v>655</v>
      </c>
      <c r="H16289" s="69">
        <v>2.328407347990602</v>
      </c>
    </row>
    <row r="16290" spans="6:8">
      <c r="F16290" s="68" t="s">
        <v>568</v>
      </c>
      <c r="G16290" s="67" t="s">
        <v>655</v>
      </c>
      <c r="H16290" s="69">
        <v>-0.36</v>
      </c>
    </row>
    <row r="16291" spans="6:8">
      <c r="F16291" s="68" t="s">
        <v>132</v>
      </c>
      <c r="G16291" s="67" t="s">
        <v>655</v>
      </c>
      <c r="H16291" s="69">
        <v>-0.86</v>
      </c>
    </row>
    <row r="16292" spans="6:8">
      <c r="F16292" s="68" t="s">
        <v>133</v>
      </c>
      <c r="G16292" s="67" t="s">
        <v>655</v>
      </c>
      <c r="H16292" s="69">
        <v>-0.65</v>
      </c>
    </row>
    <row r="16293" spans="6:8">
      <c r="F16293" s="68" t="s">
        <v>256</v>
      </c>
      <c r="G16293" s="67" t="s">
        <v>655</v>
      </c>
      <c r="H16293" s="69">
        <v>0.87</v>
      </c>
    </row>
    <row r="16294" spans="6:8">
      <c r="F16294" s="68" t="s">
        <v>423</v>
      </c>
      <c r="G16294" s="67" t="s">
        <v>655</v>
      </c>
      <c r="H16294" s="69">
        <v>2.3770303463265918</v>
      </c>
    </row>
    <row r="16295" spans="6:8">
      <c r="F16295" s="68" t="s">
        <v>569</v>
      </c>
      <c r="G16295" s="67" t="s">
        <v>655</v>
      </c>
      <c r="H16295" s="69">
        <v>-0.17</v>
      </c>
    </row>
    <row r="16296" spans="6:8">
      <c r="F16296" s="68" t="s">
        <v>134</v>
      </c>
      <c r="G16296" s="67" t="s">
        <v>655</v>
      </c>
      <c r="H16296" s="69">
        <v>-0.82</v>
      </c>
    </row>
    <row r="16297" spans="6:8">
      <c r="F16297" s="68" t="s">
        <v>135</v>
      </c>
      <c r="G16297" s="67" t="s">
        <v>655</v>
      </c>
      <c r="H16297" s="69">
        <v>-0.81</v>
      </c>
    </row>
    <row r="16298" spans="6:8">
      <c r="F16298" s="68" t="s">
        <v>257</v>
      </c>
      <c r="G16298" s="67" t="s">
        <v>655</v>
      </c>
      <c r="H16298" s="69">
        <v>0.92</v>
      </c>
    </row>
    <row r="16299" spans="6:8">
      <c r="F16299" s="68" t="s">
        <v>258</v>
      </c>
      <c r="G16299" s="67" t="s">
        <v>655</v>
      </c>
      <c r="H16299" s="69">
        <v>0.15</v>
      </c>
    </row>
    <row r="16300" spans="6:8">
      <c r="F16300" s="68" t="s">
        <v>424</v>
      </c>
      <c r="G16300" s="67" t="s">
        <v>655</v>
      </c>
      <c r="H16300" s="69">
        <v>3.0250687870581938</v>
      </c>
    </row>
    <row r="16301" spans="6:8">
      <c r="F16301" s="68" t="s">
        <v>136</v>
      </c>
      <c r="G16301" s="67" t="s">
        <v>655</v>
      </c>
      <c r="H16301" s="69">
        <v>-0.78</v>
      </c>
    </row>
    <row r="16302" spans="6:8">
      <c r="F16302" s="68" t="s">
        <v>137</v>
      </c>
      <c r="G16302" s="67" t="s">
        <v>655</v>
      </c>
      <c r="H16302" s="69">
        <v>-0.66</v>
      </c>
    </row>
    <row r="16303" spans="6:8">
      <c r="F16303" s="68" t="s">
        <v>138</v>
      </c>
      <c r="G16303" s="67" t="s">
        <v>655</v>
      </c>
      <c r="H16303" s="69">
        <v>-0.74</v>
      </c>
    </row>
    <row r="16304" spans="6:8">
      <c r="F16304" s="68" t="s">
        <v>259</v>
      </c>
      <c r="G16304" s="67" t="s">
        <v>655</v>
      </c>
      <c r="H16304" s="69">
        <v>0.17</v>
      </c>
    </row>
    <row r="16305" spans="6:8">
      <c r="F16305" s="68" t="s">
        <v>425</v>
      </c>
      <c r="G16305" s="67" t="s">
        <v>655</v>
      </c>
      <c r="H16305" s="69">
        <v>3.0658546055701841</v>
      </c>
    </row>
    <row r="16306" spans="6:8">
      <c r="F16306" s="68" t="s">
        <v>425</v>
      </c>
      <c r="G16306" s="67" t="s">
        <v>656</v>
      </c>
      <c r="H16306" s="69">
        <v>3.0103029192320552</v>
      </c>
    </row>
    <row r="16307" spans="6:8">
      <c r="F16307" s="68" t="s">
        <v>259</v>
      </c>
      <c r="G16307" s="67" t="s">
        <v>656</v>
      </c>
      <c r="H16307" s="69">
        <v>0.17</v>
      </c>
    </row>
    <row r="16308" spans="6:8">
      <c r="F16308" s="68" t="s">
        <v>138</v>
      </c>
      <c r="G16308" s="67" t="s">
        <v>656</v>
      </c>
      <c r="H16308" s="69">
        <v>-0.74</v>
      </c>
    </row>
    <row r="16309" spans="6:8">
      <c r="F16309" s="68" t="s">
        <v>137</v>
      </c>
      <c r="G16309" s="67" t="s">
        <v>656</v>
      </c>
      <c r="H16309" s="69">
        <v>-0.66</v>
      </c>
    </row>
    <row r="16310" spans="6:8">
      <c r="F16310" s="68" t="s">
        <v>136</v>
      </c>
      <c r="G16310" s="67" t="s">
        <v>656</v>
      </c>
      <c r="H16310" s="69">
        <v>-0.78</v>
      </c>
    </row>
    <row r="16311" spans="6:8">
      <c r="F16311" s="68" t="s">
        <v>424</v>
      </c>
      <c r="G16311" s="67" t="s">
        <v>656</v>
      </c>
      <c r="H16311" s="69">
        <v>2.9703542844954356</v>
      </c>
    </row>
    <row r="16312" spans="6:8">
      <c r="F16312" s="68" t="s">
        <v>258</v>
      </c>
      <c r="G16312" s="67" t="s">
        <v>656</v>
      </c>
      <c r="H16312" s="69">
        <v>0.15</v>
      </c>
    </row>
    <row r="16313" spans="6:8">
      <c r="F16313" s="68" t="s">
        <v>257</v>
      </c>
      <c r="G16313" s="67" t="s">
        <v>656</v>
      </c>
      <c r="H16313" s="69">
        <v>0.92</v>
      </c>
    </row>
    <row r="16314" spans="6:8">
      <c r="F16314" s="68" t="s">
        <v>135</v>
      </c>
      <c r="G16314" s="67" t="s">
        <v>656</v>
      </c>
      <c r="H16314" s="69">
        <v>-0.81</v>
      </c>
    </row>
    <row r="16315" spans="6:8">
      <c r="F16315" s="68" t="s">
        <v>134</v>
      </c>
      <c r="G16315" s="67" t="s">
        <v>656</v>
      </c>
      <c r="H16315" s="69">
        <v>-0.82</v>
      </c>
    </row>
    <row r="16316" spans="6:8">
      <c r="F16316" s="68" t="s">
        <v>569</v>
      </c>
      <c r="G16316" s="67" t="s">
        <v>656</v>
      </c>
      <c r="H16316" s="69">
        <v>-0.17</v>
      </c>
    </row>
    <row r="16317" spans="6:8">
      <c r="F16317" s="68" t="s">
        <v>423</v>
      </c>
      <c r="G16317" s="67" t="s">
        <v>656</v>
      </c>
      <c r="H16317" s="69">
        <v>2.3349431930888898</v>
      </c>
    </row>
    <row r="16318" spans="6:8">
      <c r="F16318" s="68" t="s">
        <v>256</v>
      </c>
      <c r="G16318" s="67" t="s">
        <v>656</v>
      </c>
      <c r="H16318" s="69">
        <v>0.87</v>
      </c>
    </row>
    <row r="16319" spans="6:8">
      <c r="F16319" s="68" t="s">
        <v>133</v>
      </c>
      <c r="G16319" s="67" t="s">
        <v>656</v>
      </c>
      <c r="H16319" s="69">
        <v>-0.65</v>
      </c>
    </row>
    <row r="16320" spans="6:8">
      <c r="F16320" s="68" t="s">
        <v>132</v>
      </c>
      <c r="G16320" s="67" t="s">
        <v>656</v>
      </c>
      <c r="H16320" s="69">
        <v>-0.86</v>
      </c>
    </row>
    <row r="16321" spans="6:8">
      <c r="F16321" s="68" t="s">
        <v>568</v>
      </c>
      <c r="G16321" s="67" t="s">
        <v>656</v>
      </c>
      <c r="H16321" s="69">
        <v>-0.36</v>
      </c>
    </row>
    <row r="16322" spans="6:8">
      <c r="F16322" s="68" t="s">
        <v>422</v>
      </c>
      <c r="G16322" s="67" t="s">
        <v>656</v>
      </c>
      <c r="H16322" s="69">
        <v>2.2707815306266088</v>
      </c>
    </row>
    <row r="16323" spans="6:8">
      <c r="F16323" s="68" t="s">
        <v>303</v>
      </c>
      <c r="G16323" s="67" t="s">
        <v>656</v>
      </c>
      <c r="H16323" s="69">
        <v>19.15625</v>
      </c>
    </row>
    <row r="16324" spans="6:8">
      <c r="F16324" s="68" t="s">
        <v>255</v>
      </c>
      <c r="G16324" s="67" t="s">
        <v>656</v>
      </c>
      <c r="H16324" s="69">
        <v>0.77</v>
      </c>
    </row>
    <row r="16325" spans="6:8">
      <c r="F16325" s="68" t="s">
        <v>131</v>
      </c>
      <c r="G16325" s="67" t="s">
        <v>656</v>
      </c>
      <c r="H16325" s="69">
        <v>-0.56999999999999995</v>
      </c>
    </row>
    <row r="16326" spans="6:8">
      <c r="F16326" s="68" t="s">
        <v>130</v>
      </c>
      <c r="G16326" s="67" t="s">
        <v>656</v>
      </c>
      <c r="H16326" s="69">
        <v>-0.96</v>
      </c>
    </row>
    <row r="16327" spans="6:8">
      <c r="F16327" s="68" t="s">
        <v>567</v>
      </c>
      <c r="G16327" s="67" t="s">
        <v>656</v>
      </c>
      <c r="H16327" s="69">
        <v>-0.7</v>
      </c>
    </row>
    <row r="16328" spans="6:8">
      <c r="F16328" s="68" t="s">
        <v>421</v>
      </c>
      <c r="G16328" s="67" t="s">
        <v>656</v>
      </c>
      <c r="H16328" s="69">
        <v>2.2642895451083778</v>
      </c>
    </row>
    <row r="16329" spans="6:8">
      <c r="F16329" s="68" t="s">
        <v>304</v>
      </c>
      <c r="G16329" s="67" t="s">
        <v>656</v>
      </c>
      <c r="H16329" s="69">
        <v>18.104166666666668</v>
      </c>
    </row>
    <row r="16330" spans="6:8">
      <c r="F16330" s="68" t="s">
        <v>254</v>
      </c>
      <c r="G16330" s="67" t="s">
        <v>656</v>
      </c>
      <c r="H16330" s="69">
        <v>0.62</v>
      </c>
    </row>
    <row r="16331" spans="6:8">
      <c r="F16331" s="68" t="s">
        <v>129</v>
      </c>
      <c r="G16331" s="67" t="s">
        <v>656</v>
      </c>
      <c r="H16331" s="69">
        <v>-0.73</v>
      </c>
    </row>
    <row r="16332" spans="6:8">
      <c r="F16332" s="68" t="s">
        <v>128</v>
      </c>
      <c r="G16332" s="67" t="s">
        <v>656</v>
      </c>
      <c r="H16332" s="69">
        <v>-0.85</v>
      </c>
    </row>
    <row r="16333" spans="6:8">
      <c r="F16333" s="68" t="s">
        <v>315</v>
      </c>
      <c r="G16333" s="67" t="s">
        <v>656</v>
      </c>
      <c r="H16333" s="69">
        <v>-0.18</v>
      </c>
    </row>
    <row r="16334" spans="6:8">
      <c r="F16334" s="68" t="s">
        <v>253</v>
      </c>
      <c r="G16334" s="67" t="s">
        <v>656</v>
      </c>
      <c r="H16334" s="69">
        <v>0.46</v>
      </c>
    </row>
    <row r="16335" spans="6:8">
      <c r="F16335" s="68" t="s">
        <v>127</v>
      </c>
      <c r="G16335" s="67" t="s">
        <v>656</v>
      </c>
      <c r="H16335" s="69">
        <v>-0.44</v>
      </c>
    </row>
    <row r="16336" spans="6:8">
      <c r="F16336" s="68" t="s">
        <v>126</v>
      </c>
      <c r="G16336" s="67" t="s">
        <v>656</v>
      </c>
      <c r="H16336" s="69">
        <v>-0.88</v>
      </c>
    </row>
    <row r="16337" spans="6:8">
      <c r="F16337" s="68" t="s">
        <v>125</v>
      </c>
      <c r="G16337" s="67" t="s">
        <v>656</v>
      </c>
      <c r="H16337" s="69">
        <v>-0.52</v>
      </c>
    </row>
    <row r="16338" spans="6:8">
      <c r="F16338" s="68" t="s">
        <v>314</v>
      </c>
      <c r="G16338" s="67" t="s">
        <v>656</v>
      </c>
      <c r="H16338" s="69">
        <v>-0.4</v>
      </c>
    </row>
    <row r="16339" spans="6:8">
      <c r="F16339" s="68" t="s">
        <v>252</v>
      </c>
      <c r="G16339" s="67" t="s">
        <v>656</v>
      </c>
      <c r="H16339" s="69">
        <v>0.28999999999999998</v>
      </c>
    </row>
    <row r="16340" spans="6:8">
      <c r="F16340" s="68" t="s">
        <v>124</v>
      </c>
      <c r="G16340" s="67" t="s">
        <v>656</v>
      </c>
      <c r="H16340" s="69">
        <v>-0.5</v>
      </c>
    </row>
    <row r="16341" spans="6:8">
      <c r="F16341" s="68" t="s">
        <v>123</v>
      </c>
      <c r="G16341" s="67" t="s">
        <v>656</v>
      </c>
      <c r="H16341" s="69">
        <v>-0.97</v>
      </c>
    </row>
    <row r="16342" spans="6:8">
      <c r="F16342" s="68" t="s">
        <v>122</v>
      </c>
      <c r="G16342" s="67" t="s">
        <v>656</v>
      </c>
      <c r="H16342" s="69">
        <v>-0.63</v>
      </c>
    </row>
    <row r="16343" spans="6:8">
      <c r="F16343" s="68" t="s">
        <v>420</v>
      </c>
      <c r="G16343" s="67" t="s">
        <v>656</v>
      </c>
      <c r="H16343" s="69">
        <v>3.2554507349207285</v>
      </c>
    </row>
    <row r="16344" spans="6:8">
      <c r="F16344" s="68" t="s">
        <v>251</v>
      </c>
      <c r="G16344" s="67" t="s">
        <v>656</v>
      </c>
      <c r="H16344" s="69">
        <v>0.21</v>
      </c>
    </row>
    <row r="16345" spans="6:8">
      <c r="F16345" s="68" t="s">
        <v>121</v>
      </c>
      <c r="G16345" s="67" t="s">
        <v>656</v>
      </c>
      <c r="H16345" s="69">
        <v>-0.64</v>
      </c>
    </row>
    <row r="16346" spans="6:8">
      <c r="F16346" s="68" t="s">
        <v>120</v>
      </c>
      <c r="G16346" s="67" t="s">
        <v>656</v>
      </c>
      <c r="H16346" s="69">
        <v>-0.82</v>
      </c>
    </row>
    <row r="16347" spans="6:8">
      <c r="F16347" s="68" t="s">
        <v>119</v>
      </c>
      <c r="G16347" s="67" t="s">
        <v>656</v>
      </c>
      <c r="H16347" s="69">
        <v>-0.67</v>
      </c>
    </row>
    <row r="16348" spans="6:8">
      <c r="F16348" s="68" t="s">
        <v>119</v>
      </c>
      <c r="G16348" s="67" t="s">
        <v>657</v>
      </c>
      <c r="H16348" s="69">
        <v>-0.67</v>
      </c>
    </row>
    <row r="16349" spans="6:8">
      <c r="F16349" s="68" t="s">
        <v>120</v>
      </c>
      <c r="G16349" s="67" t="s">
        <v>657</v>
      </c>
      <c r="H16349" s="69">
        <v>-0.82</v>
      </c>
    </row>
    <row r="16350" spans="6:8">
      <c r="F16350" s="68" t="s">
        <v>121</v>
      </c>
      <c r="G16350" s="67" t="s">
        <v>657</v>
      </c>
      <c r="H16350" s="69">
        <v>-0.64</v>
      </c>
    </row>
    <row r="16351" spans="6:8">
      <c r="F16351" s="68" t="s">
        <v>251</v>
      </c>
      <c r="G16351" s="67" t="s">
        <v>657</v>
      </c>
      <c r="H16351" s="69">
        <v>0.21</v>
      </c>
    </row>
    <row r="16352" spans="6:8">
      <c r="F16352" s="68" t="s">
        <v>420</v>
      </c>
      <c r="G16352" s="67" t="s">
        <v>657</v>
      </c>
      <c r="H16352" s="69">
        <v>3.2406996477189143</v>
      </c>
    </row>
    <row r="16353" spans="6:8">
      <c r="F16353" s="68" t="s">
        <v>122</v>
      </c>
      <c r="G16353" s="67" t="s">
        <v>657</v>
      </c>
      <c r="H16353" s="69">
        <v>-0.63</v>
      </c>
    </row>
    <row r="16354" spans="6:8">
      <c r="F16354" s="68" t="s">
        <v>123</v>
      </c>
      <c r="G16354" s="67" t="s">
        <v>657</v>
      </c>
      <c r="H16354" s="69">
        <v>-0.97</v>
      </c>
    </row>
    <row r="16355" spans="6:8">
      <c r="F16355" s="68" t="s">
        <v>124</v>
      </c>
      <c r="G16355" s="67" t="s">
        <v>657</v>
      </c>
      <c r="H16355" s="69">
        <v>-0.5</v>
      </c>
    </row>
    <row r="16356" spans="6:8">
      <c r="F16356" s="68" t="s">
        <v>252</v>
      </c>
      <c r="G16356" s="67" t="s">
        <v>657</v>
      </c>
      <c r="H16356" s="69">
        <v>0.28999999999999998</v>
      </c>
    </row>
    <row r="16357" spans="6:8">
      <c r="F16357" s="68" t="s">
        <v>314</v>
      </c>
      <c r="G16357" s="67" t="s">
        <v>657</v>
      </c>
      <c r="H16357" s="69">
        <v>-0.4</v>
      </c>
    </row>
    <row r="16358" spans="6:8">
      <c r="F16358" s="68" t="s">
        <v>125</v>
      </c>
      <c r="G16358" s="67" t="s">
        <v>657</v>
      </c>
      <c r="H16358" s="69">
        <v>-0.52</v>
      </c>
    </row>
    <row r="16359" spans="6:8">
      <c r="F16359" s="68" t="s">
        <v>126</v>
      </c>
      <c r="G16359" s="67" t="s">
        <v>657</v>
      </c>
      <c r="H16359" s="69">
        <v>-0.88</v>
      </c>
    </row>
    <row r="16360" spans="6:8">
      <c r="F16360" s="68" t="s">
        <v>127</v>
      </c>
      <c r="G16360" s="67" t="s">
        <v>657</v>
      </c>
      <c r="H16360" s="69">
        <v>-0.44</v>
      </c>
    </row>
    <row r="16361" spans="6:8">
      <c r="F16361" s="68" t="s">
        <v>253</v>
      </c>
      <c r="G16361" s="67" t="s">
        <v>657</v>
      </c>
      <c r="H16361" s="69">
        <v>0.46</v>
      </c>
    </row>
    <row r="16362" spans="6:8">
      <c r="F16362" s="68" t="s">
        <v>315</v>
      </c>
      <c r="G16362" s="67" t="s">
        <v>657</v>
      </c>
      <c r="H16362" s="69">
        <v>-0.18</v>
      </c>
    </row>
    <row r="16363" spans="6:8">
      <c r="F16363" s="68" t="s">
        <v>128</v>
      </c>
      <c r="G16363" s="67" t="s">
        <v>657</v>
      </c>
      <c r="H16363" s="69">
        <v>-0.85</v>
      </c>
    </row>
    <row r="16364" spans="6:8">
      <c r="F16364" s="68" t="s">
        <v>129</v>
      </c>
      <c r="G16364" s="67" t="s">
        <v>657</v>
      </c>
      <c r="H16364" s="69">
        <v>-0.73</v>
      </c>
    </row>
    <row r="16365" spans="6:8">
      <c r="F16365" s="68" t="s">
        <v>254</v>
      </c>
      <c r="G16365" s="67" t="s">
        <v>657</v>
      </c>
      <c r="H16365" s="69">
        <v>0.62</v>
      </c>
    </row>
    <row r="16366" spans="6:8">
      <c r="F16366" s="68" t="s">
        <v>304</v>
      </c>
      <c r="G16366" s="67" t="s">
        <v>657</v>
      </c>
      <c r="H16366" s="69">
        <v>18.114583333333332</v>
      </c>
    </row>
    <row r="16367" spans="6:8">
      <c r="F16367" s="68" t="s">
        <v>421</v>
      </c>
      <c r="G16367" s="67" t="s">
        <v>657</v>
      </c>
      <c r="H16367" s="69">
        <v>2.2241330550312632</v>
      </c>
    </row>
    <row r="16368" spans="6:8">
      <c r="F16368" s="68" t="s">
        <v>567</v>
      </c>
      <c r="G16368" s="67" t="s">
        <v>657</v>
      </c>
      <c r="H16368" s="69">
        <v>-0.7</v>
      </c>
    </row>
    <row r="16369" spans="6:8">
      <c r="F16369" s="68" t="s">
        <v>130</v>
      </c>
      <c r="G16369" s="67" t="s">
        <v>657</v>
      </c>
      <c r="H16369" s="69">
        <v>-0.96</v>
      </c>
    </row>
    <row r="16370" spans="6:8">
      <c r="F16370" s="68" t="s">
        <v>131</v>
      </c>
      <c r="G16370" s="67" t="s">
        <v>657</v>
      </c>
      <c r="H16370" s="69">
        <v>-0.56999999999999995</v>
      </c>
    </row>
    <row r="16371" spans="6:8">
      <c r="F16371" s="68" t="s">
        <v>255</v>
      </c>
      <c r="G16371" s="67" t="s">
        <v>657</v>
      </c>
      <c r="H16371" s="69">
        <v>0.77</v>
      </c>
    </row>
    <row r="16372" spans="6:8">
      <c r="F16372" s="68" t="s">
        <v>303</v>
      </c>
      <c r="G16372" s="67" t="s">
        <v>657</v>
      </c>
      <c r="H16372" s="69">
        <v>19.177083333333332</v>
      </c>
    </row>
    <row r="16373" spans="6:8">
      <c r="F16373" s="68" t="s">
        <v>422</v>
      </c>
      <c r="G16373" s="67" t="s">
        <v>657</v>
      </c>
      <c r="H16373" s="69">
        <v>2.230468701568622</v>
      </c>
    </row>
    <row r="16374" spans="6:8">
      <c r="F16374" s="68" t="s">
        <v>568</v>
      </c>
      <c r="G16374" s="67" t="s">
        <v>657</v>
      </c>
      <c r="H16374" s="69">
        <v>-0.36</v>
      </c>
    </row>
    <row r="16375" spans="6:8">
      <c r="F16375" s="68" t="s">
        <v>132</v>
      </c>
      <c r="G16375" s="67" t="s">
        <v>657</v>
      </c>
      <c r="H16375" s="69">
        <v>-0.86</v>
      </c>
    </row>
    <row r="16376" spans="6:8">
      <c r="F16376" s="68" t="s">
        <v>133</v>
      </c>
      <c r="G16376" s="67" t="s">
        <v>657</v>
      </c>
      <c r="H16376" s="69">
        <v>-0.65</v>
      </c>
    </row>
    <row r="16377" spans="6:8">
      <c r="F16377" s="68" t="s">
        <v>256</v>
      </c>
      <c r="G16377" s="67" t="s">
        <v>657</v>
      </c>
      <c r="H16377" s="69">
        <v>0.87</v>
      </c>
    </row>
    <row r="16378" spans="6:8">
      <c r="F16378" s="68" t="s">
        <v>423</v>
      </c>
      <c r="G16378" s="67" t="s">
        <v>657</v>
      </c>
      <c r="H16378" s="69">
        <v>2.2980027431431793</v>
      </c>
    </row>
    <row r="16379" spans="6:8">
      <c r="F16379" s="68" t="s">
        <v>569</v>
      </c>
      <c r="G16379" s="67" t="s">
        <v>657</v>
      </c>
      <c r="H16379" s="69">
        <v>-0.17</v>
      </c>
    </row>
    <row r="16380" spans="6:8">
      <c r="F16380" s="68" t="s">
        <v>134</v>
      </c>
      <c r="G16380" s="67" t="s">
        <v>657</v>
      </c>
      <c r="H16380" s="69">
        <v>-0.82</v>
      </c>
    </row>
    <row r="16381" spans="6:8">
      <c r="F16381" s="68" t="s">
        <v>135</v>
      </c>
      <c r="G16381" s="67" t="s">
        <v>657</v>
      </c>
      <c r="H16381" s="69">
        <v>-0.81</v>
      </c>
    </row>
    <row r="16382" spans="6:8">
      <c r="F16382" s="68" t="s">
        <v>257</v>
      </c>
      <c r="G16382" s="67" t="s">
        <v>657</v>
      </c>
      <c r="H16382" s="69">
        <v>0.92</v>
      </c>
    </row>
    <row r="16383" spans="6:8">
      <c r="F16383" s="68" t="s">
        <v>258</v>
      </c>
      <c r="G16383" s="67" t="s">
        <v>657</v>
      </c>
      <c r="H16383" s="69">
        <v>0.15</v>
      </c>
    </row>
    <row r="16384" spans="6:8">
      <c r="F16384" s="68" t="s">
        <v>424</v>
      </c>
      <c r="G16384" s="67" t="s">
        <v>657</v>
      </c>
      <c r="H16384" s="69">
        <v>2.9572109445030748</v>
      </c>
    </row>
    <row r="16385" spans="6:8">
      <c r="F16385" s="68" t="s">
        <v>136</v>
      </c>
      <c r="G16385" s="67" t="s">
        <v>657</v>
      </c>
      <c r="H16385" s="69">
        <v>-0.78</v>
      </c>
    </row>
    <row r="16386" spans="6:8">
      <c r="F16386" s="68" t="s">
        <v>137</v>
      </c>
      <c r="G16386" s="67" t="s">
        <v>657</v>
      </c>
      <c r="H16386" s="69">
        <v>-0.66</v>
      </c>
    </row>
    <row r="16387" spans="6:8">
      <c r="F16387" s="68" t="s">
        <v>138</v>
      </c>
      <c r="G16387" s="67" t="s">
        <v>657</v>
      </c>
      <c r="H16387" s="69">
        <v>-0.74</v>
      </c>
    </row>
    <row r="16388" spans="6:8">
      <c r="F16388" s="68" t="s">
        <v>259</v>
      </c>
      <c r="G16388" s="67" t="s">
        <v>657</v>
      </c>
      <c r="H16388" s="69">
        <v>0.17</v>
      </c>
    </row>
    <row r="16389" spans="6:8">
      <c r="F16389" s="68" t="s">
        <v>425</v>
      </c>
      <c r="G16389" s="67" t="s">
        <v>657</v>
      </c>
      <c r="H16389" s="69">
        <v>2.9940222303260988</v>
      </c>
    </row>
    <row r="16390" spans="6:8">
      <c r="F16390" s="68" t="s">
        <v>425</v>
      </c>
      <c r="G16390" s="67" t="s">
        <v>658</v>
      </c>
      <c r="H16390" s="69">
        <v>2.9894229825727425</v>
      </c>
    </row>
    <row r="16391" spans="6:8">
      <c r="F16391" s="68" t="s">
        <v>259</v>
      </c>
      <c r="G16391" s="67" t="s">
        <v>658</v>
      </c>
      <c r="H16391" s="69">
        <v>0.16</v>
      </c>
    </row>
    <row r="16392" spans="6:8">
      <c r="F16392" s="68" t="s">
        <v>138</v>
      </c>
      <c r="G16392" s="67" t="s">
        <v>658</v>
      </c>
      <c r="H16392" s="69">
        <v>-0.74</v>
      </c>
    </row>
    <row r="16393" spans="6:8">
      <c r="F16393" s="68" t="s">
        <v>137</v>
      </c>
      <c r="G16393" s="67" t="s">
        <v>658</v>
      </c>
      <c r="H16393" s="69">
        <v>-0.66</v>
      </c>
    </row>
    <row r="16394" spans="6:8">
      <c r="F16394" s="68" t="s">
        <v>136</v>
      </c>
      <c r="G16394" s="67" t="s">
        <v>658</v>
      </c>
      <c r="H16394" s="69">
        <v>-0.78</v>
      </c>
    </row>
    <row r="16395" spans="6:8">
      <c r="F16395" s="68" t="s">
        <v>424</v>
      </c>
      <c r="G16395" s="67" t="s">
        <v>658</v>
      </c>
      <c r="H16395" s="69">
        <v>2.9535223266056843</v>
      </c>
    </row>
    <row r="16396" spans="6:8">
      <c r="F16396" s="68" t="s">
        <v>258</v>
      </c>
      <c r="G16396" s="67" t="s">
        <v>658</v>
      </c>
      <c r="H16396" s="69">
        <v>0.15</v>
      </c>
    </row>
    <row r="16397" spans="6:8">
      <c r="F16397" s="68" t="s">
        <v>257</v>
      </c>
      <c r="G16397" s="67" t="s">
        <v>658</v>
      </c>
      <c r="H16397" s="69">
        <v>0.92</v>
      </c>
    </row>
    <row r="16398" spans="6:8">
      <c r="F16398" s="68" t="s">
        <v>135</v>
      </c>
      <c r="G16398" s="67" t="s">
        <v>658</v>
      </c>
      <c r="H16398" s="69">
        <v>-0.81</v>
      </c>
    </row>
    <row r="16399" spans="6:8">
      <c r="F16399" s="68" t="s">
        <v>134</v>
      </c>
      <c r="G16399" s="67" t="s">
        <v>658</v>
      </c>
      <c r="H16399" s="69">
        <v>-0.82</v>
      </c>
    </row>
    <row r="16400" spans="6:8">
      <c r="F16400" s="68" t="s">
        <v>569</v>
      </c>
      <c r="G16400" s="67" t="s">
        <v>658</v>
      </c>
      <c r="H16400" s="69">
        <v>-0.17</v>
      </c>
    </row>
    <row r="16401" spans="6:8">
      <c r="F16401" s="68" t="s">
        <v>423</v>
      </c>
      <c r="G16401" s="67" t="s">
        <v>658</v>
      </c>
      <c r="H16401" s="69">
        <v>2.2994771650405532</v>
      </c>
    </row>
    <row r="16402" spans="6:8">
      <c r="F16402" s="68" t="s">
        <v>256</v>
      </c>
      <c r="G16402" s="67" t="s">
        <v>658</v>
      </c>
      <c r="H16402" s="69">
        <v>0.87</v>
      </c>
    </row>
    <row r="16403" spans="6:8">
      <c r="F16403" s="68" t="s">
        <v>133</v>
      </c>
      <c r="G16403" s="67" t="s">
        <v>658</v>
      </c>
      <c r="H16403" s="69">
        <v>-0.65</v>
      </c>
    </row>
    <row r="16404" spans="6:8">
      <c r="F16404" s="68" t="s">
        <v>132</v>
      </c>
      <c r="G16404" s="67" t="s">
        <v>658</v>
      </c>
      <c r="H16404" s="69">
        <v>-0.86</v>
      </c>
    </row>
    <row r="16405" spans="6:8">
      <c r="F16405" s="68" t="s">
        <v>568</v>
      </c>
      <c r="G16405" s="67" t="s">
        <v>658</v>
      </c>
      <c r="H16405" s="69">
        <v>-0.36</v>
      </c>
    </row>
    <row r="16406" spans="6:8">
      <c r="F16406" s="68" t="s">
        <v>422</v>
      </c>
      <c r="G16406" s="67" t="s">
        <v>658</v>
      </c>
      <c r="H16406" s="69">
        <v>2.2382121844782166</v>
      </c>
    </row>
    <row r="16407" spans="6:8">
      <c r="F16407" s="68" t="s">
        <v>303</v>
      </c>
      <c r="G16407" s="67" t="s">
        <v>658</v>
      </c>
      <c r="H16407" s="69">
        <v>19.177083333333332</v>
      </c>
    </row>
    <row r="16408" spans="6:8">
      <c r="F16408" s="68" t="s">
        <v>255</v>
      </c>
      <c r="G16408" s="67" t="s">
        <v>658</v>
      </c>
      <c r="H16408" s="69">
        <v>0.77</v>
      </c>
    </row>
    <row r="16409" spans="6:8">
      <c r="F16409" s="68" t="s">
        <v>131</v>
      </c>
      <c r="G16409" s="67" t="s">
        <v>658</v>
      </c>
      <c r="H16409" s="69">
        <v>-0.56999999999999995</v>
      </c>
    </row>
    <row r="16410" spans="6:8">
      <c r="F16410" s="68" t="s">
        <v>130</v>
      </c>
      <c r="G16410" s="67" t="s">
        <v>658</v>
      </c>
      <c r="H16410" s="69">
        <v>-0.96</v>
      </c>
    </row>
    <row r="16411" spans="6:8">
      <c r="F16411" s="68" t="s">
        <v>567</v>
      </c>
      <c r="G16411" s="67" t="s">
        <v>658</v>
      </c>
      <c r="H16411" s="69">
        <v>-0.7</v>
      </c>
    </row>
    <row r="16412" spans="6:8">
      <c r="F16412" s="68" t="s">
        <v>421</v>
      </c>
      <c r="G16412" s="67" t="s">
        <v>658</v>
      </c>
      <c r="H16412" s="69">
        <v>2.2319929205368183</v>
      </c>
    </row>
    <row r="16413" spans="6:8">
      <c r="F16413" s="68" t="s">
        <v>304</v>
      </c>
      <c r="G16413" s="67" t="s">
        <v>658</v>
      </c>
      <c r="H16413" s="69">
        <v>18.114583333333332</v>
      </c>
    </row>
    <row r="16414" spans="6:8">
      <c r="F16414" s="68" t="s">
        <v>254</v>
      </c>
      <c r="G16414" s="67" t="s">
        <v>658</v>
      </c>
      <c r="H16414" s="69">
        <v>0.62</v>
      </c>
    </row>
    <row r="16415" spans="6:8">
      <c r="F16415" s="68" t="s">
        <v>129</v>
      </c>
      <c r="G16415" s="67" t="s">
        <v>658</v>
      </c>
      <c r="H16415" s="69">
        <v>-0.73</v>
      </c>
    </row>
    <row r="16416" spans="6:8">
      <c r="F16416" s="68" t="s">
        <v>128</v>
      </c>
      <c r="G16416" s="67" t="s">
        <v>658</v>
      </c>
      <c r="H16416" s="69">
        <v>-0.85</v>
      </c>
    </row>
    <row r="16417" spans="6:8">
      <c r="F16417" s="68" t="s">
        <v>315</v>
      </c>
      <c r="G16417" s="67" t="s">
        <v>658</v>
      </c>
      <c r="H16417" s="69">
        <v>-0.18</v>
      </c>
    </row>
    <row r="16418" spans="6:8">
      <c r="F16418" s="68" t="s">
        <v>253</v>
      </c>
      <c r="G16418" s="67" t="s">
        <v>658</v>
      </c>
      <c r="H16418" s="69">
        <v>0.45</v>
      </c>
    </row>
    <row r="16419" spans="6:8">
      <c r="F16419" s="68" t="s">
        <v>127</v>
      </c>
      <c r="G16419" s="67" t="s">
        <v>658</v>
      </c>
      <c r="H16419" s="69">
        <v>-0.44</v>
      </c>
    </row>
    <row r="16420" spans="6:8">
      <c r="F16420" s="68" t="s">
        <v>126</v>
      </c>
      <c r="G16420" s="67" t="s">
        <v>658</v>
      </c>
      <c r="H16420" s="69">
        <v>-0.88</v>
      </c>
    </row>
    <row r="16421" spans="6:8">
      <c r="F16421" s="68" t="s">
        <v>125</v>
      </c>
      <c r="G16421" s="67" t="s">
        <v>658</v>
      </c>
      <c r="H16421" s="69">
        <v>-0.52</v>
      </c>
    </row>
    <row r="16422" spans="6:8">
      <c r="F16422" s="68" t="s">
        <v>314</v>
      </c>
      <c r="G16422" s="67" t="s">
        <v>658</v>
      </c>
      <c r="H16422" s="69">
        <v>-0.4</v>
      </c>
    </row>
    <row r="16423" spans="6:8">
      <c r="F16423" s="68" t="s">
        <v>252</v>
      </c>
      <c r="G16423" s="67" t="s">
        <v>658</v>
      </c>
      <c r="H16423" s="69">
        <v>0.28999999999999998</v>
      </c>
    </row>
    <row r="16424" spans="6:8">
      <c r="F16424" s="68" t="s">
        <v>124</v>
      </c>
      <c r="G16424" s="67" t="s">
        <v>658</v>
      </c>
      <c r="H16424" s="69">
        <v>-0.5</v>
      </c>
    </row>
    <row r="16425" spans="6:8">
      <c r="F16425" s="68" t="s">
        <v>123</v>
      </c>
      <c r="G16425" s="67" t="s">
        <v>658</v>
      </c>
      <c r="H16425" s="69">
        <v>-0.97</v>
      </c>
    </row>
    <row r="16426" spans="6:8">
      <c r="F16426" s="68" t="s">
        <v>122</v>
      </c>
      <c r="G16426" s="67" t="s">
        <v>658</v>
      </c>
      <c r="H16426" s="69">
        <v>-0.63</v>
      </c>
    </row>
    <row r="16427" spans="6:8">
      <c r="F16427" s="68" t="s">
        <v>420</v>
      </c>
      <c r="G16427" s="67" t="s">
        <v>658</v>
      </c>
      <c r="H16427" s="69">
        <v>3.2387092672418571</v>
      </c>
    </row>
    <row r="16428" spans="6:8">
      <c r="F16428" s="68" t="s">
        <v>251</v>
      </c>
      <c r="G16428" s="67" t="s">
        <v>658</v>
      </c>
      <c r="H16428" s="69">
        <v>0.2</v>
      </c>
    </row>
    <row r="16429" spans="6:8">
      <c r="F16429" s="68" t="s">
        <v>121</v>
      </c>
      <c r="G16429" s="67" t="s">
        <v>658</v>
      </c>
      <c r="H16429" s="69">
        <v>-0.64</v>
      </c>
    </row>
    <row r="16430" spans="6:8">
      <c r="F16430" s="68" t="s">
        <v>120</v>
      </c>
      <c r="G16430" s="67" t="s">
        <v>658</v>
      </c>
      <c r="H16430" s="69">
        <v>-0.82</v>
      </c>
    </row>
    <row r="16431" spans="6:8">
      <c r="F16431" s="68" t="s">
        <v>119</v>
      </c>
      <c r="G16431" s="67" t="s">
        <v>658</v>
      </c>
      <c r="H16431" s="69">
        <v>-0.67</v>
      </c>
    </row>
    <row r="16432" spans="6:8">
      <c r="F16432" s="68" t="s">
        <v>119</v>
      </c>
      <c r="G16432" s="67" t="s">
        <v>659</v>
      </c>
      <c r="H16432" s="69">
        <v>-0.67</v>
      </c>
    </row>
    <row r="16433" spans="6:8">
      <c r="F16433" s="68" t="s">
        <v>120</v>
      </c>
      <c r="G16433" s="67" t="s">
        <v>659</v>
      </c>
      <c r="H16433" s="69">
        <v>-0.82</v>
      </c>
    </row>
    <row r="16434" spans="6:8">
      <c r="F16434" s="68" t="s">
        <v>121</v>
      </c>
      <c r="G16434" s="67" t="s">
        <v>659</v>
      </c>
      <c r="H16434" s="69">
        <v>-0.64</v>
      </c>
    </row>
    <row r="16435" spans="6:8">
      <c r="F16435" s="68" t="s">
        <v>251</v>
      </c>
      <c r="G16435" s="67" t="s">
        <v>659</v>
      </c>
      <c r="H16435" s="69">
        <v>0.2</v>
      </c>
    </row>
    <row r="16436" spans="6:8">
      <c r="F16436" s="68" t="s">
        <v>122</v>
      </c>
      <c r="G16436" s="67" t="s">
        <v>659</v>
      </c>
      <c r="H16436" s="69">
        <v>-0.63</v>
      </c>
    </row>
    <row r="16437" spans="6:8">
      <c r="F16437" s="68" t="s">
        <v>123</v>
      </c>
      <c r="G16437" s="67" t="s">
        <v>659</v>
      </c>
      <c r="H16437" s="69">
        <v>-0.97</v>
      </c>
    </row>
    <row r="16438" spans="6:8">
      <c r="F16438" s="68" t="s">
        <v>124</v>
      </c>
      <c r="G16438" s="67" t="s">
        <v>659</v>
      </c>
      <c r="H16438" s="69">
        <v>-0.5</v>
      </c>
    </row>
    <row r="16439" spans="6:8">
      <c r="F16439" s="68" t="s">
        <v>252</v>
      </c>
      <c r="G16439" s="67" t="s">
        <v>659</v>
      </c>
      <c r="H16439" s="69">
        <v>0.28999999999999998</v>
      </c>
    </row>
    <row r="16440" spans="6:8">
      <c r="F16440" s="68" t="s">
        <v>314</v>
      </c>
      <c r="G16440" s="67" t="s">
        <v>659</v>
      </c>
      <c r="H16440" s="69">
        <v>-0.4</v>
      </c>
    </row>
    <row r="16441" spans="6:8">
      <c r="F16441" s="68" t="s">
        <v>125</v>
      </c>
      <c r="G16441" s="67" t="s">
        <v>659</v>
      </c>
      <c r="H16441" s="69">
        <v>-0.52</v>
      </c>
    </row>
    <row r="16442" spans="6:8">
      <c r="F16442" s="68" t="s">
        <v>126</v>
      </c>
      <c r="G16442" s="67" t="s">
        <v>659</v>
      </c>
      <c r="H16442" s="69">
        <v>-0.88</v>
      </c>
    </row>
    <row r="16443" spans="6:8">
      <c r="F16443" s="68" t="s">
        <v>127</v>
      </c>
      <c r="G16443" s="67" t="s">
        <v>659</v>
      </c>
      <c r="H16443" s="69">
        <v>-0.44</v>
      </c>
    </row>
    <row r="16444" spans="6:8">
      <c r="F16444" s="68" t="s">
        <v>253</v>
      </c>
      <c r="G16444" s="67" t="s">
        <v>659</v>
      </c>
      <c r="H16444" s="69">
        <v>0.45</v>
      </c>
    </row>
    <row r="16445" spans="6:8">
      <c r="F16445" s="68" t="s">
        <v>315</v>
      </c>
      <c r="G16445" s="67" t="s">
        <v>659</v>
      </c>
      <c r="H16445" s="69">
        <v>-0.18</v>
      </c>
    </row>
    <row r="16446" spans="6:8">
      <c r="F16446" s="68" t="s">
        <v>128</v>
      </c>
      <c r="G16446" s="67" t="s">
        <v>659</v>
      </c>
      <c r="H16446" s="69">
        <v>-0.85</v>
      </c>
    </row>
    <row r="16447" spans="6:8">
      <c r="F16447" s="68" t="s">
        <v>129</v>
      </c>
      <c r="G16447" s="67" t="s">
        <v>659</v>
      </c>
      <c r="H16447" s="69">
        <v>-0.73</v>
      </c>
    </row>
    <row r="16448" spans="6:8">
      <c r="F16448" s="68" t="s">
        <v>254</v>
      </c>
      <c r="G16448" s="67" t="s">
        <v>659</v>
      </c>
      <c r="H16448" s="69">
        <v>0.62</v>
      </c>
    </row>
    <row r="16449" spans="6:8">
      <c r="F16449" s="68" t="s">
        <v>567</v>
      </c>
      <c r="G16449" s="67" t="s">
        <v>659</v>
      </c>
      <c r="H16449" s="69">
        <v>-0.7</v>
      </c>
    </row>
    <row r="16450" spans="6:8">
      <c r="F16450" s="68" t="s">
        <v>130</v>
      </c>
      <c r="G16450" s="67" t="s">
        <v>659</v>
      </c>
      <c r="H16450" s="69">
        <v>-0.96</v>
      </c>
    </row>
    <row r="16451" spans="6:8">
      <c r="F16451" s="68" t="s">
        <v>131</v>
      </c>
      <c r="G16451" s="67" t="s">
        <v>659</v>
      </c>
      <c r="H16451" s="69">
        <v>-0.56999999999999995</v>
      </c>
    </row>
    <row r="16452" spans="6:8">
      <c r="F16452" s="68" t="s">
        <v>255</v>
      </c>
      <c r="G16452" s="67" t="s">
        <v>659</v>
      </c>
      <c r="H16452" s="69">
        <v>0.77</v>
      </c>
    </row>
    <row r="16453" spans="6:8">
      <c r="F16453" s="68" t="s">
        <v>568</v>
      </c>
      <c r="G16453" s="67" t="s">
        <v>659</v>
      </c>
      <c r="H16453" s="69">
        <v>-0.36</v>
      </c>
    </row>
    <row r="16454" spans="6:8">
      <c r="F16454" s="68" t="s">
        <v>132</v>
      </c>
      <c r="G16454" s="67" t="s">
        <v>659</v>
      </c>
      <c r="H16454" s="69">
        <v>-0.86</v>
      </c>
    </row>
    <row r="16455" spans="6:8">
      <c r="F16455" s="68" t="s">
        <v>133</v>
      </c>
      <c r="G16455" s="67" t="s">
        <v>659</v>
      </c>
      <c r="H16455" s="69">
        <v>-0.65</v>
      </c>
    </row>
    <row r="16456" spans="6:8">
      <c r="F16456" s="68" t="s">
        <v>256</v>
      </c>
      <c r="G16456" s="67" t="s">
        <v>659</v>
      </c>
      <c r="H16456" s="69">
        <v>0.87</v>
      </c>
    </row>
    <row r="16457" spans="6:8">
      <c r="F16457" s="68" t="s">
        <v>569</v>
      </c>
      <c r="G16457" s="67" t="s">
        <v>659</v>
      </c>
      <c r="H16457" s="69">
        <v>-0.17</v>
      </c>
    </row>
    <row r="16458" spans="6:8">
      <c r="F16458" s="68" t="s">
        <v>134</v>
      </c>
      <c r="G16458" s="67" t="s">
        <v>659</v>
      </c>
      <c r="H16458" s="69">
        <v>-0.82</v>
      </c>
    </row>
    <row r="16459" spans="6:8">
      <c r="F16459" s="68" t="s">
        <v>135</v>
      </c>
      <c r="G16459" s="67" t="s">
        <v>659</v>
      </c>
      <c r="H16459" s="69">
        <v>-0.81</v>
      </c>
    </row>
    <row r="16460" spans="6:8">
      <c r="F16460" s="68" t="s">
        <v>257</v>
      </c>
      <c r="G16460" s="67" t="s">
        <v>659</v>
      </c>
      <c r="H16460" s="69">
        <v>0.92</v>
      </c>
    </row>
    <row r="16461" spans="6:8">
      <c r="F16461" s="68" t="s">
        <v>258</v>
      </c>
      <c r="G16461" s="67" t="s">
        <v>659</v>
      </c>
      <c r="H16461" s="69">
        <v>0.15</v>
      </c>
    </row>
    <row r="16462" spans="6:8">
      <c r="F16462" s="68" t="s">
        <v>136</v>
      </c>
      <c r="G16462" s="67" t="s">
        <v>659</v>
      </c>
      <c r="H16462" s="69">
        <v>-0.78</v>
      </c>
    </row>
    <row r="16463" spans="6:8">
      <c r="F16463" s="68" t="s">
        <v>137</v>
      </c>
      <c r="G16463" s="67" t="s">
        <v>659</v>
      </c>
      <c r="H16463" s="69">
        <v>-0.66</v>
      </c>
    </row>
    <row r="16464" spans="6:8">
      <c r="F16464" s="68" t="s">
        <v>138</v>
      </c>
      <c r="G16464" s="67" t="s">
        <v>659</v>
      </c>
      <c r="H16464" s="69">
        <v>-0.74</v>
      </c>
    </row>
    <row r="16465" spans="6:8">
      <c r="F16465" s="68" t="s">
        <v>259</v>
      </c>
      <c r="G16465" s="67" t="s">
        <v>659</v>
      </c>
      <c r="H16465" s="69">
        <v>0.16</v>
      </c>
    </row>
    <row r="16466" spans="6:8">
      <c r="F16466" s="68" t="s">
        <v>259</v>
      </c>
      <c r="G16466" s="67" t="s">
        <v>660</v>
      </c>
      <c r="H16466" s="69">
        <v>0.16</v>
      </c>
    </row>
    <row r="16467" spans="6:8">
      <c r="F16467" s="68" t="s">
        <v>138</v>
      </c>
      <c r="G16467" s="67" t="s">
        <v>660</v>
      </c>
      <c r="H16467" s="69">
        <v>-0.74</v>
      </c>
    </row>
    <row r="16468" spans="6:8">
      <c r="F16468" s="68" t="s">
        <v>137</v>
      </c>
      <c r="G16468" s="67" t="s">
        <v>660</v>
      </c>
      <c r="H16468" s="69">
        <v>-0.66</v>
      </c>
    </row>
    <row r="16469" spans="6:8">
      <c r="F16469" s="68" t="s">
        <v>136</v>
      </c>
      <c r="G16469" s="67" t="s">
        <v>660</v>
      </c>
      <c r="H16469" s="69">
        <v>-0.78</v>
      </c>
    </row>
    <row r="16470" spans="6:8">
      <c r="F16470" s="68" t="s">
        <v>425</v>
      </c>
      <c r="G16470" s="67" t="s">
        <v>660</v>
      </c>
      <c r="H16470" s="69">
        <v>2.9954253263972497</v>
      </c>
    </row>
    <row r="16471" spans="6:8">
      <c r="F16471" s="68" t="s">
        <v>258</v>
      </c>
      <c r="G16471" s="67" t="s">
        <v>660</v>
      </c>
      <c r="H16471" s="69">
        <v>0.15</v>
      </c>
    </row>
    <row r="16472" spans="6:8">
      <c r="F16472" s="68" t="s">
        <v>257</v>
      </c>
      <c r="G16472" s="67" t="s">
        <v>660</v>
      </c>
      <c r="H16472" s="69">
        <v>0.92</v>
      </c>
    </row>
    <row r="16473" spans="6:8">
      <c r="F16473" s="68" t="s">
        <v>135</v>
      </c>
      <c r="G16473" s="67" t="s">
        <v>660</v>
      </c>
      <c r="H16473" s="69">
        <v>-0.81</v>
      </c>
    </row>
    <row r="16474" spans="6:8">
      <c r="F16474" s="68" t="s">
        <v>134</v>
      </c>
      <c r="G16474" s="67" t="s">
        <v>660</v>
      </c>
      <c r="H16474" s="69">
        <v>-0.82</v>
      </c>
    </row>
    <row r="16475" spans="6:8">
      <c r="F16475" s="68" t="s">
        <v>424</v>
      </c>
      <c r="G16475" s="67" t="s">
        <v>660</v>
      </c>
      <c r="H16475" s="69">
        <v>2.9645832452416698</v>
      </c>
    </row>
    <row r="16476" spans="6:8">
      <c r="F16476" s="68" t="s">
        <v>569</v>
      </c>
      <c r="G16476" s="67" t="s">
        <v>660</v>
      </c>
      <c r="H16476" s="69">
        <v>-0.17</v>
      </c>
    </row>
    <row r="16477" spans="6:8">
      <c r="F16477" s="68" t="s">
        <v>423</v>
      </c>
      <c r="G16477" s="67" t="s">
        <v>660</v>
      </c>
      <c r="H16477" s="69">
        <v>2.2951909593262432</v>
      </c>
    </row>
    <row r="16478" spans="6:8">
      <c r="F16478" s="68" t="s">
        <v>256</v>
      </c>
      <c r="G16478" s="67" t="s">
        <v>660</v>
      </c>
      <c r="H16478" s="69">
        <v>0.87</v>
      </c>
    </row>
    <row r="16479" spans="6:8">
      <c r="F16479" s="68" t="s">
        <v>133</v>
      </c>
      <c r="G16479" s="67" t="s">
        <v>660</v>
      </c>
      <c r="H16479" s="69">
        <v>-0.65</v>
      </c>
    </row>
    <row r="16480" spans="6:8">
      <c r="F16480" s="68" t="s">
        <v>132</v>
      </c>
      <c r="G16480" s="67" t="s">
        <v>660</v>
      </c>
      <c r="H16480" s="69">
        <v>-0.86</v>
      </c>
    </row>
    <row r="16481" spans="6:8">
      <c r="F16481" s="68" t="s">
        <v>568</v>
      </c>
      <c r="G16481" s="67" t="s">
        <v>660</v>
      </c>
      <c r="H16481" s="69">
        <v>-0.36</v>
      </c>
    </row>
    <row r="16482" spans="6:8">
      <c r="F16482" s="68" t="s">
        <v>422</v>
      </c>
      <c r="G16482" s="67" t="s">
        <v>660</v>
      </c>
      <c r="H16482" s="69">
        <v>2.2240297375624607</v>
      </c>
    </row>
    <row r="16483" spans="6:8">
      <c r="F16483" s="68" t="s">
        <v>255</v>
      </c>
      <c r="G16483" s="67" t="s">
        <v>660</v>
      </c>
      <c r="H16483" s="69">
        <v>0.77</v>
      </c>
    </row>
    <row r="16484" spans="6:8">
      <c r="F16484" s="68" t="s">
        <v>303</v>
      </c>
      <c r="G16484" s="67" t="s">
        <v>660</v>
      </c>
      <c r="H16484" s="69">
        <v>19.166666666666668</v>
      </c>
    </row>
    <row r="16485" spans="6:8">
      <c r="F16485" s="68" t="s">
        <v>131</v>
      </c>
      <c r="G16485" s="67" t="s">
        <v>660</v>
      </c>
      <c r="H16485" s="69">
        <v>-0.56999999999999995</v>
      </c>
    </row>
    <row r="16486" spans="6:8">
      <c r="F16486" s="68" t="s">
        <v>130</v>
      </c>
      <c r="G16486" s="67" t="s">
        <v>660</v>
      </c>
      <c r="H16486" s="69">
        <v>-0.96</v>
      </c>
    </row>
    <row r="16487" spans="6:8">
      <c r="F16487" s="68" t="s">
        <v>567</v>
      </c>
      <c r="G16487" s="67" t="s">
        <v>660</v>
      </c>
      <c r="H16487" s="69">
        <v>-0.7</v>
      </c>
    </row>
    <row r="16488" spans="6:8">
      <c r="F16488" s="68" t="s">
        <v>421</v>
      </c>
      <c r="G16488" s="67" t="s">
        <v>660</v>
      </c>
      <c r="H16488" s="69">
        <v>2.2177124642964952</v>
      </c>
    </row>
    <row r="16489" spans="6:8">
      <c r="F16489" s="68" t="s">
        <v>254</v>
      </c>
      <c r="G16489" s="67" t="s">
        <v>660</v>
      </c>
      <c r="H16489" s="69">
        <v>0.61</v>
      </c>
    </row>
    <row r="16490" spans="6:8">
      <c r="F16490" s="68" t="s">
        <v>304</v>
      </c>
      <c r="G16490" s="67" t="s">
        <v>660</v>
      </c>
      <c r="H16490" s="69">
        <v>18.135416666666668</v>
      </c>
    </row>
    <row r="16491" spans="6:8">
      <c r="F16491" s="68" t="s">
        <v>129</v>
      </c>
      <c r="G16491" s="67" t="s">
        <v>660</v>
      </c>
      <c r="H16491" s="69">
        <v>-0.73</v>
      </c>
    </row>
    <row r="16492" spans="6:8">
      <c r="F16492" s="68" t="s">
        <v>128</v>
      </c>
      <c r="G16492" s="67" t="s">
        <v>660</v>
      </c>
      <c r="H16492" s="69">
        <v>-0.84</v>
      </c>
    </row>
    <row r="16493" spans="6:8">
      <c r="F16493" s="68" t="s">
        <v>315</v>
      </c>
      <c r="G16493" s="67" t="s">
        <v>660</v>
      </c>
      <c r="H16493" s="69">
        <v>-0.18</v>
      </c>
    </row>
    <row r="16494" spans="6:8">
      <c r="F16494" s="68" t="s">
        <v>253</v>
      </c>
      <c r="G16494" s="67" t="s">
        <v>660</v>
      </c>
      <c r="H16494" s="69">
        <v>0.45</v>
      </c>
    </row>
    <row r="16495" spans="6:8">
      <c r="F16495" s="68" t="s">
        <v>127</v>
      </c>
      <c r="G16495" s="67" t="s">
        <v>660</v>
      </c>
      <c r="H16495" s="69">
        <v>-0.44</v>
      </c>
    </row>
    <row r="16496" spans="6:8">
      <c r="F16496" s="68" t="s">
        <v>126</v>
      </c>
      <c r="G16496" s="67" t="s">
        <v>660</v>
      </c>
      <c r="H16496" s="69">
        <v>-0.88</v>
      </c>
    </row>
    <row r="16497" spans="6:8">
      <c r="F16497" s="68" t="s">
        <v>125</v>
      </c>
      <c r="G16497" s="67" t="s">
        <v>660</v>
      </c>
      <c r="H16497" s="69">
        <v>-0.52</v>
      </c>
    </row>
    <row r="16498" spans="6:8">
      <c r="F16498" s="68" t="s">
        <v>314</v>
      </c>
      <c r="G16498" s="67" t="s">
        <v>660</v>
      </c>
      <c r="H16498" s="69">
        <v>-0.4</v>
      </c>
    </row>
    <row r="16499" spans="6:8">
      <c r="F16499" s="68" t="s">
        <v>252</v>
      </c>
      <c r="G16499" s="67" t="s">
        <v>660</v>
      </c>
      <c r="H16499" s="69">
        <v>0.28999999999999998</v>
      </c>
    </row>
    <row r="16500" spans="6:8">
      <c r="F16500" s="68" t="s">
        <v>124</v>
      </c>
      <c r="G16500" s="67" t="s">
        <v>660</v>
      </c>
      <c r="H16500" s="69">
        <v>-0.5</v>
      </c>
    </row>
    <row r="16501" spans="6:8">
      <c r="F16501" s="68" t="s">
        <v>123</v>
      </c>
      <c r="G16501" s="67" t="s">
        <v>660</v>
      </c>
      <c r="H16501" s="69">
        <v>-0.96</v>
      </c>
    </row>
    <row r="16502" spans="6:8">
      <c r="F16502" s="68" t="s">
        <v>122</v>
      </c>
      <c r="G16502" s="67" t="s">
        <v>660</v>
      </c>
      <c r="H16502" s="69">
        <v>-0.63</v>
      </c>
    </row>
    <row r="16503" spans="6:8">
      <c r="F16503" s="68" t="s">
        <v>251</v>
      </c>
      <c r="G16503" s="67" t="s">
        <v>660</v>
      </c>
      <c r="H16503" s="69">
        <v>0.2</v>
      </c>
    </row>
    <row r="16504" spans="6:8">
      <c r="F16504" s="68" t="s">
        <v>121</v>
      </c>
      <c r="G16504" s="67" t="s">
        <v>660</v>
      </c>
      <c r="H16504" s="69">
        <v>-0.64</v>
      </c>
    </row>
    <row r="16505" spans="6:8">
      <c r="F16505" s="68" t="s">
        <v>120</v>
      </c>
      <c r="G16505" s="67" t="s">
        <v>660</v>
      </c>
      <c r="H16505" s="69">
        <v>-0.82</v>
      </c>
    </row>
    <row r="16506" spans="6:8">
      <c r="F16506" s="68" t="s">
        <v>119</v>
      </c>
      <c r="G16506" s="67" t="s">
        <v>660</v>
      </c>
      <c r="H16506" s="69">
        <v>-0.67</v>
      </c>
    </row>
    <row r="16507" spans="6:8">
      <c r="F16507" s="68" t="s">
        <v>420</v>
      </c>
      <c r="G16507" s="67" t="s">
        <v>660</v>
      </c>
      <c r="H16507" s="69">
        <v>3.2420059350164898</v>
      </c>
    </row>
    <row r="16508" spans="6:8">
      <c r="F16508" s="68" t="s">
        <v>420</v>
      </c>
      <c r="G16508" s="67" t="s">
        <v>661</v>
      </c>
      <c r="H16508" s="69">
        <v>3.2180523990892329</v>
      </c>
    </row>
    <row r="16509" spans="6:8">
      <c r="F16509" s="68" t="s">
        <v>662</v>
      </c>
      <c r="G16509" s="67" t="s">
        <v>661</v>
      </c>
      <c r="H16509" s="69">
        <v>112.97726923</v>
      </c>
    </row>
    <row r="16510" spans="6:8">
      <c r="F16510" s="68" t="s">
        <v>119</v>
      </c>
      <c r="G16510" s="67" t="s">
        <v>661</v>
      </c>
      <c r="H16510" s="69">
        <v>-0.67</v>
      </c>
    </row>
    <row r="16511" spans="6:8">
      <c r="F16511" s="68" t="s">
        <v>120</v>
      </c>
      <c r="G16511" s="67" t="s">
        <v>661</v>
      </c>
      <c r="H16511" s="69">
        <v>-0.82</v>
      </c>
    </row>
    <row r="16512" spans="6:8">
      <c r="F16512" s="68" t="s">
        <v>121</v>
      </c>
      <c r="G16512" s="67" t="s">
        <v>661</v>
      </c>
      <c r="H16512" s="69">
        <v>-0.64</v>
      </c>
    </row>
    <row r="16513" spans="6:8">
      <c r="F16513" s="68" t="s">
        <v>251</v>
      </c>
      <c r="G16513" s="67" t="s">
        <v>661</v>
      </c>
      <c r="H16513" s="69">
        <v>0.2</v>
      </c>
    </row>
    <row r="16514" spans="6:8">
      <c r="F16514" s="68" t="s">
        <v>122</v>
      </c>
      <c r="G16514" s="67" t="s">
        <v>661</v>
      </c>
      <c r="H16514" s="69">
        <v>-0.63</v>
      </c>
    </row>
    <row r="16515" spans="6:8">
      <c r="F16515" s="68" t="s">
        <v>123</v>
      </c>
      <c r="G16515" s="67" t="s">
        <v>661</v>
      </c>
      <c r="H16515" s="69">
        <v>-0.96</v>
      </c>
    </row>
    <row r="16516" spans="6:8">
      <c r="F16516" s="68" t="s">
        <v>124</v>
      </c>
      <c r="G16516" s="67" t="s">
        <v>661</v>
      </c>
      <c r="H16516" s="69">
        <v>-0.5</v>
      </c>
    </row>
    <row r="16517" spans="6:8">
      <c r="F16517" s="68" t="s">
        <v>252</v>
      </c>
      <c r="G16517" s="67" t="s">
        <v>661</v>
      </c>
      <c r="H16517" s="69">
        <v>0.28999999999999998</v>
      </c>
    </row>
    <row r="16518" spans="6:8">
      <c r="F16518" s="68" t="s">
        <v>314</v>
      </c>
      <c r="G16518" s="67" t="s">
        <v>661</v>
      </c>
      <c r="H16518" s="69">
        <v>-0.4</v>
      </c>
    </row>
    <row r="16519" spans="6:8">
      <c r="F16519" s="68" t="s">
        <v>663</v>
      </c>
      <c r="G16519" s="67" t="s">
        <v>661</v>
      </c>
      <c r="H16519" s="69">
        <v>112.97786388</v>
      </c>
    </row>
    <row r="16520" spans="6:8">
      <c r="F16520" s="68" t="s">
        <v>125</v>
      </c>
      <c r="G16520" s="67" t="s">
        <v>661</v>
      </c>
      <c r="H16520" s="69">
        <v>-0.52</v>
      </c>
    </row>
    <row r="16521" spans="6:8">
      <c r="F16521" s="68" t="s">
        <v>126</v>
      </c>
      <c r="G16521" s="67" t="s">
        <v>661</v>
      </c>
      <c r="H16521" s="69">
        <v>-0.88</v>
      </c>
    </row>
    <row r="16522" spans="6:8">
      <c r="F16522" s="68" t="s">
        <v>127</v>
      </c>
      <c r="G16522" s="67" t="s">
        <v>661</v>
      </c>
      <c r="H16522" s="69">
        <v>-0.44</v>
      </c>
    </row>
    <row r="16523" spans="6:8">
      <c r="F16523" s="68" t="s">
        <v>253</v>
      </c>
      <c r="G16523" s="67" t="s">
        <v>661</v>
      </c>
      <c r="H16523" s="69">
        <v>0.45</v>
      </c>
    </row>
    <row r="16524" spans="6:8">
      <c r="F16524" s="68" t="s">
        <v>315</v>
      </c>
      <c r="G16524" s="67" t="s">
        <v>661</v>
      </c>
      <c r="H16524" s="69">
        <v>-0.18</v>
      </c>
    </row>
    <row r="16525" spans="6:8">
      <c r="F16525" s="68" t="s">
        <v>664</v>
      </c>
      <c r="G16525" s="67" t="s">
        <v>661</v>
      </c>
      <c r="H16525" s="69">
        <v>112.97765339</v>
      </c>
    </row>
    <row r="16526" spans="6:8">
      <c r="F16526" s="68" t="s">
        <v>128</v>
      </c>
      <c r="G16526" s="67" t="s">
        <v>661</v>
      </c>
      <c r="H16526" s="69">
        <v>-0.84</v>
      </c>
    </row>
    <row r="16527" spans="6:8">
      <c r="F16527" s="68" t="s">
        <v>129</v>
      </c>
      <c r="G16527" s="67" t="s">
        <v>661</v>
      </c>
      <c r="H16527" s="69">
        <v>-0.73</v>
      </c>
    </row>
    <row r="16528" spans="6:8">
      <c r="F16528" s="68" t="s">
        <v>304</v>
      </c>
      <c r="G16528" s="67" t="s">
        <v>661</v>
      </c>
      <c r="H16528" s="69">
        <v>18.125</v>
      </c>
    </row>
    <row r="16529" spans="6:8">
      <c r="F16529" s="68" t="s">
        <v>254</v>
      </c>
      <c r="G16529" s="67" t="s">
        <v>661</v>
      </c>
      <c r="H16529" s="69">
        <v>0.61</v>
      </c>
    </row>
    <row r="16530" spans="6:8">
      <c r="F16530" s="68" t="s">
        <v>421</v>
      </c>
      <c r="G16530" s="67" t="s">
        <v>661</v>
      </c>
      <c r="H16530" s="69">
        <v>2.1868469755293329</v>
      </c>
    </row>
    <row r="16531" spans="6:8">
      <c r="F16531" s="68" t="s">
        <v>567</v>
      </c>
      <c r="G16531" s="67" t="s">
        <v>661</v>
      </c>
      <c r="H16531" s="69">
        <v>-0.7</v>
      </c>
    </row>
    <row r="16532" spans="6:8">
      <c r="F16532" s="68" t="s">
        <v>665</v>
      </c>
      <c r="G16532" s="67" t="s">
        <v>661</v>
      </c>
      <c r="H16532" s="69">
        <v>112.97765339</v>
      </c>
    </row>
    <row r="16533" spans="6:8">
      <c r="F16533" s="68" t="s">
        <v>130</v>
      </c>
      <c r="G16533" s="67" t="s">
        <v>661</v>
      </c>
      <c r="H16533" s="69">
        <v>-0.96</v>
      </c>
    </row>
    <row r="16534" spans="6:8">
      <c r="F16534" s="68" t="s">
        <v>131</v>
      </c>
      <c r="G16534" s="67" t="s">
        <v>661</v>
      </c>
      <c r="H16534" s="69">
        <v>-0.56999999999999995</v>
      </c>
    </row>
    <row r="16535" spans="6:8">
      <c r="F16535" s="68" t="s">
        <v>303</v>
      </c>
      <c r="G16535" s="67" t="s">
        <v>661</v>
      </c>
      <c r="H16535" s="69">
        <v>19.145833333333332</v>
      </c>
    </row>
    <row r="16536" spans="6:8">
      <c r="F16536" s="68" t="s">
        <v>255</v>
      </c>
      <c r="G16536" s="67" t="s">
        <v>661</v>
      </c>
      <c r="H16536" s="69">
        <v>0.77</v>
      </c>
    </row>
    <row r="16537" spans="6:8">
      <c r="F16537" s="68" t="s">
        <v>422</v>
      </c>
      <c r="G16537" s="67" t="s">
        <v>661</v>
      </c>
      <c r="H16537" s="69">
        <v>2.1931768921158667</v>
      </c>
    </row>
    <row r="16538" spans="6:8">
      <c r="F16538" s="68" t="s">
        <v>568</v>
      </c>
      <c r="G16538" s="67" t="s">
        <v>661</v>
      </c>
      <c r="H16538" s="69">
        <v>-0.36</v>
      </c>
    </row>
    <row r="16539" spans="6:8">
      <c r="F16539" s="68" t="s">
        <v>666</v>
      </c>
      <c r="G16539" s="67" t="s">
        <v>661</v>
      </c>
      <c r="H16539" s="69">
        <v>112.97750633</v>
      </c>
    </row>
    <row r="16540" spans="6:8">
      <c r="F16540" s="68" t="s">
        <v>132</v>
      </c>
      <c r="G16540" s="67" t="s">
        <v>661</v>
      </c>
      <c r="H16540" s="69">
        <v>-0.86</v>
      </c>
    </row>
    <row r="16541" spans="6:8">
      <c r="F16541" s="68" t="s">
        <v>133</v>
      </c>
      <c r="G16541" s="67" t="s">
        <v>661</v>
      </c>
      <c r="H16541" s="69">
        <v>-0.65</v>
      </c>
    </row>
    <row r="16542" spans="6:8">
      <c r="F16542" s="68" t="s">
        <v>256</v>
      </c>
      <c r="G16542" s="67" t="s">
        <v>661</v>
      </c>
      <c r="H16542" s="69">
        <v>0.87</v>
      </c>
    </row>
    <row r="16543" spans="6:8">
      <c r="F16543" s="68" t="s">
        <v>423</v>
      </c>
      <c r="G16543" s="67" t="s">
        <v>661</v>
      </c>
      <c r="H16543" s="69">
        <v>2.2731998638267026</v>
      </c>
    </row>
    <row r="16544" spans="6:8">
      <c r="F16544" s="68" t="s">
        <v>569</v>
      </c>
      <c r="G16544" s="67" t="s">
        <v>661</v>
      </c>
      <c r="H16544" s="69">
        <v>-0.17</v>
      </c>
    </row>
    <row r="16545" spans="6:8">
      <c r="F16545" s="68" t="s">
        <v>667</v>
      </c>
      <c r="G16545" s="67" t="s">
        <v>661</v>
      </c>
      <c r="H16545" s="69">
        <v>112.97786975</v>
      </c>
    </row>
    <row r="16546" spans="6:8">
      <c r="F16546" s="68" t="s">
        <v>424</v>
      </c>
      <c r="G16546" s="67" t="s">
        <v>661</v>
      </c>
      <c r="H16546" s="69">
        <v>2.9405574163302362</v>
      </c>
    </row>
    <row r="16547" spans="6:8">
      <c r="F16547" s="68" t="s">
        <v>668</v>
      </c>
      <c r="G16547" s="67" t="s">
        <v>661</v>
      </c>
      <c r="H16547" s="69">
        <v>112.97767176000001</v>
      </c>
    </row>
    <row r="16548" spans="6:8">
      <c r="F16548" s="68" t="s">
        <v>134</v>
      </c>
      <c r="G16548" s="67" t="s">
        <v>661</v>
      </c>
      <c r="H16548" s="69">
        <v>-0.82</v>
      </c>
    </row>
    <row r="16549" spans="6:8">
      <c r="F16549" s="68" t="s">
        <v>135</v>
      </c>
      <c r="G16549" s="67" t="s">
        <v>661</v>
      </c>
      <c r="H16549" s="69">
        <v>-0.81</v>
      </c>
    </row>
    <row r="16550" spans="6:8">
      <c r="F16550" s="68" t="s">
        <v>257</v>
      </c>
      <c r="G16550" s="67" t="s">
        <v>661</v>
      </c>
      <c r="H16550" s="69">
        <v>0.92</v>
      </c>
    </row>
    <row r="16551" spans="6:8">
      <c r="F16551" s="68" t="s">
        <v>258</v>
      </c>
      <c r="G16551" s="67" t="s">
        <v>661</v>
      </c>
      <c r="H16551" s="69">
        <v>0.15</v>
      </c>
    </row>
    <row r="16552" spans="6:8">
      <c r="F16552" s="68" t="s">
        <v>425</v>
      </c>
      <c r="G16552" s="67" t="s">
        <v>661</v>
      </c>
      <c r="H16552" s="69">
        <v>2.97303507753095</v>
      </c>
    </row>
    <row r="16553" spans="6:8">
      <c r="F16553" s="68" t="s">
        <v>669</v>
      </c>
      <c r="G16553" s="67" t="s">
        <v>661</v>
      </c>
      <c r="H16553" s="69">
        <v>112.97789204999999</v>
      </c>
    </row>
    <row r="16554" spans="6:8">
      <c r="F16554" s="68" t="s">
        <v>136</v>
      </c>
      <c r="G16554" s="67" t="s">
        <v>661</v>
      </c>
      <c r="H16554" s="69">
        <v>-0.78</v>
      </c>
    </row>
    <row r="16555" spans="6:8">
      <c r="F16555" s="68" t="s">
        <v>137</v>
      </c>
      <c r="G16555" s="67" t="s">
        <v>661</v>
      </c>
      <c r="H16555" s="69">
        <v>-0.66</v>
      </c>
    </row>
    <row r="16556" spans="6:8">
      <c r="F16556" s="68" t="s">
        <v>138</v>
      </c>
      <c r="G16556" s="67" t="s">
        <v>661</v>
      </c>
      <c r="H16556" s="69">
        <v>-0.74</v>
      </c>
    </row>
    <row r="16557" spans="6:8">
      <c r="F16557" s="68" t="s">
        <v>259</v>
      </c>
      <c r="G16557" s="67" t="s">
        <v>661</v>
      </c>
      <c r="H16557" s="69">
        <v>0.16</v>
      </c>
    </row>
    <row r="16558" spans="6:8">
      <c r="F16558" s="68" t="s">
        <v>259</v>
      </c>
      <c r="G16558" s="67" t="s">
        <v>670</v>
      </c>
      <c r="H16558" s="69">
        <v>0.16</v>
      </c>
    </row>
    <row r="16559" spans="6:8">
      <c r="F16559" s="68" t="s">
        <v>138</v>
      </c>
      <c r="G16559" s="67" t="s">
        <v>670</v>
      </c>
      <c r="H16559" s="69">
        <v>-0.74</v>
      </c>
    </row>
    <row r="16560" spans="6:8">
      <c r="F16560" s="68" t="s">
        <v>137</v>
      </c>
      <c r="G16560" s="67" t="s">
        <v>670</v>
      </c>
      <c r="H16560" s="69">
        <v>-0.66</v>
      </c>
    </row>
    <row r="16561" spans="6:8">
      <c r="F16561" s="68" t="s">
        <v>136</v>
      </c>
      <c r="G16561" s="67" t="s">
        <v>670</v>
      </c>
      <c r="H16561" s="69">
        <v>-0.78</v>
      </c>
    </row>
    <row r="16562" spans="6:8">
      <c r="F16562" s="68" t="s">
        <v>669</v>
      </c>
      <c r="G16562" s="67" t="s">
        <v>670</v>
      </c>
      <c r="H16562" s="69">
        <v>113.03517577</v>
      </c>
    </row>
    <row r="16563" spans="6:8">
      <c r="F16563" s="68" t="s">
        <v>425</v>
      </c>
      <c r="G16563" s="67" t="s">
        <v>670</v>
      </c>
      <c r="H16563" s="69">
        <v>2.9389340587689716</v>
      </c>
    </row>
    <row r="16564" spans="6:8">
      <c r="F16564" s="68" t="s">
        <v>258</v>
      </c>
      <c r="G16564" s="67" t="s">
        <v>670</v>
      </c>
      <c r="H16564" s="69">
        <v>0.15</v>
      </c>
    </row>
    <row r="16565" spans="6:8">
      <c r="F16565" s="68" t="s">
        <v>257</v>
      </c>
      <c r="G16565" s="67" t="s">
        <v>670</v>
      </c>
      <c r="H16565" s="69">
        <v>0.92</v>
      </c>
    </row>
    <row r="16566" spans="6:8">
      <c r="F16566" s="68" t="s">
        <v>135</v>
      </c>
      <c r="G16566" s="67" t="s">
        <v>670</v>
      </c>
      <c r="H16566" s="69">
        <v>-0.81</v>
      </c>
    </row>
    <row r="16567" spans="6:8">
      <c r="F16567" s="68" t="s">
        <v>134</v>
      </c>
      <c r="G16567" s="67" t="s">
        <v>670</v>
      </c>
      <c r="H16567" s="69">
        <v>-0.82</v>
      </c>
    </row>
    <row r="16568" spans="6:8">
      <c r="F16568" s="68" t="s">
        <v>668</v>
      </c>
      <c r="G16568" s="67" t="s">
        <v>670</v>
      </c>
      <c r="H16568" s="69">
        <v>113.03495427999999</v>
      </c>
    </row>
    <row r="16569" spans="6:8">
      <c r="F16569" s="68" t="s">
        <v>424</v>
      </c>
      <c r="G16569" s="67" t="s">
        <v>670</v>
      </c>
      <c r="H16569" s="69">
        <v>2.9089347208701266</v>
      </c>
    </row>
    <row r="16570" spans="6:8">
      <c r="F16570" s="68" t="s">
        <v>667</v>
      </c>
      <c r="G16570" s="67" t="s">
        <v>670</v>
      </c>
      <c r="H16570" s="69">
        <v>113.03515335</v>
      </c>
    </row>
    <row r="16571" spans="6:8">
      <c r="F16571" s="68" t="s">
        <v>569</v>
      </c>
      <c r="G16571" s="67" t="s">
        <v>670</v>
      </c>
      <c r="H16571" s="69">
        <v>-0.17</v>
      </c>
    </row>
    <row r="16572" spans="6:8">
      <c r="F16572" s="68" t="s">
        <v>423</v>
      </c>
      <c r="G16572" s="67" t="s">
        <v>670</v>
      </c>
      <c r="H16572" s="69">
        <v>2.2528436938396013</v>
      </c>
    </row>
    <row r="16573" spans="6:8">
      <c r="F16573" s="68" t="s">
        <v>256</v>
      </c>
      <c r="G16573" s="67" t="s">
        <v>670</v>
      </c>
      <c r="H16573" s="69">
        <v>0.87</v>
      </c>
    </row>
    <row r="16574" spans="6:8">
      <c r="F16574" s="68" t="s">
        <v>133</v>
      </c>
      <c r="G16574" s="67" t="s">
        <v>670</v>
      </c>
      <c r="H16574" s="69">
        <v>-0.65</v>
      </c>
    </row>
    <row r="16575" spans="6:8">
      <c r="F16575" s="68" t="s">
        <v>132</v>
      </c>
      <c r="G16575" s="67" t="s">
        <v>670</v>
      </c>
      <c r="H16575" s="69">
        <v>-0.86</v>
      </c>
    </row>
    <row r="16576" spans="6:8">
      <c r="F16576" s="68" t="s">
        <v>666</v>
      </c>
      <c r="G16576" s="67" t="s">
        <v>670</v>
      </c>
      <c r="H16576" s="69">
        <v>113.03478794999999</v>
      </c>
    </row>
    <row r="16577" spans="6:8">
      <c r="F16577" s="68" t="s">
        <v>568</v>
      </c>
      <c r="G16577" s="67" t="s">
        <v>670</v>
      </c>
      <c r="H16577" s="69">
        <v>-0.36</v>
      </c>
    </row>
    <row r="16578" spans="6:8">
      <c r="F16578" s="68" t="s">
        <v>422</v>
      </c>
      <c r="G16578" s="67" t="s">
        <v>670</v>
      </c>
      <c r="H16578" s="69">
        <v>2.1613116945526034</v>
      </c>
    </row>
    <row r="16579" spans="6:8">
      <c r="F16579" s="68" t="s">
        <v>255</v>
      </c>
      <c r="G16579" s="67" t="s">
        <v>670</v>
      </c>
      <c r="H16579" s="69">
        <v>0.77</v>
      </c>
    </row>
    <row r="16580" spans="6:8">
      <c r="F16580" s="68" t="s">
        <v>303</v>
      </c>
      <c r="G16580" s="67" t="s">
        <v>670</v>
      </c>
      <c r="H16580" s="69">
        <v>19.125</v>
      </c>
    </row>
    <row r="16581" spans="6:8">
      <c r="F16581" s="68" t="s">
        <v>131</v>
      </c>
      <c r="G16581" s="67" t="s">
        <v>670</v>
      </c>
      <c r="H16581" s="69">
        <v>-0.56999999999999995</v>
      </c>
    </row>
    <row r="16582" spans="6:8">
      <c r="F16582" s="68" t="s">
        <v>130</v>
      </c>
      <c r="G16582" s="67" t="s">
        <v>670</v>
      </c>
      <c r="H16582" s="69">
        <v>-0.96</v>
      </c>
    </row>
    <row r="16583" spans="6:8">
      <c r="F16583" s="68" t="s">
        <v>665</v>
      </c>
      <c r="G16583" s="67" t="s">
        <v>670</v>
      </c>
      <c r="H16583" s="69">
        <v>113.03493580999999</v>
      </c>
    </row>
    <row r="16584" spans="6:8">
      <c r="F16584" s="68" t="s">
        <v>567</v>
      </c>
      <c r="G16584" s="67" t="s">
        <v>670</v>
      </c>
      <c r="H16584" s="69">
        <v>-0.7</v>
      </c>
    </row>
    <row r="16585" spans="6:8">
      <c r="F16585" s="68" t="s">
        <v>421</v>
      </c>
      <c r="G16585" s="67" t="s">
        <v>670</v>
      </c>
      <c r="H16585" s="69">
        <v>2.1549716932959928</v>
      </c>
    </row>
    <row r="16586" spans="6:8">
      <c r="F16586" s="68" t="s">
        <v>254</v>
      </c>
      <c r="G16586" s="67" t="s">
        <v>670</v>
      </c>
      <c r="H16586" s="69">
        <v>0.61</v>
      </c>
    </row>
    <row r="16587" spans="6:8">
      <c r="F16587" s="68" t="s">
        <v>304</v>
      </c>
      <c r="G16587" s="67" t="s">
        <v>670</v>
      </c>
      <c r="H16587" s="69">
        <v>18.104166666666668</v>
      </c>
    </row>
    <row r="16588" spans="6:8">
      <c r="F16588" s="68" t="s">
        <v>129</v>
      </c>
      <c r="G16588" s="67" t="s">
        <v>670</v>
      </c>
      <c r="H16588" s="69">
        <v>-0.73</v>
      </c>
    </row>
    <row r="16589" spans="6:8">
      <c r="F16589" s="68" t="s">
        <v>128</v>
      </c>
      <c r="G16589" s="67" t="s">
        <v>670</v>
      </c>
      <c r="H16589" s="69">
        <v>-0.84</v>
      </c>
    </row>
    <row r="16590" spans="6:8">
      <c r="F16590" s="68" t="s">
        <v>664</v>
      </c>
      <c r="G16590" s="67" t="s">
        <v>670</v>
      </c>
      <c r="H16590" s="69">
        <v>113.03493580999999</v>
      </c>
    </row>
    <row r="16591" spans="6:8">
      <c r="F16591" s="68" t="s">
        <v>315</v>
      </c>
      <c r="G16591" s="67" t="s">
        <v>670</v>
      </c>
      <c r="H16591" s="69">
        <v>-0.18</v>
      </c>
    </row>
    <row r="16592" spans="6:8">
      <c r="F16592" s="68" t="s">
        <v>253</v>
      </c>
      <c r="G16592" s="67" t="s">
        <v>670</v>
      </c>
      <c r="H16592" s="69">
        <v>0.45</v>
      </c>
    </row>
    <row r="16593" spans="6:8">
      <c r="F16593" s="68" t="s">
        <v>127</v>
      </c>
      <c r="G16593" s="67" t="s">
        <v>670</v>
      </c>
      <c r="H16593" s="69">
        <v>-0.44</v>
      </c>
    </row>
    <row r="16594" spans="6:8">
      <c r="F16594" s="68" t="s">
        <v>126</v>
      </c>
      <c r="G16594" s="67" t="s">
        <v>670</v>
      </c>
      <c r="H16594" s="69">
        <v>-0.88</v>
      </c>
    </row>
    <row r="16595" spans="6:8">
      <c r="F16595" s="68" t="s">
        <v>125</v>
      </c>
      <c r="G16595" s="67" t="s">
        <v>670</v>
      </c>
      <c r="H16595" s="69">
        <v>-0.52</v>
      </c>
    </row>
    <row r="16596" spans="6:8">
      <c r="F16596" s="68" t="s">
        <v>663</v>
      </c>
      <c r="G16596" s="67" t="s">
        <v>670</v>
      </c>
      <c r="H16596" s="69">
        <v>113.03514744</v>
      </c>
    </row>
    <row r="16597" spans="6:8">
      <c r="F16597" s="68" t="s">
        <v>314</v>
      </c>
      <c r="G16597" s="67" t="s">
        <v>670</v>
      </c>
      <c r="H16597" s="69">
        <v>-0.4</v>
      </c>
    </row>
    <row r="16598" spans="6:8">
      <c r="F16598" s="68" t="s">
        <v>252</v>
      </c>
      <c r="G16598" s="67" t="s">
        <v>670</v>
      </c>
      <c r="H16598" s="69">
        <v>0.28999999999999998</v>
      </c>
    </row>
    <row r="16599" spans="6:8">
      <c r="F16599" s="68" t="s">
        <v>124</v>
      </c>
      <c r="G16599" s="67" t="s">
        <v>670</v>
      </c>
      <c r="H16599" s="69">
        <v>-0.5</v>
      </c>
    </row>
    <row r="16600" spans="6:8">
      <c r="F16600" s="68" t="s">
        <v>123</v>
      </c>
      <c r="G16600" s="67" t="s">
        <v>670</v>
      </c>
      <c r="H16600" s="69">
        <v>-0.96</v>
      </c>
    </row>
    <row r="16601" spans="6:8">
      <c r="F16601" s="68" t="s">
        <v>122</v>
      </c>
      <c r="G16601" s="67" t="s">
        <v>670</v>
      </c>
      <c r="H16601" s="69">
        <v>-0.63</v>
      </c>
    </row>
    <row r="16602" spans="6:8">
      <c r="F16602" s="68" t="s">
        <v>251</v>
      </c>
      <c r="G16602" s="67" t="s">
        <v>670</v>
      </c>
      <c r="H16602" s="69">
        <v>0.2</v>
      </c>
    </row>
    <row r="16603" spans="6:8">
      <c r="F16603" s="68" t="s">
        <v>121</v>
      </c>
      <c r="G16603" s="67" t="s">
        <v>670</v>
      </c>
      <c r="H16603" s="69">
        <v>-0.64</v>
      </c>
    </row>
    <row r="16604" spans="6:8">
      <c r="F16604" s="68" t="s">
        <v>120</v>
      </c>
      <c r="G16604" s="67" t="s">
        <v>670</v>
      </c>
      <c r="H16604" s="69">
        <v>-0.82</v>
      </c>
    </row>
    <row r="16605" spans="6:8">
      <c r="F16605" s="68" t="s">
        <v>119</v>
      </c>
      <c r="G16605" s="67" t="s">
        <v>670</v>
      </c>
      <c r="H16605" s="69">
        <v>-0.67</v>
      </c>
    </row>
    <row r="16606" spans="6:8">
      <c r="F16606" s="68" t="s">
        <v>662</v>
      </c>
      <c r="G16606" s="67" t="s">
        <v>670</v>
      </c>
      <c r="H16606" s="69">
        <v>113.03454956</v>
      </c>
    </row>
    <row r="16607" spans="6:8">
      <c r="F16607" s="68" t="s">
        <v>420</v>
      </c>
      <c r="G16607" s="67" t="s">
        <v>670</v>
      </c>
      <c r="H16607" s="69">
        <v>3.1948973800231428</v>
      </c>
    </row>
    <row r="16608" spans="6:8">
      <c r="F16608" s="68" t="s">
        <v>420</v>
      </c>
      <c r="G16608" s="67" t="s">
        <v>671</v>
      </c>
      <c r="H16608" s="69">
        <v>3.1705026484021293</v>
      </c>
    </row>
    <row r="16609" spans="6:8">
      <c r="F16609" s="68" t="s">
        <v>662</v>
      </c>
      <c r="G16609" s="67" t="s">
        <v>671</v>
      </c>
      <c r="H16609" s="69">
        <v>113.03730830000001</v>
      </c>
    </row>
    <row r="16610" spans="6:8">
      <c r="F16610" s="68" t="s">
        <v>119</v>
      </c>
      <c r="G16610" s="67" t="s">
        <v>671</v>
      </c>
      <c r="H16610" s="69">
        <v>-0.67</v>
      </c>
    </row>
    <row r="16611" spans="6:8">
      <c r="F16611" s="68" t="s">
        <v>120</v>
      </c>
      <c r="G16611" s="67" t="s">
        <v>671</v>
      </c>
      <c r="H16611" s="69">
        <v>-0.82</v>
      </c>
    </row>
    <row r="16612" spans="6:8">
      <c r="F16612" s="68" t="s">
        <v>121</v>
      </c>
      <c r="G16612" s="67" t="s">
        <v>671</v>
      </c>
      <c r="H16612" s="69">
        <v>-0.64</v>
      </c>
    </row>
    <row r="16613" spans="6:8">
      <c r="F16613" s="68" t="s">
        <v>251</v>
      </c>
      <c r="G16613" s="67" t="s">
        <v>671</v>
      </c>
      <c r="H16613" s="69">
        <v>0.2</v>
      </c>
    </row>
    <row r="16614" spans="6:8">
      <c r="F16614" s="68" t="s">
        <v>122</v>
      </c>
      <c r="G16614" s="67" t="s">
        <v>671</v>
      </c>
      <c r="H16614" s="69">
        <v>-0.63</v>
      </c>
    </row>
    <row r="16615" spans="6:8">
      <c r="F16615" s="68" t="s">
        <v>123</v>
      </c>
      <c r="G16615" s="67" t="s">
        <v>671</v>
      </c>
      <c r="H16615" s="69">
        <v>-0.96</v>
      </c>
    </row>
    <row r="16616" spans="6:8">
      <c r="F16616" s="68" t="s">
        <v>124</v>
      </c>
      <c r="G16616" s="67" t="s">
        <v>671</v>
      </c>
      <c r="H16616" s="69">
        <v>-0.5</v>
      </c>
    </row>
    <row r="16617" spans="6:8">
      <c r="F16617" s="68" t="s">
        <v>252</v>
      </c>
      <c r="G16617" s="67" t="s">
        <v>671</v>
      </c>
      <c r="H16617" s="69">
        <v>0.28999999999999998</v>
      </c>
    </row>
    <row r="16618" spans="6:8">
      <c r="F16618" s="68" t="s">
        <v>314</v>
      </c>
      <c r="G16618" s="67" t="s">
        <v>671</v>
      </c>
      <c r="H16618" s="69">
        <v>-0.4</v>
      </c>
    </row>
    <row r="16619" spans="6:8">
      <c r="F16619" s="68" t="s">
        <v>663</v>
      </c>
      <c r="G16619" s="67" t="s">
        <v>671</v>
      </c>
      <c r="H16619" s="69">
        <v>113.03790691</v>
      </c>
    </row>
    <row r="16620" spans="6:8">
      <c r="F16620" s="68" t="s">
        <v>125</v>
      </c>
      <c r="G16620" s="67" t="s">
        <v>671</v>
      </c>
      <c r="H16620" s="69">
        <v>-0.52</v>
      </c>
    </row>
    <row r="16621" spans="6:8">
      <c r="F16621" s="68" t="s">
        <v>126</v>
      </c>
      <c r="G16621" s="67" t="s">
        <v>671</v>
      </c>
      <c r="H16621" s="69">
        <v>-0.88</v>
      </c>
    </row>
    <row r="16622" spans="6:8">
      <c r="F16622" s="68" t="s">
        <v>127</v>
      </c>
      <c r="G16622" s="67" t="s">
        <v>671</v>
      </c>
      <c r="H16622" s="69">
        <v>-0.44</v>
      </c>
    </row>
    <row r="16623" spans="6:8">
      <c r="F16623" s="68" t="s">
        <v>253</v>
      </c>
      <c r="G16623" s="67" t="s">
        <v>671</v>
      </c>
      <c r="H16623" s="69">
        <v>0.45</v>
      </c>
    </row>
    <row r="16624" spans="6:8">
      <c r="F16624" s="68" t="s">
        <v>315</v>
      </c>
      <c r="G16624" s="67" t="s">
        <v>671</v>
      </c>
      <c r="H16624" s="69">
        <v>-0.18</v>
      </c>
    </row>
    <row r="16625" spans="6:8">
      <c r="F16625" s="68" t="s">
        <v>664</v>
      </c>
      <c r="G16625" s="67" t="s">
        <v>671</v>
      </c>
      <c r="H16625" s="69">
        <v>113.03769502</v>
      </c>
    </row>
    <row r="16626" spans="6:8">
      <c r="F16626" s="68" t="s">
        <v>128</v>
      </c>
      <c r="G16626" s="67" t="s">
        <v>671</v>
      </c>
      <c r="H16626" s="69">
        <v>-0.84</v>
      </c>
    </row>
    <row r="16627" spans="6:8">
      <c r="F16627" s="68" t="s">
        <v>129</v>
      </c>
      <c r="G16627" s="67" t="s">
        <v>671</v>
      </c>
      <c r="H16627" s="69">
        <v>-0.73</v>
      </c>
    </row>
    <row r="16628" spans="6:8">
      <c r="F16628" s="68" t="s">
        <v>304</v>
      </c>
      <c r="G16628" s="67" t="s">
        <v>671</v>
      </c>
      <c r="H16628" s="69">
        <v>18.104166666666668</v>
      </c>
    </row>
    <row r="16629" spans="6:8">
      <c r="F16629" s="68" t="s">
        <v>254</v>
      </c>
      <c r="G16629" s="67" t="s">
        <v>671</v>
      </c>
      <c r="H16629" s="69">
        <v>0.61</v>
      </c>
    </row>
    <row r="16630" spans="6:8">
      <c r="F16630" s="68" t="s">
        <v>421</v>
      </c>
      <c r="G16630" s="67" t="s">
        <v>671</v>
      </c>
      <c r="H16630" s="69">
        <v>2.1264094730154781</v>
      </c>
    </row>
    <row r="16631" spans="6:8">
      <c r="F16631" s="68" t="s">
        <v>567</v>
      </c>
      <c r="G16631" s="67" t="s">
        <v>671</v>
      </c>
      <c r="H16631" s="69">
        <v>-0.7</v>
      </c>
    </row>
    <row r="16632" spans="6:8">
      <c r="F16632" s="68" t="s">
        <v>665</v>
      </c>
      <c r="G16632" s="67" t="s">
        <v>671</v>
      </c>
      <c r="H16632" s="69">
        <v>113.03769502</v>
      </c>
    </row>
    <row r="16633" spans="6:8">
      <c r="F16633" s="68" t="s">
        <v>130</v>
      </c>
      <c r="G16633" s="67" t="s">
        <v>671</v>
      </c>
      <c r="H16633" s="69">
        <v>-0.96</v>
      </c>
    </row>
    <row r="16634" spans="6:8">
      <c r="F16634" s="68" t="s">
        <v>131</v>
      </c>
      <c r="G16634" s="67" t="s">
        <v>671</v>
      </c>
      <c r="H16634" s="69">
        <v>-0.56999999999999995</v>
      </c>
    </row>
    <row r="16635" spans="6:8">
      <c r="F16635" s="68" t="s">
        <v>303</v>
      </c>
      <c r="G16635" s="67" t="s">
        <v>671</v>
      </c>
      <c r="H16635" s="69">
        <v>19.125</v>
      </c>
    </row>
    <row r="16636" spans="6:8">
      <c r="F16636" s="68" t="s">
        <v>255</v>
      </c>
      <c r="G16636" s="67" t="s">
        <v>671</v>
      </c>
      <c r="H16636" s="69">
        <v>0.77</v>
      </c>
    </row>
    <row r="16637" spans="6:8">
      <c r="F16637" s="68" t="s">
        <v>422</v>
      </c>
      <c r="G16637" s="67" t="s">
        <v>671</v>
      </c>
      <c r="H16637" s="69">
        <v>2.1326445258143867</v>
      </c>
    </row>
    <row r="16638" spans="6:8">
      <c r="F16638" s="68" t="s">
        <v>568</v>
      </c>
      <c r="G16638" s="67" t="s">
        <v>671</v>
      </c>
      <c r="H16638" s="69">
        <v>-0.36</v>
      </c>
    </row>
    <row r="16639" spans="6:8">
      <c r="F16639" s="68" t="s">
        <v>666</v>
      </c>
      <c r="G16639" s="67" t="s">
        <v>671</v>
      </c>
      <c r="H16639" s="69">
        <v>113.03754696999999</v>
      </c>
    </row>
    <row r="16640" spans="6:8">
      <c r="F16640" s="68" t="s">
        <v>132</v>
      </c>
      <c r="G16640" s="67" t="s">
        <v>671</v>
      </c>
      <c r="H16640" s="69">
        <v>-0.86</v>
      </c>
    </row>
    <row r="16641" spans="6:8">
      <c r="F16641" s="68" t="s">
        <v>133</v>
      </c>
      <c r="G16641" s="67" t="s">
        <v>671</v>
      </c>
      <c r="H16641" s="69">
        <v>-0.65</v>
      </c>
    </row>
    <row r="16642" spans="6:8">
      <c r="F16642" s="68" t="s">
        <v>256</v>
      </c>
      <c r="G16642" s="67" t="s">
        <v>671</v>
      </c>
      <c r="H16642" s="69">
        <v>0.87</v>
      </c>
    </row>
    <row r="16643" spans="6:8">
      <c r="F16643" s="68" t="s">
        <v>423</v>
      </c>
      <c r="G16643" s="67" t="s">
        <v>671</v>
      </c>
      <c r="H16643" s="69">
        <v>2.2282205858340287</v>
      </c>
    </row>
    <row r="16644" spans="6:8">
      <c r="F16644" s="68" t="s">
        <v>569</v>
      </c>
      <c r="G16644" s="67" t="s">
        <v>671</v>
      </c>
      <c r="H16644" s="69">
        <v>-0.17</v>
      </c>
    </row>
    <row r="16645" spans="6:8">
      <c r="F16645" s="68" t="s">
        <v>667</v>
      </c>
      <c r="G16645" s="67" t="s">
        <v>671</v>
      </c>
      <c r="H16645" s="69">
        <v>113.03791282</v>
      </c>
    </row>
    <row r="16646" spans="6:8">
      <c r="F16646" s="68" t="s">
        <v>424</v>
      </c>
      <c r="G16646" s="67" t="s">
        <v>671</v>
      </c>
      <c r="H16646" s="69">
        <v>2.8735981155338486</v>
      </c>
    </row>
    <row r="16647" spans="6:8">
      <c r="F16647" s="68" t="s">
        <v>668</v>
      </c>
      <c r="G16647" s="67" t="s">
        <v>671</v>
      </c>
      <c r="H16647" s="69">
        <v>113.03771351</v>
      </c>
    </row>
    <row r="16648" spans="6:8">
      <c r="F16648" s="68" t="s">
        <v>134</v>
      </c>
      <c r="G16648" s="67" t="s">
        <v>671</v>
      </c>
      <c r="H16648" s="69">
        <v>-0.82</v>
      </c>
    </row>
    <row r="16649" spans="6:8">
      <c r="F16649" s="68" t="s">
        <v>135</v>
      </c>
      <c r="G16649" s="67" t="s">
        <v>671</v>
      </c>
      <c r="H16649" s="69">
        <v>-0.81</v>
      </c>
    </row>
    <row r="16650" spans="6:8">
      <c r="F16650" s="68" t="s">
        <v>257</v>
      </c>
      <c r="G16650" s="67" t="s">
        <v>671</v>
      </c>
      <c r="H16650" s="69">
        <v>0.92</v>
      </c>
    </row>
    <row r="16651" spans="6:8">
      <c r="F16651" s="68" t="s">
        <v>258</v>
      </c>
      <c r="G16651" s="67" t="s">
        <v>671</v>
      </c>
      <c r="H16651" s="69">
        <v>0.15</v>
      </c>
    </row>
    <row r="16652" spans="6:8">
      <c r="F16652" s="68" t="s">
        <v>425</v>
      </c>
      <c r="G16652" s="67" t="s">
        <v>671</v>
      </c>
      <c r="H16652" s="69">
        <v>2.9048971561321135</v>
      </c>
    </row>
    <row r="16653" spans="6:8">
      <c r="F16653" s="68" t="s">
        <v>669</v>
      </c>
      <c r="G16653" s="67" t="s">
        <v>671</v>
      </c>
      <c r="H16653" s="69">
        <v>113.03793527000001</v>
      </c>
    </row>
    <row r="16654" spans="6:8">
      <c r="F16654" s="68" t="s">
        <v>136</v>
      </c>
      <c r="G16654" s="67" t="s">
        <v>671</v>
      </c>
      <c r="H16654" s="69">
        <v>-0.78</v>
      </c>
    </row>
    <row r="16655" spans="6:8">
      <c r="F16655" s="68" t="s">
        <v>137</v>
      </c>
      <c r="G16655" s="67" t="s">
        <v>671</v>
      </c>
      <c r="H16655" s="69">
        <v>-0.66</v>
      </c>
    </row>
    <row r="16656" spans="6:8">
      <c r="F16656" s="68" t="s">
        <v>138</v>
      </c>
      <c r="G16656" s="67" t="s">
        <v>671</v>
      </c>
      <c r="H16656" s="69">
        <v>-0.74</v>
      </c>
    </row>
    <row r="16657" spans="6:8">
      <c r="F16657" s="68" t="s">
        <v>259</v>
      </c>
      <c r="G16657" s="67" t="s">
        <v>671</v>
      </c>
      <c r="H16657" s="69">
        <v>0.16</v>
      </c>
    </row>
    <row r="16658" spans="6:8">
      <c r="F16658" s="68" t="s">
        <v>259</v>
      </c>
      <c r="G16658" s="67" t="s">
        <v>672</v>
      </c>
      <c r="H16658" s="69">
        <v>0.16</v>
      </c>
    </row>
    <row r="16659" spans="6:8">
      <c r="F16659" s="68" t="s">
        <v>138</v>
      </c>
      <c r="G16659" s="67" t="s">
        <v>672</v>
      </c>
      <c r="H16659" s="69">
        <v>-0.75</v>
      </c>
    </row>
    <row r="16660" spans="6:8">
      <c r="F16660" s="68" t="s">
        <v>137</v>
      </c>
      <c r="G16660" s="67" t="s">
        <v>672</v>
      </c>
      <c r="H16660" s="69">
        <v>-0.66</v>
      </c>
    </row>
    <row r="16661" spans="6:8">
      <c r="F16661" s="68" t="s">
        <v>136</v>
      </c>
      <c r="G16661" s="67" t="s">
        <v>672</v>
      </c>
      <c r="H16661" s="69">
        <v>-0.8</v>
      </c>
    </row>
    <row r="16662" spans="6:8">
      <c r="F16662" s="68" t="s">
        <v>669</v>
      </c>
      <c r="G16662" s="67" t="s">
        <v>672</v>
      </c>
      <c r="H16662" s="69">
        <v>113.11858874000001</v>
      </c>
    </row>
    <row r="16663" spans="6:8">
      <c r="F16663" s="68" t="s">
        <v>425</v>
      </c>
      <c r="G16663" s="67" t="s">
        <v>672</v>
      </c>
      <c r="H16663" s="69">
        <v>2.9146249887273434</v>
      </c>
    </row>
    <row r="16664" spans="6:8">
      <c r="F16664" s="68" t="s">
        <v>258</v>
      </c>
      <c r="G16664" s="67" t="s">
        <v>672</v>
      </c>
      <c r="H16664" s="69">
        <v>0.15</v>
      </c>
    </row>
    <row r="16665" spans="6:8">
      <c r="F16665" s="68" t="s">
        <v>257</v>
      </c>
      <c r="G16665" s="67" t="s">
        <v>672</v>
      </c>
      <c r="H16665" s="69">
        <v>0.91</v>
      </c>
    </row>
    <row r="16666" spans="6:8">
      <c r="F16666" s="68" t="s">
        <v>135</v>
      </c>
      <c r="G16666" s="67" t="s">
        <v>672</v>
      </c>
      <c r="H16666" s="69">
        <v>-0.81</v>
      </c>
    </row>
    <row r="16667" spans="6:8">
      <c r="F16667" s="68" t="s">
        <v>134</v>
      </c>
      <c r="G16667" s="67" t="s">
        <v>672</v>
      </c>
      <c r="H16667" s="69">
        <v>-0.83</v>
      </c>
    </row>
    <row r="16668" spans="6:8">
      <c r="F16668" s="68" t="s">
        <v>668</v>
      </c>
      <c r="G16668" s="67" t="s">
        <v>672</v>
      </c>
      <c r="H16668" s="69">
        <v>113.11836538</v>
      </c>
    </row>
    <row r="16669" spans="6:8">
      <c r="F16669" s="68" t="s">
        <v>424</v>
      </c>
      <c r="G16669" s="67" t="s">
        <v>672</v>
      </c>
      <c r="H16669" s="69">
        <v>2.8857547629249414</v>
      </c>
    </row>
    <row r="16670" spans="6:8">
      <c r="F16670" s="68" t="s">
        <v>667</v>
      </c>
      <c r="G16670" s="67" t="s">
        <v>672</v>
      </c>
      <c r="H16670" s="69">
        <v>113.11856613</v>
      </c>
    </row>
    <row r="16671" spans="6:8">
      <c r="F16671" s="68" t="s">
        <v>569</v>
      </c>
      <c r="G16671" s="67" t="s">
        <v>672</v>
      </c>
      <c r="H16671" s="69">
        <v>-0.18</v>
      </c>
    </row>
    <row r="16672" spans="6:8">
      <c r="F16672" s="68" t="s">
        <v>423</v>
      </c>
      <c r="G16672" s="67" t="s">
        <v>672</v>
      </c>
      <c r="H16672" s="69">
        <v>2.232510232176077</v>
      </c>
    </row>
    <row r="16673" spans="6:8">
      <c r="F16673" s="68" t="s">
        <v>256</v>
      </c>
      <c r="G16673" s="67" t="s">
        <v>672</v>
      </c>
      <c r="H16673" s="69">
        <v>0.86</v>
      </c>
    </row>
    <row r="16674" spans="6:8">
      <c r="F16674" s="68" t="s">
        <v>133</v>
      </c>
      <c r="G16674" s="67" t="s">
        <v>672</v>
      </c>
      <c r="H16674" s="69">
        <v>-0.65</v>
      </c>
    </row>
    <row r="16675" spans="6:8">
      <c r="F16675" s="68" t="s">
        <v>132</v>
      </c>
      <c r="G16675" s="67" t="s">
        <v>672</v>
      </c>
      <c r="H16675" s="69">
        <v>-0.87</v>
      </c>
    </row>
    <row r="16676" spans="6:8">
      <c r="F16676" s="68" t="s">
        <v>666</v>
      </c>
      <c r="G16676" s="67" t="s">
        <v>672</v>
      </c>
      <c r="H16676" s="69">
        <v>113.11819765</v>
      </c>
    </row>
    <row r="16677" spans="6:8">
      <c r="F16677" s="68" t="s">
        <v>568</v>
      </c>
      <c r="G16677" s="67" t="s">
        <v>672</v>
      </c>
      <c r="H16677" s="69">
        <v>-0.37</v>
      </c>
    </row>
    <row r="16678" spans="6:8">
      <c r="F16678" s="68" t="s">
        <v>422</v>
      </c>
      <c r="G16678" s="67" t="s">
        <v>672</v>
      </c>
      <c r="H16678" s="69">
        <v>2.1223883203770999</v>
      </c>
    </row>
    <row r="16679" spans="6:8">
      <c r="F16679" s="68" t="s">
        <v>255</v>
      </c>
      <c r="G16679" s="67" t="s">
        <v>672</v>
      </c>
      <c r="H16679" s="69">
        <v>0.76</v>
      </c>
    </row>
    <row r="16680" spans="6:8">
      <c r="F16680" s="68" t="s">
        <v>303</v>
      </c>
      <c r="G16680" s="67" t="s">
        <v>672</v>
      </c>
      <c r="H16680" s="69">
        <v>19.125</v>
      </c>
    </row>
    <row r="16681" spans="6:8">
      <c r="F16681" s="68" t="s">
        <v>131</v>
      </c>
      <c r="G16681" s="67" t="s">
        <v>672</v>
      </c>
      <c r="H16681" s="69">
        <v>-0.57999999999999996</v>
      </c>
    </row>
    <row r="16682" spans="6:8">
      <c r="F16682" s="68" t="s">
        <v>130</v>
      </c>
      <c r="G16682" s="67" t="s">
        <v>672</v>
      </c>
      <c r="H16682" s="69">
        <v>-0.97</v>
      </c>
    </row>
    <row r="16683" spans="6:8">
      <c r="F16683" s="68" t="s">
        <v>665</v>
      </c>
      <c r="G16683" s="67" t="s">
        <v>672</v>
      </c>
      <c r="H16683" s="69">
        <v>113.11834675999999</v>
      </c>
    </row>
    <row r="16684" spans="6:8">
      <c r="F16684" s="68" t="s">
        <v>567</v>
      </c>
      <c r="G16684" s="67" t="s">
        <v>672</v>
      </c>
      <c r="H16684" s="69">
        <v>-0.75</v>
      </c>
    </row>
    <row r="16685" spans="6:8">
      <c r="F16685" s="68" t="s">
        <v>421</v>
      </c>
      <c r="G16685" s="67" t="s">
        <v>672</v>
      </c>
      <c r="H16685" s="69">
        <v>2.1160164616519594</v>
      </c>
    </row>
    <row r="16686" spans="6:8">
      <c r="F16686" s="68" t="s">
        <v>254</v>
      </c>
      <c r="G16686" s="67" t="s">
        <v>672</v>
      </c>
      <c r="H16686" s="69">
        <v>0.6</v>
      </c>
    </row>
    <row r="16687" spans="6:8">
      <c r="F16687" s="68" t="s">
        <v>304</v>
      </c>
      <c r="G16687" s="67" t="s">
        <v>672</v>
      </c>
      <c r="H16687" s="69">
        <v>18.104166666666668</v>
      </c>
    </row>
    <row r="16688" spans="6:8">
      <c r="F16688" s="68" t="s">
        <v>129</v>
      </c>
      <c r="G16688" s="67" t="s">
        <v>672</v>
      </c>
      <c r="H16688" s="69">
        <v>-0.73</v>
      </c>
    </row>
    <row r="16689" spans="6:8">
      <c r="F16689" s="68" t="s">
        <v>128</v>
      </c>
      <c r="G16689" s="67" t="s">
        <v>672</v>
      </c>
      <c r="H16689" s="69">
        <v>-0.85</v>
      </c>
    </row>
    <row r="16690" spans="6:8">
      <c r="F16690" s="68" t="s">
        <v>664</v>
      </c>
      <c r="G16690" s="67" t="s">
        <v>672</v>
      </c>
      <c r="H16690" s="69">
        <v>113.11834675999999</v>
      </c>
    </row>
    <row r="16691" spans="6:8">
      <c r="F16691" s="68" t="s">
        <v>315</v>
      </c>
      <c r="G16691" s="67" t="s">
        <v>672</v>
      </c>
      <c r="H16691" s="69">
        <v>-0.19</v>
      </c>
    </row>
    <row r="16692" spans="6:8">
      <c r="F16692" s="68" t="s">
        <v>253</v>
      </c>
      <c r="G16692" s="67" t="s">
        <v>672</v>
      </c>
      <c r="H16692" s="69">
        <v>0.43</v>
      </c>
    </row>
    <row r="16693" spans="6:8">
      <c r="F16693" s="68" t="s">
        <v>127</v>
      </c>
      <c r="G16693" s="67" t="s">
        <v>672</v>
      </c>
      <c r="H16693" s="69">
        <v>-0.44</v>
      </c>
    </row>
    <row r="16694" spans="6:8">
      <c r="F16694" s="68" t="s">
        <v>126</v>
      </c>
      <c r="G16694" s="67" t="s">
        <v>672</v>
      </c>
      <c r="H16694" s="69">
        <v>-0.88</v>
      </c>
    </row>
    <row r="16695" spans="6:8">
      <c r="F16695" s="68" t="s">
        <v>125</v>
      </c>
      <c r="G16695" s="67" t="s">
        <v>672</v>
      </c>
      <c r="H16695" s="69">
        <v>-0.53</v>
      </c>
    </row>
    <row r="16696" spans="6:8">
      <c r="F16696" s="68" t="s">
        <v>663</v>
      </c>
      <c r="G16696" s="67" t="s">
        <v>672</v>
      </c>
      <c r="H16696" s="69">
        <v>113.11856016999999</v>
      </c>
    </row>
    <row r="16697" spans="6:8">
      <c r="F16697" s="68" t="s">
        <v>314</v>
      </c>
      <c r="G16697" s="67" t="s">
        <v>672</v>
      </c>
      <c r="H16697" s="69">
        <v>-0.41</v>
      </c>
    </row>
    <row r="16698" spans="6:8">
      <c r="F16698" s="68" t="s">
        <v>252</v>
      </c>
      <c r="G16698" s="67" t="s">
        <v>672</v>
      </c>
      <c r="H16698" s="69">
        <v>0.28000000000000003</v>
      </c>
    </row>
    <row r="16699" spans="6:8">
      <c r="F16699" s="68" t="s">
        <v>124</v>
      </c>
      <c r="G16699" s="67" t="s">
        <v>672</v>
      </c>
      <c r="H16699" s="69">
        <v>-0.51</v>
      </c>
    </row>
    <row r="16700" spans="6:8">
      <c r="F16700" s="68" t="s">
        <v>123</v>
      </c>
      <c r="G16700" s="67" t="s">
        <v>672</v>
      </c>
      <c r="H16700" s="69">
        <v>-0.96</v>
      </c>
    </row>
    <row r="16701" spans="6:8">
      <c r="F16701" s="68" t="s">
        <v>122</v>
      </c>
      <c r="G16701" s="67" t="s">
        <v>672</v>
      </c>
      <c r="H16701" s="69">
        <v>-0.65</v>
      </c>
    </row>
    <row r="16702" spans="6:8">
      <c r="F16702" s="68" t="s">
        <v>251</v>
      </c>
      <c r="G16702" s="67" t="s">
        <v>672</v>
      </c>
      <c r="H16702" s="69">
        <v>0.2</v>
      </c>
    </row>
    <row r="16703" spans="6:8">
      <c r="F16703" s="68" t="s">
        <v>121</v>
      </c>
      <c r="G16703" s="67" t="s">
        <v>672</v>
      </c>
      <c r="H16703" s="69">
        <v>-0.65</v>
      </c>
    </row>
    <row r="16704" spans="6:8">
      <c r="F16704" s="68" t="s">
        <v>120</v>
      </c>
      <c r="G16704" s="67" t="s">
        <v>672</v>
      </c>
      <c r="H16704" s="69">
        <v>-0.81</v>
      </c>
    </row>
    <row r="16705" spans="6:8">
      <c r="F16705" s="68" t="s">
        <v>119</v>
      </c>
      <c r="G16705" s="67" t="s">
        <v>672</v>
      </c>
      <c r="H16705" s="69">
        <v>-0.68</v>
      </c>
    </row>
    <row r="16706" spans="6:8">
      <c r="F16706" s="68" t="s">
        <v>662</v>
      </c>
      <c r="G16706" s="67" t="s">
        <v>672</v>
      </c>
      <c r="H16706" s="69">
        <v>113.11795726</v>
      </c>
    </row>
    <row r="16707" spans="6:8">
      <c r="F16707" s="68" t="s">
        <v>420</v>
      </c>
      <c r="G16707" s="67" t="s">
        <v>672</v>
      </c>
      <c r="H16707" s="69">
        <v>3.1723768258530516</v>
      </c>
    </row>
    <row r="16708" spans="6:8">
      <c r="F16708" s="68" t="s">
        <v>420</v>
      </c>
      <c r="G16708" s="67" t="s">
        <v>673</v>
      </c>
      <c r="H16708" s="69">
        <v>3.1600586197339187</v>
      </c>
    </row>
    <row r="16709" spans="6:8">
      <c r="F16709" s="68" t="s">
        <v>662</v>
      </c>
      <c r="G16709" s="67" t="s">
        <v>673</v>
      </c>
      <c r="H16709" s="69">
        <v>113.18855212</v>
      </c>
    </row>
    <row r="16710" spans="6:8">
      <c r="F16710" s="68" t="s">
        <v>119</v>
      </c>
      <c r="G16710" s="67" t="s">
        <v>673</v>
      </c>
      <c r="H16710" s="69">
        <v>-0.68</v>
      </c>
    </row>
    <row r="16711" spans="6:8">
      <c r="F16711" s="68" t="s">
        <v>120</v>
      </c>
      <c r="G16711" s="67" t="s">
        <v>673</v>
      </c>
      <c r="H16711" s="69">
        <v>-0.81</v>
      </c>
    </row>
    <row r="16712" spans="6:8">
      <c r="F16712" s="68" t="s">
        <v>121</v>
      </c>
      <c r="G16712" s="67" t="s">
        <v>673</v>
      </c>
      <c r="H16712" s="69">
        <v>-0.65</v>
      </c>
    </row>
    <row r="16713" spans="6:8">
      <c r="F16713" s="68" t="s">
        <v>251</v>
      </c>
      <c r="G16713" s="67" t="s">
        <v>673</v>
      </c>
      <c r="H16713" s="69">
        <v>0.2</v>
      </c>
    </row>
    <row r="16714" spans="6:8">
      <c r="F16714" s="68" t="s">
        <v>122</v>
      </c>
      <c r="G16714" s="67" t="s">
        <v>673</v>
      </c>
      <c r="H16714" s="69">
        <v>-0.65</v>
      </c>
    </row>
    <row r="16715" spans="6:8">
      <c r="F16715" s="68" t="s">
        <v>123</v>
      </c>
      <c r="G16715" s="67" t="s">
        <v>673</v>
      </c>
      <c r="H16715" s="69">
        <v>-0.96</v>
      </c>
    </row>
    <row r="16716" spans="6:8">
      <c r="F16716" s="68" t="s">
        <v>124</v>
      </c>
      <c r="G16716" s="67" t="s">
        <v>673</v>
      </c>
      <c r="H16716" s="69">
        <v>-0.51</v>
      </c>
    </row>
    <row r="16717" spans="6:8">
      <c r="F16717" s="68" t="s">
        <v>252</v>
      </c>
      <c r="G16717" s="67" t="s">
        <v>673</v>
      </c>
      <c r="H16717" s="69">
        <v>0.28000000000000003</v>
      </c>
    </row>
    <row r="16718" spans="6:8">
      <c r="F16718" s="68" t="s">
        <v>314</v>
      </c>
      <c r="G16718" s="67" t="s">
        <v>673</v>
      </c>
      <c r="H16718" s="69">
        <v>-0.41</v>
      </c>
    </row>
    <row r="16719" spans="6:8">
      <c r="F16719" s="68" t="s">
        <v>663</v>
      </c>
      <c r="G16719" s="67" t="s">
        <v>673</v>
      </c>
      <c r="H16719" s="69">
        <v>113.18916007</v>
      </c>
    </row>
    <row r="16720" spans="6:8">
      <c r="F16720" s="68" t="s">
        <v>125</v>
      </c>
      <c r="G16720" s="67" t="s">
        <v>673</v>
      </c>
      <c r="H16720" s="69">
        <v>-0.53</v>
      </c>
    </row>
    <row r="16721" spans="6:8">
      <c r="F16721" s="68" t="s">
        <v>126</v>
      </c>
      <c r="G16721" s="67" t="s">
        <v>673</v>
      </c>
      <c r="H16721" s="69">
        <v>-0.88</v>
      </c>
    </row>
    <row r="16722" spans="6:8">
      <c r="F16722" s="68" t="s">
        <v>127</v>
      </c>
      <c r="G16722" s="67" t="s">
        <v>673</v>
      </c>
      <c r="H16722" s="69">
        <v>-0.44</v>
      </c>
    </row>
    <row r="16723" spans="6:8">
      <c r="F16723" s="68" t="s">
        <v>253</v>
      </c>
      <c r="G16723" s="67" t="s">
        <v>673</v>
      </c>
      <c r="H16723" s="69">
        <v>0.43</v>
      </c>
    </row>
    <row r="16724" spans="6:8">
      <c r="F16724" s="68" t="s">
        <v>315</v>
      </c>
      <c r="G16724" s="67" t="s">
        <v>673</v>
      </c>
      <c r="H16724" s="69">
        <v>-0.19</v>
      </c>
    </row>
    <row r="16725" spans="6:8">
      <c r="F16725" s="68" t="s">
        <v>664</v>
      </c>
      <c r="G16725" s="67" t="s">
        <v>673</v>
      </c>
      <c r="H16725" s="69">
        <v>113.18894487999999</v>
      </c>
    </row>
    <row r="16726" spans="6:8">
      <c r="F16726" s="68" t="s">
        <v>128</v>
      </c>
      <c r="G16726" s="67" t="s">
        <v>673</v>
      </c>
      <c r="H16726" s="69">
        <v>-0.85</v>
      </c>
    </row>
    <row r="16727" spans="6:8">
      <c r="F16727" s="68" t="s">
        <v>129</v>
      </c>
      <c r="G16727" s="67" t="s">
        <v>673</v>
      </c>
      <c r="H16727" s="69">
        <v>-0.73</v>
      </c>
    </row>
    <row r="16728" spans="6:8">
      <c r="F16728" s="68" t="s">
        <v>304</v>
      </c>
      <c r="G16728" s="67" t="s">
        <v>673</v>
      </c>
      <c r="H16728" s="69">
        <v>18.083333333333332</v>
      </c>
    </row>
    <row r="16729" spans="6:8">
      <c r="F16729" s="68" t="s">
        <v>254</v>
      </c>
      <c r="G16729" s="67" t="s">
        <v>673</v>
      </c>
      <c r="H16729" s="69">
        <v>0.6</v>
      </c>
    </row>
    <row r="16730" spans="6:8">
      <c r="F16730" s="68" t="s">
        <v>421</v>
      </c>
      <c r="G16730" s="67" t="s">
        <v>673</v>
      </c>
      <c r="H16730" s="69">
        <v>2.0951344307931663</v>
      </c>
    </row>
    <row r="16731" spans="6:8">
      <c r="F16731" s="68" t="s">
        <v>567</v>
      </c>
      <c r="G16731" s="67" t="s">
        <v>673</v>
      </c>
      <c r="H16731" s="69">
        <v>-0.75</v>
      </c>
    </row>
    <row r="16732" spans="6:8">
      <c r="F16732" s="68" t="s">
        <v>665</v>
      </c>
      <c r="G16732" s="67" t="s">
        <v>673</v>
      </c>
      <c r="H16732" s="69">
        <v>113.18894487999999</v>
      </c>
    </row>
    <row r="16733" spans="6:8">
      <c r="F16733" s="68" t="s">
        <v>130</v>
      </c>
      <c r="G16733" s="67" t="s">
        <v>673</v>
      </c>
      <c r="H16733" s="69">
        <v>-0.97</v>
      </c>
    </row>
    <row r="16734" spans="6:8">
      <c r="F16734" s="68" t="s">
        <v>131</v>
      </c>
      <c r="G16734" s="67" t="s">
        <v>673</v>
      </c>
      <c r="H16734" s="69">
        <v>-0.57999999999999996</v>
      </c>
    </row>
    <row r="16735" spans="6:8">
      <c r="F16735" s="68" t="s">
        <v>303</v>
      </c>
      <c r="G16735" s="67" t="s">
        <v>673</v>
      </c>
      <c r="H16735" s="69">
        <v>19.104166666666668</v>
      </c>
    </row>
    <row r="16736" spans="6:8">
      <c r="F16736" s="68" t="s">
        <v>255</v>
      </c>
      <c r="G16736" s="67" t="s">
        <v>673</v>
      </c>
      <c r="H16736" s="69">
        <v>0.76</v>
      </c>
    </row>
    <row r="16737" spans="6:8">
      <c r="F16737" s="68" t="s">
        <v>422</v>
      </c>
      <c r="G16737" s="67" t="s">
        <v>673</v>
      </c>
      <c r="H16737" s="69">
        <v>2.101529416675918</v>
      </c>
    </row>
    <row r="16738" spans="6:8">
      <c r="F16738" s="68" t="s">
        <v>568</v>
      </c>
      <c r="G16738" s="67" t="s">
        <v>673</v>
      </c>
      <c r="H16738" s="69">
        <v>-0.37</v>
      </c>
    </row>
    <row r="16739" spans="6:8">
      <c r="F16739" s="68" t="s">
        <v>666</v>
      </c>
      <c r="G16739" s="67" t="s">
        <v>673</v>
      </c>
      <c r="H16739" s="69">
        <v>113.18879452</v>
      </c>
    </row>
    <row r="16740" spans="6:8">
      <c r="F16740" s="68" t="s">
        <v>132</v>
      </c>
      <c r="G16740" s="67" t="s">
        <v>673</v>
      </c>
      <c r="H16740" s="69">
        <v>-0.87</v>
      </c>
    </row>
    <row r="16741" spans="6:8">
      <c r="F16741" s="68" t="s">
        <v>133</v>
      </c>
      <c r="G16741" s="67" t="s">
        <v>673</v>
      </c>
      <c r="H16741" s="69">
        <v>-0.65</v>
      </c>
    </row>
    <row r="16742" spans="6:8">
      <c r="F16742" s="68" t="s">
        <v>256</v>
      </c>
      <c r="G16742" s="67" t="s">
        <v>673</v>
      </c>
      <c r="H16742" s="69">
        <v>0.86</v>
      </c>
    </row>
    <row r="16743" spans="6:8">
      <c r="F16743" s="68" t="s">
        <v>423</v>
      </c>
      <c r="G16743" s="67" t="s">
        <v>673</v>
      </c>
      <c r="H16743" s="69">
        <v>2.222050442435819</v>
      </c>
    </row>
    <row r="16744" spans="6:8">
      <c r="F16744" s="68" t="s">
        <v>569</v>
      </c>
      <c r="G16744" s="67" t="s">
        <v>673</v>
      </c>
      <c r="H16744" s="69">
        <v>-0.18</v>
      </c>
    </row>
    <row r="16745" spans="6:8">
      <c r="F16745" s="68" t="s">
        <v>667</v>
      </c>
      <c r="G16745" s="67" t="s">
        <v>673</v>
      </c>
      <c r="H16745" s="69">
        <v>113.18916608000001</v>
      </c>
    </row>
    <row r="16746" spans="6:8">
      <c r="F16746" s="68" t="s">
        <v>424</v>
      </c>
      <c r="G16746" s="67" t="s">
        <v>673</v>
      </c>
      <c r="H16746" s="69">
        <v>2.8657174137453723</v>
      </c>
    </row>
    <row r="16747" spans="6:8">
      <c r="F16747" s="68" t="s">
        <v>668</v>
      </c>
      <c r="G16747" s="67" t="s">
        <v>673</v>
      </c>
      <c r="H16747" s="69">
        <v>113.18896365000001</v>
      </c>
    </row>
    <row r="16748" spans="6:8">
      <c r="F16748" s="68" t="s">
        <v>134</v>
      </c>
      <c r="G16748" s="67" t="s">
        <v>673</v>
      </c>
      <c r="H16748" s="69">
        <v>-0.83</v>
      </c>
    </row>
    <row r="16749" spans="6:8">
      <c r="F16749" s="68" t="s">
        <v>135</v>
      </c>
      <c r="G16749" s="67" t="s">
        <v>673</v>
      </c>
      <c r="H16749" s="69">
        <v>-0.81</v>
      </c>
    </row>
    <row r="16750" spans="6:8">
      <c r="F16750" s="68" t="s">
        <v>257</v>
      </c>
      <c r="G16750" s="67" t="s">
        <v>673</v>
      </c>
      <c r="H16750" s="69">
        <v>0.91</v>
      </c>
    </row>
    <row r="16751" spans="6:8">
      <c r="F16751" s="68" t="s">
        <v>258</v>
      </c>
      <c r="G16751" s="67" t="s">
        <v>673</v>
      </c>
      <c r="H16751" s="69">
        <v>0.15</v>
      </c>
    </row>
    <row r="16752" spans="6:8">
      <c r="F16752" s="68" t="s">
        <v>425</v>
      </c>
      <c r="G16752" s="67" t="s">
        <v>673</v>
      </c>
      <c r="H16752" s="69">
        <v>2.8888597890917467</v>
      </c>
    </row>
    <row r="16753" spans="6:8">
      <c r="F16753" s="68" t="s">
        <v>669</v>
      </c>
      <c r="G16753" s="67" t="s">
        <v>673</v>
      </c>
      <c r="H16753" s="69">
        <v>113.18918888</v>
      </c>
    </row>
    <row r="16754" spans="6:8">
      <c r="F16754" s="68" t="s">
        <v>136</v>
      </c>
      <c r="G16754" s="67" t="s">
        <v>673</v>
      </c>
      <c r="H16754" s="69">
        <v>-0.8</v>
      </c>
    </row>
    <row r="16755" spans="6:8">
      <c r="F16755" s="68" t="s">
        <v>137</v>
      </c>
      <c r="G16755" s="67" t="s">
        <v>673</v>
      </c>
      <c r="H16755" s="69">
        <v>-0.66</v>
      </c>
    </row>
    <row r="16756" spans="6:8">
      <c r="F16756" s="68" t="s">
        <v>138</v>
      </c>
      <c r="G16756" s="67" t="s">
        <v>673</v>
      </c>
      <c r="H16756" s="69">
        <v>-0.75</v>
      </c>
    </row>
    <row r="16757" spans="6:8">
      <c r="F16757" s="68" t="s">
        <v>259</v>
      </c>
      <c r="G16757" s="67" t="s">
        <v>673</v>
      </c>
      <c r="H16757" s="69">
        <v>0.16</v>
      </c>
    </row>
    <row r="16758" spans="6:8">
      <c r="F16758" s="68" t="s">
        <v>259</v>
      </c>
      <c r="G16758" s="67" t="s">
        <v>674</v>
      </c>
      <c r="H16758" s="69">
        <v>0.16</v>
      </c>
    </row>
    <row r="16759" spans="6:8">
      <c r="F16759" s="68" t="s">
        <v>138</v>
      </c>
      <c r="G16759" s="67" t="s">
        <v>674</v>
      </c>
      <c r="H16759" s="69">
        <v>-0.75</v>
      </c>
    </row>
    <row r="16760" spans="6:8">
      <c r="F16760" s="68" t="s">
        <v>137</v>
      </c>
      <c r="G16760" s="67" t="s">
        <v>674</v>
      </c>
      <c r="H16760" s="69">
        <v>-0.66</v>
      </c>
    </row>
    <row r="16761" spans="6:8">
      <c r="F16761" s="68" t="s">
        <v>136</v>
      </c>
      <c r="G16761" s="67" t="s">
        <v>674</v>
      </c>
      <c r="H16761" s="69">
        <v>-0.8</v>
      </c>
    </row>
    <row r="16762" spans="6:8">
      <c r="F16762" s="68" t="s">
        <v>669</v>
      </c>
      <c r="G16762" s="67" t="s">
        <v>674</v>
      </c>
      <c r="H16762" s="69">
        <v>113.16667215</v>
      </c>
    </row>
    <row r="16763" spans="6:8">
      <c r="F16763" s="68" t="s">
        <v>425</v>
      </c>
      <c r="G16763" s="67" t="s">
        <v>674</v>
      </c>
      <c r="H16763" s="69">
        <v>2.9559926592011898</v>
      </c>
    </row>
    <row r="16764" spans="6:8">
      <c r="F16764" s="68" t="s">
        <v>258</v>
      </c>
      <c r="G16764" s="67" t="s">
        <v>674</v>
      </c>
      <c r="H16764" s="69">
        <v>0.15</v>
      </c>
    </row>
    <row r="16765" spans="6:8">
      <c r="F16765" s="68" t="s">
        <v>257</v>
      </c>
      <c r="G16765" s="67" t="s">
        <v>674</v>
      </c>
      <c r="H16765" s="69">
        <v>0.9</v>
      </c>
    </row>
    <row r="16766" spans="6:8">
      <c r="F16766" s="68" t="s">
        <v>135</v>
      </c>
      <c r="G16766" s="67" t="s">
        <v>674</v>
      </c>
      <c r="H16766" s="69">
        <v>-0.81</v>
      </c>
    </row>
    <row r="16767" spans="6:8">
      <c r="F16767" s="68" t="s">
        <v>134</v>
      </c>
      <c r="G16767" s="67" t="s">
        <v>674</v>
      </c>
      <c r="H16767" s="69">
        <v>-0.83</v>
      </c>
    </row>
    <row r="16768" spans="6:8">
      <c r="F16768" s="68" t="s">
        <v>668</v>
      </c>
      <c r="G16768" s="67" t="s">
        <v>674</v>
      </c>
      <c r="H16768" s="69">
        <v>113.16667215</v>
      </c>
    </row>
    <row r="16769" spans="6:8">
      <c r="F16769" s="68" t="s">
        <v>424</v>
      </c>
      <c r="G16769" s="67" t="s">
        <v>674</v>
      </c>
      <c r="H16769" s="69">
        <v>2.9350059460988565</v>
      </c>
    </row>
    <row r="16770" spans="6:8">
      <c r="F16770" s="68" t="s">
        <v>667</v>
      </c>
      <c r="G16770" s="67" t="s">
        <v>674</v>
      </c>
      <c r="H16770" s="69">
        <v>113.16667215</v>
      </c>
    </row>
    <row r="16771" spans="6:8">
      <c r="F16771" s="68" t="s">
        <v>569</v>
      </c>
      <c r="G16771" s="67" t="s">
        <v>674</v>
      </c>
      <c r="H16771" s="69">
        <v>-0.18</v>
      </c>
    </row>
    <row r="16772" spans="6:8">
      <c r="F16772" s="68" t="s">
        <v>423</v>
      </c>
      <c r="G16772" s="67" t="s">
        <v>674</v>
      </c>
      <c r="H16772" s="69">
        <v>2.2642831094366045</v>
      </c>
    </row>
    <row r="16773" spans="6:8">
      <c r="F16773" s="68" t="s">
        <v>256</v>
      </c>
      <c r="G16773" s="67" t="s">
        <v>674</v>
      </c>
      <c r="H16773" s="69">
        <v>0.85</v>
      </c>
    </row>
    <row r="16774" spans="6:8">
      <c r="F16774" s="68" t="s">
        <v>133</v>
      </c>
      <c r="G16774" s="67" t="s">
        <v>674</v>
      </c>
      <c r="H16774" s="69">
        <v>-0.65</v>
      </c>
    </row>
    <row r="16775" spans="6:8">
      <c r="F16775" s="68" t="s">
        <v>132</v>
      </c>
      <c r="G16775" s="67" t="s">
        <v>674</v>
      </c>
      <c r="H16775" s="69">
        <v>-0.87</v>
      </c>
    </row>
    <row r="16776" spans="6:8">
      <c r="F16776" s="68" t="s">
        <v>666</v>
      </c>
      <c r="G16776" s="67" t="s">
        <v>674</v>
      </c>
      <c r="H16776" s="69">
        <v>113.16667215</v>
      </c>
    </row>
    <row r="16777" spans="6:8">
      <c r="F16777" s="68" t="s">
        <v>568</v>
      </c>
      <c r="G16777" s="67" t="s">
        <v>674</v>
      </c>
      <c r="H16777" s="69">
        <v>-0.37</v>
      </c>
    </row>
    <row r="16778" spans="6:8">
      <c r="F16778" s="68" t="s">
        <v>422</v>
      </c>
      <c r="G16778" s="67" t="s">
        <v>674</v>
      </c>
      <c r="H16778" s="69">
        <v>2.1662988433538644</v>
      </c>
    </row>
    <row r="16779" spans="6:8">
      <c r="F16779" s="68" t="s">
        <v>255</v>
      </c>
      <c r="G16779" s="67" t="s">
        <v>674</v>
      </c>
      <c r="H16779" s="69">
        <v>0.75</v>
      </c>
    </row>
    <row r="16780" spans="6:8">
      <c r="F16780" s="68" t="s">
        <v>303</v>
      </c>
      <c r="G16780" s="67" t="s">
        <v>674</v>
      </c>
      <c r="H16780" s="69">
        <v>19.09375</v>
      </c>
    </row>
    <row r="16781" spans="6:8">
      <c r="F16781" s="68" t="s">
        <v>131</v>
      </c>
      <c r="G16781" s="67" t="s">
        <v>674</v>
      </c>
      <c r="H16781" s="69">
        <v>-0.57999999999999996</v>
      </c>
    </row>
    <row r="16782" spans="6:8">
      <c r="F16782" s="68" t="s">
        <v>130</v>
      </c>
      <c r="G16782" s="67" t="s">
        <v>674</v>
      </c>
      <c r="H16782" s="69">
        <v>-0.97</v>
      </c>
    </row>
    <row r="16783" spans="6:8">
      <c r="F16783" s="68" t="s">
        <v>665</v>
      </c>
      <c r="G16783" s="67" t="s">
        <v>674</v>
      </c>
      <c r="H16783" s="69">
        <v>113.16667215</v>
      </c>
    </row>
    <row r="16784" spans="6:8">
      <c r="F16784" s="68" t="s">
        <v>567</v>
      </c>
      <c r="G16784" s="67" t="s">
        <v>674</v>
      </c>
      <c r="H16784" s="69">
        <v>-0.75</v>
      </c>
    </row>
    <row r="16785" spans="6:8">
      <c r="F16785" s="68" t="s">
        <v>421</v>
      </c>
      <c r="G16785" s="67" t="s">
        <v>674</v>
      </c>
      <c r="H16785" s="69">
        <v>2.1599441477825554</v>
      </c>
    </row>
    <row r="16786" spans="6:8">
      <c r="F16786" s="68" t="s">
        <v>254</v>
      </c>
      <c r="G16786" s="67" t="s">
        <v>674</v>
      </c>
      <c r="H16786" s="69">
        <v>0.6</v>
      </c>
    </row>
    <row r="16787" spans="6:8">
      <c r="F16787" s="68" t="s">
        <v>304</v>
      </c>
      <c r="G16787" s="67" t="s">
        <v>674</v>
      </c>
      <c r="H16787" s="69">
        <v>18.072916666666668</v>
      </c>
    </row>
    <row r="16788" spans="6:8">
      <c r="F16788" s="68" t="s">
        <v>129</v>
      </c>
      <c r="G16788" s="67" t="s">
        <v>674</v>
      </c>
      <c r="H16788" s="69">
        <v>-0.73</v>
      </c>
    </row>
    <row r="16789" spans="6:8">
      <c r="F16789" s="68" t="s">
        <v>128</v>
      </c>
      <c r="G16789" s="67" t="s">
        <v>674</v>
      </c>
      <c r="H16789" s="69">
        <v>-0.85</v>
      </c>
    </row>
    <row r="16790" spans="6:8">
      <c r="F16790" s="68" t="s">
        <v>664</v>
      </c>
      <c r="G16790" s="67" t="s">
        <v>674</v>
      </c>
      <c r="H16790" s="69">
        <v>113.16667215</v>
      </c>
    </row>
    <row r="16791" spans="6:8">
      <c r="F16791" s="68" t="s">
        <v>315</v>
      </c>
      <c r="G16791" s="67" t="s">
        <v>674</v>
      </c>
      <c r="H16791" s="69">
        <v>-0.19</v>
      </c>
    </row>
    <row r="16792" spans="6:8">
      <c r="F16792" s="68" t="s">
        <v>253</v>
      </c>
      <c r="G16792" s="67" t="s">
        <v>674</v>
      </c>
      <c r="H16792" s="69">
        <v>0.44</v>
      </c>
    </row>
    <row r="16793" spans="6:8">
      <c r="F16793" s="68" t="s">
        <v>127</v>
      </c>
      <c r="G16793" s="67" t="s">
        <v>674</v>
      </c>
      <c r="H16793" s="69">
        <v>-0.44</v>
      </c>
    </row>
    <row r="16794" spans="6:8">
      <c r="F16794" s="68" t="s">
        <v>126</v>
      </c>
      <c r="G16794" s="67" t="s">
        <v>674</v>
      </c>
      <c r="H16794" s="69">
        <v>-0.88</v>
      </c>
    </row>
    <row r="16795" spans="6:8">
      <c r="F16795" s="68" t="s">
        <v>125</v>
      </c>
      <c r="G16795" s="67" t="s">
        <v>674</v>
      </c>
      <c r="H16795" s="69">
        <v>-0.53</v>
      </c>
    </row>
    <row r="16796" spans="6:8">
      <c r="F16796" s="68" t="s">
        <v>663</v>
      </c>
      <c r="G16796" s="67" t="s">
        <v>674</v>
      </c>
      <c r="H16796" s="69">
        <v>113.16667215</v>
      </c>
    </row>
    <row r="16797" spans="6:8">
      <c r="F16797" s="68" t="s">
        <v>314</v>
      </c>
      <c r="G16797" s="67" t="s">
        <v>674</v>
      </c>
      <c r="H16797" s="69">
        <v>-0.41</v>
      </c>
    </row>
    <row r="16798" spans="6:8">
      <c r="F16798" s="68" t="s">
        <v>252</v>
      </c>
      <c r="G16798" s="67" t="s">
        <v>674</v>
      </c>
      <c r="H16798" s="69">
        <v>0.28000000000000003</v>
      </c>
    </row>
    <row r="16799" spans="6:8">
      <c r="F16799" s="68" t="s">
        <v>124</v>
      </c>
      <c r="G16799" s="67" t="s">
        <v>674</v>
      </c>
      <c r="H16799" s="69">
        <v>-0.51</v>
      </c>
    </row>
    <row r="16800" spans="6:8">
      <c r="F16800" s="68" t="s">
        <v>123</v>
      </c>
      <c r="G16800" s="67" t="s">
        <v>674</v>
      </c>
      <c r="H16800" s="69">
        <v>-0.96</v>
      </c>
    </row>
    <row r="16801" spans="6:8">
      <c r="F16801" s="68" t="s">
        <v>122</v>
      </c>
      <c r="G16801" s="67" t="s">
        <v>674</v>
      </c>
      <c r="H16801" s="69">
        <v>-0.65</v>
      </c>
    </row>
    <row r="16802" spans="6:8">
      <c r="F16802" s="68" t="s">
        <v>251</v>
      </c>
      <c r="G16802" s="67" t="s">
        <v>674</v>
      </c>
      <c r="H16802" s="69">
        <v>0.21</v>
      </c>
    </row>
    <row r="16803" spans="6:8">
      <c r="F16803" s="68" t="s">
        <v>121</v>
      </c>
      <c r="G16803" s="67" t="s">
        <v>674</v>
      </c>
      <c r="H16803" s="69">
        <v>-0.65</v>
      </c>
    </row>
    <row r="16804" spans="6:8">
      <c r="F16804" s="68" t="s">
        <v>120</v>
      </c>
      <c r="G16804" s="67" t="s">
        <v>674</v>
      </c>
      <c r="H16804" s="69">
        <v>-0.81</v>
      </c>
    </row>
    <row r="16805" spans="6:8">
      <c r="F16805" s="68" t="s">
        <v>119</v>
      </c>
      <c r="G16805" s="67" t="s">
        <v>674</v>
      </c>
      <c r="H16805" s="69">
        <v>-0.68</v>
      </c>
    </row>
    <row r="16806" spans="6:8">
      <c r="F16806" s="68" t="s">
        <v>662</v>
      </c>
      <c r="G16806" s="67" t="s">
        <v>674</v>
      </c>
      <c r="H16806" s="69">
        <v>113.16667215</v>
      </c>
    </row>
    <row r="16807" spans="6:8">
      <c r="F16807" s="68" t="s">
        <v>420</v>
      </c>
      <c r="G16807" s="67" t="s">
        <v>674</v>
      </c>
      <c r="H16807" s="69">
        <v>3.2107808202983978</v>
      </c>
    </row>
    <row r="16808" spans="6:8">
      <c r="F16808" s="68" t="s">
        <v>420</v>
      </c>
      <c r="G16808" s="67" t="s">
        <v>675</v>
      </c>
      <c r="H16808" s="69">
        <v>3.2580485747014887</v>
      </c>
    </row>
    <row r="16809" spans="6:8">
      <c r="F16809" s="68" t="s">
        <v>662</v>
      </c>
      <c r="G16809" s="67" t="s">
        <v>675</v>
      </c>
      <c r="H16809" s="69">
        <v>112.93512592</v>
      </c>
    </row>
    <row r="16810" spans="6:8">
      <c r="F16810" s="68" t="s">
        <v>119</v>
      </c>
      <c r="G16810" s="67" t="s">
        <v>675</v>
      </c>
      <c r="H16810" s="69">
        <v>-0.68</v>
      </c>
    </row>
    <row r="16811" spans="6:8">
      <c r="F16811" s="68" t="s">
        <v>120</v>
      </c>
      <c r="G16811" s="67" t="s">
        <v>675</v>
      </c>
      <c r="H16811" s="69">
        <v>-0.81</v>
      </c>
    </row>
    <row r="16812" spans="6:8">
      <c r="F16812" s="68" t="s">
        <v>121</v>
      </c>
      <c r="G16812" s="67" t="s">
        <v>675</v>
      </c>
      <c r="H16812" s="69">
        <v>-0.65</v>
      </c>
    </row>
    <row r="16813" spans="6:8">
      <c r="F16813" s="68" t="s">
        <v>251</v>
      </c>
      <c r="G16813" s="67" t="s">
        <v>675</v>
      </c>
      <c r="H16813" s="69">
        <v>0.21</v>
      </c>
    </row>
    <row r="16814" spans="6:8">
      <c r="F16814" s="68" t="s">
        <v>122</v>
      </c>
      <c r="G16814" s="67" t="s">
        <v>675</v>
      </c>
      <c r="H16814" s="69">
        <v>-0.65</v>
      </c>
    </row>
    <row r="16815" spans="6:8">
      <c r="F16815" s="68" t="s">
        <v>123</v>
      </c>
      <c r="G16815" s="67" t="s">
        <v>675</v>
      </c>
      <c r="H16815" s="69">
        <v>-0.96</v>
      </c>
    </row>
    <row r="16816" spans="6:8">
      <c r="F16816" s="68" t="s">
        <v>124</v>
      </c>
      <c r="G16816" s="67" t="s">
        <v>675</v>
      </c>
      <c r="H16816" s="69">
        <v>-0.51</v>
      </c>
    </row>
    <row r="16817" spans="6:8">
      <c r="F16817" s="68" t="s">
        <v>252</v>
      </c>
      <c r="G16817" s="67" t="s">
        <v>675</v>
      </c>
      <c r="H16817" s="69">
        <v>0.28000000000000003</v>
      </c>
    </row>
    <row r="16818" spans="6:8">
      <c r="F16818" s="68" t="s">
        <v>314</v>
      </c>
      <c r="G16818" s="67" t="s">
        <v>675</v>
      </c>
      <c r="H16818" s="69">
        <v>-0.41</v>
      </c>
    </row>
    <row r="16819" spans="6:8">
      <c r="F16819" s="68" t="s">
        <v>663</v>
      </c>
      <c r="G16819" s="67" t="s">
        <v>675</v>
      </c>
      <c r="H16819" s="69">
        <v>112.93512592</v>
      </c>
    </row>
    <row r="16820" spans="6:8">
      <c r="F16820" s="68" t="s">
        <v>125</v>
      </c>
      <c r="G16820" s="67" t="s">
        <v>675</v>
      </c>
      <c r="H16820" s="69">
        <v>-0.53</v>
      </c>
    </row>
    <row r="16821" spans="6:8">
      <c r="F16821" s="68" t="s">
        <v>126</v>
      </c>
      <c r="G16821" s="67" t="s">
        <v>675</v>
      </c>
      <c r="H16821" s="69">
        <v>-0.88</v>
      </c>
    </row>
    <row r="16822" spans="6:8">
      <c r="F16822" s="68" t="s">
        <v>127</v>
      </c>
      <c r="G16822" s="67" t="s">
        <v>675</v>
      </c>
      <c r="H16822" s="69">
        <v>-0.44</v>
      </c>
    </row>
    <row r="16823" spans="6:8">
      <c r="F16823" s="68" t="s">
        <v>253</v>
      </c>
      <c r="G16823" s="67" t="s">
        <v>675</v>
      </c>
      <c r="H16823" s="69">
        <v>0.44</v>
      </c>
    </row>
    <row r="16824" spans="6:8">
      <c r="F16824" s="68" t="s">
        <v>315</v>
      </c>
      <c r="G16824" s="67" t="s">
        <v>675</v>
      </c>
      <c r="H16824" s="69">
        <v>-0.19</v>
      </c>
    </row>
    <row r="16825" spans="6:8">
      <c r="F16825" s="68" t="s">
        <v>664</v>
      </c>
      <c r="G16825" s="67" t="s">
        <v>675</v>
      </c>
      <c r="H16825" s="69">
        <v>112.93512592</v>
      </c>
    </row>
    <row r="16826" spans="6:8">
      <c r="F16826" s="68" t="s">
        <v>128</v>
      </c>
      <c r="G16826" s="67" t="s">
        <v>675</v>
      </c>
      <c r="H16826" s="69">
        <v>-0.85</v>
      </c>
    </row>
    <row r="16827" spans="6:8">
      <c r="F16827" s="68" t="s">
        <v>129</v>
      </c>
      <c r="G16827" s="67" t="s">
        <v>675</v>
      </c>
      <c r="H16827" s="69">
        <v>-0.73</v>
      </c>
    </row>
    <row r="16828" spans="6:8">
      <c r="F16828" s="68" t="s">
        <v>304</v>
      </c>
      <c r="G16828" s="67" t="s">
        <v>675</v>
      </c>
      <c r="H16828" s="69">
        <v>18.072916666666668</v>
      </c>
    </row>
    <row r="16829" spans="6:8">
      <c r="F16829" s="68" t="s">
        <v>254</v>
      </c>
      <c r="G16829" s="67" t="s">
        <v>675</v>
      </c>
      <c r="H16829" s="69">
        <v>0.6</v>
      </c>
    </row>
    <row r="16830" spans="6:8">
      <c r="F16830" s="68" t="s">
        <v>421</v>
      </c>
      <c r="G16830" s="67" t="s">
        <v>675</v>
      </c>
      <c r="H16830" s="69">
        <v>2.1974474420070944</v>
      </c>
    </row>
    <row r="16831" spans="6:8">
      <c r="F16831" s="68" t="s">
        <v>567</v>
      </c>
      <c r="G16831" s="67" t="s">
        <v>675</v>
      </c>
      <c r="H16831" s="69">
        <v>-0.75</v>
      </c>
    </row>
    <row r="16832" spans="6:8">
      <c r="F16832" s="68" t="s">
        <v>665</v>
      </c>
      <c r="G16832" s="67" t="s">
        <v>675</v>
      </c>
      <c r="H16832" s="69">
        <v>112.93512592</v>
      </c>
    </row>
    <row r="16833" spans="6:8">
      <c r="F16833" s="68" t="s">
        <v>130</v>
      </c>
      <c r="G16833" s="67" t="s">
        <v>675</v>
      </c>
      <c r="H16833" s="69">
        <v>-0.97</v>
      </c>
    </row>
    <row r="16834" spans="6:8">
      <c r="F16834" s="68" t="s">
        <v>131</v>
      </c>
      <c r="G16834" s="67" t="s">
        <v>675</v>
      </c>
      <c r="H16834" s="69">
        <v>-0.57999999999999996</v>
      </c>
    </row>
    <row r="16835" spans="6:8">
      <c r="F16835" s="68" t="s">
        <v>303</v>
      </c>
      <c r="G16835" s="67" t="s">
        <v>675</v>
      </c>
      <c r="H16835" s="69">
        <v>19.09375</v>
      </c>
    </row>
    <row r="16836" spans="6:8">
      <c r="F16836" s="68" t="s">
        <v>255</v>
      </c>
      <c r="G16836" s="67" t="s">
        <v>675</v>
      </c>
      <c r="H16836" s="69">
        <v>0.75</v>
      </c>
    </row>
    <row r="16837" spans="6:8">
      <c r="F16837" s="68" t="s">
        <v>422</v>
      </c>
      <c r="G16837" s="67" t="s">
        <v>675</v>
      </c>
      <c r="H16837" s="69">
        <v>2.2038917391157042</v>
      </c>
    </row>
    <row r="16838" spans="6:8">
      <c r="F16838" s="68" t="s">
        <v>568</v>
      </c>
      <c r="G16838" s="67" t="s">
        <v>675</v>
      </c>
      <c r="H16838" s="69">
        <v>-0.37</v>
      </c>
    </row>
    <row r="16839" spans="6:8">
      <c r="F16839" s="68" t="s">
        <v>666</v>
      </c>
      <c r="G16839" s="67" t="s">
        <v>675</v>
      </c>
      <c r="H16839" s="69">
        <v>112.93512592</v>
      </c>
    </row>
    <row r="16840" spans="6:8">
      <c r="F16840" s="68" t="s">
        <v>132</v>
      </c>
      <c r="G16840" s="67" t="s">
        <v>675</v>
      </c>
      <c r="H16840" s="69">
        <v>-0.87</v>
      </c>
    </row>
    <row r="16841" spans="6:8">
      <c r="F16841" s="68" t="s">
        <v>133</v>
      </c>
      <c r="G16841" s="67" t="s">
        <v>675</v>
      </c>
      <c r="H16841" s="69">
        <v>-0.65</v>
      </c>
    </row>
    <row r="16842" spans="6:8">
      <c r="F16842" s="68" t="s">
        <v>256</v>
      </c>
      <c r="G16842" s="67" t="s">
        <v>675</v>
      </c>
      <c r="H16842" s="69">
        <v>0.85</v>
      </c>
    </row>
    <row r="16843" spans="6:8">
      <c r="F16843" s="68" t="s">
        <v>423</v>
      </c>
      <c r="G16843" s="67" t="s">
        <v>675</v>
      </c>
      <c r="H16843" s="69">
        <v>2.3048804825196001</v>
      </c>
    </row>
    <row r="16844" spans="6:8">
      <c r="F16844" s="68" t="s">
        <v>569</v>
      </c>
      <c r="G16844" s="67" t="s">
        <v>675</v>
      </c>
      <c r="H16844" s="69">
        <v>-0.18</v>
      </c>
    </row>
    <row r="16845" spans="6:8">
      <c r="F16845" s="68" t="s">
        <v>667</v>
      </c>
      <c r="G16845" s="67" t="s">
        <v>675</v>
      </c>
      <c r="H16845" s="69">
        <v>112.93512592</v>
      </c>
    </row>
    <row r="16846" spans="6:8">
      <c r="F16846" s="68" t="s">
        <v>424</v>
      </c>
      <c r="G16846" s="67" t="s">
        <v>675</v>
      </c>
      <c r="H16846" s="69">
        <v>2.9865137563909183</v>
      </c>
    </row>
    <row r="16847" spans="6:8">
      <c r="F16847" s="68" t="s">
        <v>668</v>
      </c>
      <c r="G16847" s="67" t="s">
        <v>675</v>
      </c>
      <c r="H16847" s="69">
        <v>112.93512592</v>
      </c>
    </row>
    <row r="16848" spans="6:8">
      <c r="F16848" s="68" t="s">
        <v>134</v>
      </c>
      <c r="G16848" s="67" t="s">
        <v>675</v>
      </c>
      <c r="H16848" s="69">
        <v>-0.83</v>
      </c>
    </row>
    <row r="16849" spans="6:8">
      <c r="F16849" s="68" t="s">
        <v>135</v>
      </c>
      <c r="G16849" s="67" t="s">
        <v>675</v>
      </c>
      <c r="H16849" s="69">
        <v>-0.81</v>
      </c>
    </row>
    <row r="16850" spans="6:8">
      <c r="F16850" s="68" t="s">
        <v>257</v>
      </c>
      <c r="G16850" s="67" t="s">
        <v>675</v>
      </c>
      <c r="H16850" s="69">
        <v>0.9</v>
      </c>
    </row>
    <row r="16851" spans="6:8">
      <c r="F16851" s="68" t="s">
        <v>258</v>
      </c>
      <c r="G16851" s="67" t="s">
        <v>675</v>
      </c>
      <c r="H16851" s="69">
        <v>0.15</v>
      </c>
    </row>
    <row r="16852" spans="6:8">
      <c r="F16852" s="68" t="s">
        <v>425</v>
      </c>
      <c r="G16852" s="67" t="s">
        <v>675</v>
      </c>
      <c r="H16852" s="69">
        <v>3.0069375199464954</v>
      </c>
    </row>
    <row r="16853" spans="6:8">
      <c r="F16853" s="68" t="s">
        <v>669</v>
      </c>
      <c r="G16853" s="67" t="s">
        <v>675</v>
      </c>
      <c r="H16853" s="69">
        <v>112.93512592</v>
      </c>
    </row>
    <row r="16854" spans="6:8">
      <c r="F16854" s="68" t="s">
        <v>136</v>
      </c>
      <c r="G16854" s="67" t="s">
        <v>675</v>
      </c>
      <c r="H16854" s="69">
        <v>-0.8</v>
      </c>
    </row>
    <row r="16855" spans="6:8">
      <c r="F16855" s="68" t="s">
        <v>137</v>
      </c>
      <c r="G16855" s="67" t="s">
        <v>675</v>
      </c>
      <c r="H16855" s="69">
        <v>-0.66</v>
      </c>
    </row>
    <row r="16856" spans="6:8">
      <c r="F16856" s="68" t="s">
        <v>138</v>
      </c>
      <c r="G16856" s="67" t="s">
        <v>675</v>
      </c>
      <c r="H16856" s="69">
        <v>-0.75</v>
      </c>
    </row>
    <row r="16857" spans="6:8">
      <c r="F16857" s="68" t="s">
        <v>259</v>
      </c>
      <c r="G16857" s="67" t="s">
        <v>675</v>
      </c>
      <c r="H16857" s="69">
        <v>0.16</v>
      </c>
    </row>
    <row r="16858" spans="6:8">
      <c r="F16858" s="68" t="s">
        <v>259</v>
      </c>
      <c r="G16858" s="67" t="s">
        <v>676</v>
      </c>
      <c r="H16858" s="69">
        <v>0.16</v>
      </c>
    </row>
    <row r="16859" spans="6:8">
      <c r="F16859" s="68" t="s">
        <v>138</v>
      </c>
      <c r="G16859" s="67" t="s">
        <v>676</v>
      </c>
      <c r="H16859" s="69">
        <v>-0.75</v>
      </c>
    </row>
    <row r="16860" spans="6:8">
      <c r="F16860" s="68" t="s">
        <v>137</v>
      </c>
      <c r="G16860" s="67" t="s">
        <v>676</v>
      </c>
      <c r="H16860" s="69">
        <v>-0.66</v>
      </c>
    </row>
    <row r="16861" spans="6:8">
      <c r="F16861" s="68" t="s">
        <v>136</v>
      </c>
      <c r="G16861" s="67" t="s">
        <v>676</v>
      </c>
      <c r="H16861" s="69">
        <v>-0.8</v>
      </c>
    </row>
    <row r="16862" spans="6:8">
      <c r="F16862" s="68" t="s">
        <v>669</v>
      </c>
      <c r="G16862" s="67" t="s">
        <v>676</v>
      </c>
      <c r="H16862" s="69">
        <v>112.81293923</v>
      </c>
    </row>
    <row r="16863" spans="6:8">
      <c r="F16863" s="68" t="s">
        <v>425</v>
      </c>
      <c r="G16863" s="67" t="s">
        <v>676</v>
      </c>
      <c r="H16863" s="69">
        <v>3.0333072846534748</v>
      </c>
    </row>
    <row r="16864" spans="6:8">
      <c r="F16864" s="68" t="s">
        <v>258</v>
      </c>
      <c r="G16864" s="67" t="s">
        <v>676</v>
      </c>
      <c r="H16864" s="69">
        <v>0.15</v>
      </c>
    </row>
    <row r="16865" spans="6:8">
      <c r="F16865" s="68" t="s">
        <v>257</v>
      </c>
      <c r="G16865" s="67" t="s">
        <v>676</v>
      </c>
      <c r="H16865" s="69">
        <v>0.9</v>
      </c>
    </row>
    <row r="16866" spans="6:8">
      <c r="F16866" s="68" t="s">
        <v>135</v>
      </c>
      <c r="G16866" s="67" t="s">
        <v>676</v>
      </c>
      <c r="H16866" s="69">
        <v>-0.81</v>
      </c>
    </row>
    <row r="16867" spans="6:8">
      <c r="F16867" s="68" t="s">
        <v>134</v>
      </c>
      <c r="G16867" s="67" t="s">
        <v>676</v>
      </c>
      <c r="H16867" s="69">
        <v>-0.83</v>
      </c>
    </row>
    <row r="16868" spans="6:8">
      <c r="F16868" s="68" t="s">
        <v>668</v>
      </c>
      <c r="G16868" s="67" t="s">
        <v>676</v>
      </c>
      <c r="H16868" s="69">
        <v>112.81293923</v>
      </c>
    </row>
    <row r="16869" spans="6:8">
      <c r="F16869" s="68" t="s">
        <v>424</v>
      </c>
      <c r="G16869" s="67" t="s">
        <v>676</v>
      </c>
      <c r="H16869" s="69">
        <v>3.0144628143037089</v>
      </c>
    </row>
    <row r="16870" spans="6:8">
      <c r="F16870" s="68" t="s">
        <v>667</v>
      </c>
      <c r="G16870" s="67" t="s">
        <v>676</v>
      </c>
      <c r="H16870" s="69">
        <v>112.81293923</v>
      </c>
    </row>
    <row r="16871" spans="6:8">
      <c r="F16871" s="68" t="s">
        <v>569</v>
      </c>
      <c r="G16871" s="67" t="s">
        <v>676</v>
      </c>
      <c r="H16871" s="69">
        <v>-0.18</v>
      </c>
    </row>
    <row r="16872" spans="6:8">
      <c r="F16872" s="68" t="s">
        <v>423</v>
      </c>
      <c r="G16872" s="67" t="s">
        <v>676</v>
      </c>
      <c r="H16872" s="69">
        <v>2.3331997071113442</v>
      </c>
    </row>
    <row r="16873" spans="6:8">
      <c r="F16873" s="68" t="s">
        <v>256</v>
      </c>
      <c r="G16873" s="67" t="s">
        <v>676</v>
      </c>
      <c r="H16873" s="69">
        <v>0.85</v>
      </c>
    </row>
    <row r="16874" spans="6:8">
      <c r="F16874" s="68" t="s">
        <v>133</v>
      </c>
      <c r="G16874" s="67" t="s">
        <v>676</v>
      </c>
      <c r="H16874" s="69">
        <v>-0.65</v>
      </c>
    </row>
    <row r="16875" spans="6:8">
      <c r="F16875" s="68" t="s">
        <v>132</v>
      </c>
      <c r="G16875" s="67" t="s">
        <v>676</v>
      </c>
      <c r="H16875" s="69">
        <v>-0.87</v>
      </c>
    </row>
    <row r="16876" spans="6:8">
      <c r="F16876" s="68" t="s">
        <v>666</v>
      </c>
      <c r="G16876" s="67" t="s">
        <v>676</v>
      </c>
      <c r="H16876" s="69">
        <v>112.81293923</v>
      </c>
    </row>
    <row r="16877" spans="6:8">
      <c r="F16877" s="68" t="s">
        <v>568</v>
      </c>
      <c r="G16877" s="67" t="s">
        <v>676</v>
      </c>
      <c r="H16877" s="69">
        <v>-0.37</v>
      </c>
    </row>
    <row r="16878" spans="6:8">
      <c r="F16878" s="68" t="s">
        <v>422</v>
      </c>
      <c r="G16878" s="67" t="s">
        <v>676</v>
      </c>
      <c r="H16878" s="69">
        <v>2.2602583199922144</v>
      </c>
    </row>
    <row r="16879" spans="6:8">
      <c r="F16879" s="68" t="s">
        <v>255</v>
      </c>
      <c r="G16879" s="67" t="s">
        <v>676</v>
      </c>
      <c r="H16879" s="69">
        <v>0.75</v>
      </c>
    </row>
    <row r="16880" spans="6:8">
      <c r="F16880" s="68" t="s">
        <v>303</v>
      </c>
      <c r="G16880" s="67" t="s">
        <v>676</v>
      </c>
      <c r="H16880" s="69">
        <v>19.03125</v>
      </c>
    </row>
    <row r="16881" spans="6:8">
      <c r="F16881" s="68" t="s">
        <v>131</v>
      </c>
      <c r="G16881" s="67" t="s">
        <v>676</v>
      </c>
      <c r="H16881" s="69">
        <v>-0.57999999999999996</v>
      </c>
    </row>
    <row r="16882" spans="6:8">
      <c r="F16882" s="68" t="s">
        <v>130</v>
      </c>
      <c r="G16882" s="67" t="s">
        <v>676</v>
      </c>
      <c r="H16882" s="69">
        <v>-0.97</v>
      </c>
    </row>
    <row r="16883" spans="6:8">
      <c r="F16883" s="68" t="s">
        <v>665</v>
      </c>
      <c r="G16883" s="67" t="s">
        <v>676</v>
      </c>
      <c r="H16883" s="69">
        <v>112.81293923</v>
      </c>
    </row>
    <row r="16884" spans="6:8">
      <c r="F16884" s="68" t="s">
        <v>567</v>
      </c>
      <c r="G16884" s="67" t="s">
        <v>676</v>
      </c>
      <c r="H16884" s="69">
        <v>-0.75</v>
      </c>
    </row>
    <row r="16885" spans="6:8">
      <c r="F16885" s="68" t="s">
        <v>421</v>
      </c>
      <c r="G16885" s="67" t="s">
        <v>676</v>
      </c>
      <c r="H16885" s="69">
        <v>2.2539775131565687</v>
      </c>
    </row>
    <row r="16886" spans="6:8">
      <c r="F16886" s="68" t="s">
        <v>254</v>
      </c>
      <c r="G16886" s="67" t="s">
        <v>676</v>
      </c>
      <c r="H16886" s="69">
        <v>0.6</v>
      </c>
    </row>
    <row r="16887" spans="6:8">
      <c r="F16887" s="68" t="s">
        <v>304</v>
      </c>
      <c r="G16887" s="67" t="s">
        <v>676</v>
      </c>
      <c r="H16887" s="69">
        <v>17.989583333333332</v>
      </c>
    </row>
    <row r="16888" spans="6:8">
      <c r="F16888" s="68" t="s">
        <v>129</v>
      </c>
      <c r="G16888" s="67" t="s">
        <v>676</v>
      </c>
      <c r="H16888" s="69">
        <v>-0.73</v>
      </c>
    </row>
    <row r="16889" spans="6:8">
      <c r="F16889" s="68" t="s">
        <v>128</v>
      </c>
      <c r="G16889" s="67" t="s">
        <v>676</v>
      </c>
      <c r="H16889" s="69">
        <v>-0.85</v>
      </c>
    </row>
    <row r="16890" spans="6:8">
      <c r="F16890" s="68" t="s">
        <v>664</v>
      </c>
      <c r="G16890" s="67" t="s">
        <v>676</v>
      </c>
      <c r="H16890" s="69">
        <v>112.81293923</v>
      </c>
    </row>
    <row r="16891" spans="6:8">
      <c r="F16891" s="68" t="s">
        <v>315</v>
      </c>
      <c r="G16891" s="67" t="s">
        <v>676</v>
      </c>
      <c r="H16891" s="69">
        <v>-0.19</v>
      </c>
    </row>
    <row r="16892" spans="6:8">
      <c r="F16892" s="68" t="s">
        <v>253</v>
      </c>
      <c r="G16892" s="67" t="s">
        <v>676</v>
      </c>
      <c r="H16892" s="69">
        <v>0.44</v>
      </c>
    </row>
    <row r="16893" spans="6:8">
      <c r="F16893" s="68" t="s">
        <v>127</v>
      </c>
      <c r="G16893" s="67" t="s">
        <v>676</v>
      </c>
      <c r="H16893" s="69">
        <v>-0.44</v>
      </c>
    </row>
    <row r="16894" spans="6:8">
      <c r="F16894" s="68" t="s">
        <v>126</v>
      </c>
      <c r="G16894" s="67" t="s">
        <v>676</v>
      </c>
      <c r="H16894" s="69">
        <v>-0.88</v>
      </c>
    </row>
    <row r="16895" spans="6:8">
      <c r="F16895" s="68" t="s">
        <v>125</v>
      </c>
      <c r="G16895" s="67" t="s">
        <v>676</v>
      </c>
      <c r="H16895" s="69">
        <v>-0.53</v>
      </c>
    </row>
    <row r="16896" spans="6:8">
      <c r="F16896" s="68" t="s">
        <v>663</v>
      </c>
      <c r="G16896" s="67" t="s">
        <v>676</v>
      </c>
      <c r="H16896" s="69">
        <v>112.81293923</v>
      </c>
    </row>
    <row r="16897" spans="6:8">
      <c r="F16897" s="68" t="s">
        <v>314</v>
      </c>
      <c r="G16897" s="67" t="s">
        <v>676</v>
      </c>
      <c r="H16897" s="69">
        <v>-0.41</v>
      </c>
    </row>
    <row r="16898" spans="6:8">
      <c r="F16898" s="68" t="s">
        <v>252</v>
      </c>
      <c r="G16898" s="67" t="s">
        <v>676</v>
      </c>
      <c r="H16898" s="69">
        <v>0.28000000000000003</v>
      </c>
    </row>
    <row r="16899" spans="6:8">
      <c r="F16899" s="68" t="s">
        <v>124</v>
      </c>
      <c r="G16899" s="67" t="s">
        <v>676</v>
      </c>
      <c r="H16899" s="69">
        <v>-0.51</v>
      </c>
    </row>
    <row r="16900" spans="6:8">
      <c r="F16900" s="68" t="s">
        <v>123</v>
      </c>
      <c r="G16900" s="67" t="s">
        <v>676</v>
      </c>
      <c r="H16900" s="69">
        <v>-0.96</v>
      </c>
    </row>
    <row r="16901" spans="6:8">
      <c r="F16901" s="68" t="s">
        <v>122</v>
      </c>
      <c r="G16901" s="67" t="s">
        <v>676</v>
      </c>
      <c r="H16901" s="69">
        <v>-0.65</v>
      </c>
    </row>
    <row r="16902" spans="6:8">
      <c r="F16902" s="68" t="s">
        <v>251</v>
      </c>
      <c r="G16902" s="67" t="s">
        <v>676</v>
      </c>
      <c r="H16902" s="69">
        <v>0.21</v>
      </c>
    </row>
    <row r="16903" spans="6:8">
      <c r="F16903" s="68" t="s">
        <v>121</v>
      </c>
      <c r="G16903" s="67" t="s">
        <v>676</v>
      </c>
      <c r="H16903" s="69">
        <v>-0.65</v>
      </c>
    </row>
    <row r="16904" spans="6:8">
      <c r="F16904" s="68" t="s">
        <v>120</v>
      </c>
      <c r="G16904" s="67" t="s">
        <v>676</v>
      </c>
      <c r="H16904" s="69">
        <v>-0.81</v>
      </c>
    </row>
    <row r="16905" spans="6:8">
      <c r="F16905" s="68" t="s">
        <v>119</v>
      </c>
      <c r="G16905" s="67" t="s">
        <v>676</v>
      </c>
      <c r="H16905" s="69">
        <v>-0.68</v>
      </c>
    </row>
    <row r="16906" spans="6:8">
      <c r="F16906" s="68" t="s">
        <v>662</v>
      </c>
      <c r="G16906" s="67" t="s">
        <v>676</v>
      </c>
      <c r="H16906" s="69">
        <v>112.81293923</v>
      </c>
    </row>
    <row r="16907" spans="6:8">
      <c r="F16907" s="68" t="s">
        <v>420</v>
      </c>
      <c r="G16907" s="67" t="s">
        <v>676</v>
      </c>
      <c r="H16907" s="69">
        <v>3.2816971853818711</v>
      </c>
    </row>
    <row r="16908" spans="6:8">
      <c r="F16908" s="68" t="s">
        <v>420</v>
      </c>
      <c r="G16908" s="67" t="s">
        <v>677</v>
      </c>
      <c r="H16908" s="69">
        <v>3.2664759262762022</v>
      </c>
    </row>
    <row r="16909" spans="6:8">
      <c r="F16909" s="68" t="s">
        <v>662</v>
      </c>
      <c r="G16909" s="67" t="s">
        <v>677</v>
      </c>
      <c r="H16909" s="69">
        <v>112.74601903999999</v>
      </c>
    </row>
    <row r="16910" spans="6:8">
      <c r="F16910" s="68" t="s">
        <v>119</v>
      </c>
      <c r="G16910" s="67" t="s">
        <v>677</v>
      </c>
      <c r="H16910" s="69">
        <v>-0.69</v>
      </c>
    </row>
    <row r="16911" spans="6:8">
      <c r="F16911" s="68" t="s">
        <v>120</v>
      </c>
      <c r="G16911" s="67" t="s">
        <v>677</v>
      </c>
      <c r="H16911" s="69">
        <v>-0.83</v>
      </c>
    </row>
    <row r="16912" spans="6:8">
      <c r="F16912" s="68" t="s">
        <v>121</v>
      </c>
      <c r="G16912" s="67" t="s">
        <v>677</v>
      </c>
      <c r="H16912" s="69">
        <v>-0.63</v>
      </c>
    </row>
    <row r="16913" spans="6:8">
      <c r="F16913" s="68" t="s">
        <v>251</v>
      </c>
      <c r="G16913" s="67" t="s">
        <v>677</v>
      </c>
      <c r="H16913" s="69">
        <v>0.22</v>
      </c>
    </row>
    <row r="16914" spans="6:8">
      <c r="F16914" s="68" t="s">
        <v>122</v>
      </c>
      <c r="G16914" s="67" t="s">
        <v>677</v>
      </c>
      <c r="H16914" s="69">
        <v>-0.66</v>
      </c>
    </row>
    <row r="16915" spans="6:8">
      <c r="F16915" s="68" t="s">
        <v>123</v>
      </c>
      <c r="G16915" s="67" t="s">
        <v>677</v>
      </c>
      <c r="H16915" s="69">
        <v>-0.98</v>
      </c>
    </row>
    <row r="16916" spans="6:8">
      <c r="F16916" s="68" t="s">
        <v>124</v>
      </c>
      <c r="G16916" s="67" t="s">
        <v>677</v>
      </c>
      <c r="H16916" s="69">
        <v>-0.5</v>
      </c>
    </row>
    <row r="16917" spans="6:8">
      <c r="F16917" s="68" t="s">
        <v>252</v>
      </c>
      <c r="G16917" s="67" t="s">
        <v>677</v>
      </c>
      <c r="H16917" s="69">
        <v>0.28999999999999998</v>
      </c>
    </row>
    <row r="16918" spans="6:8">
      <c r="F16918" s="68" t="s">
        <v>314</v>
      </c>
      <c r="G16918" s="67" t="s">
        <v>677</v>
      </c>
      <c r="H16918" s="69">
        <v>-0.39</v>
      </c>
    </row>
    <row r="16919" spans="6:8">
      <c r="F16919" s="68" t="s">
        <v>663</v>
      </c>
      <c r="G16919" s="67" t="s">
        <v>677</v>
      </c>
      <c r="H16919" s="69">
        <v>112.74601903999999</v>
      </c>
    </row>
    <row r="16920" spans="6:8">
      <c r="F16920" s="68" t="s">
        <v>125</v>
      </c>
      <c r="G16920" s="67" t="s">
        <v>677</v>
      </c>
      <c r="H16920" s="69">
        <v>-0.52</v>
      </c>
    </row>
    <row r="16921" spans="6:8">
      <c r="F16921" s="68" t="s">
        <v>126</v>
      </c>
      <c r="G16921" s="67" t="s">
        <v>677</v>
      </c>
      <c r="H16921" s="69">
        <v>-0.9</v>
      </c>
    </row>
    <row r="16922" spans="6:8">
      <c r="F16922" s="68" t="s">
        <v>127</v>
      </c>
      <c r="G16922" s="67" t="s">
        <v>677</v>
      </c>
      <c r="H16922" s="69">
        <v>-0.43</v>
      </c>
    </row>
    <row r="16923" spans="6:8">
      <c r="F16923" s="68" t="s">
        <v>253</v>
      </c>
      <c r="G16923" s="67" t="s">
        <v>677</v>
      </c>
      <c r="H16923" s="69">
        <v>0.47</v>
      </c>
    </row>
    <row r="16924" spans="6:8">
      <c r="F16924" s="68" t="s">
        <v>315</v>
      </c>
      <c r="G16924" s="67" t="s">
        <v>677</v>
      </c>
      <c r="H16924" s="69">
        <v>-0.16</v>
      </c>
    </row>
    <row r="16925" spans="6:8">
      <c r="F16925" s="68" t="s">
        <v>664</v>
      </c>
      <c r="G16925" s="67" t="s">
        <v>677</v>
      </c>
      <c r="H16925" s="69">
        <v>112.74601903999999</v>
      </c>
    </row>
    <row r="16926" spans="6:8">
      <c r="F16926" s="68" t="s">
        <v>128</v>
      </c>
      <c r="G16926" s="67" t="s">
        <v>677</v>
      </c>
      <c r="H16926" s="69">
        <v>-0.86</v>
      </c>
    </row>
    <row r="16927" spans="6:8">
      <c r="F16927" s="68" t="s">
        <v>129</v>
      </c>
      <c r="G16927" s="67" t="s">
        <v>677</v>
      </c>
      <c r="H16927" s="69">
        <v>-0.73</v>
      </c>
    </row>
    <row r="16928" spans="6:8">
      <c r="F16928" s="68" t="s">
        <v>304</v>
      </c>
      <c r="G16928" s="67" t="s">
        <v>677</v>
      </c>
      <c r="H16928" s="69">
        <v>17.989583333333332</v>
      </c>
    </row>
    <row r="16929" spans="6:8">
      <c r="F16929" s="68" t="s">
        <v>254</v>
      </c>
      <c r="G16929" s="67" t="s">
        <v>677</v>
      </c>
      <c r="H16929" s="69">
        <v>0.62</v>
      </c>
    </row>
    <row r="16930" spans="6:8">
      <c r="F16930" s="68" t="s">
        <v>421</v>
      </c>
      <c r="G16930" s="67" t="s">
        <v>677</v>
      </c>
      <c r="H16930" s="69">
        <v>2.2443534287635014</v>
      </c>
    </row>
    <row r="16931" spans="6:8">
      <c r="F16931" s="68" t="s">
        <v>567</v>
      </c>
      <c r="G16931" s="67" t="s">
        <v>677</v>
      </c>
      <c r="H16931" s="69">
        <v>-0.75</v>
      </c>
    </row>
    <row r="16932" spans="6:8">
      <c r="F16932" s="68" t="s">
        <v>665</v>
      </c>
      <c r="G16932" s="67" t="s">
        <v>677</v>
      </c>
      <c r="H16932" s="69">
        <v>112.74601903999999</v>
      </c>
    </row>
    <row r="16933" spans="6:8">
      <c r="F16933" s="68" t="s">
        <v>130</v>
      </c>
      <c r="G16933" s="67" t="s">
        <v>677</v>
      </c>
      <c r="H16933" s="69">
        <v>-1</v>
      </c>
    </row>
    <row r="16934" spans="6:8">
      <c r="F16934" s="68" t="s">
        <v>131</v>
      </c>
      <c r="G16934" s="67" t="s">
        <v>677</v>
      </c>
      <c r="H16934" s="69">
        <v>-0.56999999999999995</v>
      </c>
    </row>
    <row r="16935" spans="6:8">
      <c r="F16935" s="68" t="s">
        <v>303</v>
      </c>
      <c r="G16935" s="67" t="s">
        <v>677</v>
      </c>
      <c r="H16935" s="69">
        <v>19.03125</v>
      </c>
    </row>
    <row r="16936" spans="6:8">
      <c r="F16936" s="68" t="s">
        <v>255</v>
      </c>
      <c r="G16936" s="67" t="s">
        <v>677</v>
      </c>
      <c r="H16936" s="69">
        <v>0.77</v>
      </c>
    </row>
    <row r="16937" spans="6:8">
      <c r="F16937" s="68" t="s">
        <v>422</v>
      </c>
      <c r="G16937" s="67" t="s">
        <v>677</v>
      </c>
      <c r="H16937" s="69">
        <v>2.2506863351882789</v>
      </c>
    </row>
    <row r="16938" spans="6:8">
      <c r="F16938" s="68" t="s">
        <v>568</v>
      </c>
      <c r="G16938" s="67" t="s">
        <v>677</v>
      </c>
      <c r="H16938" s="69">
        <v>-0.36</v>
      </c>
    </row>
    <row r="16939" spans="6:8">
      <c r="F16939" s="68" t="s">
        <v>666</v>
      </c>
      <c r="G16939" s="67" t="s">
        <v>677</v>
      </c>
      <c r="H16939" s="69">
        <v>112.74601903999999</v>
      </c>
    </row>
    <row r="16940" spans="6:8">
      <c r="F16940" s="68" t="s">
        <v>132</v>
      </c>
      <c r="G16940" s="67" t="s">
        <v>677</v>
      </c>
      <c r="H16940" s="69">
        <v>-0.9</v>
      </c>
    </row>
    <row r="16941" spans="6:8">
      <c r="F16941" s="68" t="s">
        <v>133</v>
      </c>
      <c r="G16941" s="67" t="s">
        <v>677</v>
      </c>
      <c r="H16941" s="69">
        <v>-0.64</v>
      </c>
    </row>
    <row r="16942" spans="6:8">
      <c r="F16942" s="68" t="s">
        <v>256</v>
      </c>
      <c r="G16942" s="67" t="s">
        <v>677</v>
      </c>
      <c r="H16942" s="69">
        <v>0.87</v>
      </c>
    </row>
    <row r="16943" spans="6:8">
      <c r="F16943" s="68" t="s">
        <v>423</v>
      </c>
      <c r="G16943" s="67" t="s">
        <v>677</v>
      </c>
      <c r="H16943" s="69">
        <v>2.3344230484969142</v>
      </c>
    </row>
    <row r="16944" spans="6:8">
      <c r="F16944" s="68" t="s">
        <v>569</v>
      </c>
      <c r="G16944" s="67" t="s">
        <v>677</v>
      </c>
      <c r="H16944" s="69">
        <v>-0.15</v>
      </c>
    </row>
    <row r="16945" spans="6:8">
      <c r="F16945" s="68" t="s">
        <v>667</v>
      </c>
      <c r="G16945" s="67" t="s">
        <v>677</v>
      </c>
      <c r="H16945" s="69">
        <v>112.74601903999999</v>
      </c>
    </row>
    <row r="16946" spans="6:8">
      <c r="F16946" s="68" t="s">
        <v>424</v>
      </c>
      <c r="G16946" s="67" t="s">
        <v>677</v>
      </c>
      <c r="H16946" s="69">
        <v>2.9926713457161469</v>
      </c>
    </row>
    <row r="16947" spans="6:8">
      <c r="F16947" s="68" t="s">
        <v>668</v>
      </c>
      <c r="G16947" s="67" t="s">
        <v>677</v>
      </c>
      <c r="H16947" s="69">
        <v>112.74601903999999</v>
      </c>
    </row>
    <row r="16948" spans="6:8">
      <c r="F16948" s="68" t="s">
        <v>134</v>
      </c>
      <c r="G16948" s="67" t="s">
        <v>677</v>
      </c>
      <c r="H16948" s="69">
        <v>-0.86</v>
      </c>
    </row>
    <row r="16949" spans="6:8">
      <c r="F16949" s="68" t="s">
        <v>135</v>
      </c>
      <c r="G16949" s="67" t="s">
        <v>677</v>
      </c>
      <c r="H16949" s="69">
        <v>-0.8</v>
      </c>
    </row>
    <row r="16950" spans="6:8">
      <c r="F16950" s="68" t="s">
        <v>257</v>
      </c>
      <c r="G16950" s="67" t="s">
        <v>677</v>
      </c>
      <c r="H16950" s="69">
        <v>0.91</v>
      </c>
    </row>
    <row r="16951" spans="6:8">
      <c r="F16951" s="68" t="s">
        <v>258</v>
      </c>
      <c r="G16951" s="67" t="s">
        <v>677</v>
      </c>
      <c r="H16951" s="69">
        <v>0.15</v>
      </c>
    </row>
    <row r="16952" spans="6:8">
      <c r="F16952" s="68" t="s">
        <v>425</v>
      </c>
      <c r="G16952" s="67" t="s">
        <v>677</v>
      </c>
      <c r="H16952" s="69">
        <v>3.0042721316696053</v>
      </c>
    </row>
    <row r="16953" spans="6:8">
      <c r="F16953" s="68" t="s">
        <v>669</v>
      </c>
      <c r="G16953" s="67" t="s">
        <v>677</v>
      </c>
      <c r="H16953" s="69">
        <v>112.74601903999999</v>
      </c>
    </row>
    <row r="16954" spans="6:8">
      <c r="F16954" s="68" t="s">
        <v>136</v>
      </c>
      <c r="G16954" s="67" t="s">
        <v>677</v>
      </c>
      <c r="H16954" s="69">
        <v>-0.8</v>
      </c>
    </row>
    <row r="16955" spans="6:8">
      <c r="F16955" s="68" t="s">
        <v>137</v>
      </c>
      <c r="G16955" s="67" t="s">
        <v>677</v>
      </c>
      <c r="H16955" s="69">
        <v>-0.68</v>
      </c>
    </row>
    <row r="16956" spans="6:8">
      <c r="F16956" s="68" t="s">
        <v>138</v>
      </c>
      <c r="G16956" s="67" t="s">
        <v>677</v>
      </c>
      <c r="H16956" s="69">
        <v>-0.74</v>
      </c>
    </row>
    <row r="16957" spans="6:8">
      <c r="F16957" s="68" t="s">
        <v>259</v>
      </c>
      <c r="G16957" s="67" t="s">
        <v>677</v>
      </c>
      <c r="H16957" s="69">
        <v>0.21</v>
      </c>
    </row>
    <row r="16958" spans="6:8">
      <c r="F16958" s="68" t="s">
        <v>259</v>
      </c>
      <c r="G16958" s="67" t="s">
        <v>678</v>
      </c>
      <c r="H16958" s="69">
        <v>0.21</v>
      </c>
    </row>
    <row r="16959" spans="6:8">
      <c r="F16959" s="68" t="s">
        <v>138</v>
      </c>
      <c r="G16959" s="67" t="s">
        <v>678</v>
      </c>
      <c r="H16959" s="69">
        <v>-0.74</v>
      </c>
    </row>
    <row r="16960" spans="6:8">
      <c r="F16960" s="68" t="s">
        <v>137</v>
      </c>
      <c r="G16960" s="67" t="s">
        <v>678</v>
      </c>
      <c r="H16960" s="69">
        <v>-0.68</v>
      </c>
    </row>
    <row r="16961" spans="6:8">
      <c r="F16961" s="68" t="s">
        <v>136</v>
      </c>
      <c r="G16961" s="67" t="s">
        <v>678</v>
      </c>
      <c r="H16961" s="69">
        <v>-0.8</v>
      </c>
    </row>
    <row r="16962" spans="6:8">
      <c r="F16962" s="68" t="s">
        <v>669</v>
      </c>
      <c r="G16962" s="67" t="s">
        <v>678</v>
      </c>
      <c r="H16962" s="69">
        <v>112.71757074</v>
      </c>
    </row>
    <row r="16963" spans="6:8">
      <c r="F16963" s="68" t="s">
        <v>425</v>
      </c>
      <c r="G16963" s="67" t="s">
        <v>678</v>
      </c>
      <c r="H16963" s="69">
        <v>2.9958854104021437</v>
      </c>
    </row>
    <row r="16964" spans="6:8">
      <c r="F16964" s="68" t="s">
        <v>258</v>
      </c>
      <c r="G16964" s="67" t="s">
        <v>678</v>
      </c>
      <c r="H16964" s="69">
        <v>0.15</v>
      </c>
    </row>
    <row r="16965" spans="6:8">
      <c r="F16965" s="68" t="s">
        <v>257</v>
      </c>
      <c r="G16965" s="67" t="s">
        <v>678</v>
      </c>
      <c r="H16965" s="69">
        <v>0.91</v>
      </c>
    </row>
    <row r="16966" spans="6:8">
      <c r="F16966" s="68" t="s">
        <v>135</v>
      </c>
      <c r="G16966" s="67" t="s">
        <v>678</v>
      </c>
      <c r="H16966" s="69">
        <v>-0.8</v>
      </c>
    </row>
    <row r="16967" spans="6:8">
      <c r="F16967" s="68" t="s">
        <v>134</v>
      </c>
      <c r="G16967" s="67" t="s">
        <v>678</v>
      </c>
      <c r="H16967" s="69">
        <v>-0.86</v>
      </c>
    </row>
    <row r="16968" spans="6:8">
      <c r="F16968" s="68" t="s">
        <v>668</v>
      </c>
      <c r="G16968" s="67" t="s">
        <v>678</v>
      </c>
      <c r="H16968" s="69">
        <v>112.71757074</v>
      </c>
    </row>
    <row r="16969" spans="6:8">
      <c r="F16969" s="68" t="s">
        <v>424</v>
      </c>
      <c r="G16969" s="67" t="s">
        <v>678</v>
      </c>
      <c r="H16969" s="69">
        <v>2.9450068041434463</v>
      </c>
    </row>
    <row r="16970" spans="6:8">
      <c r="F16970" s="68" t="s">
        <v>667</v>
      </c>
      <c r="G16970" s="67" t="s">
        <v>678</v>
      </c>
      <c r="H16970" s="69">
        <v>112.71757074</v>
      </c>
    </row>
    <row r="16971" spans="6:8">
      <c r="F16971" s="68" t="s">
        <v>569</v>
      </c>
      <c r="G16971" s="67" t="s">
        <v>678</v>
      </c>
      <c r="H16971" s="69">
        <v>-0.15</v>
      </c>
    </row>
    <row r="16972" spans="6:8">
      <c r="F16972" s="68" t="s">
        <v>423</v>
      </c>
      <c r="G16972" s="67" t="s">
        <v>678</v>
      </c>
      <c r="H16972" s="69">
        <v>2.3157877909566249</v>
      </c>
    </row>
    <row r="16973" spans="6:8">
      <c r="F16973" s="68" t="s">
        <v>256</v>
      </c>
      <c r="G16973" s="67" t="s">
        <v>678</v>
      </c>
      <c r="H16973" s="69">
        <v>0.87</v>
      </c>
    </row>
    <row r="16974" spans="6:8">
      <c r="F16974" s="68" t="s">
        <v>133</v>
      </c>
      <c r="G16974" s="67" t="s">
        <v>678</v>
      </c>
      <c r="H16974" s="69">
        <v>-0.64</v>
      </c>
    </row>
    <row r="16975" spans="6:8">
      <c r="F16975" s="68" t="s">
        <v>132</v>
      </c>
      <c r="G16975" s="67" t="s">
        <v>678</v>
      </c>
      <c r="H16975" s="69">
        <v>-0.9</v>
      </c>
    </row>
    <row r="16976" spans="6:8">
      <c r="F16976" s="68" t="s">
        <v>666</v>
      </c>
      <c r="G16976" s="67" t="s">
        <v>678</v>
      </c>
      <c r="H16976" s="69">
        <v>112.71757074</v>
      </c>
    </row>
    <row r="16977" spans="6:8">
      <c r="F16977" s="68" t="s">
        <v>568</v>
      </c>
      <c r="G16977" s="67" t="s">
        <v>678</v>
      </c>
      <c r="H16977" s="69">
        <v>-0.36</v>
      </c>
    </row>
    <row r="16978" spans="6:8">
      <c r="F16978" s="68" t="s">
        <v>422</v>
      </c>
      <c r="G16978" s="67" t="s">
        <v>678</v>
      </c>
      <c r="H16978" s="69">
        <v>2.2219270536721236</v>
      </c>
    </row>
    <row r="16979" spans="6:8">
      <c r="F16979" s="68" t="s">
        <v>255</v>
      </c>
      <c r="G16979" s="67" t="s">
        <v>678</v>
      </c>
      <c r="H16979" s="69">
        <v>0.77</v>
      </c>
    </row>
    <row r="16980" spans="6:8">
      <c r="F16980" s="68" t="s">
        <v>303</v>
      </c>
      <c r="G16980" s="67" t="s">
        <v>678</v>
      </c>
      <c r="H16980" s="69">
        <v>18.875</v>
      </c>
    </row>
    <row r="16981" spans="6:8">
      <c r="F16981" s="68" t="s">
        <v>131</v>
      </c>
      <c r="G16981" s="67" t="s">
        <v>678</v>
      </c>
      <c r="H16981" s="69">
        <v>-0.56999999999999995</v>
      </c>
    </row>
    <row r="16982" spans="6:8">
      <c r="F16982" s="68" t="s">
        <v>130</v>
      </c>
      <c r="G16982" s="67" t="s">
        <v>678</v>
      </c>
      <c r="H16982" s="69">
        <v>-1</v>
      </c>
    </row>
    <row r="16983" spans="6:8">
      <c r="F16983" s="68" t="s">
        <v>665</v>
      </c>
      <c r="G16983" s="67" t="s">
        <v>678</v>
      </c>
      <c r="H16983" s="69">
        <v>112.71757074</v>
      </c>
    </row>
    <row r="16984" spans="6:8">
      <c r="F16984" s="68" t="s">
        <v>567</v>
      </c>
      <c r="G16984" s="67" t="s">
        <v>678</v>
      </c>
      <c r="H16984" s="69">
        <v>-0.75</v>
      </c>
    </row>
    <row r="16985" spans="6:8">
      <c r="F16985" s="68" t="s">
        <v>421</v>
      </c>
      <c r="G16985" s="67" t="s">
        <v>678</v>
      </c>
      <c r="H16985" s="69">
        <v>2.2155344445959013</v>
      </c>
    </row>
    <row r="16986" spans="6:8">
      <c r="F16986" s="68" t="s">
        <v>254</v>
      </c>
      <c r="G16986" s="67" t="s">
        <v>678</v>
      </c>
      <c r="H16986" s="69">
        <v>0.62</v>
      </c>
    </row>
    <row r="16987" spans="6:8">
      <c r="F16987" s="68" t="s">
        <v>304</v>
      </c>
      <c r="G16987" s="67" t="s">
        <v>678</v>
      </c>
      <c r="H16987" s="69">
        <v>17.854166666666668</v>
      </c>
    </row>
    <row r="16988" spans="6:8">
      <c r="F16988" s="68" t="s">
        <v>129</v>
      </c>
      <c r="G16988" s="67" t="s">
        <v>678</v>
      </c>
      <c r="H16988" s="69">
        <v>-0.73</v>
      </c>
    </row>
    <row r="16989" spans="6:8">
      <c r="F16989" s="68" t="s">
        <v>128</v>
      </c>
      <c r="G16989" s="67" t="s">
        <v>678</v>
      </c>
      <c r="H16989" s="69">
        <v>-0.86</v>
      </c>
    </row>
    <row r="16990" spans="6:8">
      <c r="F16990" s="68" t="s">
        <v>664</v>
      </c>
      <c r="G16990" s="67" t="s">
        <v>678</v>
      </c>
      <c r="H16990" s="69">
        <v>112.71757074</v>
      </c>
    </row>
    <row r="16991" spans="6:8">
      <c r="F16991" s="68" t="s">
        <v>315</v>
      </c>
      <c r="G16991" s="67" t="s">
        <v>678</v>
      </c>
      <c r="H16991" s="69">
        <v>-0.16</v>
      </c>
    </row>
    <row r="16992" spans="6:8">
      <c r="F16992" s="68" t="s">
        <v>253</v>
      </c>
      <c r="G16992" s="67" t="s">
        <v>678</v>
      </c>
      <c r="H16992" s="69">
        <v>0.47</v>
      </c>
    </row>
    <row r="16993" spans="6:8">
      <c r="F16993" s="68" t="s">
        <v>127</v>
      </c>
      <c r="G16993" s="67" t="s">
        <v>678</v>
      </c>
      <c r="H16993" s="69">
        <v>-0.43</v>
      </c>
    </row>
    <row r="16994" spans="6:8">
      <c r="F16994" s="68" t="s">
        <v>126</v>
      </c>
      <c r="G16994" s="67" t="s">
        <v>678</v>
      </c>
      <c r="H16994" s="69">
        <v>-0.9</v>
      </c>
    </row>
    <row r="16995" spans="6:8">
      <c r="F16995" s="68" t="s">
        <v>125</v>
      </c>
      <c r="G16995" s="67" t="s">
        <v>678</v>
      </c>
      <c r="H16995" s="69">
        <v>-0.52</v>
      </c>
    </row>
    <row r="16996" spans="6:8">
      <c r="F16996" s="68" t="s">
        <v>663</v>
      </c>
      <c r="G16996" s="67" t="s">
        <v>678</v>
      </c>
      <c r="H16996" s="69">
        <v>112.71757074</v>
      </c>
    </row>
    <row r="16997" spans="6:8">
      <c r="F16997" s="68" t="s">
        <v>314</v>
      </c>
      <c r="G16997" s="67" t="s">
        <v>678</v>
      </c>
      <c r="H16997" s="69">
        <v>-0.39</v>
      </c>
    </row>
    <row r="16998" spans="6:8">
      <c r="F16998" s="68" t="s">
        <v>252</v>
      </c>
      <c r="G16998" s="67" t="s">
        <v>678</v>
      </c>
      <c r="H16998" s="69">
        <v>0.28999999999999998</v>
      </c>
    </row>
    <row r="16999" spans="6:8">
      <c r="F16999" s="68" t="s">
        <v>124</v>
      </c>
      <c r="G16999" s="67" t="s">
        <v>678</v>
      </c>
      <c r="H16999" s="69">
        <v>-0.5</v>
      </c>
    </row>
    <row r="17000" spans="6:8">
      <c r="F17000" s="68" t="s">
        <v>123</v>
      </c>
      <c r="G17000" s="67" t="s">
        <v>678</v>
      </c>
      <c r="H17000" s="69">
        <v>-0.98</v>
      </c>
    </row>
    <row r="17001" spans="6:8">
      <c r="F17001" s="68" t="s">
        <v>122</v>
      </c>
      <c r="G17001" s="67" t="s">
        <v>678</v>
      </c>
      <c r="H17001" s="69">
        <v>-0.66</v>
      </c>
    </row>
    <row r="17002" spans="6:8">
      <c r="F17002" s="68" t="s">
        <v>251</v>
      </c>
      <c r="G17002" s="67" t="s">
        <v>678</v>
      </c>
      <c r="H17002" s="69">
        <v>0.22</v>
      </c>
    </row>
    <row r="17003" spans="6:8">
      <c r="F17003" s="68" t="s">
        <v>121</v>
      </c>
      <c r="G17003" s="67" t="s">
        <v>678</v>
      </c>
      <c r="H17003" s="69">
        <v>-0.63</v>
      </c>
    </row>
    <row r="17004" spans="6:8">
      <c r="F17004" s="68" t="s">
        <v>120</v>
      </c>
      <c r="G17004" s="67" t="s">
        <v>678</v>
      </c>
      <c r="H17004" s="69">
        <v>-0.83</v>
      </c>
    </row>
    <row r="17005" spans="6:8">
      <c r="F17005" s="68" t="s">
        <v>119</v>
      </c>
      <c r="G17005" s="67" t="s">
        <v>678</v>
      </c>
      <c r="H17005" s="69">
        <v>-0.69</v>
      </c>
    </row>
    <row r="17006" spans="6:8">
      <c r="F17006" s="68" t="s">
        <v>662</v>
      </c>
      <c r="G17006" s="67" t="s">
        <v>678</v>
      </c>
      <c r="H17006" s="69">
        <v>112.71757074</v>
      </c>
    </row>
    <row r="17007" spans="6:8">
      <c r="F17007" s="68" t="s">
        <v>420</v>
      </c>
      <c r="G17007" s="67" t="s">
        <v>678</v>
      </c>
      <c r="H17007" s="69">
        <v>3.232892091557904</v>
      </c>
    </row>
    <row r="17008" spans="6:8">
      <c r="F17008" s="68" t="s">
        <v>420</v>
      </c>
      <c r="G17008" s="67" t="s">
        <v>679</v>
      </c>
      <c r="H17008" s="69">
        <v>3.2184177099991551</v>
      </c>
    </row>
    <row r="17009" spans="6:8">
      <c r="F17009" s="68" t="s">
        <v>662</v>
      </c>
      <c r="G17009" s="67" t="s">
        <v>679</v>
      </c>
      <c r="H17009" s="69">
        <v>112.72037069</v>
      </c>
    </row>
    <row r="17010" spans="6:8">
      <c r="F17010" s="68" t="s">
        <v>119</v>
      </c>
      <c r="G17010" s="67" t="s">
        <v>679</v>
      </c>
      <c r="H17010" s="69">
        <v>-0.69</v>
      </c>
    </row>
    <row r="17011" spans="6:8">
      <c r="F17011" s="68" t="s">
        <v>120</v>
      </c>
      <c r="G17011" s="67" t="s">
        <v>679</v>
      </c>
      <c r="H17011" s="69">
        <v>-0.83</v>
      </c>
    </row>
    <row r="17012" spans="6:8">
      <c r="F17012" s="68" t="s">
        <v>121</v>
      </c>
      <c r="G17012" s="67" t="s">
        <v>679</v>
      </c>
      <c r="H17012" s="69">
        <v>-0.63</v>
      </c>
    </row>
    <row r="17013" spans="6:8">
      <c r="F17013" s="68" t="s">
        <v>251</v>
      </c>
      <c r="G17013" s="67" t="s">
        <v>679</v>
      </c>
      <c r="H17013" s="69">
        <v>0.21</v>
      </c>
    </row>
    <row r="17014" spans="6:8">
      <c r="F17014" s="68" t="s">
        <v>122</v>
      </c>
      <c r="G17014" s="67" t="s">
        <v>679</v>
      </c>
      <c r="H17014" s="69">
        <v>-0.66</v>
      </c>
    </row>
    <row r="17015" spans="6:8">
      <c r="F17015" s="68" t="s">
        <v>123</v>
      </c>
      <c r="G17015" s="67" t="s">
        <v>679</v>
      </c>
      <c r="H17015" s="69">
        <v>-0.98</v>
      </c>
    </row>
    <row r="17016" spans="6:8">
      <c r="F17016" s="68" t="s">
        <v>124</v>
      </c>
      <c r="G17016" s="67" t="s">
        <v>679</v>
      </c>
      <c r="H17016" s="69">
        <v>-0.5</v>
      </c>
    </row>
    <row r="17017" spans="6:8">
      <c r="F17017" s="68" t="s">
        <v>252</v>
      </c>
      <c r="G17017" s="67" t="s">
        <v>679</v>
      </c>
      <c r="H17017" s="69">
        <v>0.27</v>
      </c>
    </row>
    <row r="17018" spans="6:8">
      <c r="F17018" s="68" t="s">
        <v>314</v>
      </c>
      <c r="G17018" s="67" t="s">
        <v>679</v>
      </c>
      <c r="H17018" s="69">
        <v>-0.39</v>
      </c>
    </row>
    <row r="17019" spans="6:8">
      <c r="F17019" s="68" t="s">
        <v>663</v>
      </c>
      <c r="G17019" s="67" t="s">
        <v>679</v>
      </c>
      <c r="H17019" s="69">
        <v>112.72037069</v>
      </c>
    </row>
    <row r="17020" spans="6:8">
      <c r="F17020" s="68" t="s">
        <v>125</v>
      </c>
      <c r="G17020" s="67" t="s">
        <v>679</v>
      </c>
      <c r="H17020" s="69">
        <v>-0.52</v>
      </c>
    </row>
    <row r="17021" spans="6:8">
      <c r="F17021" s="68" t="s">
        <v>126</v>
      </c>
      <c r="G17021" s="67" t="s">
        <v>679</v>
      </c>
      <c r="H17021" s="69">
        <v>-0.9</v>
      </c>
    </row>
    <row r="17022" spans="6:8">
      <c r="F17022" s="68" t="s">
        <v>127</v>
      </c>
      <c r="G17022" s="67" t="s">
        <v>679</v>
      </c>
      <c r="H17022" s="69">
        <v>-0.43</v>
      </c>
    </row>
    <row r="17023" spans="6:8">
      <c r="F17023" s="68" t="s">
        <v>253</v>
      </c>
      <c r="G17023" s="67" t="s">
        <v>679</v>
      </c>
      <c r="H17023" s="69">
        <v>0.44</v>
      </c>
    </row>
    <row r="17024" spans="6:8">
      <c r="F17024" s="68" t="s">
        <v>315</v>
      </c>
      <c r="G17024" s="67" t="s">
        <v>679</v>
      </c>
      <c r="H17024" s="69">
        <v>-0.16</v>
      </c>
    </row>
    <row r="17025" spans="6:8">
      <c r="F17025" s="68" t="s">
        <v>664</v>
      </c>
      <c r="G17025" s="67" t="s">
        <v>679</v>
      </c>
      <c r="H17025" s="69">
        <v>112.72037069</v>
      </c>
    </row>
    <row r="17026" spans="6:8">
      <c r="F17026" s="68" t="s">
        <v>128</v>
      </c>
      <c r="G17026" s="67" t="s">
        <v>679</v>
      </c>
      <c r="H17026" s="69">
        <v>-0.86</v>
      </c>
    </row>
    <row r="17027" spans="6:8">
      <c r="F17027" s="68" t="s">
        <v>129</v>
      </c>
      <c r="G17027" s="67" t="s">
        <v>679</v>
      </c>
      <c r="H17027" s="69">
        <v>-0.73</v>
      </c>
    </row>
    <row r="17028" spans="6:8">
      <c r="F17028" s="68" t="s">
        <v>304</v>
      </c>
      <c r="G17028" s="67" t="s">
        <v>679</v>
      </c>
      <c r="H17028" s="69">
        <v>17.833333333333332</v>
      </c>
    </row>
    <row r="17029" spans="6:8">
      <c r="F17029" s="68" t="s">
        <v>254</v>
      </c>
      <c r="G17029" s="67" t="s">
        <v>679</v>
      </c>
      <c r="H17029" s="69">
        <v>0.61</v>
      </c>
    </row>
    <row r="17030" spans="6:8">
      <c r="F17030" s="68" t="s">
        <v>421</v>
      </c>
      <c r="G17030" s="67" t="s">
        <v>679</v>
      </c>
      <c r="H17030" s="69">
        <v>2.1686032806840672</v>
      </c>
    </row>
    <row r="17031" spans="6:8">
      <c r="F17031" s="68" t="s">
        <v>567</v>
      </c>
      <c r="G17031" s="67" t="s">
        <v>679</v>
      </c>
      <c r="H17031" s="69">
        <v>-0.75</v>
      </c>
    </row>
    <row r="17032" spans="6:8">
      <c r="F17032" s="68" t="s">
        <v>665</v>
      </c>
      <c r="G17032" s="67" t="s">
        <v>679</v>
      </c>
      <c r="H17032" s="69">
        <v>112.72037069</v>
      </c>
    </row>
    <row r="17033" spans="6:8">
      <c r="F17033" s="68" t="s">
        <v>130</v>
      </c>
      <c r="G17033" s="67" t="s">
        <v>679</v>
      </c>
      <c r="H17033" s="69">
        <v>-1</v>
      </c>
    </row>
    <row r="17034" spans="6:8">
      <c r="F17034" s="68" t="s">
        <v>131</v>
      </c>
      <c r="G17034" s="67" t="s">
        <v>679</v>
      </c>
      <c r="H17034" s="69">
        <v>-0.56999999999999995</v>
      </c>
    </row>
    <row r="17035" spans="6:8">
      <c r="F17035" s="68" t="s">
        <v>303</v>
      </c>
      <c r="G17035" s="67" t="s">
        <v>679</v>
      </c>
      <c r="H17035" s="69">
        <v>18.875</v>
      </c>
    </row>
    <row r="17036" spans="6:8">
      <c r="F17036" s="68" t="s">
        <v>255</v>
      </c>
      <c r="G17036" s="67" t="s">
        <v>679</v>
      </c>
      <c r="H17036" s="69">
        <v>0.77</v>
      </c>
    </row>
    <row r="17037" spans="6:8">
      <c r="F17037" s="68" t="s">
        <v>422</v>
      </c>
      <c r="G17037" s="67" t="s">
        <v>679</v>
      </c>
      <c r="H17037" s="69">
        <v>2.1751342029221465</v>
      </c>
    </row>
    <row r="17038" spans="6:8">
      <c r="F17038" s="68" t="s">
        <v>568</v>
      </c>
      <c r="G17038" s="67" t="s">
        <v>679</v>
      </c>
      <c r="H17038" s="69">
        <v>-0.36</v>
      </c>
    </row>
    <row r="17039" spans="6:8">
      <c r="F17039" s="68" t="s">
        <v>666</v>
      </c>
      <c r="G17039" s="67" t="s">
        <v>679</v>
      </c>
      <c r="H17039" s="69">
        <v>112.72037069</v>
      </c>
    </row>
    <row r="17040" spans="6:8">
      <c r="F17040" s="68" t="s">
        <v>132</v>
      </c>
      <c r="G17040" s="67" t="s">
        <v>679</v>
      </c>
      <c r="H17040" s="69">
        <v>-0.9</v>
      </c>
    </row>
    <row r="17041" spans="6:8">
      <c r="F17041" s="68" t="s">
        <v>133</v>
      </c>
      <c r="G17041" s="67" t="s">
        <v>679</v>
      </c>
      <c r="H17041" s="69">
        <v>-0.64</v>
      </c>
    </row>
    <row r="17042" spans="6:8">
      <c r="F17042" s="68" t="s">
        <v>256</v>
      </c>
      <c r="G17042" s="67" t="s">
        <v>679</v>
      </c>
      <c r="H17042" s="69">
        <v>0.87</v>
      </c>
    </row>
    <row r="17043" spans="6:8">
      <c r="F17043" s="68" t="s">
        <v>423</v>
      </c>
      <c r="G17043" s="67" t="s">
        <v>679</v>
      </c>
      <c r="H17043" s="69">
        <v>2.2889395951672498</v>
      </c>
    </row>
    <row r="17044" spans="6:8">
      <c r="F17044" s="68" t="s">
        <v>569</v>
      </c>
      <c r="G17044" s="67" t="s">
        <v>679</v>
      </c>
      <c r="H17044" s="69">
        <v>-0.15</v>
      </c>
    </row>
    <row r="17045" spans="6:8">
      <c r="F17045" s="68" t="s">
        <v>667</v>
      </c>
      <c r="G17045" s="67" t="s">
        <v>679</v>
      </c>
      <c r="H17045" s="69">
        <v>112.72037069</v>
      </c>
    </row>
    <row r="17046" spans="6:8">
      <c r="F17046" s="68" t="s">
        <v>424</v>
      </c>
      <c r="G17046" s="67" t="s">
        <v>679</v>
      </c>
      <c r="H17046" s="69">
        <v>2.9189128979462353</v>
      </c>
    </row>
    <row r="17047" spans="6:8">
      <c r="F17047" s="68" t="s">
        <v>668</v>
      </c>
      <c r="G17047" s="67" t="s">
        <v>679</v>
      </c>
      <c r="H17047" s="69">
        <v>112.72037069</v>
      </c>
    </row>
    <row r="17048" spans="6:8">
      <c r="F17048" s="68" t="s">
        <v>134</v>
      </c>
      <c r="G17048" s="67" t="s">
        <v>679</v>
      </c>
      <c r="H17048" s="69">
        <v>-0.86</v>
      </c>
    </row>
    <row r="17049" spans="6:8">
      <c r="F17049" s="68" t="s">
        <v>135</v>
      </c>
      <c r="G17049" s="67" t="s">
        <v>679</v>
      </c>
      <c r="H17049" s="69">
        <v>-0.8</v>
      </c>
    </row>
    <row r="17050" spans="6:8">
      <c r="F17050" s="68" t="s">
        <v>257</v>
      </c>
      <c r="G17050" s="67" t="s">
        <v>679</v>
      </c>
      <c r="H17050" s="69">
        <v>0.92</v>
      </c>
    </row>
    <row r="17051" spans="6:8">
      <c r="F17051" s="68" t="s">
        <v>258</v>
      </c>
      <c r="G17051" s="67" t="s">
        <v>679</v>
      </c>
      <c r="H17051" s="69">
        <v>0.15</v>
      </c>
    </row>
    <row r="17052" spans="6:8">
      <c r="F17052" s="68" t="s">
        <v>425</v>
      </c>
      <c r="G17052" s="67" t="s">
        <v>679</v>
      </c>
      <c r="H17052" s="69">
        <v>2.9699945298457653</v>
      </c>
    </row>
    <row r="17053" spans="6:8">
      <c r="F17053" s="68" t="s">
        <v>669</v>
      </c>
      <c r="G17053" s="67" t="s">
        <v>679</v>
      </c>
      <c r="H17053" s="69">
        <v>112.72037069</v>
      </c>
    </row>
    <row r="17054" spans="6:8">
      <c r="F17054" s="68" t="s">
        <v>136</v>
      </c>
      <c r="G17054" s="67" t="s">
        <v>679</v>
      </c>
      <c r="H17054" s="69">
        <v>-0.8</v>
      </c>
    </row>
    <row r="17055" spans="6:8">
      <c r="F17055" s="68" t="s">
        <v>137</v>
      </c>
      <c r="G17055" s="67" t="s">
        <v>679</v>
      </c>
      <c r="H17055" s="69">
        <v>-0.68</v>
      </c>
    </row>
    <row r="17056" spans="6:8">
      <c r="F17056" s="68" t="s">
        <v>138</v>
      </c>
      <c r="G17056" s="67" t="s">
        <v>679</v>
      </c>
      <c r="H17056" s="69">
        <v>-0.74</v>
      </c>
    </row>
    <row r="17057" spans="6:8">
      <c r="F17057" s="68" t="s">
        <v>259</v>
      </c>
      <c r="G17057" s="67" t="s">
        <v>679</v>
      </c>
      <c r="H17057" s="69">
        <v>0.17</v>
      </c>
    </row>
    <row r="17058" spans="6:8">
      <c r="F17058" s="68" t="s">
        <v>259</v>
      </c>
      <c r="G17058" s="67" t="s">
        <v>680</v>
      </c>
      <c r="H17058" s="69">
        <v>0.17</v>
      </c>
    </row>
    <row r="17059" spans="6:8">
      <c r="F17059" s="68" t="s">
        <v>138</v>
      </c>
      <c r="G17059" s="67" t="s">
        <v>680</v>
      </c>
      <c r="H17059" s="69">
        <v>-0.74</v>
      </c>
    </row>
    <row r="17060" spans="6:8">
      <c r="F17060" s="68" t="s">
        <v>137</v>
      </c>
      <c r="G17060" s="67" t="s">
        <v>680</v>
      </c>
      <c r="H17060" s="69">
        <v>-0.68</v>
      </c>
    </row>
    <row r="17061" spans="6:8">
      <c r="F17061" s="68" t="s">
        <v>136</v>
      </c>
      <c r="G17061" s="67" t="s">
        <v>680</v>
      </c>
      <c r="H17061" s="69">
        <v>-0.8</v>
      </c>
    </row>
    <row r="17062" spans="6:8">
      <c r="F17062" s="68" t="s">
        <v>669</v>
      </c>
      <c r="G17062" s="67" t="s">
        <v>680</v>
      </c>
      <c r="H17062" s="69">
        <v>112.73879535</v>
      </c>
    </row>
    <row r="17063" spans="6:8">
      <c r="F17063" s="68" t="s">
        <v>425</v>
      </c>
      <c r="G17063" s="67" t="s">
        <v>680</v>
      </c>
      <c r="H17063" s="69">
        <v>2.9521016054152582</v>
      </c>
    </row>
    <row r="17064" spans="6:8">
      <c r="F17064" s="68" t="s">
        <v>258</v>
      </c>
      <c r="G17064" s="67" t="s">
        <v>680</v>
      </c>
      <c r="H17064" s="69">
        <v>0.15</v>
      </c>
    </row>
    <row r="17065" spans="6:8">
      <c r="F17065" s="68" t="s">
        <v>257</v>
      </c>
      <c r="G17065" s="67" t="s">
        <v>680</v>
      </c>
      <c r="H17065" s="69">
        <v>0.92</v>
      </c>
    </row>
    <row r="17066" spans="6:8">
      <c r="F17066" s="68" t="s">
        <v>135</v>
      </c>
      <c r="G17066" s="67" t="s">
        <v>680</v>
      </c>
      <c r="H17066" s="69">
        <v>-0.8</v>
      </c>
    </row>
    <row r="17067" spans="6:8">
      <c r="F17067" s="68" t="s">
        <v>134</v>
      </c>
      <c r="G17067" s="67" t="s">
        <v>680</v>
      </c>
      <c r="H17067" s="69">
        <v>-0.86</v>
      </c>
    </row>
    <row r="17068" spans="6:8">
      <c r="F17068" s="68" t="s">
        <v>668</v>
      </c>
      <c r="G17068" s="67" t="s">
        <v>680</v>
      </c>
      <c r="H17068" s="69">
        <v>112.73879535</v>
      </c>
    </row>
    <row r="17069" spans="6:8">
      <c r="F17069" s="68" t="s">
        <v>424</v>
      </c>
      <c r="G17069" s="67" t="s">
        <v>680</v>
      </c>
      <c r="H17069" s="69">
        <v>2.9017004589932505</v>
      </c>
    </row>
    <row r="17070" spans="6:8">
      <c r="F17070" s="68" t="s">
        <v>667</v>
      </c>
      <c r="G17070" s="67" t="s">
        <v>680</v>
      </c>
      <c r="H17070" s="69">
        <v>112.73879535</v>
      </c>
    </row>
    <row r="17071" spans="6:8">
      <c r="F17071" s="68" t="s">
        <v>569</v>
      </c>
      <c r="G17071" s="67" t="s">
        <v>680</v>
      </c>
      <c r="H17071" s="69">
        <v>-0.15</v>
      </c>
    </row>
    <row r="17072" spans="6:8">
      <c r="F17072" s="68" t="s">
        <v>423</v>
      </c>
      <c r="G17072" s="67" t="s">
        <v>680</v>
      </c>
      <c r="H17072" s="69">
        <v>2.2695969582971376</v>
      </c>
    </row>
    <row r="17073" spans="6:8">
      <c r="F17073" s="68" t="s">
        <v>256</v>
      </c>
      <c r="G17073" s="67" t="s">
        <v>680</v>
      </c>
      <c r="H17073" s="69">
        <v>0.87</v>
      </c>
    </row>
    <row r="17074" spans="6:8">
      <c r="F17074" s="68" t="s">
        <v>133</v>
      </c>
      <c r="G17074" s="67" t="s">
        <v>680</v>
      </c>
      <c r="H17074" s="69">
        <v>-0.64</v>
      </c>
    </row>
    <row r="17075" spans="6:8">
      <c r="F17075" s="68" t="s">
        <v>132</v>
      </c>
      <c r="G17075" s="67" t="s">
        <v>680</v>
      </c>
      <c r="H17075" s="69">
        <v>-0.9</v>
      </c>
    </row>
    <row r="17076" spans="6:8">
      <c r="F17076" s="68" t="s">
        <v>666</v>
      </c>
      <c r="G17076" s="67" t="s">
        <v>680</v>
      </c>
      <c r="H17076" s="69">
        <v>112.73879535</v>
      </c>
    </row>
    <row r="17077" spans="6:8">
      <c r="F17077" s="68" t="s">
        <v>568</v>
      </c>
      <c r="G17077" s="67" t="s">
        <v>680</v>
      </c>
      <c r="H17077" s="69">
        <v>-0.36</v>
      </c>
    </row>
    <row r="17078" spans="6:8">
      <c r="F17078" s="68" t="s">
        <v>422</v>
      </c>
      <c r="G17078" s="67" t="s">
        <v>680</v>
      </c>
      <c r="H17078" s="69">
        <v>2.1583991534704694</v>
      </c>
    </row>
    <row r="17079" spans="6:8">
      <c r="F17079" s="68" t="s">
        <v>255</v>
      </c>
      <c r="G17079" s="67" t="s">
        <v>680</v>
      </c>
      <c r="H17079" s="69">
        <v>0.77</v>
      </c>
    </row>
    <row r="17080" spans="6:8">
      <c r="F17080" s="68" t="s">
        <v>303</v>
      </c>
      <c r="G17080" s="67" t="s">
        <v>680</v>
      </c>
      <c r="H17080" s="69">
        <v>18.885416666666668</v>
      </c>
    </row>
    <row r="17081" spans="6:8">
      <c r="F17081" s="68" t="s">
        <v>131</v>
      </c>
      <c r="G17081" s="67" t="s">
        <v>680</v>
      </c>
      <c r="H17081" s="69">
        <v>-0.56999999999999995</v>
      </c>
    </row>
    <row r="17082" spans="6:8">
      <c r="F17082" s="68" t="s">
        <v>130</v>
      </c>
      <c r="G17082" s="67" t="s">
        <v>680</v>
      </c>
      <c r="H17082" s="69">
        <v>-1</v>
      </c>
    </row>
    <row r="17083" spans="6:8">
      <c r="F17083" s="68" t="s">
        <v>665</v>
      </c>
      <c r="G17083" s="67" t="s">
        <v>680</v>
      </c>
      <c r="H17083" s="69">
        <v>112.73879535</v>
      </c>
    </row>
    <row r="17084" spans="6:8">
      <c r="F17084" s="68" t="s">
        <v>567</v>
      </c>
      <c r="G17084" s="67" t="s">
        <v>680</v>
      </c>
      <c r="H17084" s="69">
        <v>-0.75</v>
      </c>
    </row>
    <row r="17085" spans="6:8">
      <c r="F17085" s="68" t="s">
        <v>421</v>
      </c>
      <c r="G17085" s="67" t="s">
        <v>680</v>
      </c>
      <c r="H17085" s="69">
        <v>2.1515985453614217</v>
      </c>
    </row>
    <row r="17086" spans="6:8">
      <c r="F17086" s="68" t="s">
        <v>254</v>
      </c>
      <c r="G17086" s="67" t="s">
        <v>680</v>
      </c>
      <c r="H17086" s="69">
        <v>0.61</v>
      </c>
    </row>
    <row r="17087" spans="6:8">
      <c r="F17087" s="68" t="s">
        <v>304</v>
      </c>
      <c r="G17087" s="67" t="s">
        <v>680</v>
      </c>
      <c r="H17087" s="69">
        <v>17.84375</v>
      </c>
    </row>
    <row r="17088" spans="6:8">
      <c r="F17088" s="68" t="s">
        <v>129</v>
      </c>
      <c r="G17088" s="67" t="s">
        <v>680</v>
      </c>
      <c r="H17088" s="69">
        <v>-0.73</v>
      </c>
    </row>
    <row r="17089" spans="6:8">
      <c r="F17089" s="68" t="s">
        <v>128</v>
      </c>
      <c r="G17089" s="67" t="s">
        <v>680</v>
      </c>
      <c r="H17089" s="69">
        <v>-0.86</v>
      </c>
    </row>
    <row r="17090" spans="6:8">
      <c r="F17090" s="68" t="s">
        <v>664</v>
      </c>
      <c r="G17090" s="67" t="s">
        <v>680</v>
      </c>
      <c r="H17090" s="69">
        <v>112.73879535</v>
      </c>
    </row>
    <row r="17091" spans="6:8">
      <c r="F17091" s="68" t="s">
        <v>315</v>
      </c>
      <c r="G17091" s="67" t="s">
        <v>680</v>
      </c>
      <c r="H17091" s="69">
        <v>-0.16</v>
      </c>
    </row>
    <row r="17092" spans="6:8">
      <c r="F17092" s="68" t="s">
        <v>253</v>
      </c>
      <c r="G17092" s="67" t="s">
        <v>680</v>
      </c>
      <c r="H17092" s="69">
        <v>0.44</v>
      </c>
    </row>
    <row r="17093" spans="6:8">
      <c r="F17093" s="68" t="s">
        <v>127</v>
      </c>
      <c r="G17093" s="67" t="s">
        <v>680</v>
      </c>
      <c r="H17093" s="69">
        <v>-0.43</v>
      </c>
    </row>
    <row r="17094" spans="6:8">
      <c r="F17094" s="68" t="s">
        <v>126</v>
      </c>
      <c r="G17094" s="67" t="s">
        <v>680</v>
      </c>
      <c r="H17094" s="69">
        <v>-0.9</v>
      </c>
    </row>
    <row r="17095" spans="6:8">
      <c r="F17095" s="68" t="s">
        <v>125</v>
      </c>
      <c r="G17095" s="67" t="s">
        <v>680</v>
      </c>
      <c r="H17095" s="69">
        <v>-0.52</v>
      </c>
    </row>
    <row r="17096" spans="6:8">
      <c r="F17096" s="68" t="s">
        <v>663</v>
      </c>
      <c r="G17096" s="67" t="s">
        <v>680</v>
      </c>
      <c r="H17096" s="69">
        <v>112.73879535</v>
      </c>
    </row>
    <row r="17097" spans="6:8">
      <c r="F17097" s="68" t="s">
        <v>314</v>
      </c>
      <c r="G17097" s="67" t="s">
        <v>680</v>
      </c>
      <c r="H17097" s="69">
        <v>-0.39</v>
      </c>
    </row>
    <row r="17098" spans="6:8">
      <c r="F17098" s="68" t="s">
        <v>252</v>
      </c>
      <c r="G17098" s="67" t="s">
        <v>680</v>
      </c>
      <c r="H17098" s="69">
        <v>0.27</v>
      </c>
    </row>
    <row r="17099" spans="6:8">
      <c r="F17099" s="68" t="s">
        <v>124</v>
      </c>
      <c r="G17099" s="67" t="s">
        <v>680</v>
      </c>
      <c r="H17099" s="69">
        <v>-0.5</v>
      </c>
    </row>
    <row r="17100" spans="6:8">
      <c r="F17100" s="68" t="s">
        <v>123</v>
      </c>
      <c r="G17100" s="67" t="s">
        <v>680</v>
      </c>
      <c r="H17100" s="69">
        <v>-0.98</v>
      </c>
    </row>
    <row r="17101" spans="6:8">
      <c r="F17101" s="68" t="s">
        <v>122</v>
      </c>
      <c r="G17101" s="67" t="s">
        <v>680</v>
      </c>
      <c r="H17101" s="69">
        <v>-0.66</v>
      </c>
    </row>
    <row r="17102" spans="6:8">
      <c r="F17102" s="68" t="s">
        <v>251</v>
      </c>
      <c r="G17102" s="67" t="s">
        <v>680</v>
      </c>
      <c r="H17102" s="69">
        <v>0.21</v>
      </c>
    </row>
    <row r="17103" spans="6:8">
      <c r="F17103" s="68" t="s">
        <v>121</v>
      </c>
      <c r="G17103" s="67" t="s">
        <v>680</v>
      </c>
      <c r="H17103" s="69">
        <v>-0.63</v>
      </c>
    </row>
    <row r="17104" spans="6:8">
      <c r="F17104" s="68" t="s">
        <v>120</v>
      </c>
      <c r="G17104" s="67" t="s">
        <v>680</v>
      </c>
      <c r="H17104" s="69">
        <v>-0.83</v>
      </c>
    </row>
    <row r="17105" spans="6:8">
      <c r="F17105" s="68" t="s">
        <v>119</v>
      </c>
      <c r="G17105" s="67" t="s">
        <v>680</v>
      </c>
      <c r="H17105" s="69">
        <v>-0.69</v>
      </c>
    </row>
    <row r="17106" spans="6:8">
      <c r="F17106" s="68" t="s">
        <v>662</v>
      </c>
      <c r="G17106" s="67" t="s">
        <v>680</v>
      </c>
      <c r="H17106" s="69">
        <v>112.73879535</v>
      </c>
    </row>
    <row r="17107" spans="6:8">
      <c r="F17107" s="68" t="s">
        <v>420</v>
      </c>
      <c r="G17107" s="67" t="s">
        <v>680</v>
      </c>
      <c r="H17107" s="69">
        <v>3.2009787016828106</v>
      </c>
    </row>
    <row r="17108" spans="6:8">
      <c r="F17108" s="68" t="s">
        <v>420</v>
      </c>
      <c r="G17108" s="67" t="s">
        <v>681</v>
      </c>
      <c r="H17108" s="69">
        <v>3.1873344600160891</v>
      </c>
    </row>
    <row r="17109" spans="6:8">
      <c r="F17109" s="68" t="s">
        <v>662</v>
      </c>
      <c r="G17109" s="67" t="s">
        <v>681</v>
      </c>
      <c r="H17109" s="69">
        <v>112.84569839</v>
      </c>
    </row>
    <row r="17110" spans="6:8">
      <c r="F17110" s="68" t="s">
        <v>119</v>
      </c>
      <c r="G17110" s="67" t="s">
        <v>681</v>
      </c>
      <c r="H17110" s="69">
        <v>-0.69</v>
      </c>
    </row>
    <row r="17111" spans="6:8">
      <c r="F17111" s="68" t="s">
        <v>120</v>
      </c>
      <c r="G17111" s="67" t="s">
        <v>681</v>
      </c>
      <c r="H17111" s="69">
        <v>-0.83</v>
      </c>
    </row>
    <row r="17112" spans="6:8">
      <c r="F17112" s="68" t="s">
        <v>121</v>
      </c>
      <c r="G17112" s="67" t="s">
        <v>681</v>
      </c>
      <c r="H17112" s="69">
        <v>-0.63</v>
      </c>
    </row>
    <row r="17113" spans="6:8">
      <c r="F17113" s="68" t="s">
        <v>251</v>
      </c>
      <c r="G17113" s="67" t="s">
        <v>681</v>
      </c>
      <c r="H17113" s="69">
        <v>0.21</v>
      </c>
    </row>
    <row r="17114" spans="6:8">
      <c r="F17114" s="68" t="s">
        <v>122</v>
      </c>
      <c r="G17114" s="67" t="s">
        <v>681</v>
      </c>
      <c r="H17114" s="69">
        <v>-0.66</v>
      </c>
    </row>
    <row r="17115" spans="6:8">
      <c r="F17115" s="68" t="s">
        <v>123</v>
      </c>
      <c r="G17115" s="67" t="s">
        <v>681</v>
      </c>
      <c r="H17115" s="69">
        <v>-0.98</v>
      </c>
    </row>
    <row r="17116" spans="6:8">
      <c r="F17116" s="68" t="s">
        <v>124</v>
      </c>
      <c r="G17116" s="67" t="s">
        <v>681</v>
      </c>
      <c r="H17116" s="69">
        <v>-0.5</v>
      </c>
    </row>
    <row r="17117" spans="6:8">
      <c r="F17117" s="68" t="s">
        <v>252</v>
      </c>
      <c r="G17117" s="67" t="s">
        <v>681</v>
      </c>
      <c r="H17117" s="69">
        <v>0.27</v>
      </c>
    </row>
    <row r="17118" spans="6:8">
      <c r="F17118" s="68" t="s">
        <v>314</v>
      </c>
      <c r="G17118" s="67" t="s">
        <v>681</v>
      </c>
      <c r="H17118" s="69">
        <v>-0.39</v>
      </c>
    </row>
    <row r="17119" spans="6:8">
      <c r="F17119" s="68" t="s">
        <v>663</v>
      </c>
      <c r="G17119" s="67" t="s">
        <v>681</v>
      </c>
      <c r="H17119" s="69">
        <v>112.84628136000001</v>
      </c>
    </row>
    <row r="17120" spans="6:8">
      <c r="F17120" s="68" t="s">
        <v>125</v>
      </c>
      <c r="G17120" s="67" t="s">
        <v>681</v>
      </c>
      <c r="H17120" s="69">
        <v>-0.52</v>
      </c>
    </row>
    <row r="17121" spans="6:8">
      <c r="F17121" s="68" t="s">
        <v>126</v>
      </c>
      <c r="G17121" s="67" t="s">
        <v>681</v>
      </c>
      <c r="H17121" s="69">
        <v>-0.9</v>
      </c>
    </row>
    <row r="17122" spans="6:8">
      <c r="F17122" s="68" t="s">
        <v>127</v>
      </c>
      <c r="G17122" s="67" t="s">
        <v>681</v>
      </c>
      <c r="H17122" s="69">
        <v>-0.43</v>
      </c>
    </row>
    <row r="17123" spans="6:8">
      <c r="F17123" s="68" t="s">
        <v>253</v>
      </c>
      <c r="G17123" s="67" t="s">
        <v>681</v>
      </c>
      <c r="H17123" s="69">
        <v>0.44</v>
      </c>
    </row>
    <row r="17124" spans="6:8">
      <c r="F17124" s="68" t="s">
        <v>315</v>
      </c>
      <c r="G17124" s="67" t="s">
        <v>681</v>
      </c>
      <c r="H17124" s="69">
        <v>-0.16</v>
      </c>
    </row>
    <row r="17125" spans="6:8">
      <c r="F17125" s="68" t="s">
        <v>664</v>
      </c>
      <c r="G17125" s="67" t="s">
        <v>681</v>
      </c>
      <c r="H17125" s="69">
        <v>112.84607565</v>
      </c>
    </row>
    <row r="17126" spans="6:8">
      <c r="F17126" s="68" t="s">
        <v>128</v>
      </c>
      <c r="G17126" s="67" t="s">
        <v>681</v>
      </c>
      <c r="H17126" s="69">
        <v>-0.86</v>
      </c>
    </row>
    <row r="17127" spans="6:8">
      <c r="F17127" s="68" t="s">
        <v>129</v>
      </c>
      <c r="G17127" s="67" t="s">
        <v>681</v>
      </c>
      <c r="H17127" s="69">
        <v>-0.73</v>
      </c>
    </row>
    <row r="17128" spans="6:8">
      <c r="F17128" s="68" t="s">
        <v>304</v>
      </c>
      <c r="G17128" s="67" t="s">
        <v>681</v>
      </c>
      <c r="H17128" s="69">
        <v>17.916666666666668</v>
      </c>
    </row>
    <row r="17129" spans="6:8">
      <c r="F17129" s="68" t="s">
        <v>254</v>
      </c>
      <c r="G17129" s="67" t="s">
        <v>681</v>
      </c>
      <c r="H17129" s="69">
        <v>0.61</v>
      </c>
    </row>
    <row r="17130" spans="6:8">
      <c r="F17130" s="68" t="s">
        <v>421</v>
      </c>
      <c r="G17130" s="67" t="s">
        <v>681</v>
      </c>
      <c r="H17130" s="69">
        <v>2.1615154826874594</v>
      </c>
    </row>
    <row r="17131" spans="6:8">
      <c r="F17131" s="68" t="s">
        <v>567</v>
      </c>
      <c r="G17131" s="67" t="s">
        <v>681</v>
      </c>
      <c r="H17131" s="69">
        <v>-0.75</v>
      </c>
    </row>
    <row r="17132" spans="6:8">
      <c r="F17132" s="68" t="s">
        <v>665</v>
      </c>
      <c r="G17132" s="67" t="s">
        <v>681</v>
      </c>
      <c r="H17132" s="69">
        <v>112.84613202</v>
      </c>
    </row>
    <row r="17133" spans="6:8">
      <c r="F17133" s="68" t="s">
        <v>130</v>
      </c>
      <c r="G17133" s="67" t="s">
        <v>681</v>
      </c>
      <c r="H17133" s="69">
        <v>-1</v>
      </c>
    </row>
    <row r="17134" spans="6:8">
      <c r="F17134" s="68" t="s">
        <v>131</v>
      </c>
      <c r="G17134" s="67" t="s">
        <v>681</v>
      </c>
      <c r="H17134" s="69">
        <v>-0.56999999999999995</v>
      </c>
    </row>
    <row r="17135" spans="6:8">
      <c r="F17135" s="68" t="s">
        <v>303</v>
      </c>
      <c r="G17135" s="67" t="s">
        <v>681</v>
      </c>
      <c r="H17135" s="69">
        <v>18.885416666666668</v>
      </c>
    </row>
    <row r="17136" spans="6:8">
      <c r="F17136" s="68" t="s">
        <v>255</v>
      </c>
      <c r="G17136" s="67" t="s">
        <v>681</v>
      </c>
      <c r="H17136" s="69">
        <v>0.77</v>
      </c>
    </row>
    <row r="17137" spans="6:8">
      <c r="F17137" s="68" t="s">
        <v>422</v>
      </c>
      <c r="G17137" s="67" t="s">
        <v>681</v>
      </c>
      <c r="H17137" s="69">
        <v>2.1681594183852848</v>
      </c>
    </row>
    <row r="17138" spans="6:8">
      <c r="F17138" s="68" t="s">
        <v>568</v>
      </c>
      <c r="G17138" s="67" t="s">
        <v>681</v>
      </c>
      <c r="H17138" s="69">
        <v>-0.36</v>
      </c>
    </row>
    <row r="17139" spans="6:8">
      <c r="F17139" s="68" t="s">
        <v>666</v>
      </c>
      <c r="G17139" s="67" t="s">
        <v>681</v>
      </c>
      <c r="H17139" s="69">
        <v>112.84593128</v>
      </c>
    </row>
    <row r="17140" spans="6:8">
      <c r="F17140" s="68" t="s">
        <v>132</v>
      </c>
      <c r="G17140" s="67" t="s">
        <v>681</v>
      </c>
      <c r="H17140" s="69">
        <v>-0.9</v>
      </c>
    </row>
    <row r="17141" spans="6:8">
      <c r="F17141" s="68" t="s">
        <v>133</v>
      </c>
      <c r="G17141" s="67" t="s">
        <v>681</v>
      </c>
      <c r="H17141" s="69">
        <v>-0.64</v>
      </c>
    </row>
    <row r="17142" spans="6:8">
      <c r="F17142" s="68" t="s">
        <v>256</v>
      </c>
      <c r="G17142" s="67" t="s">
        <v>681</v>
      </c>
      <c r="H17142" s="69">
        <v>0.87</v>
      </c>
    </row>
    <row r="17143" spans="6:8">
      <c r="F17143" s="68" t="s">
        <v>423</v>
      </c>
      <c r="G17143" s="67" t="s">
        <v>681</v>
      </c>
      <c r="H17143" s="69">
        <v>2.2529900444343109</v>
      </c>
    </row>
    <row r="17144" spans="6:8">
      <c r="F17144" s="68" t="s">
        <v>569</v>
      </c>
      <c r="G17144" s="67" t="s">
        <v>681</v>
      </c>
      <c r="H17144" s="69">
        <v>-0.15</v>
      </c>
    </row>
    <row r="17145" spans="6:8">
      <c r="F17145" s="68" t="s">
        <v>667</v>
      </c>
      <c r="G17145" s="67" t="s">
        <v>681</v>
      </c>
      <c r="H17145" s="69">
        <v>112.84628934</v>
      </c>
    </row>
    <row r="17146" spans="6:8">
      <c r="F17146" s="68" t="s">
        <v>424</v>
      </c>
      <c r="G17146" s="67" t="s">
        <v>681</v>
      </c>
      <c r="H17146" s="69">
        <v>2.881842208925578</v>
      </c>
    </row>
    <row r="17147" spans="6:8">
      <c r="F17147" s="68" t="s">
        <v>668</v>
      </c>
      <c r="G17147" s="67" t="s">
        <v>681</v>
      </c>
      <c r="H17147" s="69">
        <v>112.84609172</v>
      </c>
    </row>
    <row r="17148" spans="6:8">
      <c r="F17148" s="68" t="s">
        <v>134</v>
      </c>
      <c r="G17148" s="67" t="s">
        <v>681</v>
      </c>
      <c r="H17148" s="69">
        <v>-0.86</v>
      </c>
    </row>
    <row r="17149" spans="6:8">
      <c r="F17149" s="68" t="s">
        <v>135</v>
      </c>
      <c r="G17149" s="67" t="s">
        <v>681</v>
      </c>
      <c r="H17149" s="69">
        <v>-0.8</v>
      </c>
    </row>
    <row r="17150" spans="6:8">
      <c r="F17150" s="68" t="s">
        <v>257</v>
      </c>
      <c r="G17150" s="67" t="s">
        <v>681</v>
      </c>
      <c r="H17150" s="69">
        <v>0.92</v>
      </c>
    </row>
    <row r="17151" spans="6:8">
      <c r="F17151" s="68" t="s">
        <v>258</v>
      </c>
      <c r="G17151" s="67" t="s">
        <v>681</v>
      </c>
      <c r="H17151" s="69">
        <v>0.15</v>
      </c>
    </row>
    <row r="17152" spans="6:8">
      <c r="F17152" s="68" t="s">
        <v>425</v>
      </c>
      <c r="G17152" s="67" t="s">
        <v>681</v>
      </c>
      <c r="H17152" s="69">
        <v>2.9431901701828078</v>
      </c>
    </row>
    <row r="17153" spans="6:8">
      <c r="F17153" s="68" t="s">
        <v>669</v>
      </c>
      <c r="G17153" s="67" t="s">
        <v>681</v>
      </c>
      <c r="H17153" s="69">
        <v>112.84630932</v>
      </c>
    </row>
    <row r="17154" spans="6:8">
      <c r="F17154" s="68" t="s">
        <v>136</v>
      </c>
      <c r="G17154" s="67" t="s">
        <v>681</v>
      </c>
      <c r="H17154" s="69">
        <v>-0.8</v>
      </c>
    </row>
    <row r="17155" spans="6:8">
      <c r="F17155" s="68" t="s">
        <v>137</v>
      </c>
      <c r="G17155" s="67" t="s">
        <v>681</v>
      </c>
      <c r="H17155" s="69">
        <v>-0.68</v>
      </c>
    </row>
    <row r="17156" spans="6:8">
      <c r="F17156" s="68" t="s">
        <v>138</v>
      </c>
      <c r="G17156" s="67" t="s">
        <v>681</v>
      </c>
      <c r="H17156" s="69">
        <v>-0.74</v>
      </c>
    </row>
    <row r="17157" spans="6:8">
      <c r="F17157" s="68" t="s">
        <v>259</v>
      </c>
      <c r="G17157" s="67" t="s">
        <v>681</v>
      </c>
      <c r="H17157" s="69">
        <v>0.17</v>
      </c>
    </row>
    <row r="17158" spans="6:8">
      <c r="F17158" s="68" t="s">
        <v>259</v>
      </c>
      <c r="G17158" s="67" t="s">
        <v>682</v>
      </c>
      <c r="H17158" s="69">
        <v>0.16</v>
      </c>
    </row>
    <row r="17159" spans="6:8">
      <c r="F17159" s="68" t="s">
        <v>138</v>
      </c>
      <c r="G17159" s="67" t="s">
        <v>682</v>
      </c>
      <c r="H17159" s="69">
        <v>-0.74</v>
      </c>
    </row>
    <row r="17160" spans="6:8">
      <c r="F17160" s="68" t="s">
        <v>137</v>
      </c>
      <c r="G17160" s="67" t="s">
        <v>682</v>
      </c>
      <c r="H17160" s="69">
        <v>-0.65</v>
      </c>
    </row>
    <row r="17161" spans="6:8">
      <c r="F17161" s="68" t="s">
        <v>136</v>
      </c>
      <c r="G17161" s="67" t="s">
        <v>682</v>
      </c>
      <c r="H17161" s="69">
        <v>-0.79</v>
      </c>
    </row>
    <row r="17162" spans="6:8">
      <c r="F17162" s="68" t="s">
        <v>669</v>
      </c>
      <c r="G17162" s="67" t="s">
        <v>682</v>
      </c>
      <c r="H17162" s="69">
        <v>112.71437914000001</v>
      </c>
    </row>
    <row r="17163" spans="6:8">
      <c r="F17163" s="68" t="s">
        <v>425</v>
      </c>
      <c r="G17163" s="67" t="s">
        <v>682</v>
      </c>
      <c r="H17163" s="69">
        <v>2.9986208638000278</v>
      </c>
    </row>
    <row r="17164" spans="6:8">
      <c r="F17164" s="68" t="s">
        <v>258</v>
      </c>
      <c r="G17164" s="67" t="s">
        <v>682</v>
      </c>
      <c r="H17164" s="69">
        <v>0.15</v>
      </c>
    </row>
    <row r="17165" spans="6:8">
      <c r="F17165" s="68" t="s">
        <v>257</v>
      </c>
      <c r="G17165" s="67" t="s">
        <v>682</v>
      </c>
      <c r="H17165" s="69">
        <v>0.91</v>
      </c>
    </row>
    <row r="17166" spans="6:8">
      <c r="F17166" s="68" t="s">
        <v>135</v>
      </c>
      <c r="G17166" s="67" t="s">
        <v>682</v>
      </c>
      <c r="H17166" s="69">
        <v>-0.77</v>
      </c>
    </row>
    <row r="17167" spans="6:8">
      <c r="F17167" s="68" t="s">
        <v>134</v>
      </c>
      <c r="G17167" s="67" t="s">
        <v>682</v>
      </c>
      <c r="H17167" s="69">
        <v>-0.86</v>
      </c>
    </row>
    <row r="17168" spans="6:8">
      <c r="F17168" s="68" t="s">
        <v>668</v>
      </c>
      <c r="G17168" s="67" t="s">
        <v>682</v>
      </c>
      <c r="H17168" s="69">
        <v>112.71416314</v>
      </c>
    </row>
    <row r="17169" spans="6:8">
      <c r="F17169" s="68" t="s">
        <v>424</v>
      </c>
      <c r="G17169" s="67" t="s">
        <v>682</v>
      </c>
      <c r="H17169" s="69">
        <v>2.9607086869690491</v>
      </c>
    </row>
    <row r="17170" spans="6:8">
      <c r="F17170" s="68" t="s">
        <v>667</v>
      </c>
      <c r="G17170" s="67" t="s">
        <v>682</v>
      </c>
      <c r="H17170" s="69">
        <v>112.7143593</v>
      </c>
    </row>
    <row r="17171" spans="6:8">
      <c r="F17171" s="68" t="s">
        <v>569</v>
      </c>
      <c r="G17171" s="67" t="s">
        <v>682</v>
      </c>
      <c r="H17171" s="69">
        <v>-0.15</v>
      </c>
    </row>
    <row r="17172" spans="6:8">
      <c r="F17172" s="68" t="s">
        <v>423</v>
      </c>
      <c r="G17172" s="67" t="s">
        <v>682</v>
      </c>
      <c r="H17172" s="69">
        <v>2.2856534741064305</v>
      </c>
    </row>
    <row r="17173" spans="6:8">
      <c r="F17173" s="68" t="s">
        <v>256</v>
      </c>
      <c r="G17173" s="67" t="s">
        <v>682</v>
      </c>
      <c r="H17173" s="69">
        <v>0.86</v>
      </c>
    </row>
    <row r="17174" spans="6:8">
      <c r="F17174" s="68" t="s">
        <v>133</v>
      </c>
      <c r="G17174" s="67" t="s">
        <v>682</v>
      </c>
      <c r="H17174" s="69">
        <v>-0.62</v>
      </c>
    </row>
    <row r="17175" spans="6:8">
      <c r="F17175" s="68" t="s">
        <v>132</v>
      </c>
      <c r="G17175" s="67" t="s">
        <v>682</v>
      </c>
      <c r="H17175" s="69">
        <v>-0.9</v>
      </c>
    </row>
    <row r="17176" spans="6:8">
      <c r="F17176" s="68" t="s">
        <v>666</v>
      </c>
      <c r="G17176" s="67" t="s">
        <v>682</v>
      </c>
      <c r="H17176" s="69">
        <v>112.71400389</v>
      </c>
    </row>
    <row r="17177" spans="6:8">
      <c r="F17177" s="68" t="s">
        <v>568</v>
      </c>
      <c r="G17177" s="67" t="s">
        <v>682</v>
      </c>
      <c r="H17177" s="69">
        <v>-0.35</v>
      </c>
    </row>
    <row r="17178" spans="6:8">
      <c r="F17178" s="68" t="s">
        <v>422</v>
      </c>
      <c r="G17178" s="67" t="s">
        <v>682</v>
      </c>
      <c r="H17178" s="69">
        <v>2.1480703888713926</v>
      </c>
    </row>
    <row r="17179" spans="6:8">
      <c r="F17179" s="68" t="s">
        <v>255</v>
      </c>
      <c r="G17179" s="67" t="s">
        <v>682</v>
      </c>
      <c r="H17179" s="69">
        <v>0.76</v>
      </c>
    </row>
    <row r="17180" spans="6:8">
      <c r="F17180" s="68" t="s">
        <v>303</v>
      </c>
      <c r="G17180" s="67" t="s">
        <v>682</v>
      </c>
      <c r="H17180" s="69">
        <v>18.875</v>
      </c>
    </row>
    <row r="17181" spans="6:8">
      <c r="F17181" s="68" t="s">
        <v>131</v>
      </c>
      <c r="G17181" s="67" t="s">
        <v>682</v>
      </c>
      <c r="H17181" s="69">
        <v>-0.55000000000000004</v>
      </c>
    </row>
    <row r="17182" spans="6:8">
      <c r="F17182" s="68" t="s">
        <v>130</v>
      </c>
      <c r="G17182" s="67" t="s">
        <v>682</v>
      </c>
      <c r="H17182" s="69">
        <v>-0.99</v>
      </c>
    </row>
    <row r="17183" spans="6:8">
      <c r="F17183" s="68" t="s">
        <v>665</v>
      </c>
      <c r="G17183" s="67" t="s">
        <v>682</v>
      </c>
      <c r="H17183" s="69">
        <v>112.71420314</v>
      </c>
    </row>
    <row r="17184" spans="6:8">
      <c r="F17184" s="68" t="s">
        <v>567</v>
      </c>
      <c r="G17184" s="67" t="s">
        <v>682</v>
      </c>
      <c r="H17184" s="69">
        <v>-0.74</v>
      </c>
    </row>
    <row r="17185" spans="6:8">
      <c r="F17185" s="68" t="s">
        <v>421</v>
      </c>
      <c r="G17185" s="67" t="s">
        <v>682</v>
      </c>
      <c r="H17185" s="69">
        <v>2.141105855540637</v>
      </c>
    </row>
    <row r="17186" spans="6:8">
      <c r="F17186" s="68" t="s">
        <v>254</v>
      </c>
      <c r="G17186" s="67" t="s">
        <v>682</v>
      </c>
      <c r="H17186" s="69">
        <v>0.6</v>
      </c>
    </row>
    <row r="17187" spans="6:8">
      <c r="F17187" s="68" t="s">
        <v>304</v>
      </c>
      <c r="G17187" s="67" t="s">
        <v>682</v>
      </c>
      <c r="H17187" s="69">
        <v>17.833333333333332</v>
      </c>
    </row>
    <row r="17188" spans="6:8">
      <c r="F17188" s="68" t="s">
        <v>129</v>
      </c>
      <c r="G17188" s="67" t="s">
        <v>682</v>
      </c>
      <c r="H17188" s="69">
        <v>-0.7</v>
      </c>
    </row>
    <row r="17189" spans="6:8">
      <c r="F17189" s="68" t="s">
        <v>128</v>
      </c>
      <c r="G17189" s="67" t="s">
        <v>682</v>
      </c>
      <c r="H17189" s="69">
        <v>-0.86</v>
      </c>
    </row>
    <row r="17190" spans="6:8">
      <c r="F17190" s="68" t="s">
        <v>664</v>
      </c>
      <c r="G17190" s="67" t="s">
        <v>682</v>
      </c>
      <c r="H17190" s="69">
        <v>112.71414719000001</v>
      </c>
    </row>
    <row r="17191" spans="6:8">
      <c r="F17191" s="68" t="s">
        <v>315</v>
      </c>
      <c r="G17191" s="67" t="s">
        <v>682</v>
      </c>
      <c r="H17191" s="69">
        <v>-0.16</v>
      </c>
    </row>
    <row r="17192" spans="6:8">
      <c r="F17192" s="68" t="s">
        <v>253</v>
      </c>
      <c r="G17192" s="67" t="s">
        <v>682</v>
      </c>
      <c r="H17192" s="69">
        <v>0.44</v>
      </c>
    </row>
    <row r="17193" spans="6:8">
      <c r="F17193" s="68" t="s">
        <v>127</v>
      </c>
      <c r="G17193" s="67" t="s">
        <v>682</v>
      </c>
      <c r="H17193" s="69">
        <v>-0.41</v>
      </c>
    </row>
    <row r="17194" spans="6:8">
      <c r="F17194" s="68" t="s">
        <v>126</v>
      </c>
      <c r="G17194" s="67" t="s">
        <v>682</v>
      </c>
      <c r="H17194" s="69">
        <v>-0.88</v>
      </c>
    </row>
    <row r="17195" spans="6:8">
      <c r="F17195" s="68" t="s">
        <v>125</v>
      </c>
      <c r="G17195" s="67" t="s">
        <v>682</v>
      </c>
      <c r="H17195" s="69">
        <v>-0.51</v>
      </c>
    </row>
    <row r="17196" spans="6:8">
      <c r="F17196" s="68" t="s">
        <v>663</v>
      </c>
      <c r="G17196" s="67" t="s">
        <v>682</v>
      </c>
      <c r="H17196" s="69">
        <v>112.71435138</v>
      </c>
    </row>
    <row r="17197" spans="6:8">
      <c r="F17197" s="68" t="s">
        <v>314</v>
      </c>
      <c r="G17197" s="67" t="s">
        <v>682</v>
      </c>
      <c r="H17197" s="69">
        <v>-0.39</v>
      </c>
    </row>
    <row r="17198" spans="6:8">
      <c r="F17198" s="68" t="s">
        <v>252</v>
      </c>
      <c r="G17198" s="67" t="s">
        <v>682</v>
      </c>
      <c r="H17198" s="69">
        <v>0.28000000000000003</v>
      </c>
    </row>
    <row r="17199" spans="6:8">
      <c r="F17199" s="68" t="s">
        <v>124</v>
      </c>
      <c r="G17199" s="67" t="s">
        <v>682</v>
      </c>
      <c r="H17199" s="69">
        <v>-0.5</v>
      </c>
    </row>
    <row r="17200" spans="6:8">
      <c r="F17200" s="68" t="s">
        <v>123</v>
      </c>
      <c r="G17200" s="67" t="s">
        <v>682</v>
      </c>
      <c r="H17200" s="69">
        <v>-0.95</v>
      </c>
    </row>
    <row r="17201" spans="6:8">
      <c r="F17201" s="68" t="s">
        <v>122</v>
      </c>
      <c r="G17201" s="67" t="s">
        <v>682</v>
      </c>
      <c r="H17201" s="69">
        <v>-0.64</v>
      </c>
    </row>
    <row r="17202" spans="6:8">
      <c r="F17202" s="68" t="s">
        <v>251</v>
      </c>
      <c r="G17202" s="67" t="s">
        <v>682</v>
      </c>
      <c r="H17202" s="69">
        <v>0.2</v>
      </c>
    </row>
    <row r="17203" spans="6:8">
      <c r="F17203" s="68" t="s">
        <v>121</v>
      </c>
      <c r="G17203" s="67" t="s">
        <v>682</v>
      </c>
      <c r="H17203" s="69">
        <v>-0.63</v>
      </c>
    </row>
    <row r="17204" spans="6:8">
      <c r="F17204" s="68" t="s">
        <v>120</v>
      </c>
      <c r="G17204" s="67" t="s">
        <v>682</v>
      </c>
      <c r="H17204" s="69">
        <v>-0.8</v>
      </c>
    </row>
    <row r="17205" spans="6:8">
      <c r="F17205" s="68" t="s">
        <v>119</v>
      </c>
      <c r="G17205" s="67" t="s">
        <v>682</v>
      </c>
      <c r="H17205" s="69">
        <v>-0.68</v>
      </c>
    </row>
    <row r="17206" spans="6:8">
      <c r="F17206" s="68" t="s">
        <v>662</v>
      </c>
      <c r="G17206" s="67" t="s">
        <v>682</v>
      </c>
      <c r="H17206" s="69">
        <v>112.71377271</v>
      </c>
    </row>
    <row r="17207" spans="6:8">
      <c r="F17207" s="68" t="s">
        <v>420</v>
      </c>
      <c r="G17207" s="67" t="s">
        <v>682</v>
      </c>
      <c r="H17207" s="69">
        <v>3.223812813352156</v>
      </c>
    </row>
    <row r="17208" spans="6:8">
      <c r="F17208" s="68" t="s">
        <v>420</v>
      </c>
      <c r="G17208" s="67" t="s">
        <v>683</v>
      </c>
      <c r="H17208" s="69">
        <v>3.2327612765480129</v>
      </c>
    </row>
    <row r="17209" spans="6:8">
      <c r="F17209" s="68" t="s">
        <v>662</v>
      </c>
      <c r="G17209" s="67" t="s">
        <v>683</v>
      </c>
      <c r="H17209" s="69">
        <v>112.69316044</v>
      </c>
    </row>
    <row r="17210" spans="6:8">
      <c r="F17210" s="68" t="s">
        <v>119</v>
      </c>
      <c r="G17210" s="67" t="s">
        <v>683</v>
      </c>
      <c r="H17210" s="69">
        <v>-0.68</v>
      </c>
    </row>
    <row r="17211" spans="6:8">
      <c r="F17211" s="68" t="s">
        <v>120</v>
      </c>
      <c r="G17211" s="67" t="s">
        <v>683</v>
      </c>
      <c r="H17211" s="69">
        <v>-0.8</v>
      </c>
    </row>
    <row r="17212" spans="6:8">
      <c r="F17212" s="68" t="s">
        <v>121</v>
      </c>
      <c r="G17212" s="67" t="s">
        <v>683</v>
      </c>
      <c r="H17212" s="69">
        <v>-0.63</v>
      </c>
    </row>
    <row r="17213" spans="6:8">
      <c r="F17213" s="68" t="s">
        <v>251</v>
      </c>
      <c r="G17213" s="67" t="s">
        <v>683</v>
      </c>
      <c r="H17213" s="69">
        <v>0.2</v>
      </c>
    </row>
    <row r="17214" spans="6:8">
      <c r="F17214" s="68" t="s">
        <v>122</v>
      </c>
      <c r="G17214" s="67" t="s">
        <v>683</v>
      </c>
      <c r="H17214" s="69">
        <v>-0.64</v>
      </c>
    </row>
    <row r="17215" spans="6:8">
      <c r="F17215" s="68" t="s">
        <v>123</v>
      </c>
      <c r="G17215" s="67" t="s">
        <v>683</v>
      </c>
      <c r="H17215" s="69">
        <v>-0.95</v>
      </c>
    </row>
    <row r="17216" spans="6:8">
      <c r="F17216" s="68" t="s">
        <v>124</v>
      </c>
      <c r="G17216" s="67" t="s">
        <v>683</v>
      </c>
      <c r="H17216" s="69">
        <v>-0.5</v>
      </c>
    </row>
    <row r="17217" spans="6:8">
      <c r="F17217" s="68" t="s">
        <v>252</v>
      </c>
      <c r="G17217" s="67" t="s">
        <v>683</v>
      </c>
      <c r="H17217" s="69">
        <v>0.28000000000000003</v>
      </c>
    </row>
    <row r="17218" spans="6:8">
      <c r="F17218" s="68" t="s">
        <v>314</v>
      </c>
      <c r="G17218" s="67" t="s">
        <v>683</v>
      </c>
      <c r="H17218" s="69">
        <v>-0.39</v>
      </c>
    </row>
    <row r="17219" spans="6:8">
      <c r="F17219" s="68" t="s">
        <v>663</v>
      </c>
      <c r="G17219" s="67" t="s">
        <v>683</v>
      </c>
      <c r="H17219" s="69">
        <v>112.69373876</v>
      </c>
    </row>
    <row r="17220" spans="6:8">
      <c r="F17220" s="68" t="s">
        <v>125</v>
      </c>
      <c r="G17220" s="67" t="s">
        <v>683</v>
      </c>
      <c r="H17220" s="69">
        <v>-0.51</v>
      </c>
    </row>
    <row r="17221" spans="6:8">
      <c r="F17221" s="68" t="s">
        <v>126</v>
      </c>
      <c r="G17221" s="67" t="s">
        <v>683</v>
      </c>
      <c r="H17221" s="69">
        <v>-0.88</v>
      </c>
    </row>
    <row r="17222" spans="6:8">
      <c r="F17222" s="68" t="s">
        <v>127</v>
      </c>
      <c r="G17222" s="67" t="s">
        <v>683</v>
      </c>
      <c r="H17222" s="69">
        <v>-0.41</v>
      </c>
    </row>
    <row r="17223" spans="6:8">
      <c r="F17223" s="68" t="s">
        <v>253</v>
      </c>
      <c r="G17223" s="67" t="s">
        <v>683</v>
      </c>
      <c r="H17223" s="69">
        <v>0.44</v>
      </c>
    </row>
    <row r="17224" spans="6:8">
      <c r="F17224" s="68" t="s">
        <v>315</v>
      </c>
      <c r="G17224" s="67" t="s">
        <v>683</v>
      </c>
      <c r="H17224" s="69">
        <v>-0.16</v>
      </c>
    </row>
    <row r="17225" spans="6:8">
      <c r="F17225" s="68" t="s">
        <v>664</v>
      </c>
      <c r="G17225" s="67" t="s">
        <v>683</v>
      </c>
      <c r="H17225" s="69">
        <v>112.69353469000001</v>
      </c>
    </row>
    <row r="17226" spans="6:8">
      <c r="F17226" s="68" t="s">
        <v>128</v>
      </c>
      <c r="G17226" s="67" t="s">
        <v>683</v>
      </c>
      <c r="H17226" s="69">
        <v>-0.86</v>
      </c>
    </row>
    <row r="17227" spans="6:8">
      <c r="F17227" s="68" t="s">
        <v>129</v>
      </c>
      <c r="G17227" s="67" t="s">
        <v>683</v>
      </c>
      <c r="H17227" s="69">
        <v>-0.7</v>
      </c>
    </row>
    <row r="17228" spans="6:8">
      <c r="F17228" s="68" t="s">
        <v>304</v>
      </c>
      <c r="G17228" s="67" t="s">
        <v>683</v>
      </c>
      <c r="H17228" s="69">
        <v>18.119791666666668</v>
      </c>
    </row>
    <row r="17229" spans="6:8">
      <c r="F17229" s="68" t="s">
        <v>254</v>
      </c>
      <c r="G17229" s="67" t="s">
        <v>683</v>
      </c>
      <c r="H17229" s="69">
        <v>0.6</v>
      </c>
    </row>
    <row r="17230" spans="6:8">
      <c r="F17230" s="68" t="s">
        <v>421</v>
      </c>
      <c r="G17230" s="67" t="s">
        <v>683</v>
      </c>
      <c r="H17230" s="69">
        <v>2.2296864773037495</v>
      </c>
    </row>
    <row r="17231" spans="6:8">
      <c r="F17231" s="68" t="s">
        <v>567</v>
      </c>
      <c r="G17231" s="67" t="s">
        <v>683</v>
      </c>
      <c r="H17231" s="69">
        <v>-0.74</v>
      </c>
    </row>
    <row r="17232" spans="6:8">
      <c r="F17232" s="68" t="s">
        <v>665</v>
      </c>
      <c r="G17232" s="67" t="s">
        <v>683</v>
      </c>
      <c r="H17232" s="69">
        <v>112.69359061</v>
      </c>
    </row>
    <row r="17233" spans="6:8">
      <c r="F17233" s="68" t="s">
        <v>130</v>
      </c>
      <c r="G17233" s="67" t="s">
        <v>683</v>
      </c>
      <c r="H17233" s="69">
        <v>-0.99</v>
      </c>
    </row>
    <row r="17234" spans="6:8">
      <c r="F17234" s="68" t="s">
        <v>131</v>
      </c>
      <c r="G17234" s="67" t="s">
        <v>683</v>
      </c>
      <c r="H17234" s="69">
        <v>-0.55000000000000004</v>
      </c>
    </row>
    <row r="17235" spans="6:8">
      <c r="F17235" s="68" t="s">
        <v>303</v>
      </c>
      <c r="G17235" s="67" t="s">
        <v>683</v>
      </c>
      <c r="H17235" s="69">
        <v>19.145833333333332</v>
      </c>
    </row>
    <row r="17236" spans="6:8">
      <c r="F17236" s="68" t="s">
        <v>255</v>
      </c>
      <c r="G17236" s="67" t="s">
        <v>683</v>
      </c>
      <c r="H17236" s="69">
        <v>0.76</v>
      </c>
    </row>
    <row r="17237" spans="6:8">
      <c r="F17237" s="68" t="s">
        <v>422</v>
      </c>
      <c r="G17237" s="67" t="s">
        <v>683</v>
      </c>
      <c r="H17237" s="69">
        <v>2.2364022024790486</v>
      </c>
    </row>
    <row r="17238" spans="6:8">
      <c r="F17238" s="68" t="s">
        <v>568</v>
      </c>
      <c r="G17238" s="67" t="s">
        <v>683</v>
      </c>
      <c r="H17238" s="69">
        <v>-0.35</v>
      </c>
    </row>
    <row r="17239" spans="6:8">
      <c r="F17239" s="68" t="s">
        <v>666</v>
      </c>
      <c r="G17239" s="67" t="s">
        <v>683</v>
      </c>
      <c r="H17239" s="69">
        <v>112.69339148</v>
      </c>
    </row>
    <row r="17240" spans="6:8">
      <c r="F17240" s="68" t="s">
        <v>132</v>
      </c>
      <c r="G17240" s="67" t="s">
        <v>683</v>
      </c>
      <c r="H17240" s="69">
        <v>-0.9</v>
      </c>
    </row>
    <row r="17241" spans="6:8">
      <c r="F17241" s="68" t="s">
        <v>133</v>
      </c>
      <c r="G17241" s="67" t="s">
        <v>683</v>
      </c>
      <c r="H17241" s="69">
        <v>-0.62</v>
      </c>
    </row>
    <row r="17242" spans="6:8">
      <c r="F17242" s="68" t="s">
        <v>256</v>
      </c>
      <c r="G17242" s="67" t="s">
        <v>683</v>
      </c>
      <c r="H17242" s="69">
        <v>0.86</v>
      </c>
    </row>
    <row r="17243" spans="6:8">
      <c r="F17243" s="68" t="s">
        <v>423</v>
      </c>
      <c r="G17243" s="67" t="s">
        <v>683</v>
      </c>
      <c r="H17243" s="69">
        <v>2.3015953032645697</v>
      </c>
    </row>
    <row r="17244" spans="6:8">
      <c r="F17244" s="68" t="s">
        <v>569</v>
      </c>
      <c r="G17244" s="67" t="s">
        <v>683</v>
      </c>
      <c r="H17244" s="69">
        <v>-0.15</v>
      </c>
    </row>
    <row r="17245" spans="6:8">
      <c r="F17245" s="68" t="s">
        <v>667</v>
      </c>
      <c r="G17245" s="67" t="s">
        <v>683</v>
      </c>
      <c r="H17245" s="69">
        <v>112.69374667</v>
      </c>
    </row>
    <row r="17246" spans="6:8">
      <c r="F17246" s="68" t="s">
        <v>424</v>
      </c>
      <c r="G17246" s="67" t="s">
        <v>683</v>
      </c>
      <c r="H17246" s="69">
        <v>2.9403676797161715</v>
      </c>
    </row>
    <row r="17247" spans="6:8">
      <c r="F17247" s="68" t="s">
        <v>668</v>
      </c>
      <c r="G17247" s="67" t="s">
        <v>683</v>
      </c>
      <c r="H17247" s="69">
        <v>112.69355063</v>
      </c>
    </row>
    <row r="17248" spans="6:8">
      <c r="F17248" s="68" t="s">
        <v>134</v>
      </c>
      <c r="G17248" s="67" t="s">
        <v>683</v>
      </c>
      <c r="H17248" s="69">
        <v>-0.86</v>
      </c>
    </row>
    <row r="17249" spans="6:8">
      <c r="F17249" s="68" t="s">
        <v>135</v>
      </c>
      <c r="G17249" s="67" t="s">
        <v>683</v>
      </c>
      <c r="H17249" s="69">
        <v>-0.77</v>
      </c>
    </row>
    <row r="17250" spans="6:8">
      <c r="F17250" s="68" t="s">
        <v>257</v>
      </c>
      <c r="G17250" s="67" t="s">
        <v>683</v>
      </c>
      <c r="H17250" s="69">
        <v>0.91</v>
      </c>
    </row>
    <row r="17251" spans="6:8">
      <c r="F17251" s="68" t="s">
        <v>258</v>
      </c>
      <c r="G17251" s="67" t="s">
        <v>683</v>
      </c>
      <c r="H17251" s="69">
        <v>0.15</v>
      </c>
    </row>
    <row r="17252" spans="6:8">
      <c r="F17252" s="68" t="s">
        <v>425</v>
      </c>
      <c r="G17252" s="67" t="s">
        <v>683</v>
      </c>
      <c r="H17252" s="69">
        <v>2.9964582910690485</v>
      </c>
    </row>
    <row r="17253" spans="6:8">
      <c r="F17253" s="68" t="s">
        <v>669</v>
      </c>
      <c r="G17253" s="67" t="s">
        <v>683</v>
      </c>
      <c r="H17253" s="69">
        <v>112.6937665</v>
      </c>
    </row>
    <row r="17254" spans="6:8">
      <c r="F17254" s="68" t="s">
        <v>136</v>
      </c>
      <c r="G17254" s="67" t="s">
        <v>683</v>
      </c>
      <c r="H17254" s="69">
        <v>-0.79</v>
      </c>
    </row>
    <row r="17255" spans="6:8">
      <c r="F17255" s="68" t="s">
        <v>137</v>
      </c>
      <c r="G17255" s="67" t="s">
        <v>683</v>
      </c>
      <c r="H17255" s="69">
        <v>-0.65</v>
      </c>
    </row>
    <row r="17256" spans="6:8">
      <c r="F17256" s="68" t="s">
        <v>138</v>
      </c>
      <c r="G17256" s="67" t="s">
        <v>683</v>
      </c>
      <c r="H17256" s="69">
        <v>-0.74</v>
      </c>
    </row>
    <row r="17257" spans="6:8">
      <c r="F17257" s="68" t="s">
        <v>259</v>
      </c>
      <c r="G17257" s="67" t="s">
        <v>683</v>
      </c>
      <c r="H17257" s="69">
        <v>0.16</v>
      </c>
    </row>
    <row r="17258" spans="6:8">
      <c r="F17258" s="68" t="s">
        <v>259</v>
      </c>
      <c r="G17258" s="67" t="s">
        <v>684</v>
      </c>
      <c r="H17258" s="69">
        <v>0.16</v>
      </c>
    </row>
    <row r="17259" spans="6:8">
      <c r="F17259" s="68" t="s">
        <v>138</v>
      </c>
      <c r="G17259" s="67" t="s">
        <v>684</v>
      </c>
      <c r="H17259" s="69">
        <v>-0.74</v>
      </c>
    </row>
    <row r="17260" spans="6:8">
      <c r="F17260" s="68" t="s">
        <v>137</v>
      </c>
      <c r="G17260" s="67" t="s">
        <v>684</v>
      </c>
      <c r="H17260" s="69">
        <v>-0.65</v>
      </c>
    </row>
    <row r="17261" spans="6:8">
      <c r="F17261" s="68" t="s">
        <v>136</v>
      </c>
      <c r="G17261" s="67" t="s">
        <v>684</v>
      </c>
      <c r="H17261" s="69">
        <v>-0.79</v>
      </c>
    </row>
    <row r="17262" spans="6:8">
      <c r="F17262" s="68" t="s">
        <v>669</v>
      </c>
      <c r="G17262" s="67" t="s">
        <v>684</v>
      </c>
      <c r="H17262" s="69">
        <v>112.69652118</v>
      </c>
    </row>
    <row r="17263" spans="6:8">
      <c r="F17263" s="68" t="s">
        <v>425</v>
      </c>
      <c r="G17263" s="67" t="s">
        <v>684</v>
      </c>
      <c r="H17263" s="69">
        <v>2.9920799452775704</v>
      </c>
    </row>
    <row r="17264" spans="6:8">
      <c r="F17264" s="68" t="s">
        <v>258</v>
      </c>
      <c r="G17264" s="67" t="s">
        <v>684</v>
      </c>
      <c r="H17264" s="69">
        <v>0.15</v>
      </c>
    </row>
    <row r="17265" spans="6:8">
      <c r="F17265" s="68" t="s">
        <v>257</v>
      </c>
      <c r="G17265" s="67" t="s">
        <v>684</v>
      </c>
      <c r="H17265" s="69">
        <v>0.91</v>
      </c>
    </row>
    <row r="17266" spans="6:8">
      <c r="F17266" s="68" t="s">
        <v>135</v>
      </c>
      <c r="G17266" s="67" t="s">
        <v>684</v>
      </c>
      <c r="H17266" s="69">
        <v>-0.77</v>
      </c>
    </row>
    <row r="17267" spans="6:8">
      <c r="F17267" s="68" t="s">
        <v>134</v>
      </c>
      <c r="G17267" s="67" t="s">
        <v>684</v>
      </c>
      <c r="H17267" s="69">
        <v>-0.86</v>
      </c>
    </row>
    <row r="17268" spans="6:8">
      <c r="F17268" s="68" t="s">
        <v>668</v>
      </c>
      <c r="G17268" s="67" t="s">
        <v>684</v>
      </c>
      <c r="H17268" s="69">
        <v>112.69630505000001</v>
      </c>
    </row>
    <row r="17269" spans="6:8">
      <c r="F17269" s="68" t="s">
        <v>424</v>
      </c>
      <c r="G17269" s="67" t="s">
        <v>684</v>
      </c>
      <c r="H17269" s="69">
        <v>2.9339700934818413</v>
      </c>
    </row>
    <row r="17270" spans="6:8">
      <c r="F17270" s="68" t="s">
        <v>667</v>
      </c>
      <c r="G17270" s="67" t="s">
        <v>684</v>
      </c>
      <c r="H17270" s="69">
        <v>112.69650133</v>
      </c>
    </row>
    <row r="17271" spans="6:8">
      <c r="F17271" s="68" t="s">
        <v>569</v>
      </c>
      <c r="G17271" s="67" t="s">
        <v>684</v>
      </c>
      <c r="H17271" s="69">
        <v>-0.15</v>
      </c>
    </row>
    <row r="17272" spans="6:8">
      <c r="F17272" s="68" t="s">
        <v>423</v>
      </c>
      <c r="G17272" s="67" t="s">
        <v>684</v>
      </c>
      <c r="H17272" s="69">
        <v>2.3265357515401597</v>
      </c>
    </row>
    <row r="17273" spans="6:8">
      <c r="F17273" s="68" t="s">
        <v>256</v>
      </c>
      <c r="G17273" s="67" t="s">
        <v>684</v>
      </c>
      <c r="H17273" s="69">
        <v>0.86</v>
      </c>
    </row>
    <row r="17274" spans="6:8">
      <c r="F17274" s="68" t="s">
        <v>133</v>
      </c>
      <c r="G17274" s="67" t="s">
        <v>684</v>
      </c>
      <c r="H17274" s="69">
        <v>-0.62</v>
      </c>
    </row>
    <row r="17275" spans="6:8">
      <c r="F17275" s="68" t="s">
        <v>132</v>
      </c>
      <c r="G17275" s="67" t="s">
        <v>684</v>
      </c>
      <c r="H17275" s="69">
        <v>-0.9</v>
      </c>
    </row>
    <row r="17276" spans="6:8">
      <c r="F17276" s="68" t="s">
        <v>666</v>
      </c>
      <c r="G17276" s="67" t="s">
        <v>684</v>
      </c>
      <c r="H17276" s="69">
        <v>112.69614568999999</v>
      </c>
    </row>
    <row r="17277" spans="6:8">
      <c r="F17277" s="68" t="s">
        <v>568</v>
      </c>
      <c r="G17277" s="67" t="s">
        <v>684</v>
      </c>
      <c r="H17277" s="69">
        <v>-0.35</v>
      </c>
    </row>
    <row r="17278" spans="6:8">
      <c r="F17278" s="68" t="s">
        <v>422</v>
      </c>
      <c r="G17278" s="67" t="s">
        <v>684</v>
      </c>
      <c r="H17278" s="69">
        <v>2.2710506269890907</v>
      </c>
    </row>
    <row r="17279" spans="6:8">
      <c r="F17279" s="68" t="s">
        <v>255</v>
      </c>
      <c r="G17279" s="67" t="s">
        <v>684</v>
      </c>
      <c r="H17279" s="69">
        <v>0.76</v>
      </c>
    </row>
    <row r="17280" spans="6:8">
      <c r="F17280" s="68" t="s">
        <v>303</v>
      </c>
      <c r="G17280" s="67" t="s">
        <v>684</v>
      </c>
      <c r="H17280" s="69">
        <v>19</v>
      </c>
    </row>
    <row r="17281" spans="6:8">
      <c r="F17281" s="68" t="s">
        <v>131</v>
      </c>
      <c r="G17281" s="67" t="s">
        <v>684</v>
      </c>
      <c r="H17281" s="69">
        <v>-0.55000000000000004</v>
      </c>
    </row>
    <row r="17282" spans="6:8">
      <c r="F17282" s="68" t="s">
        <v>130</v>
      </c>
      <c r="G17282" s="67" t="s">
        <v>684</v>
      </c>
      <c r="H17282" s="69">
        <v>-0.99</v>
      </c>
    </row>
    <row r="17283" spans="6:8">
      <c r="F17283" s="68" t="s">
        <v>665</v>
      </c>
      <c r="G17283" s="67" t="s">
        <v>684</v>
      </c>
      <c r="H17283" s="69">
        <v>112.69634507000001</v>
      </c>
    </row>
    <row r="17284" spans="6:8">
      <c r="F17284" s="68" t="s">
        <v>567</v>
      </c>
      <c r="G17284" s="67" t="s">
        <v>684</v>
      </c>
      <c r="H17284" s="69">
        <v>-0.74</v>
      </c>
    </row>
    <row r="17285" spans="6:8">
      <c r="F17285" s="68" t="s">
        <v>421</v>
      </c>
      <c r="G17285" s="67" t="s">
        <v>684</v>
      </c>
      <c r="H17285" s="69">
        <v>2.2643872209442417</v>
      </c>
    </row>
    <row r="17286" spans="6:8">
      <c r="F17286" s="68" t="s">
        <v>254</v>
      </c>
      <c r="G17286" s="67" t="s">
        <v>684</v>
      </c>
      <c r="H17286" s="69">
        <v>0.6</v>
      </c>
    </row>
    <row r="17287" spans="6:8">
      <c r="F17287" s="68" t="s">
        <v>304</v>
      </c>
      <c r="G17287" s="67" t="s">
        <v>684</v>
      </c>
      <c r="H17287" s="69">
        <v>18.020833333333332</v>
      </c>
    </row>
    <row r="17288" spans="6:8">
      <c r="F17288" s="68" t="s">
        <v>129</v>
      </c>
      <c r="G17288" s="67" t="s">
        <v>684</v>
      </c>
      <c r="H17288" s="69">
        <v>-0.7</v>
      </c>
    </row>
    <row r="17289" spans="6:8">
      <c r="F17289" s="68" t="s">
        <v>128</v>
      </c>
      <c r="G17289" s="67" t="s">
        <v>684</v>
      </c>
      <c r="H17289" s="69">
        <v>-0.86</v>
      </c>
    </row>
    <row r="17290" spans="6:8">
      <c r="F17290" s="68" t="s">
        <v>664</v>
      </c>
      <c r="G17290" s="67" t="s">
        <v>684</v>
      </c>
      <c r="H17290" s="69">
        <v>112.69628908</v>
      </c>
    </row>
    <row r="17291" spans="6:8">
      <c r="F17291" s="68" t="s">
        <v>315</v>
      </c>
      <c r="G17291" s="67" t="s">
        <v>684</v>
      </c>
      <c r="H17291" s="69">
        <v>-0.16</v>
      </c>
    </row>
    <row r="17292" spans="6:8">
      <c r="F17292" s="68" t="s">
        <v>253</v>
      </c>
      <c r="G17292" s="67" t="s">
        <v>684</v>
      </c>
      <c r="H17292" s="69">
        <v>0.44</v>
      </c>
    </row>
    <row r="17293" spans="6:8">
      <c r="F17293" s="68" t="s">
        <v>127</v>
      </c>
      <c r="G17293" s="67" t="s">
        <v>684</v>
      </c>
      <c r="H17293" s="69">
        <v>-0.41</v>
      </c>
    </row>
    <row r="17294" spans="6:8">
      <c r="F17294" s="68" t="s">
        <v>126</v>
      </c>
      <c r="G17294" s="67" t="s">
        <v>684</v>
      </c>
      <c r="H17294" s="69">
        <v>-0.88</v>
      </c>
    </row>
    <row r="17295" spans="6:8">
      <c r="F17295" s="68" t="s">
        <v>125</v>
      </c>
      <c r="G17295" s="67" t="s">
        <v>684</v>
      </c>
      <c r="H17295" s="69">
        <v>-0.51</v>
      </c>
    </row>
    <row r="17296" spans="6:8">
      <c r="F17296" s="68" t="s">
        <v>663</v>
      </c>
      <c r="G17296" s="67" t="s">
        <v>684</v>
      </c>
      <c r="H17296" s="69">
        <v>112.69649341</v>
      </c>
    </row>
    <row r="17297" spans="6:8">
      <c r="F17297" s="68" t="s">
        <v>314</v>
      </c>
      <c r="G17297" s="67" t="s">
        <v>684</v>
      </c>
      <c r="H17297" s="69">
        <v>-0.39</v>
      </c>
    </row>
    <row r="17298" spans="6:8">
      <c r="F17298" s="68" t="s">
        <v>252</v>
      </c>
      <c r="G17298" s="67" t="s">
        <v>684</v>
      </c>
      <c r="H17298" s="69">
        <v>0.28000000000000003</v>
      </c>
    </row>
    <row r="17299" spans="6:8">
      <c r="F17299" s="68" t="s">
        <v>124</v>
      </c>
      <c r="G17299" s="67" t="s">
        <v>684</v>
      </c>
      <c r="H17299" s="69">
        <v>-0.5</v>
      </c>
    </row>
    <row r="17300" spans="6:8">
      <c r="F17300" s="68" t="s">
        <v>123</v>
      </c>
      <c r="G17300" s="67" t="s">
        <v>684</v>
      </c>
      <c r="H17300" s="69">
        <v>-0.95</v>
      </c>
    </row>
    <row r="17301" spans="6:8">
      <c r="F17301" s="68" t="s">
        <v>122</v>
      </c>
      <c r="G17301" s="67" t="s">
        <v>684</v>
      </c>
      <c r="H17301" s="69">
        <v>-0.64</v>
      </c>
    </row>
    <row r="17302" spans="6:8">
      <c r="F17302" s="68" t="s">
        <v>251</v>
      </c>
      <c r="G17302" s="67" t="s">
        <v>684</v>
      </c>
      <c r="H17302" s="69">
        <v>0.2</v>
      </c>
    </row>
    <row r="17303" spans="6:8">
      <c r="F17303" s="68" t="s">
        <v>121</v>
      </c>
      <c r="G17303" s="67" t="s">
        <v>684</v>
      </c>
      <c r="H17303" s="69">
        <v>-0.63</v>
      </c>
    </row>
    <row r="17304" spans="6:8">
      <c r="F17304" s="68" t="s">
        <v>120</v>
      </c>
      <c r="G17304" s="67" t="s">
        <v>684</v>
      </c>
      <c r="H17304" s="69">
        <v>-0.8</v>
      </c>
    </row>
    <row r="17305" spans="6:8">
      <c r="F17305" s="68" t="s">
        <v>119</v>
      </c>
      <c r="G17305" s="67" t="s">
        <v>684</v>
      </c>
      <c r="H17305" s="69">
        <v>-0.68</v>
      </c>
    </row>
    <row r="17306" spans="6:8">
      <c r="F17306" s="68" t="s">
        <v>662</v>
      </c>
      <c r="G17306" s="67" t="s">
        <v>684</v>
      </c>
      <c r="H17306" s="69">
        <v>112.69591437</v>
      </c>
    </row>
    <row r="17307" spans="6:8">
      <c r="F17307" s="68" t="s">
        <v>420</v>
      </c>
      <c r="G17307" s="67" t="s">
        <v>684</v>
      </c>
      <c r="H17307" s="69">
        <v>3.2358797164966369</v>
      </c>
    </row>
    <row r="17308" spans="6:8">
      <c r="F17308" s="68" t="s">
        <v>420</v>
      </c>
      <c r="G17308" s="67" t="s">
        <v>685</v>
      </c>
      <c r="H17308" s="69">
        <v>3.183999016206096</v>
      </c>
    </row>
    <row r="17309" spans="6:8">
      <c r="F17309" s="68" t="s">
        <v>662</v>
      </c>
      <c r="G17309" s="67" t="s">
        <v>685</v>
      </c>
      <c r="H17309" s="69">
        <v>112.78433896</v>
      </c>
    </row>
    <row r="17310" spans="6:8">
      <c r="F17310" s="68" t="s">
        <v>119</v>
      </c>
      <c r="G17310" s="67" t="s">
        <v>685</v>
      </c>
      <c r="H17310" s="69">
        <v>-0.68</v>
      </c>
    </row>
    <row r="17311" spans="6:8">
      <c r="F17311" s="68" t="s">
        <v>120</v>
      </c>
      <c r="G17311" s="67" t="s">
        <v>685</v>
      </c>
      <c r="H17311" s="69">
        <v>-0.8</v>
      </c>
    </row>
    <row r="17312" spans="6:8">
      <c r="F17312" s="68" t="s">
        <v>121</v>
      </c>
      <c r="G17312" s="67" t="s">
        <v>685</v>
      </c>
      <c r="H17312" s="69">
        <v>-0.63</v>
      </c>
    </row>
    <row r="17313" spans="6:8">
      <c r="F17313" s="68" t="s">
        <v>251</v>
      </c>
      <c r="G17313" s="67" t="s">
        <v>685</v>
      </c>
      <c r="H17313" s="69">
        <v>0.2</v>
      </c>
    </row>
    <row r="17314" spans="6:8">
      <c r="F17314" s="68" t="s">
        <v>122</v>
      </c>
      <c r="G17314" s="67" t="s">
        <v>685</v>
      </c>
      <c r="H17314" s="69">
        <v>-0.64</v>
      </c>
    </row>
    <row r="17315" spans="6:8">
      <c r="F17315" s="68" t="s">
        <v>123</v>
      </c>
      <c r="G17315" s="67" t="s">
        <v>685</v>
      </c>
      <c r="H17315" s="69">
        <v>-0.95</v>
      </c>
    </row>
    <row r="17316" spans="6:8">
      <c r="F17316" s="68" t="s">
        <v>124</v>
      </c>
      <c r="G17316" s="67" t="s">
        <v>685</v>
      </c>
      <c r="H17316" s="69">
        <v>-0.5</v>
      </c>
    </row>
    <row r="17317" spans="6:8">
      <c r="F17317" s="68" t="s">
        <v>252</v>
      </c>
      <c r="G17317" s="67" t="s">
        <v>685</v>
      </c>
      <c r="H17317" s="69">
        <v>0.28000000000000003</v>
      </c>
    </row>
    <row r="17318" spans="6:8">
      <c r="F17318" s="68" t="s">
        <v>314</v>
      </c>
      <c r="G17318" s="67" t="s">
        <v>685</v>
      </c>
      <c r="H17318" s="69">
        <v>-0.39</v>
      </c>
    </row>
    <row r="17319" spans="6:8">
      <c r="F17319" s="68" t="s">
        <v>663</v>
      </c>
      <c r="G17319" s="67" t="s">
        <v>685</v>
      </c>
      <c r="H17319" s="69">
        <v>112.78492269</v>
      </c>
    </row>
    <row r="17320" spans="6:8">
      <c r="F17320" s="68" t="s">
        <v>125</v>
      </c>
      <c r="G17320" s="67" t="s">
        <v>685</v>
      </c>
      <c r="H17320" s="69">
        <v>-0.51</v>
      </c>
    </row>
    <row r="17321" spans="6:8">
      <c r="F17321" s="68" t="s">
        <v>126</v>
      </c>
      <c r="G17321" s="67" t="s">
        <v>685</v>
      </c>
      <c r="H17321" s="69">
        <v>-0.88</v>
      </c>
    </row>
    <row r="17322" spans="6:8">
      <c r="F17322" s="68" t="s">
        <v>127</v>
      </c>
      <c r="G17322" s="67" t="s">
        <v>685</v>
      </c>
      <c r="H17322" s="69">
        <v>-0.41</v>
      </c>
    </row>
    <row r="17323" spans="6:8">
      <c r="F17323" s="68" t="s">
        <v>253</v>
      </c>
      <c r="G17323" s="67" t="s">
        <v>685</v>
      </c>
      <c r="H17323" s="69">
        <v>0.44</v>
      </c>
    </row>
    <row r="17324" spans="6:8">
      <c r="F17324" s="68" t="s">
        <v>315</v>
      </c>
      <c r="G17324" s="67" t="s">
        <v>685</v>
      </c>
      <c r="H17324" s="69">
        <v>-0.16</v>
      </c>
    </row>
    <row r="17325" spans="6:8">
      <c r="F17325" s="68" t="s">
        <v>664</v>
      </c>
      <c r="G17325" s="67" t="s">
        <v>685</v>
      </c>
      <c r="H17325" s="69">
        <v>112.78471671</v>
      </c>
    </row>
    <row r="17326" spans="6:8">
      <c r="F17326" s="68" t="s">
        <v>128</v>
      </c>
      <c r="G17326" s="67" t="s">
        <v>685</v>
      </c>
      <c r="H17326" s="69">
        <v>-0.86</v>
      </c>
    </row>
    <row r="17327" spans="6:8">
      <c r="F17327" s="68" t="s">
        <v>129</v>
      </c>
      <c r="G17327" s="67" t="s">
        <v>685</v>
      </c>
      <c r="H17327" s="69">
        <v>-0.7</v>
      </c>
    </row>
    <row r="17328" spans="6:8">
      <c r="F17328" s="68" t="s">
        <v>304</v>
      </c>
      <c r="G17328" s="67" t="s">
        <v>685</v>
      </c>
      <c r="H17328" s="69">
        <v>18</v>
      </c>
    </row>
    <row r="17329" spans="6:8">
      <c r="F17329" s="68" t="s">
        <v>254</v>
      </c>
      <c r="G17329" s="67" t="s">
        <v>685</v>
      </c>
      <c r="H17329" s="69">
        <v>0.6</v>
      </c>
    </row>
    <row r="17330" spans="6:8">
      <c r="F17330" s="68" t="s">
        <v>421</v>
      </c>
      <c r="G17330" s="67" t="s">
        <v>685</v>
      </c>
      <c r="H17330" s="69">
        <v>2.2049109532582101</v>
      </c>
    </row>
    <row r="17331" spans="6:8">
      <c r="F17331" s="68" t="s">
        <v>567</v>
      </c>
      <c r="G17331" s="67" t="s">
        <v>685</v>
      </c>
      <c r="H17331" s="69">
        <v>-0.74</v>
      </c>
    </row>
    <row r="17332" spans="6:8">
      <c r="F17332" s="68" t="s">
        <v>665</v>
      </c>
      <c r="G17332" s="67" t="s">
        <v>685</v>
      </c>
      <c r="H17332" s="69">
        <v>112.78477315000001</v>
      </c>
    </row>
    <row r="17333" spans="6:8">
      <c r="F17333" s="68" t="s">
        <v>130</v>
      </c>
      <c r="G17333" s="67" t="s">
        <v>685</v>
      </c>
      <c r="H17333" s="69">
        <v>-0.99</v>
      </c>
    </row>
    <row r="17334" spans="6:8">
      <c r="F17334" s="68" t="s">
        <v>131</v>
      </c>
      <c r="G17334" s="67" t="s">
        <v>685</v>
      </c>
      <c r="H17334" s="69">
        <v>-0.55000000000000004</v>
      </c>
    </row>
    <row r="17335" spans="6:8">
      <c r="F17335" s="68" t="s">
        <v>303</v>
      </c>
      <c r="G17335" s="67" t="s">
        <v>685</v>
      </c>
      <c r="H17335" s="69">
        <v>18.96875</v>
      </c>
    </row>
    <row r="17336" spans="6:8">
      <c r="F17336" s="68" t="s">
        <v>255</v>
      </c>
      <c r="G17336" s="67" t="s">
        <v>685</v>
      </c>
      <c r="H17336" s="69">
        <v>0.76</v>
      </c>
    </row>
    <row r="17337" spans="6:8">
      <c r="F17337" s="68" t="s">
        <v>422</v>
      </c>
      <c r="G17337" s="67" t="s">
        <v>685</v>
      </c>
      <c r="H17337" s="69">
        <v>2.2115232601122692</v>
      </c>
    </row>
    <row r="17338" spans="6:8">
      <c r="F17338" s="68" t="s">
        <v>568</v>
      </c>
      <c r="G17338" s="67" t="s">
        <v>685</v>
      </c>
      <c r="H17338" s="69">
        <v>-0.35</v>
      </c>
    </row>
    <row r="17339" spans="6:8">
      <c r="F17339" s="68" t="s">
        <v>666</v>
      </c>
      <c r="G17339" s="67" t="s">
        <v>685</v>
      </c>
      <c r="H17339" s="69">
        <v>112.78457216</v>
      </c>
    </row>
    <row r="17340" spans="6:8">
      <c r="F17340" s="68" t="s">
        <v>132</v>
      </c>
      <c r="G17340" s="67" t="s">
        <v>685</v>
      </c>
      <c r="H17340" s="69">
        <v>-0.9</v>
      </c>
    </row>
    <row r="17341" spans="6:8">
      <c r="F17341" s="68" t="s">
        <v>133</v>
      </c>
      <c r="G17341" s="67" t="s">
        <v>685</v>
      </c>
      <c r="H17341" s="69">
        <v>-0.62</v>
      </c>
    </row>
    <row r="17342" spans="6:8">
      <c r="F17342" s="68" t="s">
        <v>256</v>
      </c>
      <c r="G17342" s="67" t="s">
        <v>685</v>
      </c>
      <c r="H17342" s="69">
        <v>0.86</v>
      </c>
    </row>
    <row r="17343" spans="6:8">
      <c r="F17343" s="68" t="s">
        <v>423</v>
      </c>
      <c r="G17343" s="67" t="s">
        <v>685</v>
      </c>
      <c r="H17343" s="69">
        <v>2.2825620469055341</v>
      </c>
    </row>
    <row r="17344" spans="6:8">
      <c r="F17344" s="68" t="s">
        <v>569</v>
      </c>
      <c r="G17344" s="67" t="s">
        <v>685</v>
      </c>
      <c r="H17344" s="69">
        <v>-0.15</v>
      </c>
    </row>
    <row r="17345" spans="6:8">
      <c r="F17345" s="68" t="s">
        <v>667</v>
      </c>
      <c r="G17345" s="67" t="s">
        <v>685</v>
      </c>
      <c r="H17345" s="69">
        <v>112.78493066999999</v>
      </c>
    </row>
    <row r="17346" spans="6:8">
      <c r="F17346" s="68" t="s">
        <v>424</v>
      </c>
      <c r="G17346" s="67" t="s">
        <v>685</v>
      </c>
      <c r="H17346" s="69">
        <v>2.8643210658342966</v>
      </c>
    </row>
    <row r="17347" spans="6:8">
      <c r="F17347" s="68" t="s">
        <v>668</v>
      </c>
      <c r="G17347" s="67" t="s">
        <v>685</v>
      </c>
      <c r="H17347" s="69">
        <v>112.7847328</v>
      </c>
    </row>
    <row r="17348" spans="6:8">
      <c r="F17348" s="68" t="s">
        <v>134</v>
      </c>
      <c r="G17348" s="67" t="s">
        <v>685</v>
      </c>
      <c r="H17348" s="69">
        <v>-0.86</v>
      </c>
    </row>
    <row r="17349" spans="6:8">
      <c r="F17349" s="68" t="s">
        <v>135</v>
      </c>
      <c r="G17349" s="67" t="s">
        <v>685</v>
      </c>
      <c r="H17349" s="69">
        <v>-0.77</v>
      </c>
    </row>
    <row r="17350" spans="6:8">
      <c r="F17350" s="68" t="s">
        <v>257</v>
      </c>
      <c r="G17350" s="67" t="s">
        <v>685</v>
      </c>
      <c r="H17350" s="69">
        <v>0.91</v>
      </c>
    </row>
    <row r="17351" spans="6:8">
      <c r="F17351" s="68" t="s">
        <v>258</v>
      </c>
      <c r="G17351" s="67" t="s">
        <v>685</v>
      </c>
      <c r="H17351" s="69">
        <v>0.15</v>
      </c>
    </row>
    <row r="17352" spans="6:8">
      <c r="F17352" s="68" t="s">
        <v>425</v>
      </c>
      <c r="G17352" s="67" t="s">
        <v>685</v>
      </c>
      <c r="H17352" s="69">
        <v>2.9180672732402435</v>
      </c>
    </row>
    <row r="17353" spans="6:8">
      <c r="F17353" s="68" t="s">
        <v>669</v>
      </c>
      <c r="G17353" s="67" t="s">
        <v>685</v>
      </c>
      <c r="H17353" s="69">
        <v>112.78495069</v>
      </c>
    </row>
    <row r="17354" spans="6:8">
      <c r="F17354" s="68" t="s">
        <v>136</v>
      </c>
      <c r="G17354" s="67" t="s">
        <v>685</v>
      </c>
      <c r="H17354" s="69">
        <v>-0.79</v>
      </c>
    </row>
    <row r="17355" spans="6:8">
      <c r="F17355" s="68" t="s">
        <v>137</v>
      </c>
      <c r="G17355" s="67" t="s">
        <v>685</v>
      </c>
      <c r="H17355" s="69">
        <v>-0.65</v>
      </c>
    </row>
    <row r="17356" spans="6:8">
      <c r="F17356" s="68" t="s">
        <v>138</v>
      </c>
      <c r="G17356" s="67" t="s">
        <v>685</v>
      </c>
      <c r="H17356" s="69">
        <v>-0.74</v>
      </c>
    </row>
    <row r="17357" spans="6:8">
      <c r="F17357" s="68" t="s">
        <v>259</v>
      </c>
      <c r="G17357" s="67" t="s">
        <v>685</v>
      </c>
      <c r="H17357" s="69">
        <v>0.16</v>
      </c>
    </row>
    <row r="17358" spans="6:8">
      <c r="F17358" s="68" t="s">
        <v>259</v>
      </c>
      <c r="G17358" s="67" t="s">
        <v>686</v>
      </c>
      <c r="H17358" s="69">
        <v>0.16</v>
      </c>
    </row>
    <row r="17359" spans="6:8">
      <c r="F17359" s="68" t="s">
        <v>138</v>
      </c>
      <c r="G17359" s="67" t="s">
        <v>686</v>
      </c>
      <c r="H17359" s="69">
        <v>-0.74</v>
      </c>
    </row>
    <row r="17360" spans="6:8">
      <c r="F17360" s="68" t="s">
        <v>137</v>
      </c>
      <c r="G17360" s="67" t="s">
        <v>686</v>
      </c>
      <c r="H17360" s="69">
        <v>-0.67</v>
      </c>
    </row>
    <row r="17361" spans="6:8">
      <c r="F17361" s="68" t="s">
        <v>136</v>
      </c>
      <c r="G17361" s="67" t="s">
        <v>686</v>
      </c>
      <c r="H17361" s="69">
        <v>-0.83</v>
      </c>
    </row>
    <row r="17362" spans="6:8">
      <c r="F17362" s="68" t="s">
        <v>669</v>
      </c>
      <c r="G17362" s="67" t="s">
        <v>686</v>
      </c>
      <c r="H17362" s="69">
        <v>112.74097298</v>
      </c>
    </row>
    <row r="17363" spans="6:8">
      <c r="F17363" s="68" t="s">
        <v>425</v>
      </c>
      <c r="G17363" s="67" t="s">
        <v>686</v>
      </c>
      <c r="H17363" s="69">
        <v>2.9083647355999886</v>
      </c>
    </row>
    <row r="17364" spans="6:8">
      <c r="F17364" s="68" t="s">
        <v>258</v>
      </c>
      <c r="G17364" s="67" t="s">
        <v>686</v>
      </c>
      <c r="H17364" s="69">
        <v>0.15</v>
      </c>
    </row>
    <row r="17365" spans="6:8">
      <c r="F17365" s="68" t="s">
        <v>257</v>
      </c>
      <c r="G17365" s="67" t="s">
        <v>686</v>
      </c>
      <c r="H17365" s="69">
        <v>0.9</v>
      </c>
    </row>
    <row r="17366" spans="6:8">
      <c r="F17366" s="68" t="s">
        <v>135</v>
      </c>
      <c r="G17366" s="67" t="s">
        <v>686</v>
      </c>
      <c r="H17366" s="69">
        <v>-0.77</v>
      </c>
    </row>
    <row r="17367" spans="6:8">
      <c r="F17367" s="68" t="s">
        <v>134</v>
      </c>
      <c r="G17367" s="67" t="s">
        <v>686</v>
      </c>
      <c r="H17367" s="69">
        <v>-0.86</v>
      </c>
    </row>
    <row r="17368" spans="6:8">
      <c r="F17368" s="68" t="s">
        <v>668</v>
      </c>
      <c r="G17368" s="67" t="s">
        <v>686</v>
      </c>
      <c r="H17368" s="69">
        <v>112.74075563</v>
      </c>
    </row>
    <row r="17369" spans="6:8">
      <c r="F17369" s="68" t="s">
        <v>424</v>
      </c>
      <c r="G17369" s="67" t="s">
        <v>686</v>
      </c>
      <c r="H17369" s="69">
        <v>2.8536273223360276</v>
      </c>
    </row>
    <row r="17370" spans="6:8">
      <c r="F17370" s="68" t="s">
        <v>667</v>
      </c>
      <c r="G17370" s="67" t="s">
        <v>686</v>
      </c>
      <c r="H17370" s="69">
        <v>112.74095302000001</v>
      </c>
    </row>
    <row r="17371" spans="6:8">
      <c r="F17371" s="68" t="s">
        <v>569</v>
      </c>
      <c r="G17371" s="67" t="s">
        <v>686</v>
      </c>
      <c r="H17371" s="69">
        <v>-0.15</v>
      </c>
    </row>
    <row r="17372" spans="6:8">
      <c r="F17372" s="68" t="s">
        <v>423</v>
      </c>
      <c r="G17372" s="67" t="s">
        <v>686</v>
      </c>
      <c r="H17372" s="69">
        <v>2.2948874846941081</v>
      </c>
    </row>
    <row r="17373" spans="6:8">
      <c r="F17373" s="68" t="s">
        <v>256</v>
      </c>
      <c r="G17373" s="67" t="s">
        <v>686</v>
      </c>
      <c r="H17373" s="69">
        <v>0.85</v>
      </c>
    </row>
    <row r="17374" spans="6:8">
      <c r="F17374" s="68" t="s">
        <v>133</v>
      </c>
      <c r="G17374" s="67" t="s">
        <v>686</v>
      </c>
      <c r="H17374" s="69">
        <v>-0.62</v>
      </c>
    </row>
    <row r="17375" spans="6:8">
      <c r="F17375" s="68" t="s">
        <v>132</v>
      </c>
      <c r="G17375" s="67" t="s">
        <v>686</v>
      </c>
      <c r="H17375" s="69">
        <v>-0.9</v>
      </c>
    </row>
    <row r="17376" spans="6:8">
      <c r="F17376" s="68" t="s">
        <v>666</v>
      </c>
      <c r="G17376" s="67" t="s">
        <v>686</v>
      </c>
      <c r="H17376" s="69">
        <v>112.74059538</v>
      </c>
    </row>
    <row r="17377" spans="6:8">
      <c r="F17377" s="68" t="s">
        <v>568</v>
      </c>
      <c r="G17377" s="67" t="s">
        <v>686</v>
      </c>
      <c r="H17377" s="69">
        <v>-0.35</v>
      </c>
    </row>
    <row r="17378" spans="6:8">
      <c r="F17378" s="68" t="s">
        <v>422</v>
      </c>
      <c r="G17378" s="67" t="s">
        <v>686</v>
      </c>
      <c r="H17378" s="69">
        <v>2.2301217030992859</v>
      </c>
    </row>
    <row r="17379" spans="6:8">
      <c r="F17379" s="68" t="s">
        <v>255</v>
      </c>
      <c r="G17379" s="67" t="s">
        <v>686</v>
      </c>
      <c r="H17379" s="69">
        <v>0.75</v>
      </c>
    </row>
    <row r="17380" spans="6:8">
      <c r="F17380" s="68" t="s">
        <v>303</v>
      </c>
      <c r="G17380" s="67" t="s">
        <v>686</v>
      </c>
      <c r="H17380" s="69">
        <v>18.96875</v>
      </c>
    </row>
    <row r="17381" spans="6:8">
      <c r="F17381" s="68" t="s">
        <v>131</v>
      </c>
      <c r="G17381" s="67" t="s">
        <v>686</v>
      </c>
      <c r="H17381" s="69">
        <v>-0.55000000000000004</v>
      </c>
    </row>
    <row r="17382" spans="6:8">
      <c r="F17382" s="68" t="s">
        <v>130</v>
      </c>
      <c r="G17382" s="67" t="s">
        <v>686</v>
      </c>
      <c r="H17382" s="69">
        <v>-0.99</v>
      </c>
    </row>
    <row r="17383" spans="6:8">
      <c r="F17383" s="68" t="s">
        <v>665</v>
      </c>
      <c r="G17383" s="67" t="s">
        <v>686</v>
      </c>
      <c r="H17383" s="69">
        <v>112.74079587999999</v>
      </c>
    </row>
    <row r="17384" spans="6:8">
      <c r="F17384" s="68" t="s">
        <v>567</v>
      </c>
      <c r="G17384" s="67" t="s">
        <v>686</v>
      </c>
      <c r="H17384" s="69">
        <v>-0.77</v>
      </c>
    </row>
    <row r="17385" spans="6:8">
      <c r="F17385" s="68" t="s">
        <v>421</v>
      </c>
      <c r="G17385" s="67" t="s">
        <v>686</v>
      </c>
      <c r="H17385" s="69">
        <v>2.2235818975230082</v>
      </c>
    </row>
    <row r="17386" spans="6:8">
      <c r="F17386" s="68" t="s">
        <v>254</v>
      </c>
      <c r="G17386" s="67" t="s">
        <v>686</v>
      </c>
      <c r="H17386" s="69">
        <v>0.59</v>
      </c>
    </row>
    <row r="17387" spans="6:8">
      <c r="F17387" s="68" t="s">
        <v>304</v>
      </c>
      <c r="G17387" s="67" t="s">
        <v>686</v>
      </c>
      <c r="H17387" s="69">
        <v>18</v>
      </c>
    </row>
    <row r="17388" spans="6:8">
      <c r="F17388" s="68" t="s">
        <v>129</v>
      </c>
      <c r="G17388" s="67" t="s">
        <v>686</v>
      </c>
      <c r="H17388" s="69">
        <v>-0.7</v>
      </c>
    </row>
    <row r="17389" spans="6:8">
      <c r="F17389" s="68" t="s">
        <v>128</v>
      </c>
      <c r="G17389" s="67" t="s">
        <v>686</v>
      </c>
      <c r="H17389" s="69">
        <v>-0.88</v>
      </c>
    </row>
    <row r="17390" spans="6:8">
      <c r="F17390" s="68" t="s">
        <v>664</v>
      </c>
      <c r="G17390" s="67" t="s">
        <v>686</v>
      </c>
      <c r="H17390" s="69">
        <v>112.74073958</v>
      </c>
    </row>
    <row r="17391" spans="6:8">
      <c r="F17391" s="68" t="s">
        <v>315</v>
      </c>
      <c r="G17391" s="67" t="s">
        <v>686</v>
      </c>
      <c r="H17391" s="69">
        <v>-0.16</v>
      </c>
    </row>
    <row r="17392" spans="6:8">
      <c r="F17392" s="68" t="s">
        <v>253</v>
      </c>
      <c r="G17392" s="67" t="s">
        <v>686</v>
      </c>
      <c r="H17392" s="69">
        <v>0.43</v>
      </c>
    </row>
    <row r="17393" spans="6:8">
      <c r="F17393" s="68" t="s">
        <v>127</v>
      </c>
      <c r="G17393" s="67" t="s">
        <v>686</v>
      </c>
      <c r="H17393" s="69">
        <v>-0.41</v>
      </c>
    </row>
    <row r="17394" spans="6:8">
      <c r="F17394" s="68" t="s">
        <v>126</v>
      </c>
      <c r="G17394" s="67" t="s">
        <v>686</v>
      </c>
      <c r="H17394" s="69">
        <v>-0.91</v>
      </c>
    </row>
    <row r="17395" spans="6:8">
      <c r="F17395" s="68" t="s">
        <v>125</v>
      </c>
      <c r="G17395" s="67" t="s">
        <v>686</v>
      </c>
      <c r="H17395" s="69">
        <v>-0.51</v>
      </c>
    </row>
    <row r="17396" spans="6:8">
      <c r="F17396" s="68" t="s">
        <v>663</v>
      </c>
      <c r="G17396" s="67" t="s">
        <v>686</v>
      </c>
      <c r="H17396" s="69">
        <v>112.74094504999999</v>
      </c>
    </row>
    <row r="17397" spans="6:8">
      <c r="F17397" s="68" t="s">
        <v>314</v>
      </c>
      <c r="G17397" s="67" t="s">
        <v>686</v>
      </c>
      <c r="H17397" s="69">
        <v>-0.39</v>
      </c>
    </row>
    <row r="17398" spans="6:8">
      <c r="F17398" s="68" t="s">
        <v>252</v>
      </c>
      <c r="G17398" s="67" t="s">
        <v>686</v>
      </c>
      <c r="H17398" s="69">
        <v>0.27</v>
      </c>
    </row>
    <row r="17399" spans="6:8">
      <c r="F17399" s="68" t="s">
        <v>124</v>
      </c>
      <c r="G17399" s="67" t="s">
        <v>686</v>
      </c>
      <c r="H17399" s="69">
        <v>-0.5</v>
      </c>
    </row>
    <row r="17400" spans="6:8">
      <c r="F17400" s="68" t="s">
        <v>123</v>
      </c>
      <c r="G17400" s="67" t="s">
        <v>686</v>
      </c>
      <c r="H17400" s="69">
        <v>-0.97</v>
      </c>
    </row>
    <row r="17401" spans="6:8">
      <c r="F17401" s="68" t="s">
        <v>122</v>
      </c>
      <c r="G17401" s="67" t="s">
        <v>686</v>
      </c>
      <c r="H17401" s="69">
        <v>-0.68</v>
      </c>
    </row>
    <row r="17402" spans="6:8">
      <c r="F17402" s="68" t="s">
        <v>251</v>
      </c>
      <c r="G17402" s="67" t="s">
        <v>686</v>
      </c>
      <c r="H17402" s="69">
        <v>0.2</v>
      </c>
    </row>
    <row r="17403" spans="6:8">
      <c r="F17403" s="68" t="s">
        <v>121</v>
      </c>
      <c r="G17403" s="67" t="s">
        <v>686</v>
      </c>
      <c r="H17403" s="69">
        <v>-0.63</v>
      </c>
    </row>
    <row r="17404" spans="6:8">
      <c r="F17404" s="68" t="s">
        <v>120</v>
      </c>
      <c r="G17404" s="67" t="s">
        <v>686</v>
      </c>
      <c r="H17404" s="69">
        <v>-0.82</v>
      </c>
    </row>
    <row r="17405" spans="6:8">
      <c r="F17405" s="68" t="s">
        <v>119</v>
      </c>
      <c r="G17405" s="67" t="s">
        <v>686</v>
      </c>
      <c r="H17405" s="69">
        <v>-0.71</v>
      </c>
    </row>
    <row r="17406" spans="6:8">
      <c r="F17406" s="68" t="s">
        <v>662</v>
      </c>
      <c r="G17406" s="67" t="s">
        <v>686</v>
      </c>
      <c r="H17406" s="69">
        <v>112.74036276</v>
      </c>
    </row>
    <row r="17407" spans="6:8">
      <c r="F17407" s="68" t="s">
        <v>420</v>
      </c>
      <c r="G17407" s="67" t="s">
        <v>686</v>
      </c>
      <c r="H17407" s="69">
        <v>3.1834552504580671</v>
      </c>
    </row>
    <row r="17408" spans="6:8">
      <c r="F17408" s="68" t="s">
        <v>420</v>
      </c>
      <c r="G17408" s="67" t="s">
        <v>687</v>
      </c>
      <c r="H17408" s="69">
        <v>3.1797287048205725</v>
      </c>
    </row>
    <row r="17409" spans="6:8">
      <c r="F17409" s="68" t="s">
        <v>662</v>
      </c>
      <c r="G17409" s="67" t="s">
        <v>687</v>
      </c>
      <c r="H17409" s="69">
        <v>112.52275508</v>
      </c>
    </row>
    <row r="17410" spans="6:8">
      <c r="F17410" s="68" t="s">
        <v>119</v>
      </c>
      <c r="G17410" s="67" t="s">
        <v>687</v>
      </c>
      <c r="H17410" s="69">
        <v>-0.73</v>
      </c>
    </row>
    <row r="17411" spans="6:8">
      <c r="F17411" s="68" t="s">
        <v>120</v>
      </c>
      <c r="G17411" s="67" t="s">
        <v>687</v>
      </c>
      <c r="H17411" s="69">
        <v>-0.84</v>
      </c>
    </row>
    <row r="17412" spans="6:8">
      <c r="F17412" s="68" t="s">
        <v>121</v>
      </c>
      <c r="G17412" s="67" t="s">
        <v>687</v>
      </c>
      <c r="H17412" s="69">
        <v>-0.64</v>
      </c>
    </row>
    <row r="17413" spans="6:8">
      <c r="F17413" s="68" t="s">
        <v>251</v>
      </c>
      <c r="G17413" s="67" t="s">
        <v>687</v>
      </c>
      <c r="H17413" s="69">
        <v>0.2</v>
      </c>
    </row>
    <row r="17414" spans="6:8">
      <c r="F17414" s="68" t="s">
        <v>122</v>
      </c>
      <c r="G17414" s="67" t="s">
        <v>687</v>
      </c>
      <c r="H17414" s="69">
        <v>-0.69</v>
      </c>
    </row>
    <row r="17415" spans="6:8">
      <c r="F17415" s="68" t="s">
        <v>123</v>
      </c>
      <c r="G17415" s="67" t="s">
        <v>687</v>
      </c>
      <c r="H17415" s="69">
        <v>-0.99</v>
      </c>
    </row>
    <row r="17416" spans="6:8">
      <c r="F17416" s="68" t="s">
        <v>124</v>
      </c>
      <c r="G17416" s="67" t="s">
        <v>687</v>
      </c>
      <c r="H17416" s="69">
        <v>-0.51</v>
      </c>
    </row>
    <row r="17417" spans="6:8">
      <c r="F17417" s="68" t="s">
        <v>252</v>
      </c>
      <c r="G17417" s="67" t="s">
        <v>687</v>
      </c>
      <c r="H17417" s="69">
        <v>0.27</v>
      </c>
    </row>
    <row r="17418" spans="6:8">
      <c r="F17418" s="68" t="s">
        <v>314</v>
      </c>
      <c r="G17418" s="67" t="s">
        <v>687</v>
      </c>
      <c r="H17418" s="69">
        <v>-0.4</v>
      </c>
    </row>
    <row r="17419" spans="6:8">
      <c r="F17419" s="68" t="s">
        <v>663</v>
      </c>
      <c r="G17419" s="67" t="s">
        <v>687</v>
      </c>
      <c r="H17419" s="69">
        <v>112.52332911000001</v>
      </c>
    </row>
    <row r="17420" spans="6:8">
      <c r="F17420" s="68" t="s">
        <v>125</v>
      </c>
      <c r="G17420" s="67" t="s">
        <v>687</v>
      </c>
      <c r="H17420" s="69">
        <v>-0.52</v>
      </c>
    </row>
    <row r="17421" spans="6:8">
      <c r="F17421" s="68" t="s">
        <v>126</v>
      </c>
      <c r="G17421" s="67" t="s">
        <v>687</v>
      </c>
      <c r="H17421" s="69">
        <v>-0.92</v>
      </c>
    </row>
    <row r="17422" spans="6:8">
      <c r="F17422" s="68" t="s">
        <v>127</v>
      </c>
      <c r="G17422" s="67" t="s">
        <v>687</v>
      </c>
      <c r="H17422" s="69">
        <v>-0.42</v>
      </c>
    </row>
    <row r="17423" spans="6:8">
      <c r="F17423" s="68" t="s">
        <v>253</v>
      </c>
      <c r="G17423" s="67" t="s">
        <v>687</v>
      </c>
      <c r="H17423" s="69">
        <v>0.42</v>
      </c>
    </row>
    <row r="17424" spans="6:8">
      <c r="F17424" s="68" t="s">
        <v>315</v>
      </c>
      <c r="G17424" s="67" t="s">
        <v>687</v>
      </c>
      <c r="H17424" s="69">
        <v>-0.17</v>
      </c>
    </row>
    <row r="17425" spans="6:8">
      <c r="F17425" s="68" t="s">
        <v>664</v>
      </c>
      <c r="G17425" s="67" t="s">
        <v>687</v>
      </c>
      <c r="H17425" s="69">
        <v>112.52312655999999</v>
      </c>
    </row>
    <row r="17426" spans="6:8">
      <c r="F17426" s="68" t="s">
        <v>128</v>
      </c>
      <c r="G17426" s="67" t="s">
        <v>687</v>
      </c>
      <c r="H17426" s="69">
        <v>-0.89</v>
      </c>
    </row>
    <row r="17427" spans="6:8">
      <c r="F17427" s="68" t="s">
        <v>129</v>
      </c>
      <c r="G17427" s="67" t="s">
        <v>687</v>
      </c>
      <c r="H17427" s="69">
        <v>-0.72</v>
      </c>
    </row>
    <row r="17428" spans="6:8">
      <c r="F17428" s="68" t="s">
        <v>304</v>
      </c>
      <c r="G17428" s="67" t="s">
        <v>687</v>
      </c>
      <c r="H17428" s="69">
        <v>18</v>
      </c>
    </row>
    <row r="17429" spans="6:8">
      <c r="F17429" s="68" t="s">
        <v>254</v>
      </c>
      <c r="G17429" s="67" t="s">
        <v>687</v>
      </c>
      <c r="H17429" s="69">
        <v>0.59</v>
      </c>
    </row>
    <row r="17430" spans="6:8">
      <c r="F17430" s="68" t="s">
        <v>421</v>
      </c>
      <c r="G17430" s="67" t="s">
        <v>687</v>
      </c>
      <c r="H17430" s="69">
        <v>2.2278504457902137</v>
      </c>
    </row>
    <row r="17431" spans="6:8">
      <c r="F17431" s="68" t="s">
        <v>567</v>
      </c>
      <c r="G17431" s="67" t="s">
        <v>687</v>
      </c>
      <c r="H17431" s="69">
        <v>-0.79</v>
      </c>
    </row>
    <row r="17432" spans="6:8">
      <c r="F17432" s="68" t="s">
        <v>665</v>
      </c>
      <c r="G17432" s="67" t="s">
        <v>687</v>
      </c>
      <c r="H17432" s="69">
        <v>112.52318206</v>
      </c>
    </row>
    <row r="17433" spans="6:8">
      <c r="F17433" s="68" t="s">
        <v>130</v>
      </c>
      <c r="G17433" s="67" t="s">
        <v>687</v>
      </c>
      <c r="H17433" s="69">
        <v>-1</v>
      </c>
    </row>
    <row r="17434" spans="6:8">
      <c r="F17434" s="68" t="s">
        <v>131</v>
      </c>
      <c r="G17434" s="67" t="s">
        <v>687</v>
      </c>
      <c r="H17434" s="69">
        <v>-0.56000000000000005</v>
      </c>
    </row>
    <row r="17435" spans="6:8">
      <c r="F17435" s="68" t="s">
        <v>303</v>
      </c>
      <c r="G17435" s="67" t="s">
        <v>687</v>
      </c>
      <c r="H17435" s="69">
        <v>18.989583333333332</v>
      </c>
    </row>
    <row r="17436" spans="6:8">
      <c r="F17436" s="68" t="s">
        <v>255</v>
      </c>
      <c r="G17436" s="67" t="s">
        <v>687</v>
      </c>
      <c r="H17436" s="69">
        <v>0.74</v>
      </c>
    </row>
    <row r="17437" spans="6:8">
      <c r="F17437" s="68" t="s">
        <v>422</v>
      </c>
      <c r="G17437" s="67" t="s">
        <v>687</v>
      </c>
      <c r="H17437" s="69">
        <v>2.234499521564004</v>
      </c>
    </row>
    <row r="17438" spans="6:8">
      <c r="F17438" s="68" t="s">
        <v>568</v>
      </c>
      <c r="G17438" s="67" t="s">
        <v>687</v>
      </c>
      <c r="H17438" s="69">
        <v>-0.39</v>
      </c>
    </row>
    <row r="17439" spans="6:8">
      <c r="F17439" s="68" t="s">
        <v>666</v>
      </c>
      <c r="G17439" s="67" t="s">
        <v>687</v>
      </c>
      <c r="H17439" s="69">
        <v>112.5229844</v>
      </c>
    </row>
    <row r="17440" spans="6:8">
      <c r="F17440" s="68" t="s">
        <v>132</v>
      </c>
      <c r="G17440" s="67" t="s">
        <v>687</v>
      </c>
      <c r="H17440" s="69">
        <v>-0.91</v>
      </c>
    </row>
    <row r="17441" spans="6:8">
      <c r="F17441" s="68" t="s">
        <v>133</v>
      </c>
      <c r="G17441" s="67" t="s">
        <v>687</v>
      </c>
      <c r="H17441" s="69">
        <v>-0.63</v>
      </c>
    </row>
    <row r="17442" spans="6:8">
      <c r="F17442" s="68" t="s">
        <v>256</v>
      </c>
      <c r="G17442" s="67" t="s">
        <v>687</v>
      </c>
      <c r="H17442" s="69">
        <v>0.85</v>
      </c>
    </row>
    <row r="17443" spans="6:8">
      <c r="F17443" s="68" t="s">
        <v>423</v>
      </c>
      <c r="G17443" s="67" t="s">
        <v>687</v>
      </c>
      <c r="H17443" s="69">
        <v>2.3039738712150371</v>
      </c>
    </row>
    <row r="17444" spans="6:8">
      <c r="F17444" s="68" t="s">
        <v>569</v>
      </c>
      <c r="G17444" s="67" t="s">
        <v>687</v>
      </c>
      <c r="H17444" s="69">
        <v>-0.16</v>
      </c>
    </row>
    <row r="17445" spans="6:8">
      <c r="F17445" s="68" t="s">
        <v>667</v>
      </c>
      <c r="G17445" s="67" t="s">
        <v>687</v>
      </c>
      <c r="H17445" s="69">
        <v>112.52333695999999</v>
      </c>
    </row>
    <row r="17446" spans="6:8">
      <c r="F17446" s="68" t="s">
        <v>424</v>
      </c>
      <c r="G17446" s="67" t="s">
        <v>687</v>
      </c>
      <c r="H17446" s="69">
        <v>2.8510579262733149</v>
      </c>
    </row>
    <row r="17447" spans="6:8">
      <c r="F17447" s="68" t="s">
        <v>668</v>
      </c>
      <c r="G17447" s="67" t="s">
        <v>687</v>
      </c>
      <c r="H17447" s="69">
        <v>112.52314238</v>
      </c>
    </row>
    <row r="17448" spans="6:8">
      <c r="F17448" s="68" t="s">
        <v>134</v>
      </c>
      <c r="G17448" s="67" t="s">
        <v>687</v>
      </c>
      <c r="H17448" s="69">
        <v>-0.87</v>
      </c>
    </row>
    <row r="17449" spans="6:8">
      <c r="F17449" s="68" t="s">
        <v>135</v>
      </c>
      <c r="G17449" s="67" t="s">
        <v>687</v>
      </c>
      <c r="H17449" s="69">
        <v>-0.79</v>
      </c>
    </row>
    <row r="17450" spans="6:8">
      <c r="F17450" s="68" t="s">
        <v>257</v>
      </c>
      <c r="G17450" s="67" t="s">
        <v>687</v>
      </c>
      <c r="H17450" s="69">
        <v>0.9</v>
      </c>
    </row>
    <row r="17451" spans="6:8">
      <c r="F17451" s="68" t="s">
        <v>258</v>
      </c>
      <c r="G17451" s="67" t="s">
        <v>687</v>
      </c>
      <c r="H17451" s="69">
        <v>0.15</v>
      </c>
    </row>
    <row r="17452" spans="6:8">
      <c r="F17452" s="68" t="s">
        <v>425</v>
      </c>
      <c r="G17452" s="67" t="s">
        <v>687</v>
      </c>
      <c r="H17452" s="69">
        <v>2.899565999734488</v>
      </c>
    </row>
    <row r="17453" spans="6:8">
      <c r="F17453" s="68" t="s">
        <v>669</v>
      </c>
      <c r="G17453" s="67" t="s">
        <v>687</v>
      </c>
      <c r="H17453" s="69">
        <v>112.52335664</v>
      </c>
    </row>
    <row r="17454" spans="6:8">
      <c r="F17454" s="68" t="s">
        <v>136</v>
      </c>
      <c r="G17454" s="67" t="s">
        <v>687</v>
      </c>
      <c r="H17454" s="69">
        <v>-0.85</v>
      </c>
    </row>
    <row r="17455" spans="6:8">
      <c r="F17455" s="68" t="s">
        <v>137</v>
      </c>
      <c r="G17455" s="67" t="s">
        <v>687</v>
      </c>
      <c r="H17455" s="69">
        <v>-0.68</v>
      </c>
    </row>
    <row r="17456" spans="6:8">
      <c r="F17456" s="68" t="s">
        <v>138</v>
      </c>
      <c r="G17456" s="67" t="s">
        <v>687</v>
      </c>
      <c r="H17456" s="69">
        <v>-0.74</v>
      </c>
    </row>
    <row r="17457" spans="6:8">
      <c r="F17457" s="68" t="s">
        <v>259</v>
      </c>
      <c r="G17457" s="67" t="s">
        <v>687</v>
      </c>
      <c r="H17457" s="69">
        <v>0.16</v>
      </c>
    </row>
    <row r="17458" spans="6:8">
      <c r="F17458" s="68" t="s">
        <v>259</v>
      </c>
      <c r="G17458" s="67" t="s">
        <v>688</v>
      </c>
      <c r="H17458" s="69">
        <v>0.16</v>
      </c>
    </row>
    <row r="17459" spans="6:8">
      <c r="F17459" s="68" t="s">
        <v>138</v>
      </c>
      <c r="G17459" s="67" t="s">
        <v>688</v>
      </c>
      <c r="H17459" s="69">
        <v>-0.74</v>
      </c>
    </row>
    <row r="17460" spans="6:8">
      <c r="F17460" s="68" t="s">
        <v>137</v>
      </c>
      <c r="G17460" s="67" t="s">
        <v>688</v>
      </c>
      <c r="H17460" s="69">
        <v>-0.68</v>
      </c>
    </row>
    <row r="17461" spans="6:8">
      <c r="F17461" s="68" t="s">
        <v>136</v>
      </c>
      <c r="G17461" s="67" t="s">
        <v>688</v>
      </c>
      <c r="H17461" s="69">
        <v>-0.85</v>
      </c>
    </row>
    <row r="17462" spans="6:8">
      <c r="F17462" s="68" t="s">
        <v>669</v>
      </c>
      <c r="G17462" s="67" t="s">
        <v>688</v>
      </c>
      <c r="H17462" s="69">
        <v>112.58063455999999</v>
      </c>
    </row>
    <row r="17463" spans="6:8">
      <c r="F17463" s="68" t="s">
        <v>425</v>
      </c>
      <c r="G17463" s="67" t="s">
        <v>688</v>
      </c>
      <c r="H17463" s="69">
        <v>2.8871527743254966</v>
      </c>
    </row>
    <row r="17464" spans="6:8">
      <c r="F17464" s="68" t="s">
        <v>258</v>
      </c>
      <c r="G17464" s="67" t="s">
        <v>688</v>
      </c>
      <c r="H17464" s="69">
        <v>0.15</v>
      </c>
    </row>
    <row r="17465" spans="6:8">
      <c r="F17465" s="68" t="s">
        <v>257</v>
      </c>
      <c r="G17465" s="67" t="s">
        <v>688</v>
      </c>
      <c r="H17465" s="69">
        <v>0.9</v>
      </c>
    </row>
    <row r="17466" spans="6:8">
      <c r="F17466" s="68" t="s">
        <v>135</v>
      </c>
      <c r="G17466" s="67" t="s">
        <v>688</v>
      </c>
      <c r="H17466" s="69">
        <v>-0.79</v>
      </c>
    </row>
    <row r="17467" spans="6:8">
      <c r="F17467" s="68" t="s">
        <v>134</v>
      </c>
      <c r="G17467" s="67" t="s">
        <v>688</v>
      </c>
      <c r="H17467" s="69">
        <v>-0.87</v>
      </c>
    </row>
    <row r="17468" spans="6:8">
      <c r="F17468" s="68" t="s">
        <v>668</v>
      </c>
      <c r="G17468" s="67" t="s">
        <v>688</v>
      </c>
      <c r="H17468" s="69">
        <v>112.58041909000001</v>
      </c>
    </row>
    <row r="17469" spans="6:8">
      <c r="F17469" s="68" t="s">
        <v>424</v>
      </c>
      <c r="G17469" s="67" t="s">
        <v>688</v>
      </c>
      <c r="H17469" s="69">
        <v>2.8394459239990066</v>
      </c>
    </row>
    <row r="17470" spans="6:8">
      <c r="F17470" s="68" t="s">
        <v>667</v>
      </c>
      <c r="G17470" s="67" t="s">
        <v>688</v>
      </c>
      <c r="H17470" s="69">
        <v>112.58061477</v>
      </c>
    </row>
    <row r="17471" spans="6:8">
      <c r="F17471" s="68" t="s">
        <v>569</v>
      </c>
      <c r="G17471" s="67" t="s">
        <v>688</v>
      </c>
      <c r="H17471" s="69">
        <v>-0.16</v>
      </c>
    </row>
    <row r="17472" spans="6:8">
      <c r="F17472" s="68" t="s">
        <v>423</v>
      </c>
      <c r="G17472" s="67" t="s">
        <v>688</v>
      </c>
      <c r="H17472" s="69">
        <v>2.275864325324628</v>
      </c>
    </row>
    <row r="17473" spans="6:8">
      <c r="F17473" s="68" t="s">
        <v>256</v>
      </c>
      <c r="G17473" s="67" t="s">
        <v>688</v>
      </c>
      <c r="H17473" s="69">
        <v>0.85</v>
      </c>
    </row>
    <row r="17474" spans="6:8">
      <c r="F17474" s="68" t="s">
        <v>133</v>
      </c>
      <c r="G17474" s="67" t="s">
        <v>688</v>
      </c>
      <c r="H17474" s="69">
        <v>-0.63</v>
      </c>
    </row>
    <row r="17475" spans="6:8">
      <c r="F17475" s="68" t="s">
        <v>132</v>
      </c>
      <c r="G17475" s="67" t="s">
        <v>688</v>
      </c>
      <c r="H17475" s="69">
        <v>-0.91</v>
      </c>
    </row>
    <row r="17476" spans="6:8">
      <c r="F17476" s="68" t="s">
        <v>666</v>
      </c>
      <c r="G17476" s="67" t="s">
        <v>688</v>
      </c>
      <c r="H17476" s="69">
        <v>112.58026022</v>
      </c>
    </row>
    <row r="17477" spans="6:8">
      <c r="F17477" s="68" t="s">
        <v>568</v>
      </c>
      <c r="G17477" s="67" t="s">
        <v>688</v>
      </c>
      <c r="H17477" s="69">
        <v>-0.39</v>
      </c>
    </row>
    <row r="17478" spans="6:8">
      <c r="F17478" s="68" t="s">
        <v>422</v>
      </c>
      <c r="G17478" s="67" t="s">
        <v>688</v>
      </c>
      <c r="H17478" s="69">
        <v>2.1903988684574216</v>
      </c>
    </row>
    <row r="17479" spans="6:8">
      <c r="F17479" s="68" t="s">
        <v>255</v>
      </c>
      <c r="G17479" s="67" t="s">
        <v>688</v>
      </c>
      <c r="H17479" s="69">
        <v>0.74</v>
      </c>
    </row>
    <row r="17480" spans="6:8">
      <c r="F17480" s="68" t="s">
        <v>303</v>
      </c>
      <c r="G17480" s="67" t="s">
        <v>688</v>
      </c>
      <c r="H17480" s="69">
        <v>18.927083333333332</v>
      </c>
    </row>
    <row r="17481" spans="6:8">
      <c r="F17481" s="68" t="s">
        <v>131</v>
      </c>
      <c r="G17481" s="67" t="s">
        <v>688</v>
      </c>
      <c r="H17481" s="69">
        <v>-0.56000000000000005</v>
      </c>
    </row>
    <row r="17482" spans="6:8">
      <c r="F17482" s="68" t="s">
        <v>130</v>
      </c>
      <c r="G17482" s="67" t="s">
        <v>688</v>
      </c>
      <c r="H17482" s="69">
        <v>-1</v>
      </c>
    </row>
    <row r="17483" spans="6:8">
      <c r="F17483" s="68" t="s">
        <v>665</v>
      </c>
      <c r="G17483" s="67" t="s">
        <v>688</v>
      </c>
      <c r="H17483" s="69">
        <v>112.58045899</v>
      </c>
    </row>
    <row r="17484" spans="6:8">
      <c r="F17484" s="68" t="s">
        <v>567</v>
      </c>
      <c r="G17484" s="67" t="s">
        <v>688</v>
      </c>
      <c r="H17484" s="69">
        <v>-0.79</v>
      </c>
    </row>
    <row r="17485" spans="6:8">
      <c r="F17485" s="68" t="s">
        <v>421</v>
      </c>
      <c r="G17485" s="67" t="s">
        <v>688</v>
      </c>
      <c r="H17485" s="69">
        <v>2.1836769320345173</v>
      </c>
    </row>
    <row r="17486" spans="6:8">
      <c r="F17486" s="68" t="s">
        <v>254</v>
      </c>
      <c r="G17486" s="67" t="s">
        <v>688</v>
      </c>
      <c r="H17486" s="69">
        <v>0.59</v>
      </c>
    </row>
    <row r="17487" spans="6:8">
      <c r="F17487" s="68" t="s">
        <v>304</v>
      </c>
      <c r="G17487" s="67" t="s">
        <v>688</v>
      </c>
      <c r="H17487" s="69">
        <v>17.9375</v>
      </c>
    </row>
    <row r="17488" spans="6:8">
      <c r="F17488" s="68" t="s">
        <v>129</v>
      </c>
      <c r="G17488" s="67" t="s">
        <v>688</v>
      </c>
      <c r="H17488" s="69">
        <v>-0.72</v>
      </c>
    </row>
    <row r="17489" spans="6:8">
      <c r="F17489" s="68" t="s">
        <v>128</v>
      </c>
      <c r="G17489" s="67" t="s">
        <v>688</v>
      </c>
      <c r="H17489" s="69">
        <v>-0.89</v>
      </c>
    </row>
    <row r="17490" spans="6:8">
      <c r="F17490" s="68" t="s">
        <v>664</v>
      </c>
      <c r="G17490" s="67" t="s">
        <v>688</v>
      </c>
      <c r="H17490" s="69">
        <v>112.58040317</v>
      </c>
    </row>
    <row r="17491" spans="6:8">
      <c r="F17491" s="68" t="s">
        <v>315</v>
      </c>
      <c r="G17491" s="67" t="s">
        <v>688</v>
      </c>
      <c r="H17491" s="69">
        <v>-0.17</v>
      </c>
    </row>
    <row r="17492" spans="6:8">
      <c r="F17492" s="68" t="s">
        <v>253</v>
      </c>
      <c r="G17492" s="67" t="s">
        <v>688</v>
      </c>
      <c r="H17492" s="69">
        <v>0.42</v>
      </c>
    </row>
    <row r="17493" spans="6:8">
      <c r="F17493" s="68" t="s">
        <v>127</v>
      </c>
      <c r="G17493" s="67" t="s">
        <v>688</v>
      </c>
      <c r="H17493" s="69">
        <v>-0.42</v>
      </c>
    </row>
    <row r="17494" spans="6:8">
      <c r="F17494" s="68" t="s">
        <v>126</v>
      </c>
      <c r="G17494" s="67" t="s">
        <v>688</v>
      </c>
      <c r="H17494" s="69">
        <v>-0.92</v>
      </c>
    </row>
    <row r="17495" spans="6:8">
      <c r="F17495" s="68" t="s">
        <v>125</v>
      </c>
      <c r="G17495" s="67" t="s">
        <v>688</v>
      </c>
      <c r="H17495" s="69">
        <v>-0.52</v>
      </c>
    </row>
    <row r="17496" spans="6:8">
      <c r="F17496" s="68" t="s">
        <v>663</v>
      </c>
      <c r="G17496" s="67" t="s">
        <v>688</v>
      </c>
      <c r="H17496" s="69">
        <v>112.58060687</v>
      </c>
    </row>
    <row r="17497" spans="6:8">
      <c r="F17497" s="68" t="s">
        <v>314</v>
      </c>
      <c r="G17497" s="67" t="s">
        <v>688</v>
      </c>
      <c r="H17497" s="69">
        <v>-0.4</v>
      </c>
    </row>
    <row r="17498" spans="6:8">
      <c r="F17498" s="68" t="s">
        <v>252</v>
      </c>
      <c r="G17498" s="67" t="s">
        <v>688</v>
      </c>
      <c r="H17498" s="69">
        <v>0.27</v>
      </c>
    </row>
    <row r="17499" spans="6:8">
      <c r="F17499" s="68" t="s">
        <v>124</v>
      </c>
      <c r="G17499" s="67" t="s">
        <v>688</v>
      </c>
      <c r="H17499" s="69">
        <v>-0.51</v>
      </c>
    </row>
    <row r="17500" spans="6:8">
      <c r="F17500" s="68" t="s">
        <v>123</v>
      </c>
      <c r="G17500" s="67" t="s">
        <v>688</v>
      </c>
      <c r="H17500" s="69">
        <v>-0.99</v>
      </c>
    </row>
    <row r="17501" spans="6:8">
      <c r="F17501" s="68" t="s">
        <v>122</v>
      </c>
      <c r="G17501" s="67" t="s">
        <v>688</v>
      </c>
      <c r="H17501" s="69">
        <v>-0.69</v>
      </c>
    </row>
    <row r="17502" spans="6:8">
      <c r="F17502" s="68" t="s">
        <v>251</v>
      </c>
      <c r="G17502" s="67" t="s">
        <v>688</v>
      </c>
      <c r="H17502" s="69">
        <v>0.2</v>
      </c>
    </row>
    <row r="17503" spans="6:8">
      <c r="F17503" s="68" t="s">
        <v>121</v>
      </c>
      <c r="G17503" s="67" t="s">
        <v>688</v>
      </c>
      <c r="H17503" s="69">
        <v>-0.64</v>
      </c>
    </row>
    <row r="17504" spans="6:8">
      <c r="F17504" s="68" t="s">
        <v>120</v>
      </c>
      <c r="G17504" s="67" t="s">
        <v>688</v>
      </c>
      <c r="H17504" s="69">
        <v>-0.84</v>
      </c>
    </row>
    <row r="17505" spans="6:8">
      <c r="F17505" s="68" t="s">
        <v>119</v>
      </c>
      <c r="G17505" s="67" t="s">
        <v>688</v>
      </c>
      <c r="H17505" s="69">
        <v>-0.73</v>
      </c>
    </row>
    <row r="17506" spans="6:8">
      <c r="F17506" s="68" t="s">
        <v>662</v>
      </c>
      <c r="G17506" s="67" t="s">
        <v>688</v>
      </c>
      <c r="H17506" s="69">
        <v>112.5800296</v>
      </c>
    </row>
    <row r="17507" spans="6:8">
      <c r="F17507" s="68" t="s">
        <v>420</v>
      </c>
      <c r="G17507" s="67" t="s">
        <v>688</v>
      </c>
      <c r="H17507" s="69">
        <v>3.171342768658425</v>
      </c>
    </row>
    <row r="17508" spans="6:8">
      <c r="F17508" s="68" t="s">
        <v>420</v>
      </c>
      <c r="G17508" s="67" t="s">
        <v>689</v>
      </c>
      <c r="H17508" s="69">
        <v>3.1844316675390782</v>
      </c>
    </row>
    <row r="17509" spans="6:8">
      <c r="F17509" s="68" t="s">
        <v>662</v>
      </c>
      <c r="G17509" s="67" t="s">
        <v>689</v>
      </c>
      <c r="H17509" s="69">
        <v>112.55162824</v>
      </c>
    </row>
    <row r="17510" spans="6:8">
      <c r="F17510" s="68" t="s">
        <v>119</v>
      </c>
      <c r="G17510" s="67" t="s">
        <v>689</v>
      </c>
      <c r="H17510" s="69">
        <v>-0.73</v>
      </c>
    </row>
    <row r="17511" spans="6:8">
      <c r="F17511" s="68" t="s">
        <v>120</v>
      </c>
      <c r="G17511" s="67" t="s">
        <v>689</v>
      </c>
      <c r="H17511" s="69">
        <v>-0.84</v>
      </c>
    </row>
    <row r="17512" spans="6:8">
      <c r="F17512" s="68" t="s">
        <v>121</v>
      </c>
      <c r="G17512" s="67" t="s">
        <v>689</v>
      </c>
      <c r="H17512" s="69">
        <v>-0.64</v>
      </c>
    </row>
    <row r="17513" spans="6:8">
      <c r="F17513" s="68" t="s">
        <v>251</v>
      </c>
      <c r="G17513" s="67" t="s">
        <v>689</v>
      </c>
      <c r="H17513" s="69">
        <v>0.2</v>
      </c>
    </row>
    <row r="17514" spans="6:8">
      <c r="F17514" s="68" t="s">
        <v>122</v>
      </c>
      <c r="G17514" s="67" t="s">
        <v>689</v>
      </c>
      <c r="H17514" s="69">
        <v>-0.69</v>
      </c>
    </row>
    <row r="17515" spans="6:8">
      <c r="F17515" s="68" t="s">
        <v>123</v>
      </c>
      <c r="G17515" s="67" t="s">
        <v>689</v>
      </c>
      <c r="H17515" s="69">
        <v>-0.99</v>
      </c>
    </row>
    <row r="17516" spans="6:8">
      <c r="F17516" s="68" t="s">
        <v>124</v>
      </c>
      <c r="G17516" s="67" t="s">
        <v>689</v>
      </c>
      <c r="H17516" s="69">
        <v>-0.51</v>
      </c>
    </row>
    <row r="17517" spans="6:8">
      <c r="F17517" s="68" t="s">
        <v>252</v>
      </c>
      <c r="G17517" s="67" t="s">
        <v>689</v>
      </c>
      <c r="H17517" s="69">
        <v>0.27</v>
      </c>
    </row>
    <row r="17518" spans="6:8">
      <c r="F17518" s="68" t="s">
        <v>314</v>
      </c>
      <c r="G17518" s="67" t="s">
        <v>689</v>
      </c>
      <c r="H17518" s="69">
        <v>-0.4</v>
      </c>
    </row>
    <row r="17519" spans="6:8">
      <c r="F17519" s="68" t="s">
        <v>663</v>
      </c>
      <c r="G17519" s="67" t="s">
        <v>689</v>
      </c>
      <c r="H17519" s="69">
        <v>112.5522048</v>
      </c>
    </row>
    <row r="17520" spans="6:8">
      <c r="F17520" s="68" t="s">
        <v>125</v>
      </c>
      <c r="G17520" s="67" t="s">
        <v>689</v>
      </c>
      <c r="H17520" s="69">
        <v>-0.52</v>
      </c>
    </row>
    <row r="17521" spans="6:8">
      <c r="F17521" s="68" t="s">
        <v>126</v>
      </c>
      <c r="G17521" s="67" t="s">
        <v>689</v>
      </c>
      <c r="H17521" s="69">
        <v>-0.92</v>
      </c>
    </row>
    <row r="17522" spans="6:8">
      <c r="F17522" s="68" t="s">
        <v>127</v>
      </c>
      <c r="G17522" s="67" t="s">
        <v>689</v>
      </c>
      <c r="H17522" s="69">
        <v>-0.42</v>
      </c>
    </row>
    <row r="17523" spans="6:8">
      <c r="F17523" s="68" t="s">
        <v>253</v>
      </c>
      <c r="G17523" s="67" t="s">
        <v>689</v>
      </c>
      <c r="H17523" s="69">
        <v>0.42</v>
      </c>
    </row>
    <row r="17524" spans="6:8">
      <c r="F17524" s="68" t="s">
        <v>315</v>
      </c>
      <c r="G17524" s="67" t="s">
        <v>689</v>
      </c>
      <c r="H17524" s="69">
        <v>-0.17</v>
      </c>
    </row>
    <row r="17525" spans="6:8">
      <c r="F17525" s="68" t="s">
        <v>664</v>
      </c>
      <c r="G17525" s="67" t="s">
        <v>689</v>
      </c>
      <c r="H17525" s="69">
        <v>112.55200135</v>
      </c>
    </row>
    <row r="17526" spans="6:8">
      <c r="F17526" s="68" t="s">
        <v>128</v>
      </c>
      <c r="G17526" s="67" t="s">
        <v>689</v>
      </c>
      <c r="H17526" s="69">
        <v>-0.89</v>
      </c>
    </row>
    <row r="17527" spans="6:8">
      <c r="F17527" s="68" t="s">
        <v>129</v>
      </c>
      <c r="G17527" s="67" t="s">
        <v>689</v>
      </c>
      <c r="H17527" s="69">
        <v>-0.72</v>
      </c>
    </row>
    <row r="17528" spans="6:8">
      <c r="F17528" s="68" t="s">
        <v>304</v>
      </c>
      <c r="G17528" s="67" t="s">
        <v>689</v>
      </c>
      <c r="H17528" s="69">
        <v>17.927083333333332</v>
      </c>
    </row>
    <row r="17529" spans="6:8">
      <c r="F17529" s="68" t="s">
        <v>254</v>
      </c>
      <c r="G17529" s="67" t="s">
        <v>689</v>
      </c>
      <c r="H17529" s="69">
        <v>0.59</v>
      </c>
    </row>
    <row r="17530" spans="6:8">
      <c r="F17530" s="68" t="s">
        <v>421</v>
      </c>
      <c r="G17530" s="67" t="s">
        <v>689</v>
      </c>
      <c r="H17530" s="69">
        <v>2.1916568919927659</v>
      </c>
    </row>
    <row r="17531" spans="6:8">
      <c r="F17531" s="68" t="s">
        <v>567</v>
      </c>
      <c r="G17531" s="67" t="s">
        <v>689</v>
      </c>
      <c r="H17531" s="69">
        <v>-0.79</v>
      </c>
    </row>
    <row r="17532" spans="6:8">
      <c r="F17532" s="68" t="s">
        <v>665</v>
      </c>
      <c r="G17532" s="67" t="s">
        <v>689</v>
      </c>
      <c r="H17532" s="69">
        <v>112.5520571</v>
      </c>
    </row>
    <row r="17533" spans="6:8">
      <c r="F17533" s="68" t="s">
        <v>130</v>
      </c>
      <c r="G17533" s="67" t="s">
        <v>689</v>
      </c>
      <c r="H17533" s="69">
        <v>-1</v>
      </c>
    </row>
    <row r="17534" spans="6:8">
      <c r="F17534" s="68" t="s">
        <v>131</v>
      </c>
      <c r="G17534" s="67" t="s">
        <v>689</v>
      </c>
      <c r="H17534" s="69">
        <v>-0.56000000000000005</v>
      </c>
    </row>
    <row r="17535" spans="6:8">
      <c r="F17535" s="68" t="s">
        <v>303</v>
      </c>
      <c r="G17535" s="67" t="s">
        <v>689</v>
      </c>
      <c r="H17535" s="69">
        <v>18.916666666666668</v>
      </c>
    </row>
    <row r="17536" spans="6:8">
      <c r="F17536" s="68" t="s">
        <v>255</v>
      </c>
      <c r="G17536" s="67" t="s">
        <v>689</v>
      </c>
      <c r="H17536" s="69">
        <v>0.74</v>
      </c>
    </row>
    <row r="17537" spans="6:8">
      <c r="F17537" s="68" t="s">
        <v>422</v>
      </c>
      <c r="G17537" s="67" t="s">
        <v>689</v>
      </c>
      <c r="H17537" s="69">
        <v>2.1984067134917851</v>
      </c>
    </row>
    <row r="17538" spans="6:8">
      <c r="F17538" s="68" t="s">
        <v>568</v>
      </c>
      <c r="G17538" s="67" t="s">
        <v>689</v>
      </c>
      <c r="H17538" s="69">
        <v>-0.39</v>
      </c>
    </row>
    <row r="17539" spans="6:8">
      <c r="F17539" s="68" t="s">
        <v>666</v>
      </c>
      <c r="G17539" s="67" t="s">
        <v>689</v>
      </c>
      <c r="H17539" s="69">
        <v>112.55185856999999</v>
      </c>
    </row>
    <row r="17540" spans="6:8">
      <c r="F17540" s="68" t="s">
        <v>132</v>
      </c>
      <c r="G17540" s="67" t="s">
        <v>689</v>
      </c>
      <c r="H17540" s="69">
        <v>-0.91</v>
      </c>
    </row>
    <row r="17541" spans="6:8">
      <c r="F17541" s="68" t="s">
        <v>133</v>
      </c>
      <c r="G17541" s="67" t="s">
        <v>689</v>
      </c>
      <c r="H17541" s="69">
        <v>-0.63</v>
      </c>
    </row>
    <row r="17542" spans="6:8">
      <c r="F17542" s="68" t="s">
        <v>256</v>
      </c>
      <c r="G17542" s="67" t="s">
        <v>689</v>
      </c>
      <c r="H17542" s="69">
        <v>0.85</v>
      </c>
    </row>
    <row r="17543" spans="6:8">
      <c r="F17543" s="68" t="s">
        <v>423</v>
      </c>
      <c r="G17543" s="67" t="s">
        <v>689</v>
      </c>
      <c r="H17543" s="69">
        <v>2.2827121929701821</v>
      </c>
    </row>
    <row r="17544" spans="6:8">
      <c r="F17544" s="68" t="s">
        <v>569</v>
      </c>
      <c r="G17544" s="67" t="s">
        <v>689</v>
      </c>
      <c r="H17544" s="69">
        <v>-0.16</v>
      </c>
    </row>
    <row r="17545" spans="6:8">
      <c r="F17545" s="68" t="s">
        <v>667</v>
      </c>
      <c r="G17545" s="67" t="s">
        <v>689</v>
      </c>
      <c r="H17545" s="69">
        <v>112.55221268</v>
      </c>
    </row>
    <row r="17546" spans="6:8">
      <c r="F17546" s="68" t="s">
        <v>424</v>
      </c>
      <c r="G17546" s="67" t="s">
        <v>689</v>
      </c>
      <c r="H17546" s="69">
        <v>2.8664856531766425</v>
      </c>
    </row>
    <row r="17547" spans="6:8">
      <c r="F17547" s="68" t="s">
        <v>668</v>
      </c>
      <c r="G17547" s="67" t="s">
        <v>689</v>
      </c>
      <c r="H17547" s="69">
        <v>112.55201724</v>
      </c>
    </row>
    <row r="17548" spans="6:8">
      <c r="F17548" s="68" t="s">
        <v>134</v>
      </c>
      <c r="G17548" s="67" t="s">
        <v>689</v>
      </c>
      <c r="H17548" s="69">
        <v>-0.87</v>
      </c>
    </row>
    <row r="17549" spans="6:8">
      <c r="F17549" s="68" t="s">
        <v>135</v>
      </c>
      <c r="G17549" s="67" t="s">
        <v>689</v>
      </c>
      <c r="H17549" s="69">
        <v>-0.79</v>
      </c>
    </row>
    <row r="17550" spans="6:8">
      <c r="F17550" s="68" t="s">
        <v>257</v>
      </c>
      <c r="G17550" s="67" t="s">
        <v>689</v>
      </c>
      <c r="H17550" s="69">
        <v>0.9</v>
      </c>
    </row>
    <row r="17551" spans="6:8">
      <c r="F17551" s="68" t="s">
        <v>258</v>
      </c>
      <c r="G17551" s="67" t="s">
        <v>689</v>
      </c>
      <c r="H17551" s="69">
        <v>0.15</v>
      </c>
    </row>
    <row r="17552" spans="6:8">
      <c r="F17552" s="68" t="s">
        <v>425</v>
      </c>
      <c r="G17552" s="67" t="s">
        <v>689</v>
      </c>
      <c r="H17552" s="69">
        <v>2.9047585187171876</v>
      </c>
    </row>
    <row r="17553" spans="6:8">
      <c r="F17553" s="68" t="s">
        <v>669</v>
      </c>
      <c r="G17553" s="67" t="s">
        <v>689</v>
      </c>
      <c r="H17553" s="69">
        <v>112.55223245000001</v>
      </c>
    </row>
    <row r="17554" spans="6:8">
      <c r="F17554" s="68" t="s">
        <v>136</v>
      </c>
      <c r="G17554" s="67" t="s">
        <v>689</v>
      </c>
      <c r="H17554" s="69">
        <v>-0.85</v>
      </c>
    </row>
    <row r="17555" spans="6:8">
      <c r="F17555" s="68" t="s">
        <v>137</v>
      </c>
      <c r="G17555" s="67" t="s">
        <v>689</v>
      </c>
      <c r="H17555" s="69">
        <v>-0.68</v>
      </c>
    </row>
    <row r="17556" spans="6:8">
      <c r="F17556" s="68" t="s">
        <v>138</v>
      </c>
      <c r="G17556" s="67" t="s">
        <v>689</v>
      </c>
      <c r="H17556" s="69">
        <v>-0.74</v>
      </c>
    </row>
    <row r="17557" spans="6:8">
      <c r="F17557" s="68" t="s">
        <v>259</v>
      </c>
      <c r="G17557" s="67" t="s">
        <v>689</v>
      </c>
      <c r="H17557" s="69">
        <v>0.16</v>
      </c>
    </row>
    <row r="17558" spans="6:8">
      <c r="F17558" s="68" t="s">
        <v>259</v>
      </c>
      <c r="G17558" s="67" t="s">
        <v>690</v>
      </c>
      <c r="H17558" s="69">
        <v>0.16</v>
      </c>
    </row>
    <row r="17559" spans="6:8">
      <c r="F17559" s="68" t="s">
        <v>138</v>
      </c>
      <c r="G17559" s="67" t="s">
        <v>690</v>
      </c>
      <c r="H17559" s="69">
        <v>-0.74</v>
      </c>
    </row>
    <row r="17560" spans="6:8">
      <c r="F17560" s="68" t="s">
        <v>137</v>
      </c>
      <c r="G17560" s="67" t="s">
        <v>690</v>
      </c>
      <c r="H17560" s="69">
        <v>-0.68</v>
      </c>
    </row>
    <row r="17561" spans="6:8">
      <c r="F17561" s="68" t="s">
        <v>136</v>
      </c>
      <c r="G17561" s="67" t="s">
        <v>690</v>
      </c>
      <c r="H17561" s="69">
        <v>-0.85</v>
      </c>
    </row>
    <row r="17562" spans="6:8">
      <c r="F17562" s="68" t="s">
        <v>669</v>
      </c>
      <c r="G17562" s="67" t="s">
        <v>690</v>
      </c>
      <c r="H17562" s="69">
        <v>112.43035913999999</v>
      </c>
    </row>
    <row r="17563" spans="6:8">
      <c r="F17563" s="68" t="s">
        <v>425</v>
      </c>
      <c r="G17563" s="67" t="s">
        <v>690</v>
      </c>
      <c r="H17563" s="69">
        <v>2.9657583341006877</v>
      </c>
    </row>
    <row r="17564" spans="6:8">
      <c r="F17564" s="68" t="s">
        <v>258</v>
      </c>
      <c r="G17564" s="67" t="s">
        <v>690</v>
      </c>
      <c r="H17564" s="69">
        <v>0.15</v>
      </c>
    </row>
    <row r="17565" spans="6:8">
      <c r="F17565" s="68" t="s">
        <v>257</v>
      </c>
      <c r="G17565" s="67" t="s">
        <v>690</v>
      </c>
      <c r="H17565" s="69">
        <v>0.9</v>
      </c>
    </row>
    <row r="17566" spans="6:8">
      <c r="F17566" s="68" t="s">
        <v>135</v>
      </c>
      <c r="G17566" s="67" t="s">
        <v>690</v>
      </c>
      <c r="H17566" s="69">
        <v>-0.79</v>
      </c>
    </row>
    <row r="17567" spans="6:8">
      <c r="F17567" s="68" t="s">
        <v>134</v>
      </c>
      <c r="G17567" s="67" t="s">
        <v>690</v>
      </c>
      <c r="H17567" s="69">
        <v>-0.87</v>
      </c>
    </row>
    <row r="17568" spans="6:8">
      <c r="F17568" s="68" t="s">
        <v>668</v>
      </c>
      <c r="G17568" s="67" t="s">
        <v>690</v>
      </c>
      <c r="H17568" s="69">
        <v>112.43014581</v>
      </c>
    </row>
    <row r="17569" spans="6:8">
      <c r="F17569" s="68" t="s">
        <v>424</v>
      </c>
      <c r="G17569" s="67" t="s">
        <v>690</v>
      </c>
      <c r="H17569" s="69">
        <v>2.9247424076434658</v>
      </c>
    </row>
    <row r="17570" spans="6:8">
      <c r="F17570" s="68" t="s">
        <v>667</v>
      </c>
      <c r="G17570" s="67" t="s">
        <v>690</v>
      </c>
      <c r="H17570" s="69">
        <v>112.43033955</v>
      </c>
    </row>
    <row r="17571" spans="6:8">
      <c r="F17571" s="68" t="s">
        <v>569</v>
      </c>
      <c r="G17571" s="67" t="s">
        <v>690</v>
      </c>
      <c r="H17571" s="69">
        <v>-0.16</v>
      </c>
    </row>
    <row r="17572" spans="6:8">
      <c r="F17572" s="68" t="s">
        <v>423</v>
      </c>
      <c r="G17572" s="67" t="s">
        <v>690</v>
      </c>
      <c r="H17572" s="69">
        <v>2.3187413378537247</v>
      </c>
    </row>
    <row r="17573" spans="6:8">
      <c r="F17573" s="68" t="s">
        <v>256</v>
      </c>
      <c r="G17573" s="67" t="s">
        <v>690</v>
      </c>
      <c r="H17573" s="69">
        <v>0.85</v>
      </c>
    </row>
    <row r="17574" spans="6:8">
      <c r="F17574" s="68" t="s">
        <v>133</v>
      </c>
      <c r="G17574" s="67" t="s">
        <v>690</v>
      </c>
      <c r="H17574" s="69">
        <v>-0.63</v>
      </c>
    </row>
    <row r="17575" spans="6:8">
      <c r="F17575" s="68" t="s">
        <v>132</v>
      </c>
      <c r="G17575" s="67" t="s">
        <v>690</v>
      </c>
      <c r="H17575" s="69">
        <v>-0.91</v>
      </c>
    </row>
    <row r="17576" spans="6:8">
      <c r="F17576" s="68" t="s">
        <v>666</v>
      </c>
      <c r="G17576" s="67" t="s">
        <v>690</v>
      </c>
      <c r="H17576" s="69">
        <v>112.42998851999999</v>
      </c>
    </row>
    <row r="17577" spans="6:8">
      <c r="F17577" s="68" t="s">
        <v>568</v>
      </c>
      <c r="G17577" s="67" t="s">
        <v>690</v>
      </c>
      <c r="H17577" s="69">
        <v>-0.39</v>
      </c>
    </row>
    <row r="17578" spans="6:8">
      <c r="F17578" s="68" t="s">
        <v>422</v>
      </c>
      <c r="G17578" s="67" t="s">
        <v>690</v>
      </c>
      <c r="H17578" s="69">
        <v>2.2440318659046721</v>
      </c>
    </row>
    <row r="17579" spans="6:8">
      <c r="F17579" s="68" t="s">
        <v>255</v>
      </c>
      <c r="G17579" s="67" t="s">
        <v>690</v>
      </c>
      <c r="H17579" s="69">
        <v>0.74</v>
      </c>
    </row>
    <row r="17580" spans="6:8">
      <c r="F17580" s="68" t="s">
        <v>303</v>
      </c>
      <c r="G17580" s="67" t="s">
        <v>690</v>
      </c>
      <c r="H17580" s="69">
        <v>18.864583333333332</v>
      </c>
    </row>
    <row r="17581" spans="6:8">
      <c r="F17581" s="68" t="s">
        <v>131</v>
      </c>
      <c r="G17581" s="67" t="s">
        <v>690</v>
      </c>
      <c r="H17581" s="69">
        <v>-0.56000000000000005</v>
      </c>
    </row>
    <row r="17582" spans="6:8">
      <c r="F17582" s="68" t="s">
        <v>130</v>
      </c>
      <c r="G17582" s="67" t="s">
        <v>690</v>
      </c>
      <c r="H17582" s="69">
        <v>-1</v>
      </c>
    </row>
    <row r="17583" spans="6:8">
      <c r="F17583" s="68" t="s">
        <v>665</v>
      </c>
      <c r="G17583" s="67" t="s">
        <v>690</v>
      </c>
      <c r="H17583" s="69">
        <v>112.43018532000001</v>
      </c>
    </row>
    <row r="17584" spans="6:8">
      <c r="F17584" s="68" t="s">
        <v>567</v>
      </c>
      <c r="G17584" s="67" t="s">
        <v>690</v>
      </c>
      <c r="H17584" s="69">
        <v>-0.79</v>
      </c>
    </row>
    <row r="17585" spans="6:8">
      <c r="F17585" s="68" t="s">
        <v>421</v>
      </c>
      <c r="G17585" s="67" t="s">
        <v>690</v>
      </c>
      <c r="H17585" s="69">
        <v>2.2372084638335732</v>
      </c>
    </row>
    <row r="17586" spans="6:8">
      <c r="F17586" s="68" t="s">
        <v>254</v>
      </c>
      <c r="G17586" s="67" t="s">
        <v>690</v>
      </c>
      <c r="H17586" s="69">
        <v>0.59</v>
      </c>
    </row>
    <row r="17587" spans="6:8">
      <c r="F17587" s="68" t="s">
        <v>304</v>
      </c>
      <c r="G17587" s="67" t="s">
        <v>690</v>
      </c>
      <c r="H17587" s="69">
        <v>17.875</v>
      </c>
    </row>
    <row r="17588" spans="6:8">
      <c r="F17588" s="68" t="s">
        <v>129</v>
      </c>
      <c r="G17588" s="67" t="s">
        <v>690</v>
      </c>
      <c r="H17588" s="69">
        <v>-0.72</v>
      </c>
    </row>
    <row r="17589" spans="6:8">
      <c r="F17589" s="68" t="s">
        <v>128</v>
      </c>
      <c r="G17589" s="67" t="s">
        <v>690</v>
      </c>
      <c r="H17589" s="69">
        <v>-0.89</v>
      </c>
    </row>
    <row r="17590" spans="6:8">
      <c r="F17590" s="68" t="s">
        <v>664</v>
      </c>
      <c r="G17590" s="67" t="s">
        <v>690</v>
      </c>
      <c r="H17590" s="69">
        <v>112.43013006</v>
      </c>
    </row>
    <row r="17591" spans="6:8">
      <c r="F17591" s="68" t="s">
        <v>315</v>
      </c>
      <c r="G17591" s="67" t="s">
        <v>690</v>
      </c>
      <c r="H17591" s="69">
        <v>-0.17</v>
      </c>
    </row>
    <row r="17592" spans="6:8">
      <c r="F17592" s="68" t="s">
        <v>253</v>
      </c>
      <c r="G17592" s="67" t="s">
        <v>690</v>
      </c>
      <c r="H17592" s="69">
        <v>0.42</v>
      </c>
    </row>
    <row r="17593" spans="6:8">
      <c r="F17593" s="68" t="s">
        <v>127</v>
      </c>
      <c r="G17593" s="67" t="s">
        <v>690</v>
      </c>
      <c r="H17593" s="69">
        <v>-0.42</v>
      </c>
    </row>
    <row r="17594" spans="6:8">
      <c r="F17594" s="68" t="s">
        <v>126</v>
      </c>
      <c r="G17594" s="67" t="s">
        <v>690</v>
      </c>
      <c r="H17594" s="69">
        <v>-0.92</v>
      </c>
    </row>
    <row r="17595" spans="6:8">
      <c r="F17595" s="68" t="s">
        <v>125</v>
      </c>
      <c r="G17595" s="67" t="s">
        <v>690</v>
      </c>
      <c r="H17595" s="69">
        <v>-0.52</v>
      </c>
    </row>
    <row r="17596" spans="6:8">
      <c r="F17596" s="68" t="s">
        <v>663</v>
      </c>
      <c r="G17596" s="67" t="s">
        <v>690</v>
      </c>
      <c r="H17596" s="69">
        <v>112.43033173000001</v>
      </c>
    </row>
    <row r="17597" spans="6:8">
      <c r="F17597" s="68" t="s">
        <v>314</v>
      </c>
      <c r="G17597" s="67" t="s">
        <v>690</v>
      </c>
      <c r="H17597" s="69">
        <v>-0.4</v>
      </c>
    </row>
    <row r="17598" spans="6:8">
      <c r="F17598" s="68" t="s">
        <v>252</v>
      </c>
      <c r="G17598" s="67" t="s">
        <v>690</v>
      </c>
      <c r="H17598" s="69">
        <v>0.27</v>
      </c>
    </row>
    <row r="17599" spans="6:8">
      <c r="F17599" s="68" t="s">
        <v>124</v>
      </c>
      <c r="G17599" s="67" t="s">
        <v>690</v>
      </c>
      <c r="H17599" s="69">
        <v>-0.51</v>
      </c>
    </row>
    <row r="17600" spans="6:8">
      <c r="F17600" s="68" t="s">
        <v>123</v>
      </c>
      <c r="G17600" s="67" t="s">
        <v>690</v>
      </c>
      <c r="H17600" s="69">
        <v>-0.99</v>
      </c>
    </row>
    <row r="17601" spans="6:8">
      <c r="F17601" s="68" t="s">
        <v>122</v>
      </c>
      <c r="G17601" s="67" t="s">
        <v>690</v>
      </c>
      <c r="H17601" s="69">
        <v>-0.69</v>
      </c>
    </row>
    <row r="17602" spans="6:8">
      <c r="F17602" s="68" t="s">
        <v>251</v>
      </c>
      <c r="G17602" s="67" t="s">
        <v>690</v>
      </c>
      <c r="H17602" s="69">
        <v>0.2</v>
      </c>
    </row>
    <row r="17603" spans="6:8">
      <c r="F17603" s="68" t="s">
        <v>121</v>
      </c>
      <c r="G17603" s="67" t="s">
        <v>690</v>
      </c>
      <c r="H17603" s="69">
        <v>-0.64</v>
      </c>
    </row>
    <row r="17604" spans="6:8">
      <c r="F17604" s="68" t="s">
        <v>120</v>
      </c>
      <c r="G17604" s="67" t="s">
        <v>690</v>
      </c>
      <c r="H17604" s="69">
        <v>-0.84</v>
      </c>
    </row>
    <row r="17605" spans="6:8">
      <c r="F17605" s="68" t="s">
        <v>119</v>
      </c>
      <c r="G17605" s="67" t="s">
        <v>690</v>
      </c>
      <c r="H17605" s="69">
        <v>-0.73</v>
      </c>
    </row>
    <row r="17606" spans="6:8">
      <c r="F17606" s="68" t="s">
        <v>662</v>
      </c>
      <c r="G17606" s="67" t="s">
        <v>690</v>
      </c>
      <c r="H17606" s="69">
        <v>112.4297602</v>
      </c>
    </row>
    <row r="17607" spans="6:8">
      <c r="F17607" s="68" t="s">
        <v>420</v>
      </c>
      <c r="G17607" s="67" t="s">
        <v>690</v>
      </c>
      <c r="H17607" s="69">
        <v>3.2359256063250186</v>
      </c>
    </row>
    <row r="17608" spans="6:8">
      <c r="F17608" s="68" t="s">
        <v>420</v>
      </c>
      <c r="G17608" s="67" t="s">
        <v>691</v>
      </c>
      <c r="H17608" s="69">
        <v>3.1915306555493572</v>
      </c>
    </row>
    <row r="17609" spans="6:8">
      <c r="F17609" s="68" t="s">
        <v>662</v>
      </c>
      <c r="G17609" s="67" t="s">
        <v>691</v>
      </c>
      <c r="H17609" s="69">
        <v>112.57271405</v>
      </c>
    </row>
    <row r="17610" spans="6:8">
      <c r="F17610" s="68" t="s">
        <v>119</v>
      </c>
      <c r="G17610" s="67" t="s">
        <v>691</v>
      </c>
      <c r="H17610" s="69">
        <v>-0.73</v>
      </c>
    </row>
    <row r="17611" spans="6:8">
      <c r="F17611" s="68" t="s">
        <v>120</v>
      </c>
      <c r="G17611" s="67" t="s">
        <v>691</v>
      </c>
      <c r="H17611" s="69">
        <v>-0.84</v>
      </c>
    </row>
    <row r="17612" spans="6:8">
      <c r="F17612" s="68" t="s">
        <v>121</v>
      </c>
      <c r="G17612" s="67" t="s">
        <v>691</v>
      </c>
      <c r="H17612" s="69">
        <v>-0.64</v>
      </c>
    </row>
    <row r="17613" spans="6:8">
      <c r="F17613" s="68" t="s">
        <v>251</v>
      </c>
      <c r="G17613" s="67" t="s">
        <v>691</v>
      </c>
      <c r="H17613" s="69">
        <v>0.2</v>
      </c>
    </row>
    <row r="17614" spans="6:8">
      <c r="F17614" s="68" t="s">
        <v>122</v>
      </c>
      <c r="G17614" s="67" t="s">
        <v>691</v>
      </c>
      <c r="H17614" s="69">
        <v>-0.69</v>
      </c>
    </row>
    <row r="17615" spans="6:8">
      <c r="F17615" s="68" t="s">
        <v>123</v>
      </c>
      <c r="G17615" s="67" t="s">
        <v>691</v>
      </c>
      <c r="H17615" s="69">
        <v>-0.99</v>
      </c>
    </row>
    <row r="17616" spans="6:8">
      <c r="F17616" s="68" t="s">
        <v>124</v>
      </c>
      <c r="G17616" s="67" t="s">
        <v>691</v>
      </c>
      <c r="H17616" s="69">
        <v>-0.52</v>
      </c>
    </row>
    <row r="17617" spans="6:8">
      <c r="F17617" s="68" t="s">
        <v>252</v>
      </c>
      <c r="G17617" s="67" t="s">
        <v>691</v>
      </c>
      <c r="H17617" s="69">
        <v>0.27</v>
      </c>
    </row>
    <row r="17618" spans="6:8">
      <c r="F17618" s="68" t="s">
        <v>314</v>
      </c>
      <c r="G17618" s="67" t="s">
        <v>691</v>
      </c>
      <c r="H17618" s="69">
        <v>-0.41</v>
      </c>
    </row>
    <row r="17619" spans="6:8">
      <c r="F17619" s="68" t="s">
        <v>663</v>
      </c>
      <c r="G17619" s="67" t="s">
        <v>691</v>
      </c>
      <c r="H17619" s="69">
        <v>112.57329278</v>
      </c>
    </row>
    <row r="17620" spans="6:8">
      <c r="F17620" s="68" t="s">
        <v>125</v>
      </c>
      <c r="G17620" s="67" t="s">
        <v>691</v>
      </c>
      <c r="H17620" s="69">
        <v>-0.52</v>
      </c>
    </row>
    <row r="17621" spans="6:8">
      <c r="F17621" s="68" t="s">
        <v>126</v>
      </c>
      <c r="G17621" s="67" t="s">
        <v>691</v>
      </c>
      <c r="H17621" s="69">
        <v>-0.92</v>
      </c>
    </row>
    <row r="17622" spans="6:8">
      <c r="F17622" s="68" t="s">
        <v>127</v>
      </c>
      <c r="G17622" s="67" t="s">
        <v>691</v>
      </c>
      <c r="H17622" s="69">
        <v>-0.42</v>
      </c>
    </row>
    <row r="17623" spans="6:8">
      <c r="F17623" s="68" t="s">
        <v>253</v>
      </c>
      <c r="G17623" s="67" t="s">
        <v>691</v>
      </c>
      <c r="H17623" s="69">
        <v>0.42</v>
      </c>
    </row>
    <row r="17624" spans="6:8">
      <c r="F17624" s="68" t="s">
        <v>315</v>
      </c>
      <c r="G17624" s="67" t="s">
        <v>691</v>
      </c>
      <c r="H17624" s="69">
        <v>-0.17</v>
      </c>
    </row>
    <row r="17625" spans="6:8">
      <c r="F17625" s="68" t="s">
        <v>664</v>
      </c>
      <c r="G17625" s="67" t="s">
        <v>691</v>
      </c>
      <c r="H17625" s="69">
        <v>112.57308857</v>
      </c>
    </row>
    <row r="17626" spans="6:8">
      <c r="F17626" s="68" t="s">
        <v>128</v>
      </c>
      <c r="G17626" s="67" t="s">
        <v>691</v>
      </c>
      <c r="H17626" s="69">
        <v>-0.89</v>
      </c>
    </row>
    <row r="17627" spans="6:8">
      <c r="F17627" s="68" t="s">
        <v>129</v>
      </c>
      <c r="G17627" s="67" t="s">
        <v>691</v>
      </c>
      <c r="H17627" s="69">
        <v>-0.71</v>
      </c>
    </row>
    <row r="17628" spans="6:8">
      <c r="F17628" s="68" t="s">
        <v>304</v>
      </c>
      <c r="G17628" s="67" t="s">
        <v>691</v>
      </c>
      <c r="H17628" s="69">
        <v>17.802083333333332</v>
      </c>
    </row>
    <row r="17629" spans="6:8">
      <c r="F17629" s="68" t="s">
        <v>254</v>
      </c>
      <c r="G17629" s="67" t="s">
        <v>691</v>
      </c>
      <c r="H17629" s="69">
        <v>0.57999999999999996</v>
      </c>
    </row>
    <row r="17630" spans="6:8">
      <c r="F17630" s="68" t="s">
        <v>421</v>
      </c>
      <c r="G17630" s="67" t="s">
        <v>691</v>
      </c>
      <c r="H17630" s="69">
        <v>2.1965725471890352</v>
      </c>
    </row>
    <row r="17631" spans="6:8">
      <c r="F17631" s="68" t="s">
        <v>567</v>
      </c>
      <c r="G17631" s="67" t="s">
        <v>691</v>
      </c>
      <c r="H17631" s="69">
        <v>-0.79</v>
      </c>
    </row>
    <row r="17632" spans="6:8">
      <c r="F17632" s="68" t="s">
        <v>665</v>
      </c>
      <c r="G17632" s="67" t="s">
        <v>691</v>
      </c>
      <c r="H17632" s="69">
        <v>112.57314452999999</v>
      </c>
    </row>
    <row r="17633" spans="6:8">
      <c r="F17633" s="68" t="s">
        <v>130</v>
      </c>
      <c r="G17633" s="67" t="s">
        <v>691</v>
      </c>
      <c r="H17633" s="69">
        <v>-1</v>
      </c>
    </row>
    <row r="17634" spans="6:8">
      <c r="F17634" s="68" t="s">
        <v>131</v>
      </c>
      <c r="G17634" s="67" t="s">
        <v>691</v>
      </c>
      <c r="H17634" s="69">
        <v>-0.56000000000000005</v>
      </c>
    </row>
    <row r="17635" spans="6:8">
      <c r="F17635" s="68" t="s">
        <v>303</v>
      </c>
      <c r="G17635" s="67" t="s">
        <v>691</v>
      </c>
      <c r="H17635" s="69">
        <v>18.770833333333332</v>
      </c>
    </row>
    <row r="17636" spans="6:8">
      <c r="F17636" s="68" t="s">
        <v>255</v>
      </c>
      <c r="G17636" s="67" t="s">
        <v>691</v>
      </c>
      <c r="H17636" s="69">
        <v>0.74</v>
      </c>
    </row>
    <row r="17637" spans="6:8">
      <c r="F17637" s="68" t="s">
        <v>422</v>
      </c>
      <c r="G17637" s="67" t="s">
        <v>691</v>
      </c>
      <c r="H17637" s="69">
        <v>2.2033207206680672</v>
      </c>
    </row>
    <row r="17638" spans="6:8">
      <c r="F17638" s="68" t="s">
        <v>568</v>
      </c>
      <c r="G17638" s="67" t="s">
        <v>691</v>
      </c>
      <c r="H17638" s="69">
        <v>-0.39</v>
      </c>
    </row>
    <row r="17639" spans="6:8">
      <c r="F17639" s="68" t="s">
        <v>666</v>
      </c>
      <c r="G17639" s="67" t="s">
        <v>691</v>
      </c>
      <c r="H17639" s="69">
        <v>112.57294525</v>
      </c>
    </row>
    <row r="17640" spans="6:8">
      <c r="F17640" s="68" t="s">
        <v>132</v>
      </c>
      <c r="G17640" s="67" t="s">
        <v>691</v>
      </c>
      <c r="H17640" s="69">
        <v>-0.91</v>
      </c>
    </row>
    <row r="17641" spans="6:8">
      <c r="F17641" s="68" t="s">
        <v>133</v>
      </c>
      <c r="G17641" s="67" t="s">
        <v>691</v>
      </c>
      <c r="H17641" s="69">
        <v>-0.63</v>
      </c>
    </row>
    <row r="17642" spans="6:8">
      <c r="F17642" s="68" t="s">
        <v>256</v>
      </c>
      <c r="G17642" s="67" t="s">
        <v>691</v>
      </c>
      <c r="H17642" s="69">
        <v>0.85</v>
      </c>
    </row>
    <row r="17643" spans="6:8">
      <c r="F17643" s="68" t="s">
        <v>423</v>
      </c>
      <c r="G17643" s="67" t="s">
        <v>691</v>
      </c>
      <c r="H17643" s="69">
        <v>2.2972549794221919</v>
      </c>
    </row>
    <row r="17644" spans="6:8">
      <c r="F17644" s="68" t="s">
        <v>569</v>
      </c>
      <c r="G17644" s="67" t="s">
        <v>691</v>
      </c>
      <c r="H17644" s="69">
        <v>-0.16</v>
      </c>
    </row>
    <row r="17645" spans="6:8">
      <c r="F17645" s="68" t="s">
        <v>667</v>
      </c>
      <c r="G17645" s="67" t="s">
        <v>691</v>
      </c>
      <c r="H17645" s="69">
        <v>112.5733007</v>
      </c>
    </row>
    <row r="17646" spans="6:8">
      <c r="F17646" s="68" t="s">
        <v>424</v>
      </c>
      <c r="G17646" s="67" t="s">
        <v>691</v>
      </c>
      <c r="H17646" s="69">
        <v>2.8434944491259273</v>
      </c>
    </row>
    <row r="17647" spans="6:8">
      <c r="F17647" s="68" t="s">
        <v>668</v>
      </c>
      <c r="G17647" s="67" t="s">
        <v>691</v>
      </c>
      <c r="H17647" s="69">
        <v>112.57310452</v>
      </c>
    </row>
    <row r="17648" spans="6:8">
      <c r="F17648" s="68" t="s">
        <v>134</v>
      </c>
      <c r="G17648" s="67" t="s">
        <v>691</v>
      </c>
      <c r="H17648" s="69">
        <v>-0.87</v>
      </c>
    </row>
    <row r="17649" spans="6:8">
      <c r="F17649" s="68" t="s">
        <v>135</v>
      </c>
      <c r="G17649" s="67" t="s">
        <v>691</v>
      </c>
      <c r="H17649" s="69">
        <v>-0.79</v>
      </c>
    </row>
    <row r="17650" spans="6:8">
      <c r="F17650" s="68" t="s">
        <v>257</v>
      </c>
      <c r="G17650" s="67" t="s">
        <v>691</v>
      </c>
      <c r="H17650" s="69">
        <v>0.9</v>
      </c>
    </row>
    <row r="17651" spans="6:8">
      <c r="F17651" s="68" t="s">
        <v>258</v>
      </c>
      <c r="G17651" s="67" t="s">
        <v>691</v>
      </c>
      <c r="H17651" s="69">
        <v>0.15</v>
      </c>
    </row>
    <row r="17652" spans="6:8">
      <c r="F17652" s="68" t="s">
        <v>425</v>
      </c>
      <c r="G17652" s="67" t="s">
        <v>691</v>
      </c>
      <c r="H17652" s="69">
        <v>2.8939440089001955</v>
      </c>
    </row>
    <row r="17653" spans="6:8">
      <c r="F17653" s="68" t="s">
        <v>669</v>
      </c>
      <c r="G17653" s="67" t="s">
        <v>691</v>
      </c>
      <c r="H17653" s="69">
        <v>112.57332054</v>
      </c>
    </row>
    <row r="17654" spans="6:8">
      <c r="F17654" s="68" t="s">
        <v>136</v>
      </c>
      <c r="G17654" s="67" t="s">
        <v>691</v>
      </c>
      <c r="H17654" s="69">
        <v>-0.85</v>
      </c>
    </row>
    <row r="17655" spans="6:8">
      <c r="F17655" s="68" t="s">
        <v>137</v>
      </c>
      <c r="G17655" s="67" t="s">
        <v>691</v>
      </c>
      <c r="H17655" s="69">
        <v>-0.68</v>
      </c>
    </row>
    <row r="17656" spans="6:8">
      <c r="F17656" s="68" t="s">
        <v>138</v>
      </c>
      <c r="G17656" s="67" t="s">
        <v>691</v>
      </c>
      <c r="H17656" s="69">
        <v>-0.74</v>
      </c>
    </row>
    <row r="17657" spans="6:8">
      <c r="F17657" s="68" t="s">
        <v>259</v>
      </c>
      <c r="G17657" s="67" t="s">
        <v>691</v>
      </c>
      <c r="H17657" s="69">
        <v>0.16</v>
      </c>
    </row>
    <row r="17658" spans="6:8">
      <c r="F17658" s="68" t="s">
        <v>259</v>
      </c>
      <c r="G17658" s="67" t="s">
        <v>692</v>
      </c>
      <c r="H17658" s="69">
        <v>0.16</v>
      </c>
    </row>
    <row r="17659" spans="6:8">
      <c r="F17659" s="68" t="s">
        <v>138</v>
      </c>
      <c r="G17659" s="67" t="s">
        <v>692</v>
      </c>
      <c r="H17659" s="69">
        <v>-0.74</v>
      </c>
    </row>
    <row r="17660" spans="6:8">
      <c r="F17660" s="68" t="s">
        <v>137</v>
      </c>
      <c r="G17660" s="67" t="s">
        <v>692</v>
      </c>
      <c r="H17660" s="69">
        <v>-0.68</v>
      </c>
    </row>
    <row r="17661" spans="6:8">
      <c r="F17661" s="68" t="s">
        <v>136</v>
      </c>
      <c r="G17661" s="67" t="s">
        <v>692</v>
      </c>
      <c r="H17661" s="69">
        <v>-0.85</v>
      </c>
    </row>
    <row r="17662" spans="6:8">
      <c r="F17662" s="68" t="s">
        <v>669</v>
      </c>
      <c r="G17662" s="67" t="s">
        <v>692</v>
      </c>
      <c r="H17662" s="69">
        <v>112.51927114999999</v>
      </c>
    </row>
    <row r="17663" spans="6:8">
      <c r="F17663" s="68" t="s">
        <v>425</v>
      </c>
      <c r="G17663" s="67" t="s">
        <v>692</v>
      </c>
      <c r="H17663" s="69">
        <v>2.907981512511304</v>
      </c>
    </row>
    <row r="17664" spans="6:8">
      <c r="F17664" s="68" t="s">
        <v>258</v>
      </c>
      <c r="G17664" s="67" t="s">
        <v>692</v>
      </c>
      <c r="H17664" s="69">
        <v>0.15</v>
      </c>
    </row>
    <row r="17665" spans="6:8">
      <c r="F17665" s="68" t="s">
        <v>257</v>
      </c>
      <c r="G17665" s="67" t="s">
        <v>692</v>
      </c>
      <c r="H17665" s="69">
        <v>0.9</v>
      </c>
    </row>
    <row r="17666" spans="6:8">
      <c r="F17666" s="68" t="s">
        <v>135</v>
      </c>
      <c r="G17666" s="67" t="s">
        <v>692</v>
      </c>
      <c r="H17666" s="69">
        <v>-0.79</v>
      </c>
    </row>
    <row r="17667" spans="6:8">
      <c r="F17667" s="68" t="s">
        <v>134</v>
      </c>
      <c r="G17667" s="67" t="s">
        <v>692</v>
      </c>
      <c r="H17667" s="69">
        <v>-0.87</v>
      </c>
    </row>
    <row r="17668" spans="6:8">
      <c r="F17668" s="68" t="s">
        <v>668</v>
      </c>
      <c r="G17668" s="67" t="s">
        <v>692</v>
      </c>
      <c r="H17668" s="69">
        <v>112.51905539000001</v>
      </c>
    </row>
    <row r="17669" spans="6:8">
      <c r="F17669" s="68" t="s">
        <v>424</v>
      </c>
      <c r="G17669" s="67" t="s">
        <v>692</v>
      </c>
      <c r="H17669" s="69">
        <v>2.8643068082106815</v>
      </c>
    </row>
    <row r="17670" spans="6:8">
      <c r="F17670" s="68" t="s">
        <v>667</v>
      </c>
      <c r="G17670" s="67" t="s">
        <v>692</v>
      </c>
      <c r="H17670" s="69">
        <v>112.51925133</v>
      </c>
    </row>
    <row r="17671" spans="6:8">
      <c r="F17671" s="68" t="s">
        <v>569</v>
      </c>
      <c r="G17671" s="67" t="s">
        <v>692</v>
      </c>
      <c r="H17671" s="69">
        <v>-0.16</v>
      </c>
    </row>
    <row r="17672" spans="6:8">
      <c r="F17672" s="68" t="s">
        <v>423</v>
      </c>
      <c r="G17672" s="67" t="s">
        <v>692</v>
      </c>
      <c r="H17672" s="69">
        <v>2.3088717962793659</v>
      </c>
    </row>
    <row r="17673" spans="6:8">
      <c r="F17673" s="68" t="s">
        <v>256</v>
      </c>
      <c r="G17673" s="67" t="s">
        <v>692</v>
      </c>
      <c r="H17673" s="69">
        <v>0.85</v>
      </c>
    </row>
    <row r="17674" spans="6:8">
      <c r="F17674" s="68" t="s">
        <v>133</v>
      </c>
      <c r="G17674" s="67" t="s">
        <v>692</v>
      </c>
      <c r="H17674" s="69">
        <v>-0.63</v>
      </c>
    </row>
    <row r="17675" spans="6:8">
      <c r="F17675" s="68" t="s">
        <v>132</v>
      </c>
      <c r="G17675" s="67" t="s">
        <v>692</v>
      </c>
      <c r="H17675" s="69">
        <v>-0.91</v>
      </c>
    </row>
    <row r="17676" spans="6:8">
      <c r="F17676" s="68" t="s">
        <v>666</v>
      </c>
      <c r="G17676" s="67" t="s">
        <v>692</v>
      </c>
      <c r="H17676" s="69">
        <v>112.51889632</v>
      </c>
    </row>
    <row r="17677" spans="6:8">
      <c r="F17677" s="68" t="s">
        <v>568</v>
      </c>
      <c r="G17677" s="67" t="s">
        <v>692</v>
      </c>
      <c r="H17677" s="69">
        <v>-0.39</v>
      </c>
    </row>
    <row r="17678" spans="6:8">
      <c r="F17678" s="68" t="s">
        <v>422</v>
      </c>
      <c r="G17678" s="67" t="s">
        <v>692</v>
      </c>
      <c r="H17678" s="69">
        <v>2.226075919957804</v>
      </c>
    </row>
    <row r="17679" spans="6:8">
      <c r="F17679" s="68" t="s">
        <v>255</v>
      </c>
      <c r="G17679" s="67" t="s">
        <v>692</v>
      </c>
      <c r="H17679" s="69">
        <v>0.74</v>
      </c>
    </row>
    <row r="17680" spans="6:8">
      <c r="F17680" s="68" t="s">
        <v>303</v>
      </c>
      <c r="G17680" s="67" t="s">
        <v>692</v>
      </c>
      <c r="H17680" s="69">
        <v>18.770833333333332</v>
      </c>
    </row>
    <row r="17681" spans="6:8">
      <c r="F17681" s="68" t="s">
        <v>131</v>
      </c>
      <c r="G17681" s="67" t="s">
        <v>692</v>
      </c>
      <c r="H17681" s="69">
        <v>-0.56000000000000005</v>
      </c>
    </row>
    <row r="17682" spans="6:8">
      <c r="F17682" s="68" t="s">
        <v>130</v>
      </c>
      <c r="G17682" s="67" t="s">
        <v>692</v>
      </c>
      <c r="H17682" s="69">
        <v>-1</v>
      </c>
    </row>
    <row r="17683" spans="6:8">
      <c r="F17683" s="68" t="s">
        <v>665</v>
      </c>
      <c r="G17683" s="67" t="s">
        <v>692</v>
      </c>
      <c r="H17683" s="69">
        <v>112.51909535</v>
      </c>
    </row>
    <row r="17684" spans="6:8">
      <c r="F17684" s="68" t="s">
        <v>567</v>
      </c>
      <c r="G17684" s="67" t="s">
        <v>692</v>
      </c>
      <c r="H17684" s="69">
        <v>-0.79</v>
      </c>
    </row>
    <row r="17685" spans="6:8">
      <c r="F17685" s="68" t="s">
        <v>421</v>
      </c>
      <c r="G17685" s="67" t="s">
        <v>692</v>
      </c>
      <c r="H17685" s="69">
        <v>2.219340582152185</v>
      </c>
    </row>
    <row r="17686" spans="6:8">
      <c r="F17686" s="68" t="s">
        <v>254</v>
      </c>
      <c r="G17686" s="67" t="s">
        <v>692</v>
      </c>
      <c r="H17686" s="69">
        <v>0.57999999999999996</v>
      </c>
    </row>
    <row r="17687" spans="6:8">
      <c r="F17687" s="68" t="s">
        <v>304</v>
      </c>
      <c r="G17687" s="67" t="s">
        <v>692</v>
      </c>
      <c r="H17687" s="69">
        <v>17.802083333333332</v>
      </c>
    </row>
    <row r="17688" spans="6:8">
      <c r="F17688" s="68" t="s">
        <v>129</v>
      </c>
      <c r="G17688" s="67" t="s">
        <v>692</v>
      </c>
      <c r="H17688" s="69">
        <v>-0.71</v>
      </c>
    </row>
    <row r="17689" spans="6:8">
      <c r="F17689" s="68" t="s">
        <v>128</v>
      </c>
      <c r="G17689" s="67" t="s">
        <v>692</v>
      </c>
      <c r="H17689" s="69">
        <v>-0.89</v>
      </c>
    </row>
    <row r="17690" spans="6:8">
      <c r="F17690" s="68" t="s">
        <v>664</v>
      </c>
      <c r="G17690" s="67" t="s">
        <v>692</v>
      </c>
      <c r="H17690" s="69">
        <v>112.51903946</v>
      </c>
    </row>
    <row r="17691" spans="6:8">
      <c r="F17691" s="68" t="s">
        <v>315</v>
      </c>
      <c r="G17691" s="67" t="s">
        <v>692</v>
      </c>
      <c r="H17691" s="69">
        <v>-0.17</v>
      </c>
    </row>
    <row r="17692" spans="6:8">
      <c r="F17692" s="68" t="s">
        <v>253</v>
      </c>
      <c r="G17692" s="67" t="s">
        <v>692</v>
      </c>
      <c r="H17692" s="69">
        <v>0.42</v>
      </c>
    </row>
    <row r="17693" spans="6:8">
      <c r="F17693" s="68" t="s">
        <v>127</v>
      </c>
      <c r="G17693" s="67" t="s">
        <v>692</v>
      </c>
      <c r="H17693" s="69">
        <v>-0.42</v>
      </c>
    </row>
    <row r="17694" spans="6:8">
      <c r="F17694" s="68" t="s">
        <v>126</v>
      </c>
      <c r="G17694" s="67" t="s">
        <v>692</v>
      </c>
      <c r="H17694" s="69">
        <v>-0.92</v>
      </c>
    </row>
    <row r="17695" spans="6:8">
      <c r="F17695" s="68" t="s">
        <v>125</v>
      </c>
      <c r="G17695" s="67" t="s">
        <v>692</v>
      </c>
      <c r="H17695" s="69">
        <v>-0.52</v>
      </c>
    </row>
    <row r="17696" spans="6:8">
      <c r="F17696" s="68" t="s">
        <v>663</v>
      </c>
      <c r="G17696" s="67" t="s">
        <v>692</v>
      </c>
      <c r="H17696" s="69">
        <v>112.51924342</v>
      </c>
    </row>
    <row r="17697" spans="6:8">
      <c r="F17697" s="68" t="s">
        <v>314</v>
      </c>
      <c r="G17697" s="67" t="s">
        <v>692</v>
      </c>
      <c r="H17697" s="69">
        <v>-0.41</v>
      </c>
    </row>
    <row r="17698" spans="6:8">
      <c r="F17698" s="68" t="s">
        <v>252</v>
      </c>
      <c r="G17698" s="67" t="s">
        <v>692</v>
      </c>
      <c r="H17698" s="69">
        <v>0.27</v>
      </c>
    </row>
    <row r="17699" spans="6:8">
      <c r="F17699" s="68" t="s">
        <v>124</v>
      </c>
      <c r="G17699" s="67" t="s">
        <v>692</v>
      </c>
      <c r="H17699" s="69">
        <v>-0.52</v>
      </c>
    </row>
    <row r="17700" spans="6:8">
      <c r="F17700" s="68" t="s">
        <v>123</v>
      </c>
      <c r="G17700" s="67" t="s">
        <v>692</v>
      </c>
      <c r="H17700" s="69">
        <v>-0.99</v>
      </c>
    </row>
    <row r="17701" spans="6:8">
      <c r="F17701" s="68" t="s">
        <v>122</v>
      </c>
      <c r="G17701" s="67" t="s">
        <v>692</v>
      </c>
      <c r="H17701" s="69">
        <v>-0.69</v>
      </c>
    </row>
    <row r="17702" spans="6:8">
      <c r="F17702" s="68" t="s">
        <v>251</v>
      </c>
      <c r="G17702" s="67" t="s">
        <v>692</v>
      </c>
      <c r="H17702" s="69">
        <v>0.2</v>
      </c>
    </row>
    <row r="17703" spans="6:8">
      <c r="F17703" s="68" t="s">
        <v>121</v>
      </c>
      <c r="G17703" s="67" t="s">
        <v>692</v>
      </c>
      <c r="H17703" s="69">
        <v>-0.64</v>
      </c>
    </row>
    <row r="17704" spans="6:8">
      <c r="F17704" s="68" t="s">
        <v>120</v>
      </c>
      <c r="G17704" s="67" t="s">
        <v>692</v>
      </c>
      <c r="H17704" s="69">
        <v>-0.84</v>
      </c>
    </row>
    <row r="17705" spans="6:8">
      <c r="F17705" s="68" t="s">
        <v>119</v>
      </c>
      <c r="G17705" s="67" t="s">
        <v>692</v>
      </c>
      <c r="H17705" s="69">
        <v>-0.73</v>
      </c>
    </row>
    <row r="17706" spans="6:8">
      <c r="F17706" s="68" t="s">
        <v>662</v>
      </c>
      <c r="G17706" s="67" t="s">
        <v>692</v>
      </c>
      <c r="H17706" s="69">
        <v>112.5186654</v>
      </c>
    </row>
    <row r="17707" spans="6:8">
      <c r="F17707" s="68" t="s">
        <v>420</v>
      </c>
      <c r="G17707" s="67" t="s">
        <v>692</v>
      </c>
      <c r="H17707" s="69">
        <v>3.2049602013827005</v>
      </c>
    </row>
    <row r="17708" spans="6:8">
      <c r="F17708" s="68" t="s">
        <v>420</v>
      </c>
      <c r="G17708" s="67" t="s">
        <v>693</v>
      </c>
      <c r="H17708" s="69">
        <v>3.1823757597493785</v>
      </c>
    </row>
    <row r="17709" spans="6:8">
      <c r="F17709" s="68" t="s">
        <v>662</v>
      </c>
      <c r="G17709" s="67" t="s">
        <v>693</v>
      </c>
      <c r="H17709" s="69">
        <v>112.56815569</v>
      </c>
    </row>
    <row r="17710" spans="6:8">
      <c r="F17710" s="68" t="s">
        <v>119</v>
      </c>
      <c r="G17710" s="67" t="s">
        <v>693</v>
      </c>
      <c r="H17710" s="69">
        <v>-0.73</v>
      </c>
    </row>
    <row r="17711" spans="6:8">
      <c r="F17711" s="68" t="s">
        <v>120</v>
      </c>
      <c r="G17711" s="67" t="s">
        <v>693</v>
      </c>
      <c r="H17711" s="69">
        <v>-0.84</v>
      </c>
    </row>
    <row r="17712" spans="6:8">
      <c r="F17712" s="68" t="s">
        <v>121</v>
      </c>
      <c r="G17712" s="67" t="s">
        <v>693</v>
      </c>
      <c r="H17712" s="69">
        <v>-0.64</v>
      </c>
    </row>
    <row r="17713" spans="6:8">
      <c r="F17713" s="68" t="s">
        <v>251</v>
      </c>
      <c r="G17713" s="67" t="s">
        <v>693</v>
      </c>
      <c r="H17713" s="69">
        <v>0.2</v>
      </c>
    </row>
    <row r="17714" spans="6:8">
      <c r="F17714" s="68" t="s">
        <v>122</v>
      </c>
      <c r="G17714" s="67" t="s">
        <v>693</v>
      </c>
      <c r="H17714" s="69">
        <v>-0.69</v>
      </c>
    </row>
    <row r="17715" spans="6:8">
      <c r="F17715" s="68" t="s">
        <v>123</v>
      </c>
      <c r="G17715" s="67" t="s">
        <v>693</v>
      </c>
      <c r="H17715" s="69">
        <v>-0.99</v>
      </c>
    </row>
    <row r="17716" spans="6:8">
      <c r="F17716" s="68" t="s">
        <v>124</v>
      </c>
      <c r="G17716" s="67" t="s">
        <v>693</v>
      </c>
      <c r="H17716" s="69">
        <v>-0.52</v>
      </c>
    </row>
    <row r="17717" spans="6:8">
      <c r="F17717" s="68" t="s">
        <v>252</v>
      </c>
      <c r="G17717" s="67" t="s">
        <v>693</v>
      </c>
      <c r="H17717" s="69">
        <v>0.27</v>
      </c>
    </row>
    <row r="17718" spans="6:8">
      <c r="F17718" s="68" t="s">
        <v>314</v>
      </c>
      <c r="G17718" s="67" t="s">
        <v>693</v>
      </c>
      <c r="H17718" s="69">
        <v>-0.41</v>
      </c>
    </row>
    <row r="17719" spans="6:8">
      <c r="F17719" s="68" t="s">
        <v>663</v>
      </c>
      <c r="G17719" s="67" t="s">
        <v>693</v>
      </c>
      <c r="H17719" s="69">
        <v>112.56873659999999</v>
      </c>
    </row>
    <row r="17720" spans="6:8">
      <c r="F17720" s="68" t="s">
        <v>125</v>
      </c>
      <c r="G17720" s="67" t="s">
        <v>693</v>
      </c>
      <c r="H17720" s="69">
        <v>-0.52</v>
      </c>
    </row>
    <row r="17721" spans="6:8">
      <c r="F17721" s="68" t="s">
        <v>126</v>
      </c>
      <c r="G17721" s="67" t="s">
        <v>693</v>
      </c>
      <c r="H17721" s="69">
        <v>-0.92</v>
      </c>
    </row>
    <row r="17722" spans="6:8">
      <c r="F17722" s="68" t="s">
        <v>127</v>
      </c>
      <c r="G17722" s="67" t="s">
        <v>693</v>
      </c>
      <c r="H17722" s="69">
        <v>-0.42</v>
      </c>
    </row>
    <row r="17723" spans="6:8">
      <c r="F17723" s="68" t="s">
        <v>253</v>
      </c>
      <c r="G17723" s="67" t="s">
        <v>693</v>
      </c>
      <c r="H17723" s="69">
        <v>0.42</v>
      </c>
    </row>
    <row r="17724" spans="6:8">
      <c r="F17724" s="68" t="s">
        <v>315</v>
      </c>
      <c r="G17724" s="67" t="s">
        <v>693</v>
      </c>
      <c r="H17724" s="69">
        <v>-0.17</v>
      </c>
    </row>
    <row r="17725" spans="6:8">
      <c r="F17725" s="68" t="s">
        <v>664</v>
      </c>
      <c r="G17725" s="67" t="s">
        <v>693</v>
      </c>
      <c r="H17725" s="69">
        <v>112.56853162</v>
      </c>
    </row>
    <row r="17726" spans="6:8">
      <c r="F17726" s="68" t="s">
        <v>128</v>
      </c>
      <c r="G17726" s="67" t="s">
        <v>693</v>
      </c>
      <c r="H17726" s="69">
        <v>-0.89</v>
      </c>
    </row>
    <row r="17727" spans="6:8">
      <c r="F17727" s="68" t="s">
        <v>129</v>
      </c>
      <c r="G17727" s="67" t="s">
        <v>693</v>
      </c>
      <c r="H17727" s="69">
        <v>-0.71</v>
      </c>
    </row>
    <row r="17728" spans="6:8">
      <c r="F17728" s="68" t="s">
        <v>304</v>
      </c>
      <c r="G17728" s="67" t="s">
        <v>693</v>
      </c>
      <c r="H17728" s="69">
        <v>17.739583333333332</v>
      </c>
    </row>
    <row r="17729" spans="6:8">
      <c r="F17729" s="68" t="s">
        <v>254</v>
      </c>
      <c r="G17729" s="67" t="s">
        <v>693</v>
      </c>
      <c r="H17729" s="69">
        <v>0.57999999999999996</v>
      </c>
    </row>
    <row r="17730" spans="6:8">
      <c r="F17730" s="68" t="s">
        <v>421</v>
      </c>
      <c r="G17730" s="67" t="s">
        <v>693</v>
      </c>
      <c r="H17730" s="69">
        <v>2.1693258269330329</v>
      </c>
    </row>
    <row r="17731" spans="6:8">
      <c r="F17731" s="68" t="s">
        <v>567</v>
      </c>
      <c r="G17731" s="67" t="s">
        <v>693</v>
      </c>
      <c r="H17731" s="69">
        <v>-0.79</v>
      </c>
    </row>
    <row r="17732" spans="6:8">
      <c r="F17732" s="68" t="s">
        <v>665</v>
      </c>
      <c r="G17732" s="67" t="s">
        <v>693</v>
      </c>
      <c r="H17732" s="69">
        <v>112.56858779</v>
      </c>
    </row>
    <row r="17733" spans="6:8">
      <c r="F17733" s="68" t="s">
        <v>130</v>
      </c>
      <c r="G17733" s="67" t="s">
        <v>693</v>
      </c>
      <c r="H17733" s="69">
        <v>-1</v>
      </c>
    </row>
    <row r="17734" spans="6:8">
      <c r="F17734" s="68" t="s">
        <v>131</v>
      </c>
      <c r="G17734" s="67" t="s">
        <v>693</v>
      </c>
      <c r="H17734" s="69">
        <v>-0.56000000000000005</v>
      </c>
    </row>
    <row r="17735" spans="6:8">
      <c r="F17735" s="68" t="s">
        <v>303</v>
      </c>
      <c r="G17735" s="67" t="s">
        <v>693</v>
      </c>
      <c r="H17735" s="69">
        <v>18.708333333333332</v>
      </c>
    </row>
    <row r="17736" spans="6:8">
      <c r="F17736" s="68" t="s">
        <v>255</v>
      </c>
      <c r="G17736" s="67" t="s">
        <v>693</v>
      </c>
      <c r="H17736" s="69">
        <v>0.74</v>
      </c>
    </row>
    <row r="17737" spans="6:8">
      <c r="F17737" s="68" t="s">
        <v>422</v>
      </c>
      <c r="G17737" s="67" t="s">
        <v>693</v>
      </c>
      <c r="H17737" s="69">
        <v>2.1762163618031405</v>
      </c>
    </row>
    <row r="17738" spans="6:8">
      <c r="F17738" s="68" t="s">
        <v>568</v>
      </c>
      <c r="G17738" s="67" t="s">
        <v>693</v>
      </c>
      <c r="H17738" s="69">
        <v>-0.39</v>
      </c>
    </row>
    <row r="17739" spans="6:8">
      <c r="F17739" s="68" t="s">
        <v>666</v>
      </c>
      <c r="G17739" s="67" t="s">
        <v>693</v>
      </c>
      <c r="H17739" s="69">
        <v>112.56838775999999</v>
      </c>
    </row>
    <row r="17740" spans="6:8">
      <c r="F17740" s="68" t="s">
        <v>132</v>
      </c>
      <c r="G17740" s="67" t="s">
        <v>693</v>
      </c>
      <c r="H17740" s="69">
        <v>-0.91</v>
      </c>
    </row>
    <row r="17741" spans="6:8">
      <c r="F17741" s="68" t="s">
        <v>133</v>
      </c>
      <c r="G17741" s="67" t="s">
        <v>693</v>
      </c>
      <c r="H17741" s="69">
        <v>-0.63</v>
      </c>
    </row>
    <row r="17742" spans="6:8">
      <c r="F17742" s="68" t="s">
        <v>256</v>
      </c>
      <c r="G17742" s="67" t="s">
        <v>693</v>
      </c>
      <c r="H17742" s="69">
        <v>0.85</v>
      </c>
    </row>
    <row r="17743" spans="6:8">
      <c r="F17743" s="68" t="s">
        <v>423</v>
      </c>
      <c r="G17743" s="67" t="s">
        <v>693</v>
      </c>
      <c r="H17743" s="69">
        <v>2.3014495094584753</v>
      </c>
    </row>
    <row r="17744" spans="6:8">
      <c r="F17744" s="68" t="s">
        <v>569</v>
      </c>
      <c r="G17744" s="67" t="s">
        <v>693</v>
      </c>
      <c r="H17744" s="69">
        <v>-0.16</v>
      </c>
    </row>
    <row r="17745" spans="6:8">
      <c r="F17745" s="68" t="s">
        <v>667</v>
      </c>
      <c r="G17745" s="67" t="s">
        <v>693</v>
      </c>
      <c r="H17745" s="69">
        <v>112.56874455000001</v>
      </c>
    </row>
    <row r="17746" spans="6:8">
      <c r="F17746" s="68" t="s">
        <v>424</v>
      </c>
      <c r="G17746" s="67" t="s">
        <v>693</v>
      </c>
      <c r="H17746" s="69">
        <v>2.8422485155015664</v>
      </c>
    </row>
    <row r="17747" spans="6:8">
      <c r="F17747" s="68" t="s">
        <v>668</v>
      </c>
      <c r="G17747" s="67" t="s">
        <v>693</v>
      </c>
      <c r="H17747" s="69">
        <v>112.56854763</v>
      </c>
    </row>
    <row r="17748" spans="6:8">
      <c r="F17748" s="68" t="s">
        <v>134</v>
      </c>
      <c r="G17748" s="67" t="s">
        <v>693</v>
      </c>
      <c r="H17748" s="69">
        <v>-0.87</v>
      </c>
    </row>
    <row r="17749" spans="6:8">
      <c r="F17749" s="68" t="s">
        <v>135</v>
      </c>
      <c r="G17749" s="67" t="s">
        <v>693</v>
      </c>
      <c r="H17749" s="69">
        <v>-0.79</v>
      </c>
    </row>
    <row r="17750" spans="6:8">
      <c r="F17750" s="68" t="s">
        <v>257</v>
      </c>
      <c r="G17750" s="67" t="s">
        <v>693</v>
      </c>
      <c r="H17750" s="69">
        <v>0.9</v>
      </c>
    </row>
    <row r="17751" spans="6:8">
      <c r="F17751" s="68" t="s">
        <v>258</v>
      </c>
      <c r="G17751" s="67" t="s">
        <v>693</v>
      </c>
      <c r="H17751" s="69">
        <v>0.15</v>
      </c>
    </row>
    <row r="17752" spans="6:8">
      <c r="F17752" s="68" t="s">
        <v>425</v>
      </c>
      <c r="G17752" s="67" t="s">
        <v>693</v>
      </c>
      <c r="H17752" s="69">
        <v>2.8810533998029353</v>
      </c>
    </row>
    <row r="17753" spans="6:8">
      <c r="F17753" s="68" t="s">
        <v>669</v>
      </c>
      <c r="G17753" s="67" t="s">
        <v>693</v>
      </c>
      <c r="H17753" s="69">
        <v>112.56876447</v>
      </c>
    </row>
    <row r="17754" spans="6:8">
      <c r="F17754" s="68" t="s">
        <v>136</v>
      </c>
      <c r="G17754" s="67" t="s">
        <v>693</v>
      </c>
      <c r="H17754" s="69">
        <v>-0.85</v>
      </c>
    </row>
    <row r="17755" spans="6:8">
      <c r="F17755" s="68" t="s">
        <v>137</v>
      </c>
      <c r="G17755" s="67" t="s">
        <v>693</v>
      </c>
      <c r="H17755" s="69">
        <v>-0.68</v>
      </c>
    </row>
    <row r="17756" spans="6:8">
      <c r="F17756" s="68" t="s">
        <v>138</v>
      </c>
      <c r="G17756" s="67" t="s">
        <v>693</v>
      </c>
      <c r="H17756" s="69">
        <v>-0.74</v>
      </c>
    </row>
    <row r="17757" spans="6:8">
      <c r="F17757" s="68" t="s">
        <v>259</v>
      </c>
      <c r="G17757" s="67" t="s">
        <v>693</v>
      </c>
      <c r="H17757" s="69">
        <v>0.16</v>
      </c>
    </row>
    <row r="17758" spans="6:8">
      <c r="F17758" s="68" t="s">
        <v>259</v>
      </c>
      <c r="G17758" s="67" t="s">
        <v>694</v>
      </c>
      <c r="H17758" s="69">
        <v>0.16</v>
      </c>
    </row>
    <row r="17759" spans="6:8">
      <c r="F17759" s="68" t="s">
        <v>138</v>
      </c>
      <c r="G17759" s="67" t="s">
        <v>694</v>
      </c>
      <c r="H17759" s="69">
        <v>-0.74</v>
      </c>
    </row>
    <row r="17760" spans="6:8">
      <c r="F17760" s="68" t="s">
        <v>137</v>
      </c>
      <c r="G17760" s="67" t="s">
        <v>694</v>
      </c>
      <c r="H17760" s="69">
        <v>-0.68</v>
      </c>
    </row>
    <row r="17761" spans="6:8">
      <c r="F17761" s="68" t="s">
        <v>136</v>
      </c>
      <c r="G17761" s="67" t="s">
        <v>694</v>
      </c>
      <c r="H17761" s="69">
        <v>-0.85</v>
      </c>
    </row>
    <row r="17762" spans="6:8">
      <c r="F17762" s="68" t="s">
        <v>669</v>
      </c>
      <c r="G17762" s="67" t="s">
        <v>694</v>
      </c>
      <c r="H17762" s="69">
        <v>112.27551287999999</v>
      </c>
    </row>
    <row r="17763" spans="6:8">
      <c r="F17763" s="68" t="s">
        <v>425</v>
      </c>
      <c r="G17763" s="67" t="s">
        <v>694</v>
      </c>
      <c r="H17763" s="69">
        <v>2.9876439675622368</v>
      </c>
    </row>
    <row r="17764" spans="6:8">
      <c r="F17764" s="68" t="s">
        <v>258</v>
      </c>
      <c r="G17764" s="67" t="s">
        <v>694</v>
      </c>
      <c r="H17764" s="69">
        <v>0.15</v>
      </c>
    </row>
    <row r="17765" spans="6:8">
      <c r="F17765" s="68" t="s">
        <v>257</v>
      </c>
      <c r="G17765" s="67" t="s">
        <v>694</v>
      </c>
      <c r="H17765" s="69">
        <v>0.9</v>
      </c>
    </row>
    <row r="17766" spans="6:8">
      <c r="F17766" s="68" t="s">
        <v>135</v>
      </c>
      <c r="G17766" s="67" t="s">
        <v>694</v>
      </c>
      <c r="H17766" s="69">
        <v>-0.79</v>
      </c>
    </row>
    <row r="17767" spans="6:8">
      <c r="F17767" s="68" t="s">
        <v>134</v>
      </c>
      <c r="G17767" s="67" t="s">
        <v>694</v>
      </c>
      <c r="H17767" s="69">
        <v>-0.87</v>
      </c>
    </row>
    <row r="17768" spans="6:8">
      <c r="F17768" s="68" t="s">
        <v>668</v>
      </c>
      <c r="G17768" s="67" t="s">
        <v>694</v>
      </c>
      <c r="H17768" s="69">
        <v>112.27530088</v>
      </c>
    </row>
    <row r="17769" spans="6:8">
      <c r="F17769" s="68" t="s">
        <v>424</v>
      </c>
      <c r="G17769" s="67" t="s">
        <v>694</v>
      </c>
      <c r="H17769" s="69">
        <v>2.954803100684833</v>
      </c>
    </row>
    <row r="17770" spans="6:8">
      <c r="F17770" s="68" t="s">
        <v>667</v>
      </c>
      <c r="G17770" s="67" t="s">
        <v>694</v>
      </c>
      <c r="H17770" s="69">
        <v>112.27549341</v>
      </c>
    </row>
    <row r="17771" spans="6:8">
      <c r="F17771" s="68" t="s">
        <v>569</v>
      </c>
      <c r="G17771" s="67" t="s">
        <v>694</v>
      </c>
      <c r="H17771" s="69">
        <v>-0.16</v>
      </c>
    </row>
    <row r="17772" spans="6:8">
      <c r="F17772" s="68" t="s">
        <v>423</v>
      </c>
      <c r="G17772" s="67" t="s">
        <v>694</v>
      </c>
      <c r="H17772" s="69">
        <v>2.3822695328839849</v>
      </c>
    </row>
    <row r="17773" spans="6:8">
      <c r="F17773" s="68" t="s">
        <v>256</v>
      </c>
      <c r="G17773" s="67" t="s">
        <v>694</v>
      </c>
      <c r="H17773" s="69">
        <v>0.85</v>
      </c>
    </row>
    <row r="17774" spans="6:8">
      <c r="F17774" s="68" t="s">
        <v>133</v>
      </c>
      <c r="G17774" s="67" t="s">
        <v>694</v>
      </c>
      <c r="H17774" s="69">
        <v>-0.63</v>
      </c>
    </row>
    <row r="17775" spans="6:8">
      <c r="F17775" s="68" t="s">
        <v>132</v>
      </c>
      <c r="G17775" s="67" t="s">
        <v>694</v>
      </c>
      <c r="H17775" s="69">
        <v>-0.91</v>
      </c>
    </row>
    <row r="17776" spans="6:8">
      <c r="F17776" s="68" t="s">
        <v>666</v>
      </c>
      <c r="G17776" s="67" t="s">
        <v>694</v>
      </c>
      <c r="H17776" s="69">
        <v>112.27514458</v>
      </c>
    </row>
    <row r="17777" spans="6:8">
      <c r="F17777" s="68" t="s">
        <v>568</v>
      </c>
      <c r="G17777" s="67" t="s">
        <v>694</v>
      </c>
      <c r="H17777" s="69">
        <v>-0.39</v>
      </c>
    </row>
    <row r="17778" spans="6:8">
      <c r="F17778" s="68" t="s">
        <v>422</v>
      </c>
      <c r="G17778" s="67" t="s">
        <v>694</v>
      </c>
      <c r="H17778" s="69">
        <v>2.329767456098697</v>
      </c>
    </row>
    <row r="17779" spans="6:8">
      <c r="F17779" s="68" t="s">
        <v>255</v>
      </c>
      <c r="G17779" s="67" t="s">
        <v>694</v>
      </c>
      <c r="H17779" s="69">
        <v>0.74</v>
      </c>
    </row>
    <row r="17780" spans="6:8">
      <c r="F17780" s="68" t="s">
        <v>303</v>
      </c>
      <c r="G17780" s="67" t="s">
        <v>694</v>
      </c>
      <c r="H17780" s="69">
        <v>18.635416666666668</v>
      </c>
    </row>
    <row r="17781" spans="6:8">
      <c r="F17781" s="68" t="s">
        <v>131</v>
      </c>
      <c r="G17781" s="67" t="s">
        <v>694</v>
      </c>
      <c r="H17781" s="69">
        <v>-0.56000000000000005</v>
      </c>
    </row>
    <row r="17782" spans="6:8">
      <c r="F17782" s="68" t="s">
        <v>130</v>
      </c>
      <c r="G17782" s="67" t="s">
        <v>694</v>
      </c>
      <c r="H17782" s="69">
        <v>-1</v>
      </c>
    </row>
    <row r="17783" spans="6:8">
      <c r="F17783" s="68" t="s">
        <v>665</v>
      </c>
      <c r="G17783" s="67" t="s">
        <v>694</v>
      </c>
      <c r="H17783" s="69">
        <v>112.27534014</v>
      </c>
    </row>
    <row r="17784" spans="6:8">
      <c r="F17784" s="68" t="s">
        <v>567</v>
      </c>
      <c r="G17784" s="67" t="s">
        <v>694</v>
      </c>
      <c r="H17784" s="69">
        <v>-0.79</v>
      </c>
    </row>
    <row r="17785" spans="6:8">
      <c r="F17785" s="68" t="s">
        <v>421</v>
      </c>
      <c r="G17785" s="67" t="s">
        <v>694</v>
      </c>
      <c r="H17785" s="69">
        <v>2.3230949796825051</v>
      </c>
    </row>
    <row r="17786" spans="6:8">
      <c r="F17786" s="68" t="s">
        <v>254</v>
      </c>
      <c r="G17786" s="67" t="s">
        <v>694</v>
      </c>
      <c r="H17786" s="69">
        <v>0.57999999999999996</v>
      </c>
    </row>
    <row r="17787" spans="6:8">
      <c r="F17787" s="68" t="s">
        <v>304</v>
      </c>
      <c r="G17787" s="67" t="s">
        <v>694</v>
      </c>
      <c r="H17787" s="69">
        <v>17.65625</v>
      </c>
    </row>
    <row r="17788" spans="6:8">
      <c r="F17788" s="68" t="s">
        <v>129</v>
      </c>
      <c r="G17788" s="67" t="s">
        <v>694</v>
      </c>
      <c r="H17788" s="69">
        <v>-0.71</v>
      </c>
    </row>
    <row r="17789" spans="6:8">
      <c r="F17789" s="68" t="s">
        <v>128</v>
      </c>
      <c r="G17789" s="67" t="s">
        <v>694</v>
      </c>
      <c r="H17789" s="69">
        <v>-0.89</v>
      </c>
    </row>
    <row r="17790" spans="6:8">
      <c r="F17790" s="68" t="s">
        <v>664</v>
      </c>
      <c r="G17790" s="67" t="s">
        <v>694</v>
      </c>
      <c r="H17790" s="69">
        <v>112.27528522999999</v>
      </c>
    </row>
    <row r="17791" spans="6:8">
      <c r="F17791" s="68" t="s">
        <v>315</v>
      </c>
      <c r="G17791" s="67" t="s">
        <v>694</v>
      </c>
      <c r="H17791" s="69">
        <v>-0.17</v>
      </c>
    </row>
    <row r="17792" spans="6:8">
      <c r="F17792" s="68" t="s">
        <v>253</v>
      </c>
      <c r="G17792" s="67" t="s">
        <v>694</v>
      </c>
      <c r="H17792" s="69">
        <v>0.42</v>
      </c>
    </row>
    <row r="17793" spans="6:8">
      <c r="F17793" s="68" t="s">
        <v>127</v>
      </c>
      <c r="G17793" s="67" t="s">
        <v>694</v>
      </c>
      <c r="H17793" s="69">
        <v>-0.42</v>
      </c>
    </row>
    <row r="17794" spans="6:8">
      <c r="F17794" s="68" t="s">
        <v>126</v>
      </c>
      <c r="G17794" s="67" t="s">
        <v>694</v>
      </c>
      <c r="H17794" s="69">
        <v>-0.92</v>
      </c>
    </row>
    <row r="17795" spans="6:8">
      <c r="F17795" s="68" t="s">
        <v>125</v>
      </c>
      <c r="G17795" s="67" t="s">
        <v>694</v>
      </c>
      <c r="H17795" s="69">
        <v>-0.52</v>
      </c>
    </row>
    <row r="17796" spans="6:8">
      <c r="F17796" s="68" t="s">
        <v>663</v>
      </c>
      <c r="G17796" s="67" t="s">
        <v>694</v>
      </c>
      <c r="H17796" s="69">
        <v>112.27548564</v>
      </c>
    </row>
    <row r="17797" spans="6:8">
      <c r="F17797" s="68" t="s">
        <v>314</v>
      </c>
      <c r="G17797" s="67" t="s">
        <v>694</v>
      </c>
      <c r="H17797" s="69">
        <v>-0.41</v>
      </c>
    </row>
    <row r="17798" spans="6:8">
      <c r="F17798" s="68" t="s">
        <v>252</v>
      </c>
      <c r="G17798" s="67" t="s">
        <v>694</v>
      </c>
      <c r="H17798" s="69">
        <v>0.27</v>
      </c>
    </row>
    <row r="17799" spans="6:8">
      <c r="F17799" s="68" t="s">
        <v>124</v>
      </c>
      <c r="G17799" s="67" t="s">
        <v>694</v>
      </c>
      <c r="H17799" s="69">
        <v>-0.52</v>
      </c>
    </row>
    <row r="17800" spans="6:8">
      <c r="F17800" s="68" t="s">
        <v>123</v>
      </c>
      <c r="G17800" s="67" t="s">
        <v>694</v>
      </c>
      <c r="H17800" s="69">
        <v>-0.99</v>
      </c>
    </row>
    <row r="17801" spans="6:8">
      <c r="F17801" s="68" t="s">
        <v>122</v>
      </c>
      <c r="G17801" s="67" t="s">
        <v>694</v>
      </c>
      <c r="H17801" s="69">
        <v>-0.69</v>
      </c>
    </row>
    <row r="17802" spans="6:8">
      <c r="F17802" s="68" t="s">
        <v>251</v>
      </c>
      <c r="G17802" s="67" t="s">
        <v>694</v>
      </c>
      <c r="H17802" s="69">
        <v>0.2</v>
      </c>
    </row>
    <row r="17803" spans="6:8">
      <c r="F17803" s="68" t="s">
        <v>121</v>
      </c>
      <c r="G17803" s="67" t="s">
        <v>694</v>
      </c>
      <c r="H17803" s="69">
        <v>-0.64</v>
      </c>
    </row>
    <row r="17804" spans="6:8">
      <c r="F17804" s="68" t="s">
        <v>120</v>
      </c>
      <c r="G17804" s="67" t="s">
        <v>694</v>
      </c>
      <c r="H17804" s="69">
        <v>-0.84</v>
      </c>
    </row>
    <row r="17805" spans="6:8">
      <c r="F17805" s="68" t="s">
        <v>119</v>
      </c>
      <c r="G17805" s="67" t="s">
        <v>694</v>
      </c>
      <c r="H17805" s="69">
        <v>-0.73</v>
      </c>
    </row>
    <row r="17806" spans="6:8">
      <c r="F17806" s="68" t="s">
        <v>662</v>
      </c>
      <c r="G17806" s="67" t="s">
        <v>694</v>
      </c>
      <c r="H17806" s="69">
        <v>112.27491768</v>
      </c>
    </row>
    <row r="17807" spans="6:8">
      <c r="F17807" s="68" t="s">
        <v>420</v>
      </c>
      <c r="G17807" s="67" t="s">
        <v>694</v>
      </c>
      <c r="H17807" s="69">
        <v>3.2657922043638266</v>
      </c>
    </row>
    <row r="17808" spans="6:8">
      <c r="F17808" s="68" t="s">
        <v>420</v>
      </c>
      <c r="G17808" s="67" t="s">
        <v>695</v>
      </c>
      <c r="H17808" s="69">
        <v>3.2761065930147826</v>
      </c>
    </row>
    <row r="17809" spans="6:8">
      <c r="F17809" s="68" t="s">
        <v>662</v>
      </c>
      <c r="G17809" s="67" t="s">
        <v>695</v>
      </c>
      <c r="H17809" s="69">
        <v>112.40123631</v>
      </c>
    </row>
    <row r="17810" spans="6:8">
      <c r="F17810" s="68" t="s">
        <v>119</v>
      </c>
      <c r="G17810" s="67" t="s">
        <v>695</v>
      </c>
      <c r="H17810" s="69">
        <v>-0.78</v>
      </c>
    </row>
    <row r="17811" spans="6:8">
      <c r="F17811" s="68" t="s">
        <v>120</v>
      </c>
      <c r="G17811" s="67" t="s">
        <v>695</v>
      </c>
      <c r="H17811" s="69">
        <v>-0.82</v>
      </c>
    </row>
    <row r="17812" spans="6:8">
      <c r="F17812" s="68" t="s">
        <v>121</v>
      </c>
      <c r="G17812" s="67" t="s">
        <v>695</v>
      </c>
      <c r="H17812" s="69">
        <v>-0.64</v>
      </c>
    </row>
    <row r="17813" spans="6:8">
      <c r="F17813" s="68" t="s">
        <v>251</v>
      </c>
      <c r="G17813" s="67" t="s">
        <v>695</v>
      </c>
      <c r="H17813" s="69">
        <v>0.21</v>
      </c>
    </row>
    <row r="17814" spans="6:8">
      <c r="F17814" s="68" t="s">
        <v>122</v>
      </c>
      <c r="G17814" s="67" t="s">
        <v>695</v>
      </c>
      <c r="H17814" s="69">
        <v>-0.74</v>
      </c>
    </row>
    <row r="17815" spans="6:8">
      <c r="F17815" s="68" t="s">
        <v>123</v>
      </c>
      <c r="G17815" s="67" t="s">
        <v>695</v>
      </c>
      <c r="H17815" s="69">
        <v>-0.98</v>
      </c>
    </row>
    <row r="17816" spans="6:8">
      <c r="F17816" s="68" t="s">
        <v>124</v>
      </c>
      <c r="G17816" s="67" t="s">
        <v>695</v>
      </c>
      <c r="H17816" s="69">
        <v>-0.52</v>
      </c>
    </row>
    <row r="17817" spans="6:8">
      <c r="F17817" s="68" t="s">
        <v>252</v>
      </c>
      <c r="G17817" s="67" t="s">
        <v>695</v>
      </c>
      <c r="H17817" s="69">
        <v>0.28000000000000003</v>
      </c>
    </row>
    <row r="17818" spans="6:8">
      <c r="F17818" s="68" t="s">
        <v>314</v>
      </c>
      <c r="G17818" s="67" t="s">
        <v>695</v>
      </c>
      <c r="H17818" s="69">
        <v>-0.41</v>
      </c>
    </row>
    <row r="17819" spans="6:8">
      <c r="F17819" s="68" t="s">
        <v>663</v>
      </c>
      <c r="G17819" s="67" t="s">
        <v>695</v>
      </c>
      <c r="H17819" s="69">
        <v>112.40181075</v>
      </c>
    </row>
    <row r="17820" spans="6:8">
      <c r="F17820" s="68" t="s">
        <v>125</v>
      </c>
      <c r="G17820" s="67" t="s">
        <v>695</v>
      </c>
      <c r="H17820" s="69">
        <v>-0.52</v>
      </c>
    </row>
    <row r="17821" spans="6:8">
      <c r="F17821" s="68" t="s">
        <v>126</v>
      </c>
      <c r="G17821" s="67" t="s">
        <v>695</v>
      </c>
      <c r="H17821" s="69">
        <v>-0.94</v>
      </c>
    </row>
    <row r="17822" spans="6:8">
      <c r="F17822" s="68" t="s">
        <v>127</v>
      </c>
      <c r="G17822" s="67" t="s">
        <v>695</v>
      </c>
      <c r="H17822" s="69">
        <v>-0.42</v>
      </c>
    </row>
    <row r="17823" spans="6:8">
      <c r="F17823" s="68" t="s">
        <v>253</v>
      </c>
      <c r="G17823" s="67" t="s">
        <v>695</v>
      </c>
      <c r="H17823" s="69">
        <v>0.44</v>
      </c>
    </row>
    <row r="17824" spans="6:8">
      <c r="F17824" s="68" t="s">
        <v>315</v>
      </c>
      <c r="G17824" s="67" t="s">
        <v>695</v>
      </c>
      <c r="H17824" s="69">
        <v>-0.17</v>
      </c>
    </row>
    <row r="17825" spans="6:8">
      <c r="F17825" s="68" t="s">
        <v>664</v>
      </c>
      <c r="G17825" s="67" t="s">
        <v>695</v>
      </c>
      <c r="H17825" s="69">
        <v>112.40160804999999</v>
      </c>
    </row>
    <row r="17826" spans="6:8">
      <c r="F17826" s="68" t="s">
        <v>128</v>
      </c>
      <c r="G17826" s="67" t="s">
        <v>695</v>
      </c>
      <c r="H17826" s="69">
        <v>-0.89</v>
      </c>
    </row>
    <row r="17827" spans="6:8">
      <c r="F17827" s="68" t="s">
        <v>129</v>
      </c>
      <c r="G17827" s="67" t="s">
        <v>695</v>
      </c>
      <c r="H17827" s="69">
        <v>-0.71</v>
      </c>
    </row>
    <row r="17828" spans="6:8">
      <c r="F17828" s="68" t="s">
        <v>304</v>
      </c>
      <c r="G17828" s="67" t="s">
        <v>695</v>
      </c>
      <c r="H17828" s="69">
        <v>17.708333333333332</v>
      </c>
    </row>
    <row r="17829" spans="6:8">
      <c r="F17829" s="68" t="s">
        <v>254</v>
      </c>
      <c r="G17829" s="67" t="s">
        <v>695</v>
      </c>
      <c r="H17829" s="69">
        <v>0.6</v>
      </c>
    </row>
    <row r="17830" spans="6:8">
      <c r="F17830" s="68" t="s">
        <v>421</v>
      </c>
      <c r="G17830" s="67" t="s">
        <v>695</v>
      </c>
      <c r="H17830" s="69">
        <v>2.3414858494920754</v>
      </c>
    </row>
    <row r="17831" spans="6:8">
      <c r="F17831" s="68" t="s">
        <v>567</v>
      </c>
      <c r="G17831" s="67" t="s">
        <v>695</v>
      </c>
      <c r="H17831" s="69">
        <v>-0.84</v>
      </c>
    </row>
    <row r="17832" spans="6:8">
      <c r="F17832" s="68" t="s">
        <v>665</v>
      </c>
      <c r="G17832" s="67" t="s">
        <v>695</v>
      </c>
      <c r="H17832" s="69">
        <v>112.40166359</v>
      </c>
    </row>
    <row r="17833" spans="6:8">
      <c r="F17833" s="68" t="s">
        <v>130</v>
      </c>
      <c r="G17833" s="67" t="s">
        <v>695</v>
      </c>
      <c r="H17833" s="69">
        <v>-1.03</v>
      </c>
    </row>
    <row r="17834" spans="6:8">
      <c r="F17834" s="68" t="s">
        <v>131</v>
      </c>
      <c r="G17834" s="67" t="s">
        <v>695</v>
      </c>
      <c r="H17834" s="69">
        <v>-0.56000000000000005</v>
      </c>
    </row>
    <row r="17835" spans="6:8">
      <c r="F17835" s="68" t="s">
        <v>303</v>
      </c>
      <c r="G17835" s="67" t="s">
        <v>695</v>
      </c>
      <c r="H17835" s="69">
        <v>18.677083333333332</v>
      </c>
    </row>
    <row r="17836" spans="6:8">
      <c r="F17836" s="68" t="s">
        <v>255</v>
      </c>
      <c r="G17836" s="67" t="s">
        <v>695</v>
      </c>
      <c r="H17836" s="69">
        <v>0.76</v>
      </c>
    </row>
    <row r="17837" spans="6:8">
      <c r="F17837" s="68" t="s">
        <v>422</v>
      </c>
      <c r="G17837" s="67" t="s">
        <v>695</v>
      </c>
      <c r="H17837" s="69">
        <v>2.3480455570925596</v>
      </c>
    </row>
    <row r="17838" spans="6:8">
      <c r="F17838" s="68" t="s">
        <v>568</v>
      </c>
      <c r="G17838" s="67" t="s">
        <v>695</v>
      </c>
      <c r="H17838" s="69">
        <v>-0.41</v>
      </c>
    </row>
    <row r="17839" spans="6:8">
      <c r="F17839" s="68" t="s">
        <v>666</v>
      </c>
      <c r="G17839" s="67" t="s">
        <v>695</v>
      </c>
      <c r="H17839" s="69">
        <v>112.40146579</v>
      </c>
    </row>
    <row r="17840" spans="6:8">
      <c r="F17840" s="68" t="s">
        <v>132</v>
      </c>
      <c r="G17840" s="67" t="s">
        <v>695</v>
      </c>
      <c r="H17840" s="69">
        <v>-0.93</v>
      </c>
    </row>
    <row r="17841" spans="6:8">
      <c r="F17841" s="68" t="s">
        <v>133</v>
      </c>
      <c r="G17841" s="67" t="s">
        <v>695</v>
      </c>
      <c r="H17841" s="69">
        <v>-0.62</v>
      </c>
    </row>
    <row r="17842" spans="6:8">
      <c r="F17842" s="68" t="s">
        <v>256</v>
      </c>
      <c r="G17842" s="67" t="s">
        <v>695</v>
      </c>
      <c r="H17842" s="69">
        <v>0.85</v>
      </c>
    </row>
    <row r="17843" spans="6:8">
      <c r="F17843" s="68" t="s">
        <v>423</v>
      </c>
      <c r="G17843" s="67" t="s">
        <v>695</v>
      </c>
      <c r="H17843" s="69">
        <v>2.3969282848368856</v>
      </c>
    </row>
    <row r="17844" spans="6:8">
      <c r="F17844" s="68" t="s">
        <v>569</v>
      </c>
      <c r="G17844" s="67" t="s">
        <v>695</v>
      </c>
      <c r="H17844" s="69">
        <v>-0.17</v>
      </c>
    </row>
    <row r="17845" spans="6:8">
      <c r="F17845" s="68" t="s">
        <v>667</v>
      </c>
      <c r="G17845" s="67" t="s">
        <v>695</v>
      </c>
      <c r="H17845" s="69">
        <v>112.40181861000001</v>
      </c>
    </row>
    <row r="17846" spans="6:8">
      <c r="F17846" s="68" t="s">
        <v>424</v>
      </c>
      <c r="G17846" s="67" t="s">
        <v>695</v>
      </c>
      <c r="H17846" s="69">
        <v>2.9653904017474808</v>
      </c>
    </row>
    <row r="17847" spans="6:8">
      <c r="F17847" s="68" t="s">
        <v>668</v>
      </c>
      <c r="G17847" s="67" t="s">
        <v>695</v>
      </c>
      <c r="H17847" s="69">
        <v>112.40162388</v>
      </c>
    </row>
    <row r="17848" spans="6:8">
      <c r="F17848" s="68" t="s">
        <v>134</v>
      </c>
      <c r="G17848" s="67" t="s">
        <v>695</v>
      </c>
      <c r="H17848" s="69">
        <v>-0.9</v>
      </c>
    </row>
    <row r="17849" spans="6:8">
      <c r="F17849" s="68" t="s">
        <v>135</v>
      </c>
      <c r="G17849" s="67" t="s">
        <v>695</v>
      </c>
      <c r="H17849" s="69">
        <v>-0.79</v>
      </c>
    </row>
    <row r="17850" spans="6:8">
      <c r="F17850" s="68" t="s">
        <v>257</v>
      </c>
      <c r="G17850" s="67" t="s">
        <v>695</v>
      </c>
      <c r="H17850" s="69">
        <v>0.91</v>
      </c>
    </row>
    <row r="17851" spans="6:8">
      <c r="F17851" s="68" t="s">
        <v>258</v>
      </c>
      <c r="G17851" s="67" t="s">
        <v>695</v>
      </c>
      <c r="H17851" s="69">
        <v>0.15</v>
      </c>
    </row>
    <row r="17852" spans="6:8">
      <c r="F17852" s="68" t="s">
        <v>425</v>
      </c>
      <c r="G17852" s="67" t="s">
        <v>695</v>
      </c>
      <c r="H17852" s="69">
        <v>2.9962820406972401</v>
      </c>
    </row>
    <row r="17853" spans="6:8">
      <c r="F17853" s="68" t="s">
        <v>669</v>
      </c>
      <c r="G17853" s="67" t="s">
        <v>695</v>
      </c>
      <c r="H17853" s="69">
        <v>112.40183829999999</v>
      </c>
    </row>
    <row r="17854" spans="6:8">
      <c r="F17854" s="68" t="s">
        <v>136</v>
      </c>
      <c r="G17854" s="67" t="s">
        <v>695</v>
      </c>
      <c r="H17854" s="69">
        <v>-0.85</v>
      </c>
    </row>
    <row r="17855" spans="6:8">
      <c r="F17855" s="68" t="s">
        <v>137</v>
      </c>
      <c r="G17855" s="67" t="s">
        <v>695</v>
      </c>
      <c r="H17855" s="69">
        <v>-0.68</v>
      </c>
    </row>
    <row r="17856" spans="6:8">
      <c r="F17856" s="68" t="s">
        <v>138</v>
      </c>
      <c r="G17856" s="67" t="s">
        <v>695</v>
      </c>
      <c r="H17856" s="69">
        <v>-0.74</v>
      </c>
    </row>
    <row r="17857" spans="6:8">
      <c r="F17857" s="68" t="s">
        <v>259</v>
      </c>
      <c r="G17857" s="67" t="s">
        <v>695</v>
      </c>
      <c r="H17857" s="69">
        <v>0.16</v>
      </c>
    </row>
    <row r="17858" spans="6:8">
      <c r="F17858" s="68" t="s">
        <v>259</v>
      </c>
      <c r="G17858" s="67" t="s">
        <v>696</v>
      </c>
      <c r="H17858" s="69">
        <v>0.16</v>
      </c>
    </row>
    <row r="17859" spans="6:8">
      <c r="F17859" s="68" t="s">
        <v>138</v>
      </c>
      <c r="G17859" s="67" t="s">
        <v>696</v>
      </c>
      <c r="H17859" s="69">
        <v>-0.74</v>
      </c>
    </row>
    <row r="17860" spans="6:8">
      <c r="F17860" s="68" t="s">
        <v>137</v>
      </c>
      <c r="G17860" s="67" t="s">
        <v>696</v>
      </c>
      <c r="H17860" s="69">
        <v>-0.68</v>
      </c>
    </row>
    <row r="17861" spans="6:8">
      <c r="F17861" s="68" t="s">
        <v>136</v>
      </c>
      <c r="G17861" s="67" t="s">
        <v>696</v>
      </c>
      <c r="H17861" s="69">
        <v>-0.85</v>
      </c>
    </row>
    <row r="17862" spans="6:8">
      <c r="F17862" s="68" t="s">
        <v>669</v>
      </c>
      <c r="G17862" s="67" t="s">
        <v>696</v>
      </c>
      <c r="H17862" s="69">
        <v>112.68795507999999</v>
      </c>
    </row>
    <row r="17863" spans="6:8">
      <c r="F17863" s="68" t="s">
        <v>425</v>
      </c>
      <c r="G17863" s="67" t="s">
        <v>696</v>
      </c>
      <c r="H17863" s="69">
        <v>2.9269891621797495</v>
      </c>
    </row>
    <row r="17864" spans="6:8">
      <c r="F17864" s="68" t="s">
        <v>258</v>
      </c>
      <c r="G17864" s="67" t="s">
        <v>696</v>
      </c>
      <c r="H17864" s="69">
        <v>0.15</v>
      </c>
    </row>
    <row r="17865" spans="6:8">
      <c r="F17865" s="68" t="s">
        <v>257</v>
      </c>
      <c r="G17865" s="67" t="s">
        <v>696</v>
      </c>
      <c r="H17865" s="69">
        <v>0.91</v>
      </c>
    </row>
    <row r="17866" spans="6:8">
      <c r="F17866" s="68" t="s">
        <v>135</v>
      </c>
      <c r="G17866" s="67" t="s">
        <v>696</v>
      </c>
      <c r="H17866" s="69">
        <v>-0.79</v>
      </c>
    </row>
    <row r="17867" spans="6:8">
      <c r="F17867" s="68" t="s">
        <v>134</v>
      </c>
      <c r="G17867" s="67" t="s">
        <v>696</v>
      </c>
      <c r="H17867" s="69">
        <v>-0.9</v>
      </c>
    </row>
    <row r="17868" spans="6:8">
      <c r="F17868" s="68" t="s">
        <v>668</v>
      </c>
      <c r="G17868" s="67" t="s">
        <v>696</v>
      </c>
      <c r="H17868" s="69">
        <v>112.68795507999999</v>
      </c>
    </row>
    <row r="17869" spans="6:8">
      <c r="F17869" s="68" t="s">
        <v>424</v>
      </c>
      <c r="G17869" s="67" t="s">
        <v>696</v>
      </c>
      <c r="H17869" s="69">
        <v>2.8921559731350133</v>
      </c>
    </row>
    <row r="17870" spans="6:8">
      <c r="F17870" s="68" t="s">
        <v>667</v>
      </c>
      <c r="G17870" s="67" t="s">
        <v>696</v>
      </c>
      <c r="H17870" s="69">
        <v>112.68795507999999</v>
      </c>
    </row>
    <row r="17871" spans="6:8">
      <c r="F17871" s="68" t="s">
        <v>569</v>
      </c>
      <c r="G17871" s="67" t="s">
        <v>696</v>
      </c>
      <c r="H17871" s="69">
        <v>-0.17</v>
      </c>
    </row>
    <row r="17872" spans="6:8">
      <c r="F17872" s="68" t="s">
        <v>423</v>
      </c>
      <c r="G17872" s="67" t="s">
        <v>696</v>
      </c>
      <c r="H17872" s="69">
        <v>2.3460443448660051</v>
      </c>
    </row>
    <row r="17873" spans="6:8">
      <c r="F17873" s="68" t="s">
        <v>256</v>
      </c>
      <c r="G17873" s="67" t="s">
        <v>696</v>
      </c>
      <c r="H17873" s="69">
        <v>0.85</v>
      </c>
    </row>
    <row r="17874" spans="6:8">
      <c r="F17874" s="68" t="s">
        <v>133</v>
      </c>
      <c r="G17874" s="67" t="s">
        <v>696</v>
      </c>
      <c r="H17874" s="69">
        <v>-0.62</v>
      </c>
    </row>
    <row r="17875" spans="6:8">
      <c r="F17875" s="68" t="s">
        <v>132</v>
      </c>
      <c r="G17875" s="67" t="s">
        <v>696</v>
      </c>
      <c r="H17875" s="69">
        <v>-0.93</v>
      </c>
    </row>
    <row r="17876" spans="6:8">
      <c r="F17876" s="68" t="s">
        <v>666</v>
      </c>
      <c r="G17876" s="67" t="s">
        <v>696</v>
      </c>
      <c r="H17876" s="69">
        <v>112.68795507999999</v>
      </c>
    </row>
    <row r="17877" spans="6:8">
      <c r="F17877" s="68" t="s">
        <v>568</v>
      </c>
      <c r="G17877" s="67" t="s">
        <v>696</v>
      </c>
      <c r="H17877" s="69">
        <v>-0.41</v>
      </c>
    </row>
    <row r="17878" spans="6:8">
      <c r="F17878" s="68" t="s">
        <v>422</v>
      </c>
      <c r="G17878" s="67" t="s">
        <v>696</v>
      </c>
      <c r="H17878" s="69">
        <v>2.2628481835182068</v>
      </c>
    </row>
    <row r="17879" spans="6:8">
      <c r="F17879" s="68" t="s">
        <v>255</v>
      </c>
      <c r="G17879" s="67" t="s">
        <v>696</v>
      </c>
      <c r="H17879" s="69">
        <v>0.76</v>
      </c>
    </row>
    <row r="17880" spans="6:8">
      <c r="F17880" s="68" t="s">
        <v>303</v>
      </c>
      <c r="G17880" s="67" t="s">
        <v>696</v>
      </c>
      <c r="H17880" s="69">
        <v>18.625</v>
      </c>
    </row>
    <row r="17881" spans="6:8">
      <c r="F17881" s="68" t="s">
        <v>131</v>
      </c>
      <c r="G17881" s="67" t="s">
        <v>696</v>
      </c>
      <c r="H17881" s="69">
        <v>-0.56000000000000005</v>
      </c>
    </row>
    <row r="17882" spans="6:8">
      <c r="F17882" s="68" t="s">
        <v>130</v>
      </c>
      <c r="G17882" s="67" t="s">
        <v>696</v>
      </c>
      <c r="H17882" s="69">
        <v>-1.03</v>
      </c>
    </row>
    <row r="17883" spans="6:8">
      <c r="F17883" s="68" t="s">
        <v>665</v>
      </c>
      <c r="G17883" s="67" t="s">
        <v>696</v>
      </c>
      <c r="H17883" s="69">
        <v>112.68795507999999</v>
      </c>
    </row>
    <row r="17884" spans="6:8">
      <c r="F17884" s="68" t="s">
        <v>567</v>
      </c>
      <c r="G17884" s="67" t="s">
        <v>696</v>
      </c>
      <c r="H17884" s="69">
        <v>-0.84</v>
      </c>
    </row>
    <row r="17885" spans="6:8">
      <c r="F17885" s="68" t="s">
        <v>421</v>
      </c>
      <c r="G17885" s="67" t="s">
        <v>696</v>
      </c>
      <c r="H17885" s="69">
        <v>2.2562134625774721</v>
      </c>
    </row>
    <row r="17886" spans="6:8">
      <c r="F17886" s="68" t="s">
        <v>254</v>
      </c>
      <c r="G17886" s="67" t="s">
        <v>696</v>
      </c>
      <c r="H17886" s="69">
        <v>0.6</v>
      </c>
    </row>
    <row r="17887" spans="6:8">
      <c r="F17887" s="68" t="s">
        <v>304</v>
      </c>
      <c r="G17887" s="67" t="s">
        <v>696</v>
      </c>
      <c r="H17887" s="69">
        <v>17.65625</v>
      </c>
    </row>
    <row r="17888" spans="6:8">
      <c r="F17888" s="68" t="s">
        <v>129</v>
      </c>
      <c r="G17888" s="67" t="s">
        <v>696</v>
      </c>
      <c r="H17888" s="69">
        <v>-0.71</v>
      </c>
    </row>
    <row r="17889" spans="6:8">
      <c r="F17889" s="68" t="s">
        <v>128</v>
      </c>
      <c r="G17889" s="67" t="s">
        <v>696</v>
      </c>
      <c r="H17889" s="69">
        <v>-0.89</v>
      </c>
    </row>
    <row r="17890" spans="6:8">
      <c r="F17890" s="68" t="s">
        <v>664</v>
      </c>
      <c r="G17890" s="67" t="s">
        <v>696</v>
      </c>
      <c r="H17890" s="69">
        <v>112.68795507999999</v>
      </c>
    </row>
    <row r="17891" spans="6:8">
      <c r="F17891" s="68" t="s">
        <v>315</v>
      </c>
      <c r="G17891" s="67" t="s">
        <v>696</v>
      </c>
      <c r="H17891" s="69">
        <v>-0.17</v>
      </c>
    </row>
    <row r="17892" spans="6:8">
      <c r="F17892" s="68" t="s">
        <v>253</v>
      </c>
      <c r="G17892" s="67" t="s">
        <v>696</v>
      </c>
      <c r="H17892" s="69">
        <v>0.44</v>
      </c>
    </row>
    <row r="17893" spans="6:8">
      <c r="F17893" s="68" t="s">
        <v>127</v>
      </c>
      <c r="G17893" s="67" t="s">
        <v>696</v>
      </c>
      <c r="H17893" s="69">
        <v>-0.42</v>
      </c>
    </row>
    <row r="17894" spans="6:8">
      <c r="F17894" s="68" t="s">
        <v>126</v>
      </c>
      <c r="G17894" s="67" t="s">
        <v>696</v>
      </c>
      <c r="H17894" s="69">
        <v>-0.94</v>
      </c>
    </row>
    <row r="17895" spans="6:8">
      <c r="F17895" s="68" t="s">
        <v>125</v>
      </c>
      <c r="G17895" s="67" t="s">
        <v>696</v>
      </c>
      <c r="H17895" s="69">
        <v>-0.52</v>
      </c>
    </row>
    <row r="17896" spans="6:8">
      <c r="F17896" s="68" t="s">
        <v>663</v>
      </c>
      <c r="G17896" s="67" t="s">
        <v>696</v>
      </c>
      <c r="H17896" s="69">
        <v>112.68795507999999</v>
      </c>
    </row>
    <row r="17897" spans="6:8">
      <c r="F17897" s="68" t="s">
        <v>314</v>
      </c>
      <c r="G17897" s="67" t="s">
        <v>696</v>
      </c>
      <c r="H17897" s="69">
        <v>-0.41</v>
      </c>
    </row>
    <row r="17898" spans="6:8">
      <c r="F17898" s="68" t="s">
        <v>252</v>
      </c>
      <c r="G17898" s="67" t="s">
        <v>696</v>
      </c>
      <c r="H17898" s="69">
        <v>0.28000000000000003</v>
      </c>
    </row>
    <row r="17899" spans="6:8">
      <c r="F17899" s="68" t="s">
        <v>124</v>
      </c>
      <c r="G17899" s="67" t="s">
        <v>696</v>
      </c>
      <c r="H17899" s="69">
        <v>-0.52</v>
      </c>
    </row>
    <row r="17900" spans="6:8">
      <c r="F17900" s="68" t="s">
        <v>123</v>
      </c>
      <c r="G17900" s="67" t="s">
        <v>696</v>
      </c>
      <c r="H17900" s="69">
        <v>-0.98</v>
      </c>
    </row>
    <row r="17901" spans="6:8">
      <c r="F17901" s="68" t="s">
        <v>122</v>
      </c>
      <c r="G17901" s="67" t="s">
        <v>696</v>
      </c>
      <c r="H17901" s="69">
        <v>-0.74</v>
      </c>
    </row>
    <row r="17902" spans="6:8">
      <c r="F17902" s="68" t="s">
        <v>251</v>
      </c>
      <c r="G17902" s="67" t="s">
        <v>696</v>
      </c>
      <c r="H17902" s="69">
        <v>0.21</v>
      </c>
    </row>
    <row r="17903" spans="6:8">
      <c r="F17903" s="68" t="s">
        <v>121</v>
      </c>
      <c r="G17903" s="67" t="s">
        <v>696</v>
      </c>
      <c r="H17903" s="69">
        <v>-0.64</v>
      </c>
    </row>
    <row r="17904" spans="6:8">
      <c r="F17904" s="68" t="s">
        <v>120</v>
      </c>
      <c r="G17904" s="67" t="s">
        <v>696</v>
      </c>
      <c r="H17904" s="69">
        <v>-0.82</v>
      </c>
    </row>
    <row r="17905" spans="6:8">
      <c r="F17905" s="68" t="s">
        <v>119</v>
      </c>
      <c r="G17905" s="67" t="s">
        <v>696</v>
      </c>
      <c r="H17905" s="69">
        <v>-0.78</v>
      </c>
    </row>
    <row r="17906" spans="6:8">
      <c r="F17906" s="68" t="s">
        <v>662</v>
      </c>
      <c r="G17906" s="67" t="s">
        <v>696</v>
      </c>
      <c r="H17906" s="69">
        <v>112.68795507999999</v>
      </c>
    </row>
    <row r="17907" spans="6:8">
      <c r="F17907" s="68" t="s">
        <v>420</v>
      </c>
      <c r="G17907" s="67" t="s">
        <v>696</v>
      </c>
      <c r="H17907" s="69">
        <v>3.2284236378811837</v>
      </c>
    </row>
    <row r="17908" spans="6:8">
      <c r="F17908" s="68" t="s">
        <v>420</v>
      </c>
      <c r="G17908" s="67" t="s">
        <v>697</v>
      </c>
      <c r="H17908" s="69">
        <v>3.2178217897536943</v>
      </c>
    </row>
    <row r="17909" spans="6:8">
      <c r="F17909" s="68" t="s">
        <v>662</v>
      </c>
      <c r="G17909" s="67" t="s">
        <v>697</v>
      </c>
      <c r="H17909" s="69">
        <v>112.73540909</v>
      </c>
    </row>
    <row r="17910" spans="6:8">
      <c r="F17910" s="68" t="s">
        <v>119</v>
      </c>
      <c r="G17910" s="67" t="s">
        <v>697</v>
      </c>
      <c r="H17910" s="69">
        <v>-0.77</v>
      </c>
    </row>
    <row r="17911" spans="6:8">
      <c r="F17911" s="68" t="s">
        <v>120</v>
      </c>
      <c r="G17911" s="67" t="s">
        <v>697</v>
      </c>
      <c r="H17911" s="69">
        <v>-0.81</v>
      </c>
    </row>
    <row r="17912" spans="6:8">
      <c r="F17912" s="68" t="s">
        <v>121</v>
      </c>
      <c r="G17912" s="67" t="s">
        <v>697</v>
      </c>
      <c r="H17912" s="69">
        <v>-0.62</v>
      </c>
    </row>
    <row r="17913" spans="6:8">
      <c r="F17913" s="68" t="s">
        <v>251</v>
      </c>
      <c r="G17913" s="67" t="s">
        <v>697</v>
      </c>
      <c r="H17913" s="69">
        <v>0.21</v>
      </c>
    </row>
    <row r="17914" spans="6:8">
      <c r="F17914" s="68" t="s">
        <v>122</v>
      </c>
      <c r="G17914" s="67" t="s">
        <v>697</v>
      </c>
      <c r="H17914" s="69">
        <v>-0.74</v>
      </c>
    </row>
    <row r="17915" spans="6:8">
      <c r="F17915" s="68" t="s">
        <v>123</v>
      </c>
      <c r="G17915" s="67" t="s">
        <v>697</v>
      </c>
      <c r="H17915" s="69">
        <v>-0.98</v>
      </c>
    </row>
    <row r="17916" spans="6:8">
      <c r="F17916" s="68" t="s">
        <v>124</v>
      </c>
      <c r="G17916" s="67" t="s">
        <v>697</v>
      </c>
      <c r="H17916" s="69">
        <v>-0.48</v>
      </c>
    </row>
    <row r="17917" spans="6:8">
      <c r="F17917" s="68" t="s">
        <v>252</v>
      </c>
      <c r="G17917" s="67" t="s">
        <v>697</v>
      </c>
      <c r="H17917" s="69">
        <v>0.28000000000000003</v>
      </c>
    </row>
    <row r="17918" spans="6:8">
      <c r="F17918" s="68" t="s">
        <v>314</v>
      </c>
      <c r="G17918" s="67" t="s">
        <v>697</v>
      </c>
      <c r="H17918" s="69">
        <v>-0.38</v>
      </c>
    </row>
    <row r="17919" spans="6:8">
      <c r="F17919" s="68" t="s">
        <v>663</v>
      </c>
      <c r="G17919" s="67" t="s">
        <v>697</v>
      </c>
      <c r="H17919" s="69">
        <v>112.73540909</v>
      </c>
    </row>
    <row r="17920" spans="6:8">
      <c r="F17920" s="68" t="s">
        <v>125</v>
      </c>
      <c r="G17920" s="67" t="s">
        <v>697</v>
      </c>
      <c r="H17920" s="69">
        <v>-0.5</v>
      </c>
    </row>
    <row r="17921" spans="6:8">
      <c r="F17921" s="68" t="s">
        <v>126</v>
      </c>
      <c r="G17921" s="67" t="s">
        <v>697</v>
      </c>
      <c r="H17921" s="69">
        <v>-0.92</v>
      </c>
    </row>
    <row r="17922" spans="6:8">
      <c r="F17922" s="68" t="s">
        <v>127</v>
      </c>
      <c r="G17922" s="67" t="s">
        <v>697</v>
      </c>
      <c r="H17922" s="69">
        <v>-0.42</v>
      </c>
    </row>
    <row r="17923" spans="6:8">
      <c r="F17923" s="68" t="s">
        <v>253</v>
      </c>
      <c r="G17923" s="67" t="s">
        <v>697</v>
      </c>
      <c r="H17923" s="69">
        <v>0.43</v>
      </c>
    </row>
    <row r="17924" spans="6:8">
      <c r="F17924" s="68" t="s">
        <v>315</v>
      </c>
      <c r="G17924" s="67" t="s">
        <v>697</v>
      </c>
      <c r="H17924" s="69">
        <v>-0.16</v>
      </c>
    </row>
    <row r="17925" spans="6:8">
      <c r="F17925" s="68" t="s">
        <v>664</v>
      </c>
      <c r="G17925" s="67" t="s">
        <v>697</v>
      </c>
      <c r="H17925" s="69">
        <v>112.73540909</v>
      </c>
    </row>
    <row r="17926" spans="6:8">
      <c r="F17926" s="68" t="s">
        <v>128</v>
      </c>
      <c r="G17926" s="67" t="s">
        <v>697</v>
      </c>
      <c r="H17926" s="69">
        <v>-0.86</v>
      </c>
    </row>
    <row r="17927" spans="6:8">
      <c r="F17927" s="68" t="s">
        <v>129</v>
      </c>
      <c r="G17927" s="67" t="s">
        <v>697</v>
      </c>
      <c r="H17927" s="69">
        <v>-0.71</v>
      </c>
    </row>
    <row r="17928" spans="6:8">
      <c r="F17928" s="68" t="s">
        <v>304</v>
      </c>
      <c r="G17928" s="67" t="s">
        <v>697</v>
      </c>
      <c r="H17928" s="69">
        <v>17.729166666666668</v>
      </c>
    </row>
    <row r="17929" spans="6:8">
      <c r="F17929" s="68" t="s">
        <v>254</v>
      </c>
      <c r="G17929" s="67" t="s">
        <v>697</v>
      </c>
      <c r="H17929" s="69">
        <v>0.6</v>
      </c>
    </row>
    <row r="17930" spans="6:8">
      <c r="F17930" s="68" t="s">
        <v>421</v>
      </c>
      <c r="G17930" s="67" t="s">
        <v>697</v>
      </c>
      <c r="H17930" s="69">
        <v>2.2429369470640559</v>
      </c>
    </row>
    <row r="17931" spans="6:8">
      <c r="F17931" s="68" t="s">
        <v>567</v>
      </c>
      <c r="G17931" s="67" t="s">
        <v>697</v>
      </c>
      <c r="H17931" s="69">
        <v>-0.82</v>
      </c>
    </row>
    <row r="17932" spans="6:8">
      <c r="F17932" s="68" t="s">
        <v>665</v>
      </c>
      <c r="G17932" s="67" t="s">
        <v>697</v>
      </c>
      <c r="H17932" s="69">
        <v>112.73540909</v>
      </c>
    </row>
    <row r="17933" spans="6:8">
      <c r="F17933" s="68" t="s">
        <v>130</v>
      </c>
      <c r="G17933" s="67" t="s">
        <v>697</v>
      </c>
      <c r="H17933" s="69">
        <v>-1.01</v>
      </c>
    </row>
    <row r="17934" spans="6:8">
      <c r="F17934" s="68" t="s">
        <v>131</v>
      </c>
      <c r="G17934" s="67" t="s">
        <v>697</v>
      </c>
      <c r="H17934" s="69">
        <v>-0.54</v>
      </c>
    </row>
    <row r="17935" spans="6:8">
      <c r="F17935" s="68" t="s">
        <v>303</v>
      </c>
      <c r="G17935" s="67" t="s">
        <v>697</v>
      </c>
      <c r="H17935" s="69">
        <v>18.645833333333332</v>
      </c>
    </row>
    <row r="17936" spans="6:8">
      <c r="F17936" s="68" t="s">
        <v>255</v>
      </c>
      <c r="G17936" s="67" t="s">
        <v>697</v>
      </c>
      <c r="H17936" s="69">
        <v>0.75</v>
      </c>
    </row>
    <row r="17937" spans="6:8">
      <c r="F17937" s="68" t="s">
        <v>422</v>
      </c>
      <c r="G17937" s="67" t="s">
        <v>697</v>
      </c>
      <c r="H17937" s="69">
        <v>2.2494554705875025</v>
      </c>
    </row>
    <row r="17938" spans="6:8">
      <c r="F17938" s="68" t="s">
        <v>568</v>
      </c>
      <c r="G17938" s="67" t="s">
        <v>697</v>
      </c>
      <c r="H17938" s="69">
        <v>-0.37</v>
      </c>
    </row>
    <row r="17939" spans="6:8">
      <c r="F17939" s="68" t="s">
        <v>666</v>
      </c>
      <c r="G17939" s="67" t="s">
        <v>697</v>
      </c>
      <c r="H17939" s="69">
        <v>112.73540909</v>
      </c>
    </row>
    <row r="17940" spans="6:8">
      <c r="F17940" s="68" t="s">
        <v>132</v>
      </c>
      <c r="G17940" s="67" t="s">
        <v>697</v>
      </c>
      <c r="H17940" s="69">
        <v>-0.91</v>
      </c>
    </row>
    <row r="17941" spans="6:8">
      <c r="F17941" s="68" t="s">
        <v>133</v>
      </c>
      <c r="G17941" s="67" t="s">
        <v>697</v>
      </c>
      <c r="H17941" s="69">
        <v>-0.62</v>
      </c>
    </row>
    <row r="17942" spans="6:8">
      <c r="F17942" s="68" t="s">
        <v>256</v>
      </c>
      <c r="G17942" s="67" t="s">
        <v>697</v>
      </c>
      <c r="H17942" s="69">
        <v>0.85</v>
      </c>
    </row>
    <row r="17943" spans="6:8">
      <c r="F17943" s="68" t="s">
        <v>423</v>
      </c>
      <c r="G17943" s="67" t="s">
        <v>697</v>
      </c>
      <c r="H17943" s="69">
        <v>2.3237284763049093</v>
      </c>
    </row>
    <row r="17944" spans="6:8">
      <c r="F17944" s="68" t="s">
        <v>569</v>
      </c>
      <c r="G17944" s="67" t="s">
        <v>697</v>
      </c>
      <c r="H17944" s="69">
        <v>-0.15</v>
      </c>
    </row>
    <row r="17945" spans="6:8">
      <c r="F17945" s="68" t="s">
        <v>667</v>
      </c>
      <c r="G17945" s="67" t="s">
        <v>697</v>
      </c>
      <c r="H17945" s="69">
        <v>112.73540909</v>
      </c>
    </row>
    <row r="17946" spans="6:8">
      <c r="F17946" s="68" t="s">
        <v>424</v>
      </c>
      <c r="G17946" s="67" t="s">
        <v>697</v>
      </c>
      <c r="H17946" s="69">
        <v>2.867416295196179</v>
      </c>
    </row>
    <row r="17947" spans="6:8">
      <c r="F17947" s="68" t="s">
        <v>668</v>
      </c>
      <c r="G17947" s="67" t="s">
        <v>697</v>
      </c>
      <c r="H17947" s="69">
        <v>112.73540909</v>
      </c>
    </row>
    <row r="17948" spans="6:8">
      <c r="F17948" s="68" t="s">
        <v>134</v>
      </c>
      <c r="G17948" s="67" t="s">
        <v>697</v>
      </c>
      <c r="H17948" s="69">
        <v>-0.86</v>
      </c>
    </row>
    <row r="17949" spans="6:8">
      <c r="F17949" s="68" t="s">
        <v>135</v>
      </c>
      <c r="G17949" s="67" t="s">
        <v>697</v>
      </c>
      <c r="H17949" s="69">
        <v>-0.78</v>
      </c>
    </row>
    <row r="17950" spans="6:8">
      <c r="F17950" s="68" t="s">
        <v>257</v>
      </c>
      <c r="G17950" s="67" t="s">
        <v>697</v>
      </c>
      <c r="H17950" s="69">
        <v>0.9</v>
      </c>
    </row>
    <row r="17951" spans="6:8">
      <c r="F17951" s="68" t="s">
        <v>258</v>
      </c>
      <c r="G17951" s="67" t="s">
        <v>697</v>
      </c>
      <c r="H17951" s="69">
        <v>0.15</v>
      </c>
    </row>
    <row r="17952" spans="6:8">
      <c r="F17952" s="68" t="s">
        <v>425</v>
      </c>
      <c r="G17952" s="67" t="s">
        <v>697</v>
      </c>
      <c r="H17952" s="69">
        <v>2.9018299558963179</v>
      </c>
    </row>
    <row r="17953" spans="6:8">
      <c r="F17953" s="68" t="s">
        <v>669</v>
      </c>
      <c r="G17953" s="67" t="s">
        <v>697</v>
      </c>
      <c r="H17953" s="69">
        <v>112.73540909</v>
      </c>
    </row>
    <row r="17954" spans="6:8">
      <c r="F17954" s="68" t="s">
        <v>136</v>
      </c>
      <c r="G17954" s="67" t="s">
        <v>697</v>
      </c>
      <c r="H17954" s="69">
        <v>-0.83</v>
      </c>
    </row>
    <row r="17955" spans="6:8">
      <c r="F17955" s="68" t="s">
        <v>137</v>
      </c>
      <c r="G17955" s="67" t="s">
        <v>697</v>
      </c>
      <c r="H17955" s="69">
        <v>-0.67</v>
      </c>
    </row>
    <row r="17956" spans="6:8">
      <c r="F17956" s="68" t="s">
        <v>138</v>
      </c>
      <c r="G17956" s="67" t="s">
        <v>697</v>
      </c>
      <c r="H17956" s="69">
        <v>-0.71</v>
      </c>
    </row>
    <row r="17957" spans="6:8">
      <c r="F17957" s="68" t="s">
        <v>259</v>
      </c>
      <c r="G17957" s="67" t="s">
        <v>697</v>
      </c>
      <c r="H17957" s="69">
        <v>0.16</v>
      </c>
    </row>
    <row r="17958" spans="6:8">
      <c r="F17958" s="68" t="s">
        <v>259</v>
      </c>
      <c r="G17958" s="67" t="s">
        <v>698</v>
      </c>
      <c r="H17958" s="69">
        <v>0.16</v>
      </c>
    </row>
    <row r="17959" spans="6:8">
      <c r="F17959" s="68" t="s">
        <v>138</v>
      </c>
      <c r="G17959" s="67" t="s">
        <v>698</v>
      </c>
      <c r="H17959" s="69">
        <v>-0.71</v>
      </c>
    </row>
    <row r="17960" spans="6:8">
      <c r="F17960" s="68" t="s">
        <v>137</v>
      </c>
      <c r="G17960" s="67" t="s">
        <v>698</v>
      </c>
      <c r="H17960" s="69">
        <v>-0.67</v>
      </c>
    </row>
    <row r="17961" spans="6:8">
      <c r="F17961" s="68" t="s">
        <v>136</v>
      </c>
      <c r="G17961" s="67" t="s">
        <v>698</v>
      </c>
      <c r="H17961" s="69">
        <v>-0.83</v>
      </c>
    </row>
    <row r="17962" spans="6:8">
      <c r="F17962" s="68" t="s">
        <v>669</v>
      </c>
      <c r="G17962" s="67" t="s">
        <v>698</v>
      </c>
      <c r="H17962" s="69">
        <v>112.61321764</v>
      </c>
    </row>
    <row r="17963" spans="6:8">
      <c r="F17963" s="68" t="s">
        <v>425</v>
      </c>
      <c r="G17963" s="67" t="s">
        <v>698</v>
      </c>
      <c r="H17963" s="69">
        <v>2.8959877891264085</v>
      </c>
    </row>
    <row r="17964" spans="6:8">
      <c r="F17964" s="68" t="s">
        <v>258</v>
      </c>
      <c r="G17964" s="67" t="s">
        <v>698</v>
      </c>
      <c r="H17964" s="69">
        <v>0.15</v>
      </c>
    </row>
    <row r="17965" spans="6:8">
      <c r="F17965" s="68" t="s">
        <v>257</v>
      </c>
      <c r="G17965" s="67" t="s">
        <v>698</v>
      </c>
      <c r="H17965" s="69">
        <v>0.9</v>
      </c>
    </row>
    <row r="17966" spans="6:8">
      <c r="F17966" s="68" t="s">
        <v>135</v>
      </c>
      <c r="G17966" s="67" t="s">
        <v>698</v>
      </c>
      <c r="H17966" s="69">
        <v>-0.78</v>
      </c>
    </row>
    <row r="17967" spans="6:8">
      <c r="F17967" s="68" t="s">
        <v>134</v>
      </c>
      <c r="G17967" s="67" t="s">
        <v>698</v>
      </c>
      <c r="H17967" s="69">
        <v>-0.86</v>
      </c>
    </row>
    <row r="17968" spans="6:8">
      <c r="F17968" s="68" t="s">
        <v>668</v>
      </c>
      <c r="G17968" s="67" t="s">
        <v>698</v>
      </c>
      <c r="H17968" s="69">
        <v>112.61321764</v>
      </c>
    </row>
    <row r="17969" spans="6:8">
      <c r="F17969" s="68" t="s">
        <v>424</v>
      </c>
      <c r="G17969" s="67" t="s">
        <v>698</v>
      </c>
      <c r="H17969" s="69">
        <v>2.858845519372899</v>
      </c>
    </row>
    <row r="17970" spans="6:8">
      <c r="F17970" s="68" t="s">
        <v>667</v>
      </c>
      <c r="G17970" s="67" t="s">
        <v>698</v>
      </c>
      <c r="H17970" s="69">
        <v>112.61321764</v>
      </c>
    </row>
    <row r="17971" spans="6:8">
      <c r="F17971" s="68" t="s">
        <v>569</v>
      </c>
      <c r="G17971" s="67" t="s">
        <v>698</v>
      </c>
      <c r="H17971" s="69">
        <v>-0.15</v>
      </c>
    </row>
    <row r="17972" spans="6:8">
      <c r="F17972" s="68" t="s">
        <v>423</v>
      </c>
      <c r="G17972" s="67" t="s">
        <v>698</v>
      </c>
      <c r="H17972" s="69">
        <v>2.3221931899918502</v>
      </c>
    </row>
    <row r="17973" spans="6:8">
      <c r="F17973" s="68" t="s">
        <v>256</v>
      </c>
      <c r="G17973" s="67" t="s">
        <v>698</v>
      </c>
      <c r="H17973" s="69">
        <v>0.85</v>
      </c>
    </row>
    <row r="17974" spans="6:8">
      <c r="F17974" s="68" t="s">
        <v>133</v>
      </c>
      <c r="G17974" s="67" t="s">
        <v>698</v>
      </c>
      <c r="H17974" s="69">
        <v>-0.62</v>
      </c>
    </row>
    <row r="17975" spans="6:8">
      <c r="F17975" s="68" t="s">
        <v>132</v>
      </c>
      <c r="G17975" s="67" t="s">
        <v>698</v>
      </c>
      <c r="H17975" s="69">
        <v>-0.91</v>
      </c>
    </row>
    <row r="17976" spans="6:8">
      <c r="F17976" s="68" t="s">
        <v>666</v>
      </c>
      <c r="G17976" s="67" t="s">
        <v>698</v>
      </c>
      <c r="H17976" s="69">
        <v>112.61321764</v>
      </c>
    </row>
    <row r="17977" spans="6:8">
      <c r="F17977" s="68" t="s">
        <v>568</v>
      </c>
      <c r="G17977" s="67" t="s">
        <v>698</v>
      </c>
      <c r="H17977" s="69">
        <v>-0.37</v>
      </c>
    </row>
    <row r="17978" spans="6:8">
      <c r="F17978" s="68" t="s">
        <v>422</v>
      </c>
      <c r="G17978" s="67" t="s">
        <v>698</v>
      </c>
      <c r="H17978" s="69">
        <v>2.2488274322550961</v>
      </c>
    </row>
    <row r="17979" spans="6:8">
      <c r="F17979" s="68" t="s">
        <v>255</v>
      </c>
      <c r="G17979" s="67" t="s">
        <v>698</v>
      </c>
      <c r="H17979" s="69">
        <v>0.75</v>
      </c>
    </row>
    <row r="17980" spans="6:8">
      <c r="F17980" s="68" t="s">
        <v>303</v>
      </c>
      <c r="G17980" s="67" t="s">
        <v>698</v>
      </c>
      <c r="H17980" s="69">
        <v>18.645833333333332</v>
      </c>
    </row>
    <row r="17981" spans="6:8">
      <c r="F17981" s="68" t="s">
        <v>131</v>
      </c>
      <c r="G17981" s="67" t="s">
        <v>698</v>
      </c>
      <c r="H17981" s="69">
        <v>-0.54</v>
      </c>
    </row>
    <row r="17982" spans="6:8">
      <c r="F17982" s="68" t="s">
        <v>130</v>
      </c>
      <c r="G17982" s="67" t="s">
        <v>698</v>
      </c>
      <c r="H17982" s="69">
        <v>-1.01</v>
      </c>
    </row>
    <row r="17983" spans="6:8">
      <c r="F17983" s="68" t="s">
        <v>665</v>
      </c>
      <c r="G17983" s="67" t="s">
        <v>698</v>
      </c>
      <c r="H17983" s="69">
        <v>112.61321764</v>
      </c>
    </row>
    <row r="17984" spans="6:8">
      <c r="F17984" s="68" t="s">
        <v>567</v>
      </c>
      <c r="G17984" s="67" t="s">
        <v>698</v>
      </c>
      <c r="H17984" s="69">
        <v>-0.82</v>
      </c>
    </row>
    <row r="17985" spans="6:8">
      <c r="F17985" s="68" t="s">
        <v>421</v>
      </c>
      <c r="G17985" s="67" t="s">
        <v>698</v>
      </c>
      <c r="H17985" s="69">
        <v>2.2423078217657544</v>
      </c>
    </row>
    <row r="17986" spans="6:8">
      <c r="F17986" s="68" t="s">
        <v>254</v>
      </c>
      <c r="G17986" s="67" t="s">
        <v>698</v>
      </c>
      <c r="H17986" s="69">
        <v>0.6</v>
      </c>
    </row>
    <row r="17987" spans="6:8">
      <c r="F17987" s="68" t="s">
        <v>304</v>
      </c>
      <c r="G17987" s="67" t="s">
        <v>698</v>
      </c>
      <c r="H17987" s="69">
        <v>17.697916666666668</v>
      </c>
    </row>
    <row r="17988" spans="6:8">
      <c r="F17988" s="68" t="s">
        <v>129</v>
      </c>
      <c r="G17988" s="67" t="s">
        <v>698</v>
      </c>
      <c r="H17988" s="69">
        <v>-0.71</v>
      </c>
    </row>
    <row r="17989" spans="6:8">
      <c r="F17989" s="68" t="s">
        <v>128</v>
      </c>
      <c r="G17989" s="67" t="s">
        <v>698</v>
      </c>
      <c r="H17989" s="69">
        <v>-0.86</v>
      </c>
    </row>
    <row r="17990" spans="6:8">
      <c r="F17990" s="68" t="s">
        <v>664</v>
      </c>
      <c r="G17990" s="67" t="s">
        <v>698</v>
      </c>
      <c r="H17990" s="69">
        <v>112.61321764</v>
      </c>
    </row>
    <row r="17991" spans="6:8">
      <c r="F17991" s="68" t="s">
        <v>315</v>
      </c>
      <c r="G17991" s="67" t="s">
        <v>698</v>
      </c>
      <c r="H17991" s="69">
        <v>-0.16</v>
      </c>
    </row>
    <row r="17992" spans="6:8">
      <c r="F17992" s="68" t="s">
        <v>253</v>
      </c>
      <c r="G17992" s="67" t="s">
        <v>698</v>
      </c>
      <c r="H17992" s="69">
        <v>0.43</v>
      </c>
    </row>
    <row r="17993" spans="6:8">
      <c r="F17993" s="68" t="s">
        <v>127</v>
      </c>
      <c r="G17993" s="67" t="s">
        <v>698</v>
      </c>
      <c r="H17993" s="69">
        <v>-0.42</v>
      </c>
    </row>
    <row r="17994" spans="6:8">
      <c r="F17994" s="68" t="s">
        <v>126</v>
      </c>
      <c r="G17994" s="67" t="s">
        <v>698</v>
      </c>
      <c r="H17994" s="69">
        <v>-0.92</v>
      </c>
    </row>
    <row r="17995" spans="6:8">
      <c r="F17995" s="68" t="s">
        <v>125</v>
      </c>
      <c r="G17995" s="67" t="s">
        <v>698</v>
      </c>
      <c r="H17995" s="69">
        <v>-0.5</v>
      </c>
    </row>
    <row r="17996" spans="6:8">
      <c r="F17996" s="68" t="s">
        <v>663</v>
      </c>
      <c r="G17996" s="67" t="s">
        <v>698</v>
      </c>
      <c r="H17996" s="69">
        <v>112.61321764</v>
      </c>
    </row>
    <row r="17997" spans="6:8">
      <c r="F17997" s="68" t="s">
        <v>314</v>
      </c>
      <c r="G17997" s="67" t="s">
        <v>698</v>
      </c>
      <c r="H17997" s="69">
        <v>-0.38</v>
      </c>
    </row>
    <row r="17998" spans="6:8">
      <c r="F17998" s="68" t="s">
        <v>252</v>
      </c>
      <c r="G17998" s="67" t="s">
        <v>698</v>
      </c>
      <c r="H17998" s="69">
        <v>0.28000000000000003</v>
      </c>
    </row>
    <row r="17999" spans="6:8">
      <c r="F17999" s="68" t="s">
        <v>124</v>
      </c>
      <c r="G17999" s="67" t="s">
        <v>698</v>
      </c>
      <c r="H17999" s="69">
        <v>-0.48</v>
      </c>
    </row>
    <row r="18000" spans="6:8">
      <c r="F18000" s="68" t="s">
        <v>123</v>
      </c>
      <c r="G18000" s="67" t="s">
        <v>698</v>
      </c>
      <c r="H18000" s="69">
        <v>-0.98</v>
      </c>
    </row>
    <row r="18001" spans="6:8">
      <c r="F18001" s="68" t="s">
        <v>122</v>
      </c>
      <c r="G18001" s="67" t="s">
        <v>698</v>
      </c>
      <c r="H18001" s="69">
        <v>-0.74</v>
      </c>
    </row>
    <row r="18002" spans="6:8">
      <c r="F18002" s="68" t="s">
        <v>251</v>
      </c>
      <c r="G18002" s="67" t="s">
        <v>698</v>
      </c>
      <c r="H18002" s="69">
        <v>0.21</v>
      </c>
    </row>
    <row r="18003" spans="6:8">
      <c r="F18003" s="68" t="s">
        <v>121</v>
      </c>
      <c r="G18003" s="67" t="s">
        <v>698</v>
      </c>
      <c r="H18003" s="69">
        <v>-0.62</v>
      </c>
    </row>
    <row r="18004" spans="6:8">
      <c r="F18004" s="68" t="s">
        <v>120</v>
      </c>
      <c r="G18004" s="67" t="s">
        <v>698</v>
      </c>
      <c r="H18004" s="69">
        <v>-0.81</v>
      </c>
    </row>
    <row r="18005" spans="6:8">
      <c r="F18005" s="68" t="s">
        <v>119</v>
      </c>
      <c r="G18005" s="67" t="s">
        <v>698</v>
      </c>
      <c r="H18005" s="69">
        <v>-0.77</v>
      </c>
    </row>
    <row r="18006" spans="6:8">
      <c r="F18006" s="68" t="s">
        <v>662</v>
      </c>
      <c r="G18006" s="67" t="s">
        <v>698</v>
      </c>
      <c r="H18006" s="69">
        <v>112.61321764</v>
      </c>
    </row>
    <row r="18007" spans="6:8">
      <c r="F18007" s="68" t="s">
        <v>420</v>
      </c>
      <c r="G18007" s="67" t="s">
        <v>698</v>
      </c>
      <c r="H18007" s="69">
        <v>3.2163242879572174</v>
      </c>
    </row>
    <row r="18008" spans="6:8">
      <c r="F18008" s="68" t="s">
        <v>420</v>
      </c>
      <c r="G18008" s="67" t="s">
        <v>699</v>
      </c>
      <c r="H18008" s="69">
        <v>3.2165973255572133</v>
      </c>
    </row>
    <row r="18009" spans="6:8">
      <c r="F18009" s="68" t="s">
        <v>662</v>
      </c>
      <c r="G18009" s="67" t="s">
        <v>699</v>
      </c>
      <c r="H18009" s="69">
        <v>112.48321058000001</v>
      </c>
    </row>
    <row r="18010" spans="6:8">
      <c r="F18010" s="68" t="s">
        <v>119</v>
      </c>
      <c r="G18010" s="67" t="s">
        <v>699</v>
      </c>
      <c r="H18010" s="69">
        <v>-0.77</v>
      </c>
    </row>
    <row r="18011" spans="6:8">
      <c r="F18011" s="68" t="s">
        <v>120</v>
      </c>
      <c r="G18011" s="67" t="s">
        <v>699</v>
      </c>
      <c r="H18011" s="69">
        <v>-0.81</v>
      </c>
    </row>
    <row r="18012" spans="6:8">
      <c r="F18012" s="68" t="s">
        <v>121</v>
      </c>
      <c r="G18012" s="67" t="s">
        <v>699</v>
      </c>
      <c r="H18012" s="69">
        <v>-0.62</v>
      </c>
    </row>
    <row r="18013" spans="6:8">
      <c r="F18013" s="68" t="s">
        <v>251</v>
      </c>
      <c r="G18013" s="67" t="s">
        <v>699</v>
      </c>
      <c r="H18013" s="69">
        <v>0.21</v>
      </c>
    </row>
    <row r="18014" spans="6:8">
      <c r="F18014" s="68" t="s">
        <v>122</v>
      </c>
      <c r="G18014" s="67" t="s">
        <v>699</v>
      </c>
      <c r="H18014" s="69">
        <v>-0.74</v>
      </c>
    </row>
    <row r="18015" spans="6:8">
      <c r="F18015" s="68" t="s">
        <v>123</v>
      </c>
      <c r="G18015" s="67" t="s">
        <v>699</v>
      </c>
      <c r="H18015" s="69">
        <v>-0.98</v>
      </c>
    </row>
    <row r="18016" spans="6:8">
      <c r="F18016" s="68" t="s">
        <v>124</v>
      </c>
      <c r="G18016" s="67" t="s">
        <v>699</v>
      </c>
      <c r="H18016" s="69">
        <v>-0.48</v>
      </c>
    </row>
    <row r="18017" spans="6:8">
      <c r="F18017" s="68" t="s">
        <v>252</v>
      </c>
      <c r="G18017" s="67" t="s">
        <v>699</v>
      </c>
      <c r="H18017" s="69">
        <v>0.28000000000000003</v>
      </c>
    </row>
    <row r="18018" spans="6:8">
      <c r="F18018" s="68" t="s">
        <v>314</v>
      </c>
      <c r="G18018" s="67" t="s">
        <v>699</v>
      </c>
      <c r="H18018" s="69">
        <v>-0.38</v>
      </c>
    </row>
    <row r="18019" spans="6:8">
      <c r="F18019" s="68" t="s">
        <v>663</v>
      </c>
      <c r="G18019" s="67" t="s">
        <v>699</v>
      </c>
      <c r="H18019" s="69">
        <v>112.48321058000001</v>
      </c>
    </row>
    <row r="18020" spans="6:8">
      <c r="F18020" s="68" t="s">
        <v>125</v>
      </c>
      <c r="G18020" s="67" t="s">
        <v>699</v>
      </c>
      <c r="H18020" s="69">
        <v>-0.5</v>
      </c>
    </row>
    <row r="18021" spans="6:8">
      <c r="F18021" s="68" t="s">
        <v>126</v>
      </c>
      <c r="G18021" s="67" t="s">
        <v>699</v>
      </c>
      <c r="H18021" s="69">
        <v>-0.92</v>
      </c>
    </row>
    <row r="18022" spans="6:8">
      <c r="F18022" s="68" t="s">
        <v>127</v>
      </c>
      <c r="G18022" s="67" t="s">
        <v>699</v>
      </c>
      <c r="H18022" s="69">
        <v>-0.42</v>
      </c>
    </row>
    <row r="18023" spans="6:8">
      <c r="F18023" s="68" t="s">
        <v>253</v>
      </c>
      <c r="G18023" s="67" t="s">
        <v>699</v>
      </c>
      <c r="H18023" s="69">
        <v>0.43</v>
      </c>
    </row>
    <row r="18024" spans="6:8">
      <c r="F18024" s="68" t="s">
        <v>315</v>
      </c>
      <c r="G18024" s="67" t="s">
        <v>699</v>
      </c>
      <c r="H18024" s="69">
        <v>-0.16</v>
      </c>
    </row>
    <row r="18025" spans="6:8">
      <c r="F18025" s="68" t="s">
        <v>664</v>
      </c>
      <c r="G18025" s="67" t="s">
        <v>699</v>
      </c>
      <c r="H18025" s="69">
        <v>112.48321058000001</v>
      </c>
    </row>
    <row r="18026" spans="6:8">
      <c r="F18026" s="68" t="s">
        <v>128</v>
      </c>
      <c r="G18026" s="67" t="s">
        <v>699</v>
      </c>
      <c r="H18026" s="69">
        <v>-0.86</v>
      </c>
    </row>
    <row r="18027" spans="6:8">
      <c r="F18027" s="68" t="s">
        <v>129</v>
      </c>
      <c r="G18027" s="67" t="s">
        <v>699</v>
      </c>
      <c r="H18027" s="69">
        <v>-0.71</v>
      </c>
    </row>
    <row r="18028" spans="6:8">
      <c r="F18028" s="68" t="s">
        <v>304</v>
      </c>
      <c r="G18028" s="67" t="s">
        <v>699</v>
      </c>
      <c r="H18028" s="69">
        <v>17.729166666666668</v>
      </c>
    </row>
    <row r="18029" spans="6:8">
      <c r="F18029" s="68" t="s">
        <v>254</v>
      </c>
      <c r="G18029" s="67" t="s">
        <v>699</v>
      </c>
      <c r="H18029" s="69">
        <v>0.6</v>
      </c>
    </row>
    <row r="18030" spans="6:8">
      <c r="F18030" s="68" t="s">
        <v>421</v>
      </c>
      <c r="G18030" s="67" t="s">
        <v>699</v>
      </c>
      <c r="H18030" s="69">
        <v>2.2552497560770046</v>
      </c>
    </row>
    <row r="18031" spans="6:8">
      <c r="F18031" s="68" t="s">
        <v>567</v>
      </c>
      <c r="G18031" s="67" t="s">
        <v>699</v>
      </c>
      <c r="H18031" s="69">
        <v>-0.82</v>
      </c>
    </row>
    <row r="18032" spans="6:8">
      <c r="F18032" s="68" t="s">
        <v>665</v>
      </c>
      <c r="G18032" s="67" t="s">
        <v>699</v>
      </c>
      <c r="H18032" s="69">
        <v>112.48321058000001</v>
      </c>
    </row>
    <row r="18033" spans="6:8">
      <c r="F18033" s="68" t="s">
        <v>130</v>
      </c>
      <c r="G18033" s="67" t="s">
        <v>699</v>
      </c>
      <c r="H18033" s="69">
        <v>-1.01</v>
      </c>
    </row>
    <row r="18034" spans="6:8">
      <c r="F18034" s="68" t="s">
        <v>131</v>
      </c>
      <c r="G18034" s="67" t="s">
        <v>699</v>
      </c>
      <c r="H18034" s="69">
        <v>-0.54</v>
      </c>
    </row>
    <row r="18035" spans="6:8">
      <c r="F18035" s="68" t="s">
        <v>303</v>
      </c>
      <c r="G18035" s="67" t="s">
        <v>699</v>
      </c>
      <c r="H18035" s="69">
        <v>18.645833333333332</v>
      </c>
    </row>
    <row r="18036" spans="6:8">
      <c r="F18036" s="68" t="s">
        <v>255</v>
      </c>
      <c r="G18036" s="67" t="s">
        <v>699</v>
      </c>
      <c r="H18036" s="69">
        <v>0.75</v>
      </c>
    </row>
    <row r="18037" spans="6:8">
      <c r="F18037" s="68" t="s">
        <v>422</v>
      </c>
      <c r="G18037" s="67" t="s">
        <v>699</v>
      </c>
      <c r="H18037" s="69">
        <v>2.2619080893117705</v>
      </c>
    </row>
    <row r="18038" spans="6:8">
      <c r="F18038" s="68" t="s">
        <v>568</v>
      </c>
      <c r="G18038" s="67" t="s">
        <v>699</v>
      </c>
      <c r="H18038" s="69">
        <v>-0.37</v>
      </c>
    </row>
    <row r="18039" spans="6:8">
      <c r="F18039" s="68" t="s">
        <v>666</v>
      </c>
      <c r="G18039" s="67" t="s">
        <v>699</v>
      </c>
      <c r="H18039" s="69">
        <v>112.48321058000001</v>
      </c>
    </row>
    <row r="18040" spans="6:8">
      <c r="F18040" s="68" t="s">
        <v>132</v>
      </c>
      <c r="G18040" s="67" t="s">
        <v>699</v>
      </c>
      <c r="H18040" s="69">
        <v>-0.91</v>
      </c>
    </row>
    <row r="18041" spans="6:8">
      <c r="F18041" s="68" t="s">
        <v>133</v>
      </c>
      <c r="G18041" s="67" t="s">
        <v>699</v>
      </c>
      <c r="H18041" s="69">
        <v>-0.62</v>
      </c>
    </row>
    <row r="18042" spans="6:8">
      <c r="F18042" s="68" t="s">
        <v>256</v>
      </c>
      <c r="G18042" s="67" t="s">
        <v>699</v>
      </c>
      <c r="H18042" s="69">
        <v>0.85</v>
      </c>
    </row>
    <row r="18043" spans="6:8">
      <c r="F18043" s="68" t="s">
        <v>423</v>
      </c>
      <c r="G18043" s="67" t="s">
        <v>699</v>
      </c>
      <c r="H18043" s="69">
        <v>2.3360147775794537</v>
      </c>
    </row>
    <row r="18044" spans="6:8">
      <c r="F18044" s="68" t="s">
        <v>569</v>
      </c>
      <c r="G18044" s="67" t="s">
        <v>699</v>
      </c>
      <c r="H18044" s="69">
        <v>-0.15</v>
      </c>
    </row>
    <row r="18045" spans="6:8">
      <c r="F18045" s="68" t="s">
        <v>667</v>
      </c>
      <c r="G18045" s="67" t="s">
        <v>699</v>
      </c>
      <c r="H18045" s="69">
        <v>112.48321058000001</v>
      </c>
    </row>
    <row r="18046" spans="6:8">
      <c r="F18046" s="68" t="s">
        <v>424</v>
      </c>
      <c r="G18046" s="67" t="s">
        <v>699</v>
      </c>
      <c r="H18046" s="69">
        <v>2.8637643440521998</v>
      </c>
    </row>
    <row r="18047" spans="6:8">
      <c r="F18047" s="68" t="s">
        <v>668</v>
      </c>
      <c r="G18047" s="67" t="s">
        <v>699</v>
      </c>
      <c r="H18047" s="69">
        <v>112.48321058000001</v>
      </c>
    </row>
    <row r="18048" spans="6:8">
      <c r="F18048" s="68" t="s">
        <v>134</v>
      </c>
      <c r="G18048" s="67" t="s">
        <v>699</v>
      </c>
      <c r="H18048" s="69">
        <v>-0.86</v>
      </c>
    </row>
    <row r="18049" spans="6:8">
      <c r="F18049" s="68" t="s">
        <v>135</v>
      </c>
      <c r="G18049" s="67" t="s">
        <v>699</v>
      </c>
      <c r="H18049" s="69">
        <v>-0.78</v>
      </c>
    </row>
    <row r="18050" spans="6:8">
      <c r="F18050" s="68" t="s">
        <v>257</v>
      </c>
      <c r="G18050" s="67" t="s">
        <v>699</v>
      </c>
      <c r="H18050" s="69">
        <v>0.9</v>
      </c>
    </row>
    <row r="18051" spans="6:8">
      <c r="F18051" s="68" t="s">
        <v>258</v>
      </c>
      <c r="G18051" s="67" t="s">
        <v>699</v>
      </c>
      <c r="H18051" s="69">
        <v>0.15</v>
      </c>
    </row>
    <row r="18052" spans="6:8">
      <c r="F18052" s="68" t="s">
        <v>425</v>
      </c>
      <c r="G18052" s="67" t="s">
        <v>699</v>
      </c>
      <c r="H18052" s="69">
        <v>2.9416152269009732</v>
      </c>
    </row>
    <row r="18053" spans="6:8">
      <c r="F18053" s="68" t="s">
        <v>669</v>
      </c>
      <c r="G18053" s="67" t="s">
        <v>699</v>
      </c>
      <c r="H18053" s="69">
        <v>112.48321058000001</v>
      </c>
    </row>
    <row r="18054" spans="6:8">
      <c r="F18054" s="68" t="s">
        <v>136</v>
      </c>
      <c r="G18054" s="67" t="s">
        <v>699</v>
      </c>
      <c r="H18054" s="69">
        <v>-0.83</v>
      </c>
    </row>
    <row r="18055" spans="6:8">
      <c r="F18055" s="68" t="s">
        <v>137</v>
      </c>
      <c r="G18055" s="67" t="s">
        <v>699</v>
      </c>
      <c r="H18055" s="69">
        <v>-0.67</v>
      </c>
    </row>
    <row r="18056" spans="6:8">
      <c r="F18056" s="68" t="s">
        <v>138</v>
      </c>
      <c r="G18056" s="67" t="s">
        <v>699</v>
      </c>
      <c r="H18056" s="69">
        <v>-0.71</v>
      </c>
    </row>
    <row r="18057" spans="6:8">
      <c r="F18057" s="68" t="s">
        <v>259</v>
      </c>
      <c r="G18057" s="67" t="s">
        <v>699</v>
      </c>
      <c r="H18057" s="69">
        <v>0.16</v>
      </c>
    </row>
    <row r="18058" spans="6:8">
      <c r="F18058" s="68" t="s">
        <v>259</v>
      </c>
      <c r="G18058" s="67" t="s">
        <v>700</v>
      </c>
      <c r="H18058" s="69">
        <v>0.16</v>
      </c>
    </row>
    <row r="18059" spans="6:8">
      <c r="F18059" s="68" t="s">
        <v>138</v>
      </c>
      <c r="G18059" s="67" t="s">
        <v>700</v>
      </c>
      <c r="H18059" s="69">
        <v>-0.71</v>
      </c>
    </row>
    <row r="18060" spans="6:8">
      <c r="F18060" s="68" t="s">
        <v>137</v>
      </c>
      <c r="G18060" s="67" t="s">
        <v>700</v>
      </c>
      <c r="H18060" s="69">
        <v>-0.67</v>
      </c>
    </row>
    <row r="18061" spans="6:8">
      <c r="F18061" s="68" t="s">
        <v>136</v>
      </c>
      <c r="G18061" s="67" t="s">
        <v>700</v>
      </c>
      <c r="H18061" s="69">
        <v>-0.83</v>
      </c>
    </row>
    <row r="18062" spans="6:8">
      <c r="F18062" s="68" t="s">
        <v>669</v>
      </c>
      <c r="G18062" s="67" t="s">
        <v>700</v>
      </c>
      <c r="H18062" s="69">
        <v>112.73599625999999</v>
      </c>
    </row>
    <row r="18063" spans="6:8">
      <c r="F18063" s="68" t="s">
        <v>425</v>
      </c>
      <c r="G18063" s="67" t="s">
        <v>700</v>
      </c>
      <c r="H18063" s="69">
        <v>2.8930464664324251</v>
      </c>
    </row>
    <row r="18064" spans="6:8">
      <c r="F18064" s="68" t="s">
        <v>258</v>
      </c>
      <c r="G18064" s="67" t="s">
        <v>700</v>
      </c>
      <c r="H18064" s="69">
        <v>0.15</v>
      </c>
    </row>
    <row r="18065" spans="6:8">
      <c r="F18065" s="68" t="s">
        <v>257</v>
      </c>
      <c r="G18065" s="67" t="s">
        <v>700</v>
      </c>
      <c r="H18065" s="69">
        <v>0.9</v>
      </c>
    </row>
    <row r="18066" spans="6:8">
      <c r="F18066" s="68" t="s">
        <v>135</v>
      </c>
      <c r="G18066" s="67" t="s">
        <v>700</v>
      </c>
      <c r="H18066" s="69">
        <v>-0.78</v>
      </c>
    </row>
    <row r="18067" spans="6:8">
      <c r="F18067" s="68" t="s">
        <v>134</v>
      </c>
      <c r="G18067" s="67" t="s">
        <v>700</v>
      </c>
      <c r="H18067" s="69">
        <v>-0.86</v>
      </c>
    </row>
    <row r="18068" spans="6:8">
      <c r="F18068" s="68" t="s">
        <v>668</v>
      </c>
      <c r="G18068" s="67" t="s">
        <v>700</v>
      </c>
      <c r="H18068" s="69">
        <v>112.73599625999999</v>
      </c>
    </row>
    <row r="18069" spans="6:8">
      <c r="F18069" s="68" t="s">
        <v>424</v>
      </c>
      <c r="G18069" s="67" t="s">
        <v>700</v>
      </c>
      <c r="H18069" s="69">
        <v>2.8094287480273206</v>
      </c>
    </row>
    <row r="18070" spans="6:8">
      <c r="F18070" s="68" t="s">
        <v>667</v>
      </c>
      <c r="G18070" s="67" t="s">
        <v>700</v>
      </c>
      <c r="H18070" s="69">
        <v>112.73599625999999</v>
      </c>
    </row>
    <row r="18071" spans="6:8">
      <c r="F18071" s="68" t="s">
        <v>569</v>
      </c>
      <c r="G18071" s="67" t="s">
        <v>700</v>
      </c>
      <c r="H18071" s="69">
        <v>-0.15</v>
      </c>
    </row>
    <row r="18072" spans="6:8">
      <c r="F18072" s="68" t="s">
        <v>423</v>
      </c>
      <c r="G18072" s="67" t="s">
        <v>700</v>
      </c>
      <c r="H18072" s="69">
        <v>2.3017241261941379</v>
      </c>
    </row>
    <row r="18073" spans="6:8">
      <c r="F18073" s="68" t="s">
        <v>256</v>
      </c>
      <c r="G18073" s="67" t="s">
        <v>700</v>
      </c>
      <c r="H18073" s="69">
        <v>0.85</v>
      </c>
    </row>
    <row r="18074" spans="6:8">
      <c r="F18074" s="68" t="s">
        <v>133</v>
      </c>
      <c r="G18074" s="67" t="s">
        <v>700</v>
      </c>
      <c r="H18074" s="69">
        <v>-0.62</v>
      </c>
    </row>
    <row r="18075" spans="6:8">
      <c r="F18075" s="68" t="s">
        <v>132</v>
      </c>
      <c r="G18075" s="67" t="s">
        <v>700</v>
      </c>
      <c r="H18075" s="69">
        <v>-0.91</v>
      </c>
    </row>
    <row r="18076" spans="6:8">
      <c r="F18076" s="68" t="s">
        <v>666</v>
      </c>
      <c r="G18076" s="67" t="s">
        <v>700</v>
      </c>
      <c r="H18076" s="69">
        <v>112.73599625999999</v>
      </c>
    </row>
    <row r="18077" spans="6:8">
      <c r="F18077" s="68" t="s">
        <v>568</v>
      </c>
      <c r="G18077" s="67" t="s">
        <v>700</v>
      </c>
      <c r="H18077" s="69">
        <v>-0.37</v>
      </c>
    </row>
    <row r="18078" spans="6:8">
      <c r="F18078" s="68" t="s">
        <v>422</v>
      </c>
      <c r="G18078" s="67" t="s">
        <v>700</v>
      </c>
      <c r="H18078" s="69">
        <v>2.2891828625270172</v>
      </c>
    </row>
    <row r="18079" spans="6:8">
      <c r="F18079" s="68" t="s">
        <v>255</v>
      </c>
      <c r="G18079" s="67" t="s">
        <v>700</v>
      </c>
      <c r="H18079" s="69">
        <v>0.75</v>
      </c>
    </row>
    <row r="18080" spans="6:8">
      <c r="F18080" s="68" t="s">
        <v>303</v>
      </c>
      <c r="G18080" s="67" t="s">
        <v>700</v>
      </c>
      <c r="H18080" s="69">
        <v>18.46875</v>
      </c>
    </row>
    <row r="18081" spans="6:8">
      <c r="F18081" s="68" t="s">
        <v>131</v>
      </c>
      <c r="G18081" s="67" t="s">
        <v>700</v>
      </c>
      <c r="H18081" s="69">
        <v>-0.54</v>
      </c>
    </row>
    <row r="18082" spans="6:8">
      <c r="F18082" s="68" t="s">
        <v>130</v>
      </c>
      <c r="G18082" s="67" t="s">
        <v>700</v>
      </c>
      <c r="H18082" s="69">
        <v>-1.01</v>
      </c>
    </row>
    <row r="18083" spans="6:8">
      <c r="F18083" s="68" t="s">
        <v>665</v>
      </c>
      <c r="G18083" s="67" t="s">
        <v>700</v>
      </c>
      <c r="H18083" s="69">
        <v>112.73599625999999</v>
      </c>
    </row>
    <row r="18084" spans="6:8">
      <c r="F18084" s="68" t="s">
        <v>567</v>
      </c>
      <c r="G18084" s="67" t="s">
        <v>700</v>
      </c>
      <c r="H18084" s="69">
        <v>-0.82</v>
      </c>
    </row>
    <row r="18085" spans="6:8">
      <c r="F18085" s="68" t="s">
        <v>421</v>
      </c>
      <c r="G18085" s="67" t="s">
        <v>700</v>
      </c>
      <c r="H18085" s="69">
        <v>2.2827014847793148</v>
      </c>
    </row>
    <row r="18086" spans="6:8">
      <c r="F18086" s="68" t="s">
        <v>254</v>
      </c>
      <c r="G18086" s="67" t="s">
        <v>700</v>
      </c>
      <c r="H18086" s="69">
        <v>0.6</v>
      </c>
    </row>
    <row r="18087" spans="6:8">
      <c r="F18087" s="68" t="s">
        <v>304</v>
      </c>
      <c r="G18087" s="67" t="s">
        <v>700</v>
      </c>
      <c r="H18087" s="69">
        <v>17.65625</v>
      </c>
    </row>
    <row r="18088" spans="6:8">
      <c r="F18088" s="68" t="s">
        <v>129</v>
      </c>
      <c r="G18088" s="67" t="s">
        <v>700</v>
      </c>
      <c r="H18088" s="69">
        <v>-0.71</v>
      </c>
    </row>
    <row r="18089" spans="6:8">
      <c r="F18089" s="68" t="s">
        <v>128</v>
      </c>
      <c r="G18089" s="67" t="s">
        <v>700</v>
      </c>
      <c r="H18089" s="69">
        <v>-0.86</v>
      </c>
    </row>
    <row r="18090" spans="6:8">
      <c r="F18090" s="68" t="s">
        <v>664</v>
      </c>
      <c r="G18090" s="67" t="s">
        <v>700</v>
      </c>
      <c r="H18090" s="69">
        <v>112.73599625999999</v>
      </c>
    </row>
    <row r="18091" spans="6:8">
      <c r="F18091" s="68" t="s">
        <v>315</v>
      </c>
      <c r="G18091" s="67" t="s">
        <v>700</v>
      </c>
      <c r="H18091" s="69">
        <v>-0.16</v>
      </c>
    </row>
    <row r="18092" spans="6:8">
      <c r="F18092" s="68" t="s">
        <v>253</v>
      </c>
      <c r="G18092" s="67" t="s">
        <v>700</v>
      </c>
      <c r="H18092" s="69">
        <v>0.43</v>
      </c>
    </row>
    <row r="18093" spans="6:8">
      <c r="F18093" s="68" t="s">
        <v>127</v>
      </c>
      <c r="G18093" s="67" t="s">
        <v>700</v>
      </c>
      <c r="H18093" s="69">
        <v>-0.42</v>
      </c>
    </row>
    <row r="18094" spans="6:8">
      <c r="F18094" s="68" t="s">
        <v>126</v>
      </c>
      <c r="G18094" s="67" t="s">
        <v>700</v>
      </c>
      <c r="H18094" s="69">
        <v>-0.92</v>
      </c>
    </row>
    <row r="18095" spans="6:8">
      <c r="F18095" s="68" t="s">
        <v>125</v>
      </c>
      <c r="G18095" s="67" t="s">
        <v>700</v>
      </c>
      <c r="H18095" s="69">
        <v>-0.5</v>
      </c>
    </row>
    <row r="18096" spans="6:8">
      <c r="F18096" s="68" t="s">
        <v>663</v>
      </c>
      <c r="G18096" s="67" t="s">
        <v>700</v>
      </c>
      <c r="H18096" s="69">
        <v>112.73599625999999</v>
      </c>
    </row>
    <row r="18097" spans="6:8">
      <c r="F18097" s="68" t="s">
        <v>314</v>
      </c>
      <c r="G18097" s="67" t="s">
        <v>700</v>
      </c>
      <c r="H18097" s="69">
        <v>-0.38</v>
      </c>
    </row>
    <row r="18098" spans="6:8">
      <c r="F18098" s="68" t="s">
        <v>252</v>
      </c>
      <c r="G18098" s="67" t="s">
        <v>700</v>
      </c>
      <c r="H18098" s="69">
        <v>0.28000000000000003</v>
      </c>
    </row>
    <row r="18099" spans="6:8">
      <c r="F18099" s="68" t="s">
        <v>124</v>
      </c>
      <c r="G18099" s="67" t="s">
        <v>700</v>
      </c>
      <c r="H18099" s="69">
        <v>-0.48</v>
      </c>
    </row>
    <row r="18100" spans="6:8">
      <c r="F18100" s="68" t="s">
        <v>123</v>
      </c>
      <c r="G18100" s="67" t="s">
        <v>700</v>
      </c>
      <c r="H18100" s="69">
        <v>-0.98</v>
      </c>
    </row>
    <row r="18101" spans="6:8">
      <c r="F18101" s="68" t="s">
        <v>122</v>
      </c>
      <c r="G18101" s="67" t="s">
        <v>700</v>
      </c>
      <c r="H18101" s="69">
        <v>-0.74</v>
      </c>
    </row>
    <row r="18102" spans="6:8">
      <c r="F18102" s="68" t="s">
        <v>251</v>
      </c>
      <c r="G18102" s="67" t="s">
        <v>700</v>
      </c>
      <c r="H18102" s="69">
        <v>0.21</v>
      </c>
    </row>
    <row r="18103" spans="6:8">
      <c r="F18103" s="68" t="s">
        <v>121</v>
      </c>
      <c r="G18103" s="67" t="s">
        <v>700</v>
      </c>
      <c r="H18103" s="69">
        <v>-0.62</v>
      </c>
    </row>
    <row r="18104" spans="6:8">
      <c r="F18104" s="68" t="s">
        <v>120</v>
      </c>
      <c r="G18104" s="67" t="s">
        <v>700</v>
      </c>
      <c r="H18104" s="69">
        <v>-0.81</v>
      </c>
    </row>
    <row r="18105" spans="6:8">
      <c r="F18105" s="68" t="s">
        <v>119</v>
      </c>
      <c r="G18105" s="67" t="s">
        <v>700</v>
      </c>
      <c r="H18105" s="69">
        <v>-0.77</v>
      </c>
    </row>
    <row r="18106" spans="6:8">
      <c r="F18106" s="68" t="s">
        <v>662</v>
      </c>
      <c r="G18106" s="67" t="s">
        <v>700</v>
      </c>
      <c r="H18106" s="69">
        <v>112.73599625999999</v>
      </c>
    </row>
    <row r="18107" spans="6:8">
      <c r="F18107" s="68" t="s">
        <v>420</v>
      </c>
      <c r="G18107" s="67" t="s">
        <v>700</v>
      </c>
      <c r="H18107" s="69">
        <v>3.1811445482059053</v>
      </c>
    </row>
    <row r="18108" spans="6:8">
      <c r="F18108" s="68" t="s">
        <v>420</v>
      </c>
      <c r="G18108" s="67" t="s">
        <v>701</v>
      </c>
      <c r="H18108" s="69">
        <v>3.172109112293775</v>
      </c>
    </row>
    <row r="18109" spans="6:8">
      <c r="F18109" s="68" t="s">
        <v>662</v>
      </c>
      <c r="G18109" s="67" t="s">
        <v>701</v>
      </c>
      <c r="H18109" s="69">
        <v>112.69996629000001</v>
      </c>
    </row>
    <row r="18110" spans="6:8">
      <c r="F18110" s="68" t="s">
        <v>119</v>
      </c>
      <c r="G18110" s="67" t="s">
        <v>701</v>
      </c>
      <c r="H18110" s="69">
        <v>-0.79</v>
      </c>
    </row>
    <row r="18111" spans="6:8">
      <c r="F18111" s="68" t="s">
        <v>120</v>
      </c>
      <c r="G18111" s="67" t="s">
        <v>701</v>
      </c>
      <c r="H18111" s="69">
        <v>-0.81</v>
      </c>
    </row>
    <row r="18112" spans="6:8">
      <c r="F18112" s="68" t="s">
        <v>121</v>
      </c>
      <c r="G18112" s="67" t="s">
        <v>701</v>
      </c>
      <c r="H18112" s="69">
        <v>-0.62</v>
      </c>
    </row>
    <row r="18113" spans="6:8">
      <c r="F18113" s="68" t="s">
        <v>251</v>
      </c>
      <c r="G18113" s="67" t="s">
        <v>701</v>
      </c>
      <c r="H18113" s="69">
        <v>0.19</v>
      </c>
    </row>
    <row r="18114" spans="6:8">
      <c r="F18114" s="68" t="s">
        <v>122</v>
      </c>
      <c r="G18114" s="67" t="s">
        <v>701</v>
      </c>
      <c r="H18114" s="69">
        <v>-0.75</v>
      </c>
    </row>
    <row r="18115" spans="6:8">
      <c r="F18115" s="68" t="s">
        <v>123</v>
      </c>
      <c r="G18115" s="67" t="s">
        <v>701</v>
      </c>
      <c r="H18115" s="69">
        <v>-0.98</v>
      </c>
    </row>
    <row r="18116" spans="6:8">
      <c r="F18116" s="68" t="s">
        <v>124</v>
      </c>
      <c r="G18116" s="67" t="s">
        <v>701</v>
      </c>
      <c r="H18116" s="69">
        <v>-0.5</v>
      </c>
    </row>
    <row r="18117" spans="6:8">
      <c r="F18117" s="68" t="s">
        <v>252</v>
      </c>
      <c r="G18117" s="67" t="s">
        <v>701</v>
      </c>
      <c r="H18117" s="69">
        <v>0.27</v>
      </c>
    </row>
    <row r="18118" spans="6:8">
      <c r="F18118" s="68" t="s">
        <v>314</v>
      </c>
      <c r="G18118" s="67" t="s">
        <v>701</v>
      </c>
      <c r="H18118" s="69">
        <v>-0.39</v>
      </c>
    </row>
    <row r="18119" spans="6:8">
      <c r="F18119" s="68" t="s">
        <v>663</v>
      </c>
      <c r="G18119" s="67" t="s">
        <v>701</v>
      </c>
      <c r="H18119" s="69">
        <v>112.70054285000001</v>
      </c>
    </row>
    <row r="18120" spans="6:8">
      <c r="F18120" s="68" t="s">
        <v>125</v>
      </c>
      <c r="G18120" s="67" t="s">
        <v>701</v>
      </c>
      <c r="H18120" s="69">
        <v>-0.51</v>
      </c>
    </row>
    <row r="18121" spans="6:8">
      <c r="F18121" s="68" t="s">
        <v>126</v>
      </c>
      <c r="G18121" s="67" t="s">
        <v>701</v>
      </c>
      <c r="H18121" s="69">
        <v>-0.92</v>
      </c>
    </row>
    <row r="18122" spans="6:8">
      <c r="F18122" s="68" t="s">
        <v>127</v>
      </c>
      <c r="G18122" s="67" t="s">
        <v>701</v>
      </c>
      <c r="H18122" s="69">
        <v>-0.42</v>
      </c>
    </row>
    <row r="18123" spans="6:8">
      <c r="F18123" s="68" t="s">
        <v>253</v>
      </c>
      <c r="G18123" s="67" t="s">
        <v>701</v>
      </c>
      <c r="H18123" s="69">
        <v>0.41</v>
      </c>
    </row>
    <row r="18124" spans="6:8">
      <c r="F18124" s="68" t="s">
        <v>315</v>
      </c>
      <c r="G18124" s="67" t="s">
        <v>701</v>
      </c>
      <c r="H18124" s="69">
        <v>-0.16</v>
      </c>
    </row>
    <row r="18125" spans="6:8">
      <c r="F18125" s="68" t="s">
        <v>664</v>
      </c>
      <c r="G18125" s="67" t="s">
        <v>701</v>
      </c>
      <c r="H18125" s="69">
        <v>112.70034004</v>
      </c>
    </row>
    <row r="18126" spans="6:8">
      <c r="F18126" s="68" t="s">
        <v>128</v>
      </c>
      <c r="G18126" s="67" t="s">
        <v>701</v>
      </c>
      <c r="H18126" s="69">
        <v>-0.87</v>
      </c>
    </row>
    <row r="18127" spans="6:8">
      <c r="F18127" s="68" t="s">
        <v>129</v>
      </c>
      <c r="G18127" s="67" t="s">
        <v>701</v>
      </c>
      <c r="H18127" s="69">
        <v>-0.71</v>
      </c>
    </row>
    <row r="18128" spans="6:8">
      <c r="F18128" s="68" t="s">
        <v>304</v>
      </c>
      <c r="G18128" s="67" t="s">
        <v>701</v>
      </c>
      <c r="H18128" s="69">
        <v>17.65625</v>
      </c>
    </row>
    <row r="18129" spans="6:8">
      <c r="F18129" s="68" t="s">
        <v>254</v>
      </c>
      <c r="G18129" s="67" t="s">
        <v>701</v>
      </c>
      <c r="H18129" s="69">
        <v>0.56999999999999995</v>
      </c>
    </row>
    <row r="18130" spans="6:8">
      <c r="F18130" s="68" t="s">
        <v>421</v>
      </c>
      <c r="G18130" s="67" t="s">
        <v>701</v>
      </c>
      <c r="H18130" s="69">
        <v>2.2884233863744274</v>
      </c>
    </row>
    <row r="18131" spans="6:8">
      <c r="F18131" s="68" t="s">
        <v>567</v>
      </c>
      <c r="G18131" s="67" t="s">
        <v>701</v>
      </c>
      <c r="H18131" s="69">
        <v>-0.83</v>
      </c>
    </row>
    <row r="18132" spans="6:8">
      <c r="F18132" s="68" t="s">
        <v>665</v>
      </c>
      <c r="G18132" s="67" t="s">
        <v>701</v>
      </c>
      <c r="H18132" s="69">
        <v>112.70031392</v>
      </c>
    </row>
    <row r="18133" spans="6:8">
      <c r="F18133" s="68" t="s">
        <v>130</v>
      </c>
      <c r="G18133" s="67" t="s">
        <v>701</v>
      </c>
      <c r="H18133" s="69">
        <v>-1.03</v>
      </c>
    </row>
    <row r="18134" spans="6:8">
      <c r="F18134" s="68" t="s">
        <v>131</v>
      </c>
      <c r="G18134" s="67" t="s">
        <v>701</v>
      </c>
      <c r="H18134" s="69">
        <v>-0.54</v>
      </c>
    </row>
    <row r="18135" spans="6:8">
      <c r="F18135" s="68" t="s">
        <v>303</v>
      </c>
      <c r="G18135" s="67" t="s">
        <v>701</v>
      </c>
      <c r="H18135" s="69">
        <v>18.479166666666668</v>
      </c>
    </row>
    <row r="18136" spans="6:8">
      <c r="F18136" s="68" t="s">
        <v>255</v>
      </c>
      <c r="G18136" s="67" t="s">
        <v>701</v>
      </c>
      <c r="H18136" s="69">
        <v>0.73</v>
      </c>
    </row>
    <row r="18137" spans="6:8">
      <c r="F18137" s="68" t="s">
        <v>422</v>
      </c>
      <c r="G18137" s="67" t="s">
        <v>701</v>
      </c>
      <c r="H18137" s="69">
        <v>2.2948944608029542</v>
      </c>
    </row>
    <row r="18138" spans="6:8">
      <c r="F18138" s="68" t="s">
        <v>568</v>
      </c>
      <c r="G18138" s="67" t="s">
        <v>701</v>
      </c>
      <c r="H18138" s="69">
        <v>-0.39</v>
      </c>
    </row>
    <row r="18139" spans="6:8">
      <c r="F18139" s="68" t="s">
        <v>666</v>
      </c>
      <c r="G18139" s="67" t="s">
        <v>701</v>
      </c>
      <c r="H18139" s="69">
        <v>112.70019707</v>
      </c>
    </row>
    <row r="18140" spans="6:8">
      <c r="F18140" s="68" t="s">
        <v>132</v>
      </c>
      <c r="G18140" s="67" t="s">
        <v>701</v>
      </c>
      <c r="H18140" s="69">
        <v>-0.93</v>
      </c>
    </row>
    <row r="18141" spans="6:8">
      <c r="F18141" s="68" t="s">
        <v>133</v>
      </c>
      <c r="G18141" s="67" t="s">
        <v>701</v>
      </c>
      <c r="H18141" s="69">
        <v>-0.61</v>
      </c>
    </row>
    <row r="18142" spans="6:8">
      <c r="F18142" s="68" t="s">
        <v>256</v>
      </c>
      <c r="G18142" s="67" t="s">
        <v>701</v>
      </c>
      <c r="H18142" s="69">
        <v>0.83</v>
      </c>
    </row>
    <row r="18143" spans="6:8">
      <c r="F18143" s="68" t="s">
        <v>423</v>
      </c>
      <c r="G18143" s="67" t="s">
        <v>701</v>
      </c>
      <c r="H18143" s="69">
        <v>2.3032928647606532</v>
      </c>
    </row>
    <row r="18144" spans="6:8">
      <c r="F18144" s="68" t="s">
        <v>569</v>
      </c>
      <c r="G18144" s="67" t="s">
        <v>701</v>
      </c>
      <c r="H18144" s="69">
        <v>-0.16</v>
      </c>
    </row>
    <row r="18145" spans="6:8">
      <c r="F18145" s="68" t="s">
        <v>667</v>
      </c>
      <c r="G18145" s="67" t="s">
        <v>701</v>
      </c>
      <c r="H18145" s="69">
        <v>112.70055035999999</v>
      </c>
    </row>
    <row r="18146" spans="6:8">
      <c r="F18146" s="68" t="s">
        <v>424</v>
      </c>
      <c r="G18146" s="67" t="s">
        <v>701</v>
      </c>
      <c r="H18146" s="69">
        <v>2.8052100596366092</v>
      </c>
    </row>
    <row r="18147" spans="6:8">
      <c r="F18147" s="68" t="s">
        <v>668</v>
      </c>
      <c r="G18147" s="67" t="s">
        <v>701</v>
      </c>
      <c r="H18147" s="69">
        <v>112.70026944999999</v>
      </c>
    </row>
    <row r="18148" spans="6:8">
      <c r="F18148" s="68" t="s">
        <v>134</v>
      </c>
      <c r="G18148" s="67" t="s">
        <v>701</v>
      </c>
      <c r="H18148" s="69">
        <v>-0.88</v>
      </c>
    </row>
    <row r="18149" spans="6:8">
      <c r="F18149" s="68" t="s">
        <v>135</v>
      </c>
      <c r="G18149" s="67" t="s">
        <v>701</v>
      </c>
      <c r="H18149" s="69">
        <v>-0.78</v>
      </c>
    </row>
    <row r="18150" spans="6:8">
      <c r="F18150" s="68" t="s">
        <v>257</v>
      </c>
      <c r="G18150" s="67" t="s">
        <v>701</v>
      </c>
      <c r="H18150" s="69">
        <v>0.89</v>
      </c>
    </row>
    <row r="18151" spans="6:8">
      <c r="F18151" s="68" t="s">
        <v>258</v>
      </c>
      <c r="G18151" s="67" t="s">
        <v>701</v>
      </c>
      <c r="H18151" s="69">
        <v>0.15</v>
      </c>
    </row>
    <row r="18152" spans="6:8">
      <c r="F18152" s="68" t="s">
        <v>425</v>
      </c>
      <c r="G18152" s="67" t="s">
        <v>701</v>
      </c>
      <c r="H18152" s="69">
        <v>2.8828193703720473</v>
      </c>
    </row>
    <row r="18153" spans="6:8">
      <c r="F18153" s="68" t="s">
        <v>669</v>
      </c>
      <c r="G18153" s="67" t="s">
        <v>701</v>
      </c>
      <c r="H18153" s="69">
        <v>112.70059658</v>
      </c>
    </row>
    <row r="18154" spans="6:8">
      <c r="F18154" s="68" t="s">
        <v>136</v>
      </c>
      <c r="G18154" s="67" t="s">
        <v>701</v>
      </c>
      <c r="H18154" s="69">
        <v>-0.85</v>
      </c>
    </row>
    <row r="18155" spans="6:8">
      <c r="F18155" s="68" t="s">
        <v>137</v>
      </c>
      <c r="G18155" s="67" t="s">
        <v>701</v>
      </c>
      <c r="H18155" s="69">
        <v>-0.67</v>
      </c>
    </row>
    <row r="18156" spans="6:8">
      <c r="F18156" s="68" t="s">
        <v>138</v>
      </c>
      <c r="G18156" s="67" t="s">
        <v>701</v>
      </c>
      <c r="H18156" s="69">
        <v>-0.71</v>
      </c>
    </row>
    <row r="18157" spans="6:8">
      <c r="F18157" s="68" t="s">
        <v>259</v>
      </c>
      <c r="G18157" s="67" t="s">
        <v>701</v>
      </c>
      <c r="H18157" s="69">
        <v>0.15</v>
      </c>
    </row>
    <row r="18158" spans="6:8">
      <c r="F18158" s="68" t="s">
        <v>259</v>
      </c>
      <c r="G18158" s="67" t="s">
        <v>702</v>
      </c>
      <c r="H18158" s="69">
        <v>0.15</v>
      </c>
    </row>
    <row r="18159" spans="6:8">
      <c r="F18159" s="68" t="s">
        <v>138</v>
      </c>
      <c r="G18159" s="67" t="s">
        <v>702</v>
      </c>
      <c r="H18159" s="69">
        <v>-0.71</v>
      </c>
    </row>
    <row r="18160" spans="6:8">
      <c r="F18160" s="68" t="s">
        <v>137</v>
      </c>
      <c r="G18160" s="67" t="s">
        <v>702</v>
      </c>
      <c r="H18160" s="69">
        <v>-0.67</v>
      </c>
    </row>
    <row r="18161" spans="6:8">
      <c r="F18161" s="68" t="s">
        <v>136</v>
      </c>
      <c r="G18161" s="67" t="s">
        <v>702</v>
      </c>
      <c r="H18161" s="69">
        <v>-0.85</v>
      </c>
    </row>
    <row r="18162" spans="6:8">
      <c r="F18162" s="68" t="s">
        <v>669</v>
      </c>
      <c r="G18162" s="67" t="s">
        <v>702</v>
      </c>
      <c r="H18162" s="69">
        <v>112.61539323</v>
      </c>
    </row>
    <row r="18163" spans="6:8">
      <c r="F18163" s="68" t="s">
        <v>425</v>
      </c>
      <c r="G18163" s="67" t="s">
        <v>702</v>
      </c>
      <c r="H18163" s="69">
        <v>2.8928828227734904</v>
      </c>
    </row>
    <row r="18164" spans="6:8">
      <c r="F18164" s="68" t="s">
        <v>258</v>
      </c>
      <c r="G18164" s="67" t="s">
        <v>702</v>
      </c>
      <c r="H18164" s="69">
        <v>0.15</v>
      </c>
    </row>
    <row r="18165" spans="6:8">
      <c r="F18165" s="68" t="s">
        <v>257</v>
      </c>
      <c r="G18165" s="67" t="s">
        <v>702</v>
      </c>
      <c r="H18165" s="69">
        <v>0.89</v>
      </c>
    </row>
    <row r="18166" spans="6:8">
      <c r="F18166" s="68" t="s">
        <v>135</v>
      </c>
      <c r="G18166" s="67" t="s">
        <v>702</v>
      </c>
      <c r="H18166" s="69">
        <v>-0.78</v>
      </c>
    </row>
    <row r="18167" spans="6:8">
      <c r="F18167" s="68" t="s">
        <v>134</v>
      </c>
      <c r="G18167" s="67" t="s">
        <v>702</v>
      </c>
      <c r="H18167" s="69">
        <v>-0.88</v>
      </c>
    </row>
    <row r="18168" spans="6:8">
      <c r="F18168" s="68" t="s">
        <v>668</v>
      </c>
      <c r="G18168" s="67" t="s">
        <v>702</v>
      </c>
      <c r="H18168" s="69">
        <v>112.61506731999999</v>
      </c>
    </row>
    <row r="18169" spans="6:8">
      <c r="F18169" s="68" t="s">
        <v>424</v>
      </c>
      <c r="G18169" s="67" t="s">
        <v>702</v>
      </c>
      <c r="H18169" s="69">
        <v>2.8285617366446303</v>
      </c>
    </row>
    <row r="18170" spans="6:8">
      <c r="F18170" s="68" t="s">
        <v>667</v>
      </c>
      <c r="G18170" s="67" t="s">
        <v>702</v>
      </c>
      <c r="H18170" s="69">
        <v>112.61534718</v>
      </c>
    </row>
    <row r="18171" spans="6:8">
      <c r="F18171" s="68" t="s">
        <v>569</v>
      </c>
      <c r="G18171" s="67" t="s">
        <v>702</v>
      </c>
      <c r="H18171" s="69">
        <v>-0.16</v>
      </c>
    </row>
    <row r="18172" spans="6:8">
      <c r="F18172" s="68" t="s">
        <v>423</v>
      </c>
      <c r="G18172" s="67" t="s">
        <v>702</v>
      </c>
      <c r="H18172" s="69">
        <v>2.320661838284499</v>
      </c>
    </row>
    <row r="18173" spans="6:8">
      <c r="F18173" s="68" t="s">
        <v>256</v>
      </c>
      <c r="G18173" s="67" t="s">
        <v>702</v>
      </c>
      <c r="H18173" s="69">
        <v>0.83</v>
      </c>
    </row>
    <row r="18174" spans="6:8">
      <c r="F18174" s="68" t="s">
        <v>133</v>
      </c>
      <c r="G18174" s="67" t="s">
        <v>702</v>
      </c>
      <c r="H18174" s="69">
        <v>-0.61</v>
      </c>
    </row>
    <row r="18175" spans="6:8">
      <c r="F18175" s="68" t="s">
        <v>132</v>
      </c>
      <c r="G18175" s="67" t="s">
        <v>702</v>
      </c>
      <c r="H18175" s="69">
        <v>-0.93</v>
      </c>
    </row>
    <row r="18176" spans="6:8">
      <c r="F18176" s="68" t="s">
        <v>666</v>
      </c>
      <c r="G18176" s="67" t="s">
        <v>702</v>
      </c>
      <c r="H18176" s="69">
        <v>112.61499521</v>
      </c>
    </row>
    <row r="18177" spans="6:8">
      <c r="F18177" s="68" t="s">
        <v>568</v>
      </c>
      <c r="G18177" s="67" t="s">
        <v>702</v>
      </c>
      <c r="H18177" s="69">
        <v>-0.39</v>
      </c>
    </row>
    <row r="18178" spans="6:8">
      <c r="F18178" s="68" t="s">
        <v>422</v>
      </c>
      <c r="G18178" s="67" t="s">
        <v>702</v>
      </c>
      <c r="H18178" s="69">
        <v>2.3056337121443171</v>
      </c>
    </row>
    <row r="18179" spans="6:8">
      <c r="F18179" s="68" t="s">
        <v>255</v>
      </c>
      <c r="G18179" s="67" t="s">
        <v>702</v>
      </c>
      <c r="H18179" s="69">
        <v>0.73</v>
      </c>
    </row>
    <row r="18180" spans="6:8">
      <c r="F18180" s="68" t="s">
        <v>303</v>
      </c>
      <c r="G18180" s="67" t="s">
        <v>702</v>
      </c>
      <c r="H18180" s="69">
        <v>18.458333333333332</v>
      </c>
    </row>
    <row r="18181" spans="6:8">
      <c r="F18181" s="68" t="s">
        <v>131</v>
      </c>
      <c r="G18181" s="67" t="s">
        <v>702</v>
      </c>
      <c r="H18181" s="69">
        <v>-0.54</v>
      </c>
    </row>
    <row r="18182" spans="6:8">
      <c r="F18182" s="68" t="s">
        <v>130</v>
      </c>
      <c r="G18182" s="67" t="s">
        <v>702</v>
      </c>
      <c r="H18182" s="69">
        <v>-1.03</v>
      </c>
    </row>
    <row r="18183" spans="6:8">
      <c r="F18183" s="68" t="s">
        <v>665</v>
      </c>
      <c r="G18183" s="67" t="s">
        <v>702</v>
      </c>
      <c r="H18183" s="69">
        <v>112.61511161999999</v>
      </c>
    </row>
    <row r="18184" spans="6:8">
      <c r="F18184" s="68" t="s">
        <v>567</v>
      </c>
      <c r="G18184" s="67" t="s">
        <v>702</v>
      </c>
      <c r="H18184" s="69">
        <v>-0.83</v>
      </c>
    </row>
    <row r="18185" spans="6:8">
      <c r="F18185" s="68" t="s">
        <v>421</v>
      </c>
      <c r="G18185" s="67" t="s">
        <v>702</v>
      </c>
      <c r="H18185" s="69">
        <v>2.2990675801486393</v>
      </c>
    </row>
    <row r="18186" spans="6:8">
      <c r="F18186" s="68" t="s">
        <v>254</v>
      </c>
      <c r="G18186" s="67" t="s">
        <v>702</v>
      </c>
      <c r="H18186" s="69">
        <v>0.56999999999999995</v>
      </c>
    </row>
    <row r="18187" spans="6:8">
      <c r="F18187" s="68" t="s">
        <v>304</v>
      </c>
      <c r="G18187" s="67" t="s">
        <v>702</v>
      </c>
      <c r="H18187" s="69">
        <v>17.645833333333332</v>
      </c>
    </row>
    <row r="18188" spans="6:8">
      <c r="F18188" s="68" t="s">
        <v>129</v>
      </c>
      <c r="G18188" s="67" t="s">
        <v>702</v>
      </c>
      <c r="H18188" s="69">
        <v>-0.71</v>
      </c>
    </row>
    <row r="18189" spans="6:8">
      <c r="F18189" s="68" t="s">
        <v>128</v>
      </c>
      <c r="G18189" s="67" t="s">
        <v>702</v>
      </c>
      <c r="H18189" s="69">
        <v>-0.87</v>
      </c>
    </row>
    <row r="18190" spans="6:8">
      <c r="F18190" s="68" t="s">
        <v>664</v>
      </c>
      <c r="G18190" s="67" t="s">
        <v>702</v>
      </c>
      <c r="H18190" s="69">
        <v>112.61513764999999</v>
      </c>
    </row>
    <row r="18191" spans="6:8">
      <c r="F18191" s="68" t="s">
        <v>315</v>
      </c>
      <c r="G18191" s="67" t="s">
        <v>702</v>
      </c>
      <c r="H18191" s="69">
        <v>-0.16</v>
      </c>
    </row>
    <row r="18192" spans="6:8">
      <c r="F18192" s="68" t="s">
        <v>253</v>
      </c>
      <c r="G18192" s="67" t="s">
        <v>702</v>
      </c>
      <c r="H18192" s="69">
        <v>0.41</v>
      </c>
    </row>
    <row r="18193" spans="6:8">
      <c r="F18193" s="68" t="s">
        <v>127</v>
      </c>
      <c r="G18193" s="67" t="s">
        <v>702</v>
      </c>
      <c r="H18193" s="69">
        <v>-0.42</v>
      </c>
    </row>
    <row r="18194" spans="6:8">
      <c r="F18194" s="68" t="s">
        <v>126</v>
      </c>
      <c r="G18194" s="67" t="s">
        <v>702</v>
      </c>
      <c r="H18194" s="69">
        <v>-0.92</v>
      </c>
    </row>
    <row r="18195" spans="6:8">
      <c r="F18195" s="68" t="s">
        <v>125</v>
      </c>
      <c r="G18195" s="67" t="s">
        <v>702</v>
      </c>
      <c r="H18195" s="69">
        <v>-0.51</v>
      </c>
    </row>
    <row r="18196" spans="6:8">
      <c r="F18196" s="68" t="s">
        <v>663</v>
      </c>
      <c r="G18196" s="67" t="s">
        <v>702</v>
      </c>
      <c r="H18196" s="69">
        <v>112.61533970000001</v>
      </c>
    </row>
    <row r="18197" spans="6:8">
      <c r="F18197" s="68" t="s">
        <v>314</v>
      </c>
      <c r="G18197" s="67" t="s">
        <v>702</v>
      </c>
      <c r="H18197" s="69">
        <v>-0.39</v>
      </c>
    </row>
    <row r="18198" spans="6:8">
      <c r="F18198" s="68" t="s">
        <v>252</v>
      </c>
      <c r="G18198" s="67" t="s">
        <v>702</v>
      </c>
      <c r="H18198" s="69">
        <v>0.27</v>
      </c>
    </row>
    <row r="18199" spans="6:8">
      <c r="F18199" s="68" t="s">
        <v>124</v>
      </c>
      <c r="G18199" s="67" t="s">
        <v>702</v>
      </c>
      <c r="H18199" s="69">
        <v>-0.5</v>
      </c>
    </row>
    <row r="18200" spans="6:8">
      <c r="F18200" s="68" t="s">
        <v>123</v>
      </c>
      <c r="G18200" s="67" t="s">
        <v>702</v>
      </c>
      <c r="H18200" s="69">
        <v>-0.98</v>
      </c>
    </row>
    <row r="18201" spans="6:8">
      <c r="F18201" s="68" t="s">
        <v>122</v>
      </c>
      <c r="G18201" s="67" t="s">
        <v>702</v>
      </c>
      <c r="H18201" s="69">
        <v>-0.75</v>
      </c>
    </row>
    <row r="18202" spans="6:8">
      <c r="F18202" s="68" t="s">
        <v>251</v>
      </c>
      <c r="G18202" s="67" t="s">
        <v>702</v>
      </c>
      <c r="H18202" s="69">
        <v>0.19</v>
      </c>
    </row>
    <row r="18203" spans="6:8">
      <c r="F18203" s="68" t="s">
        <v>121</v>
      </c>
      <c r="G18203" s="67" t="s">
        <v>702</v>
      </c>
      <c r="H18203" s="69">
        <v>-0.62</v>
      </c>
    </row>
    <row r="18204" spans="6:8">
      <c r="F18204" s="68" t="s">
        <v>120</v>
      </c>
      <c r="G18204" s="67" t="s">
        <v>702</v>
      </c>
      <c r="H18204" s="69">
        <v>-0.81</v>
      </c>
    </row>
    <row r="18205" spans="6:8">
      <c r="F18205" s="68" t="s">
        <v>119</v>
      </c>
      <c r="G18205" s="67" t="s">
        <v>702</v>
      </c>
      <c r="H18205" s="69">
        <v>-0.79</v>
      </c>
    </row>
    <row r="18206" spans="6:8">
      <c r="F18206" s="68" t="s">
        <v>662</v>
      </c>
      <c r="G18206" s="67" t="s">
        <v>702</v>
      </c>
      <c r="H18206" s="69">
        <v>112.61476528999999</v>
      </c>
    </row>
    <row r="18207" spans="6:8">
      <c r="F18207" s="68" t="s">
        <v>420</v>
      </c>
      <c r="G18207" s="67" t="s">
        <v>702</v>
      </c>
      <c r="H18207" s="69">
        <v>3.1825160788593543</v>
      </c>
    </row>
    <row r="18208" spans="6:8">
      <c r="F18208" s="68" t="s">
        <v>420</v>
      </c>
      <c r="G18208" s="67" t="s">
        <v>703</v>
      </c>
      <c r="H18208" s="69">
        <v>3.1921232293895763</v>
      </c>
    </row>
    <row r="18209" spans="6:8">
      <c r="F18209" s="68" t="s">
        <v>662</v>
      </c>
      <c r="G18209" s="67" t="s">
        <v>703</v>
      </c>
      <c r="H18209" s="69">
        <v>112.6175164</v>
      </c>
    </row>
    <row r="18210" spans="6:8">
      <c r="F18210" s="68" t="s">
        <v>119</v>
      </c>
      <c r="G18210" s="67" t="s">
        <v>703</v>
      </c>
      <c r="H18210" s="69">
        <v>-0.81</v>
      </c>
    </row>
    <row r="18211" spans="6:8">
      <c r="F18211" s="68" t="s">
        <v>120</v>
      </c>
      <c r="G18211" s="67" t="s">
        <v>703</v>
      </c>
      <c r="H18211" s="69">
        <v>-0.82</v>
      </c>
    </row>
    <row r="18212" spans="6:8">
      <c r="F18212" s="68" t="s">
        <v>121</v>
      </c>
      <c r="G18212" s="67" t="s">
        <v>703</v>
      </c>
      <c r="H18212" s="69">
        <v>-0.62</v>
      </c>
    </row>
    <row r="18213" spans="6:8">
      <c r="F18213" s="68" t="s">
        <v>251</v>
      </c>
      <c r="G18213" s="67" t="s">
        <v>703</v>
      </c>
      <c r="H18213" s="69">
        <v>0.19</v>
      </c>
    </row>
    <row r="18214" spans="6:8">
      <c r="F18214" s="68" t="s">
        <v>122</v>
      </c>
      <c r="G18214" s="67" t="s">
        <v>703</v>
      </c>
      <c r="H18214" s="69">
        <v>-0.77</v>
      </c>
    </row>
    <row r="18215" spans="6:8">
      <c r="F18215" s="68" t="s">
        <v>123</v>
      </c>
      <c r="G18215" s="67" t="s">
        <v>703</v>
      </c>
      <c r="H18215" s="69">
        <v>-0.98</v>
      </c>
    </row>
    <row r="18216" spans="6:8">
      <c r="F18216" s="68" t="s">
        <v>124</v>
      </c>
      <c r="G18216" s="67" t="s">
        <v>703</v>
      </c>
      <c r="H18216" s="69">
        <v>-0.51</v>
      </c>
    </row>
    <row r="18217" spans="6:8">
      <c r="F18217" s="68" t="s">
        <v>252</v>
      </c>
      <c r="G18217" s="67" t="s">
        <v>703</v>
      </c>
      <c r="H18217" s="69">
        <v>0.27</v>
      </c>
    </row>
    <row r="18218" spans="6:8">
      <c r="F18218" s="68" t="s">
        <v>314</v>
      </c>
      <c r="G18218" s="67" t="s">
        <v>703</v>
      </c>
      <c r="H18218" s="69">
        <v>-0.41</v>
      </c>
    </row>
    <row r="18219" spans="6:8">
      <c r="F18219" s="68" t="s">
        <v>663</v>
      </c>
      <c r="G18219" s="67" t="s">
        <v>703</v>
      </c>
      <c r="H18219" s="69">
        <v>112.61809153999999</v>
      </c>
    </row>
    <row r="18220" spans="6:8">
      <c r="F18220" s="68" t="s">
        <v>125</v>
      </c>
      <c r="G18220" s="67" t="s">
        <v>703</v>
      </c>
      <c r="H18220" s="69">
        <v>-0.52</v>
      </c>
    </row>
    <row r="18221" spans="6:8">
      <c r="F18221" s="68" t="s">
        <v>126</v>
      </c>
      <c r="G18221" s="67" t="s">
        <v>703</v>
      </c>
      <c r="H18221" s="69">
        <v>-0.92</v>
      </c>
    </row>
    <row r="18222" spans="6:8">
      <c r="F18222" s="68" t="s">
        <v>127</v>
      </c>
      <c r="G18222" s="67" t="s">
        <v>703</v>
      </c>
      <c r="H18222" s="69">
        <v>-0.42</v>
      </c>
    </row>
    <row r="18223" spans="6:8">
      <c r="F18223" s="68" t="s">
        <v>253</v>
      </c>
      <c r="G18223" s="67" t="s">
        <v>703</v>
      </c>
      <c r="H18223" s="69">
        <v>0.41</v>
      </c>
    </row>
    <row r="18224" spans="6:8">
      <c r="F18224" s="68" t="s">
        <v>315</v>
      </c>
      <c r="G18224" s="67" t="s">
        <v>703</v>
      </c>
      <c r="H18224" s="69">
        <v>-0.2</v>
      </c>
    </row>
    <row r="18225" spans="6:8">
      <c r="F18225" s="68" t="s">
        <v>664</v>
      </c>
      <c r="G18225" s="67" t="s">
        <v>703</v>
      </c>
      <c r="H18225" s="69">
        <v>112.61788923</v>
      </c>
    </row>
    <row r="18226" spans="6:8">
      <c r="F18226" s="68" t="s">
        <v>128</v>
      </c>
      <c r="G18226" s="67" t="s">
        <v>703</v>
      </c>
      <c r="H18226" s="69">
        <v>-0.88</v>
      </c>
    </row>
    <row r="18227" spans="6:8">
      <c r="F18227" s="68" t="s">
        <v>129</v>
      </c>
      <c r="G18227" s="67" t="s">
        <v>703</v>
      </c>
      <c r="H18227" s="69">
        <v>-0.71</v>
      </c>
    </row>
    <row r="18228" spans="6:8">
      <c r="F18228" s="68" t="s">
        <v>304</v>
      </c>
      <c r="G18228" s="67" t="s">
        <v>703</v>
      </c>
      <c r="H18228" s="69">
        <v>17.635416666666668</v>
      </c>
    </row>
    <row r="18229" spans="6:8">
      <c r="F18229" s="68" t="s">
        <v>254</v>
      </c>
      <c r="G18229" s="67" t="s">
        <v>703</v>
      </c>
      <c r="H18229" s="69">
        <v>0.56999999999999995</v>
      </c>
    </row>
    <row r="18230" spans="6:8">
      <c r="F18230" s="68" t="s">
        <v>421</v>
      </c>
      <c r="G18230" s="67" t="s">
        <v>703</v>
      </c>
      <c r="H18230" s="69">
        <v>2.309564603073655</v>
      </c>
    </row>
    <row r="18231" spans="6:8">
      <c r="F18231" s="68" t="s">
        <v>567</v>
      </c>
      <c r="G18231" s="67" t="s">
        <v>703</v>
      </c>
      <c r="H18231" s="69">
        <v>-0.85</v>
      </c>
    </row>
    <row r="18232" spans="6:8">
      <c r="F18232" s="68" t="s">
        <v>665</v>
      </c>
      <c r="G18232" s="67" t="s">
        <v>703</v>
      </c>
      <c r="H18232" s="69">
        <v>112.61786317000001</v>
      </c>
    </row>
    <row r="18233" spans="6:8">
      <c r="F18233" s="68" t="s">
        <v>130</v>
      </c>
      <c r="G18233" s="67" t="s">
        <v>703</v>
      </c>
      <c r="H18233" s="69">
        <v>-1.04</v>
      </c>
    </row>
    <row r="18234" spans="6:8">
      <c r="F18234" s="68" t="s">
        <v>131</v>
      </c>
      <c r="G18234" s="67" t="s">
        <v>703</v>
      </c>
      <c r="H18234" s="69">
        <v>-0.55000000000000004</v>
      </c>
    </row>
    <row r="18235" spans="6:8">
      <c r="F18235" s="68" t="s">
        <v>303</v>
      </c>
      <c r="G18235" s="67" t="s">
        <v>703</v>
      </c>
      <c r="H18235" s="69">
        <v>18.416666666666668</v>
      </c>
    </row>
    <row r="18236" spans="6:8">
      <c r="F18236" s="68" t="s">
        <v>255</v>
      </c>
      <c r="G18236" s="67" t="s">
        <v>703</v>
      </c>
      <c r="H18236" s="69">
        <v>0.73</v>
      </c>
    </row>
    <row r="18237" spans="6:8">
      <c r="F18237" s="68" t="s">
        <v>422</v>
      </c>
      <c r="G18237" s="67" t="s">
        <v>703</v>
      </c>
      <c r="H18237" s="69">
        <v>2.3161336726939652</v>
      </c>
    </row>
    <row r="18238" spans="6:8">
      <c r="F18238" s="68" t="s">
        <v>568</v>
      </c>
      <c r="G18238" s="67" t="s">
        <v>703</v>
      </c>
      <c r="H18238" s="69">
        <v>-0.41</v>
      </c>
    </row>
    <row r="18239" spans="6:8">
      <c r="F18239" s="68" t="s">
        <v>666</v>
      </c>
      <c r="G18239" s="67" t="s">
        <v>703</v>
      </c>
      <c r="H18239" s="69">
        <v>112.61774662000001</v>
      </c>
    </row>
    <row r="18240" spans="6:8">
      <c r="F18240" s="68" t="s">
        <v>132</v>
      </c>
      <c r="G18240" s="67" t="s">
        <v>703</v>
      </c>
      <c r="H18240" s="69">
        <v>-0.94</v>
      </c>
    </row>
    <row r="18241" spans="6:8">
      <c r="F18241" s="68" t="s">
        <v>133</v>
      </c>
      <c r="G18241" s="67" t="s">
        <v>703</v>
      </c>
      <c r="H18241" s="69">
        <v>-0.62</v>
      </c>
    </row>
    <row r="18242" spans="6:8">
      <c r="F18242" s="68" t="s">
        <v>256</v>
      </c>
      <c r="G18242" s="67" t="s">
        <v>703</v>
      </c>
      <c r="H18242" s="69">
        <v>0.83</v>
      </c>
    </row>
    <row r="18243" spans="6:8">
      <c r="F18243" s="68" t="s">
        <v>423</v>
      </c>
      <c r="G18243" s="67" t="s">
        <v>703</v>
      </c>
      <c r="H18243" s="69">
        <v>2.332602966396502</v>
      </c>
    </row>
    <row r="18244" spans="6:8">
      <c r="F18244" s="68" t="s">
        <v>569</v>
      </c>
      <c r="G18244" s="67" t="s">
        <v>703</v>
      </c>
      <c r="H18244" s="69">
        <v>-0.19</v>
      </c>
    </row>
    <row r="18245" spans="6:8">
      <c r="F18245" s="68" t="s">
        <v>667</v>
      </c>
      <c r="G18245" s="67" t="s">
        <v>703</v>
      </c>
      <c r="H18245" s="69">
        <v>112.61809903</v>
      </c>
    </row>
    <row r="18246" spans="6:8">
      <c r="F18246" s="68" t="s">
        <v>424</v>
      </c>
      <c r="G18246" s="67" t="s">
        <v>703</v>
      </c>
      <c r="H18246" s="69">
        <v>2.8589716482306571</v>
      </c>
    </row>
    <row r="18247" spans="6:8">
      <c r="F18247" s="68" t="s">
        <v>668</v>
      </c>
      <c r="G18247" s="67" t="s">
        <v>703</v>
      </c>
      <c r="H18247" s="69">
        <v>112.61781881</v>
      </c>
    </row>
    <row r="18248" spans="6:8">
      <c r="F18248" s="68" t="s">
        <v>134</v>
      </c>
      <c r="G18248" s="67" t="s">
        <v>703</v>
      </c>
      <c r="H18248" s="69">
        <v>-0.89</v>
      </c>
    </row>
    <row r="18249" spans="6:8">
      <c r="F18249" s="68" t="s">
        <v>135</v>
      </c>
      <c r="G18249" s="67" t="s">
        <v>703</v>
      </c>
      <c r="H18249" s="69">
        <v>-0.78</v>
      </c>
    </row>
    <row r="18250" spans="6:8">
      <c r="F18250" s="68" t="s">
        <v>257</v>
      </c>
      <c r="G18250" s="67" t="s">
        <v>703</v>
      </c>
      <c r="H18250" s="69">
        <v>0.89</v>
      </c>
    </row>
    <row r="18251" spans="6:8">
      <c r="F18251" s="68" t="s">
        <v>258</v>
      </c>
      <c r="G18251" s="67" t="s">
        <v>703</v>
      </c>
      <c r="H18251" s="69">
        <v>0.15</v>
      </c>
    </row>
    <row r="18252" spans="6:8">
      <c r="F18252" s="68" t="s">
        <v>425</v>
      </c>
      <c r="G18252" s="67" t="s">
        <v>703</v>
      </c>
      <c r="H18252" s="69">
        <v>2.9153789114949369</v>
      </c>
    </row>
    <row r="18253" spans="6:8">
      <c r="F18253" s="68" t="s">
        <v>669</v>
      </c>
      <c r="G18253" s="67" t="s">
        <v>703</v>
      </c>
      <c r="H18253" s="69">
        <v>112.61814514</v>
      </c>
    </row>
    <row r="18254" spans="6:8">
      <c r="F18254" s="68" t="s">
        <v>136</v>
      </c>
      <c r="G18254" s="67" t="s">
        <v>703</v>
      </c>
      <c r="H18254" s="69">
        <v>-0.87</v>
      </c>
    </row>
    <row r="18255" spans="6:8">
      <c r="F18255" s="68" t="s">
        <v>137</v>
      </c>
      <c r="G18255" s="67" t="s">
        <v>703</v>
      </c>
      <c r="H18255" s="69">
        <v>-0.68</v>
      </c>
    </row>
    <row r="18256" spans="6:8">
      <c r="F18256" s="68" t="s">
        <v>138</v>
      </c>
      <c r="G18256" s="67" t="s">
        <v>703</v>
      </c>
      <c r="H18256" s="69">
        <v>-0.72</v>
      </c>
    </row>
    <row r="18257" spans="6:8">
      <c r="F18257" s="68" t="s">
        <v>259</v>
      </c>
      <c r="G18257" s="67" t="s">
        <v>703</v>
      </c>
      <c r="H18257" s="69">
        <v>0.15</v>
      </c>
    </row>
    <row r="18258" spans="6:8">
      <c r="F18258" s="68" t="s">
        <v>259</v>
      </c>
      <c r="G18258" s="67" t="s">
        <v>704</v>
      </c>
      <c r="H18258" s="69">
        <v>0.15</v>
      </c>
    </row>
    <row r="18259" spans="6:8">
      <c r="F18259" s="68" t="s">
        <v>138</v>
      </c>
      <c r="G18259" s="67" t="s">
        <v>704</v>
      </c>
      <c r="H18259" s="69">
        <v>-0.72</v>
      </c>
    </row>
    <row r="18260" spans="6:8">
      <c r="F18260" s="68" t="s">
        <v>137</v>
      </c>
      <c r="G18260" s="67" t="s">
        <v>704</v>
      </c>
      <c r="H18260" s="69">
        <v>-0.68</v>
      </c>
    </row>
    <row r="18261" spans="6:8">
      <c r="F18261" s="68" t="s">
        <v>136</v>
      </c>
      <c r="G18261" s="67" t="s">
        <v>704</v>
      </c>
      <c r="H18261" s="69">
        <v>-0.87</v>
      </c>
    </row>
    <row r="18262" spans="6:8">
      <c r="F18262" s="68" t="s">
        <v>669</v>
      </c>
      <c r="G18262" s="67" t="s">
        <v>704</v>
      </c>
      <c r="H18262" s="69">
        <v>112.72993597999999</v>
      </c>
    </row>
    <row r="18263" spans="6:8">
      <c r="F18263" s="68" t="s">
        <v>425</v>
      </c>
      <c r="G18263" s="67" t="s">
        <v>704</v>
      </c>
      <c r="H18263" s="69">
        <v>2.8723691599698675</v>
      </c>
    </row>
    <row r="18264" spans="6:8">
      <c r="F18264" s="68" t="s">
        <v>258</v>
      </c>
      <c r="G18264" s="67" t="s">
        <v>704</v>
      </c>
      <c r="H18264" s="69">
        <v>0.15</v>
      </c>
    </row>
    <row r="18265" spans="6:8">
      <c r="F18265" s="68" t="s">
        <v>257</v>
      </c>
      <c r="G18265" s="67" t="s">
        <v>704</v>
      </c>
      <c r="H18265" s="69">
        <v>0.89</v>
      </c>
    </row>
    <row r="18266" spans="6:8">
      <c r="F18266" s="68" t="s">
        <v>135</v>
      </c>
      <c r="G18266" s="67" t="s">
        <v>704</v>
      </c>
      <c r="H18266" s="69">
        <v>-0.78</v>
      </c>
    </row>
    <row r="18267" spans="6:8">
      <c r="F18267" s="68" t="s">
        <v>134</v>
      </c>
      <c r="G18267" s="67" t="s">
        <v>704</v>
      </c>
      <c r="H18267" s="69">
        <v>-0.89</v>
      </c>
    </row>
    <row r="18268" spans="6:8">
      <c r="F18268" s="68" t="s">
        <v>668</v>
      </c>
      <c r="G18268" s="67" t="s">
        <v>704</v>
      </c>
      <c r="H18268" s="69">
        <v>112.72960637</v>
      </c>
    </row>
    <row r="18269" spans="6:8">
      <c r="F18269" s="68" t="s">
        <v>424</v>
      </c>
      <c r="G18269" s="67" t="s">
        <v>704</v>
      </c>
      <c r="H18269" s="69">
        <v>2.8136386623437204</v>
      </c>
    </row>
    <row r="18270" spans="6:8">
      <c r="F18270" s="68" t="s">
        <v>667</v>
      </c>
      <c r="G18270" s="67" t="s">
        <v>704</v>
      </c>
      <c r="H18270" s="69">
        <v>112.7298894</v>
      </c>
    </row>
    <row r="18271" spans="6:8">
      <c r="F18271" s="68" t="s">
        <v>569</v>
      </c>
      <c r="G18271" s="67" t="s">
        <v>704</v>
      </c>
      <c r="H18271" s="69">
        <v>-0.19</v>
      </c>
    </row>
    <row r="18272" spans="6:8">
      <c r="F18272" s="68" t="s">
        <v>423</v>
      </c>
      <c r="G18272" s="67" t="s">
        <v>704</v>
      </c>
      <c r="H18272" s="69">
        <v>2.2971352966302927</v>
      </c>
    </row>
    <row r="18273" spans="6:8">
      <c r="F18273" s="68" t="s">
        <v>256</v>
      </c>
      <c r="G18273" s="67" t="s">
        <v>704</v>
      </c>
      <c r="H18273" s="69">
        <v>0.83</v>
      </c>
    </row>
    <row r="18274" spans="6:8">
      <c r="F18274" s="68" t="s">
        <v>133</v>
      </c>
      <c r="G18274" s="67" t="s">
        <v>704</v>
      </c>
      <c r="H18274" s="69">
        <v>-0.62</v>
      </c>
    </row>
    <row r="18275" spans="6:8">
      <c r="F18275" s="68" t="s">
        <v>132</v>
      </c>
      <c r="G18275" s="67" t="s">
        <v>704</v>
      </c>
      <c r="H18275" s="69">
        <v>-0.94</v>
      </c>
    </row>
    <row r="18276" spans="6:8">
      <c r="F18276" s="68" t="s">
        <v>666</v>
      </c>
      <c r="G18276" s="67" t="s">
        <v>704</v>
      </c>
      <c r="H18276" s="69">
        <v>112.72953345000001</v>
      </c>
    </row>
    <row r="18277" spans="6:8">
      <c r="F18277" s="68" t="s">
        <v>568</v>
      </c>
      <c r="G18277" s="67" t="s">
        <v>704</v>
      </c>
      <c r="H18277" s="69">
        <v>-0.41</v>
      </c>
    </row>
    <row r="18278" spans="6:8">
      <c r="F18278" s="68" t="s">
        <v>422</v>
      </c>
      <c r="G18278" s="67" t="s">
        <v>704</v>
      </c>
      <c r="H18278" s="69">
        <v>2.2715604814715018</v>
      </c>
    </row>
    <row r="18279" spans="6:8">
      <c r="F18279" s="68" t="s">
        <v>255</v>
      </c>
      <c r="G18279" s="67" t="s">
        <v>704</v>
      </c>
      <c r="H18279" s="69">
        <v>0.73</v>
      </c>
    </row>
    <row r="18280" spans="6:8">
      <c r="F18280" s="68" t="s">
        <v>303</v>
      </c>
      <c r="G18280" s="67" t="s">
        <v>704</v>
      </c>
      <c r="H18280" s="69">
        <v>18.395833333333332</v>
      </c>
    </row>
    <row r="18281" spans="6:8">
      <c r="F18281" s="68" t="s">
        <v>131</v>
      </c>
      <c r="G18281" s="67" t="s">
        <v>704</v>
      </c>
      <c r="H18281" s="69">
        <v>-0.55000000000000004</v>
      </c>
    </row>
    <row r="18282" spans="6:8">
      <c r="F18282" s="68" t="s">
        <v>130</v>
      </c>
      <c r="G18282" s="67" t="s">
        <v>704</v>
      </c>
      <c r="H18282" s="69">
        <v>-1.04</v>
      </c>
    </row>
    <row r="18283" spans="6:8">
      <c r="F18283" s="68" t="s">
        <v>665</v>
      </c>
      <c r="G18283" s="67" t="s">
        <v>704</v>
      </c>
      <c r="H18283" s="69">
        <v>112.72965117</v>
      </c>
    </row>
    <row r="18284" spans="6:8">
      <c r="F18284" s="68" t="s">
        <v>567</v>
      </c>
      <c r="G18284" s="67" t="s">
        <v>704</v>
      </c>
      <c r="H18284" s="69">
        <v>-0.85</v>
      </c>
    </row>
    <row r="18285" spans="6:8">
      <c r="F18285" s="68" t="s">
        <v>421</v>
      </c>
      <c r="G18285" s="67" t="s">
        <v>704</v>
      </c>
      <c r="H18285" s="69">
        <v>2.2649995407174828</v>
      </c>
    </row>
    <row r="18286" spans="6:8">
      <c r="F18286" s="68" t="s">
        <v>254</v>
      </c>
      <c r="G18286" s="67" t="s">
        <v>704</v>
      </c>
      <c r="H18286" s="69">
        <v>0.56999999999999995</v>
      </c>
    </row>
    <row r="18287" spans="6:8">
      <c r="F18287" s="68" t="s">
        <v>304</v>
      </c>
      <c r="G18287" s="67" t="s">
        <v>704</v>
      </c>
      <c r="H18287" s="69">
        <v>17.697916666666668</v>
      </c>
    </row>
    <row r="18288" spans="6:8">
      <c r="F18288" s="68" t="s">
        <v>129</v>
      </c>
      <c r="G18288" s="67" t="s">
        <v>704</v>
      </c>
      <c r="H18288" s="69">
        <v>-0.71</v>
      </c>
    </row>
    <row r="18289" spans="6:8">
      <c r="F18289" s="68" t="s">
        <v>128</v>
      </c>
      <c r="G18289" s="67" t="s">
        <v>704</v>
      </c>
      <c r="H18289" s="69">
        <v>-0.88</v>
      </c>
    </row>
    <row r="18290" spans="6:8">
      <c r="F18290" s="68" t="s">
        <v>664</v>
      </c>
      <c r="G18290" s="67" t="s">
        <v>704</v>
      </c>
      <c r="H18290" s="69">
        <v>112.72967749999999</v>
      </c>
    </row>
    <row r="18291" spans="6:8">
      <c r="F18291" s="68" t="s">
        <v>315</v>
      </c>
      <c r="G18291" s="67" t="s">
        <v>704</v>
      </c>
      <c r="H18291" s="69">
        <v>-0.2</v>
      </c>
    </row>
    <row r="18292" spans="6:8">
      <c r="F18292" s="68" t="s">
        <v>253</v>
      </c>
      <c r="G18292" s="67" t="s">
        <v>704</v>
      </c>
      <c r="H18292" s="69">
        <v>0.41</v>
      </c>
    </row>
    <row r="18293" spans="6:8">
      <c r="F18293" s="68" t="s">
        <v>127</v>
      </c>
      <c r="G18293" s="67" t="s">
        <v>704</v>
      </c>
      <c r="H18293" s="69">
        <v>-0.42</v>
      </c>
    </row>
    <row r="18294" spans="6:8">
      <c r="F18294" s="68" t="s">
        <v>126</v>
      </c>
      <c r="G18294" s="67" t="s">
        <v>704</v>
      </c>
      <c r="H18294" s="69">
        <v>-0.92</v>
      </c>
    </row>
    <row r="18295" spans="6:8">
      <c r="F18295" s="68" t="s">
        <v>125</v>
      </c>
      <c r="G18295" s="67" t="s">
        <v>704</v>
      </c>
      <c r="H18295" s="69">
        <v>-0.52</v>
      </c>
    </row>
    <row r="18296" spans="6:8">
      <c r="F18296" s="68" t="s">
        <v>663</v>
      </c>
      <c r="G18296" s="67" t="s">
        <v>704</v>
      </c>
      <c r="H18296" s="69">
        <v>112.72988184</v>
      </c>
    </row>
    <row r="18297" spans="6:8">
      <c r="F18297" s="68" t="s">
        <v>314</v>
      </c>
      <c r="G18297" s="67" t="s">
        <v>704</v>
      </c>
      <c r="H18297" s="69">
        <v>-0.41</v>
      </c>
    </row>
    <row r="18298" spans="6:8">
      <c r="F18298" s="68" t="s">
        <v>252</v>
      </c>
      <c r="G18298" s="67" t="s">
        <v>704</v>
      </c>
      <c r="H18298" s="69">
        <v>0.27</v>
      </c>
    </row>
    <row r="18299" spans="6:8">
      <c r="F18299" s="68" t="s">
        <v>124</v>
      </c>
      <c r="G18299" s="67" t="s">
        <v>704</v>
      </c>
      <c r="H18299" s="69">
        <v>-0.51</v>
      </c>
    </row>
    <row r="18300" spans="6:8">
      <c r="F18300" s="68" t="s">
        <v>123</v>
      </c>
      <c r="G18300" s="67" t="s">
        <v>704</v>
      </c>
      <c r="H18300" s="69">
        <v>-0.98</v>
      </c>
    </row>
    <row r="18301" spans="6:8">
      <c r="F18301" s="68" t="s">
        <v>122</v>
      </c>
      <c r="G18301" s="67" t="s">
        <v>704</v>
      </c>
      <c r="H18301" s="69">
        <v>-0.77</v>
      </c>
    </row>
    <row r="18302" spans="6:8">
      <c r="F18302" s="68" t="s">
        <v>251</v>
      </c>
      <c r="G18302" s="67" t="s">
        <v>704</v>
      </c>
      <c r="H18302" s="69">
        <v>0.19</v>
      </c>
    </row>
    <row r="18303" spans="6:8">
      <c r="F18303" s="68" t="s">
        <v>121</v>
      </c>
      <c r="G18303" s="67" t="s">
        <v>704</v>
      </c>
      <c r="H18303" s="69">
        <v>-0.62</v>
      </c>
    </row>
    <row r="18304" spans="6:8">
      <c r="F18304" s="68" t="s">
        <v>120</v>
      </c>
      <c r="G18304" s="67" t="s">
        <v>704</v>
      </c>
      <c r="H18304" s="69">
        <v>-0.82</v>
      </c>
    </row>
    <row r="18305" spans="6:8">
      <c r="F18305" s="68" t="s">
        <v>119</v>
      </c>
      <c r="G18305" s="67" t="s">
        <v>704</v>
      </c>
      <c r="H18305" s="69">
        <v>-0.81</v>
      </c>
    </row>
    <row r="18306" spans="6:8">
      <c r="F18306" s="68" t="s">
        <v>662</v>
      </c>
      <c r="G18306" s="67" t="s">
        <v>704</v>
      </c>
      <c r="H18306" s="69">
        <v>112.72930092</v>
      </c>
    </row>
    <row r="18307" spans="6:8">
      <c r="F18307" s="68" t="s">
        <v>420</v>
      </c>
      <c r="G18307" s="67" t="s">
        <v>704</v>
      </c>
      <c r="H18307" s="69">
        <v>3.1611594965890166</v>
      </c>
    </row>
    <row r="18308" spans="6:8">
      <c r="F18308" s="68" t="s">
        <v>420</v>
      </c>
      <c r="G18308" s="67" t="s">
        <v>705</v>
      </c>
      <c r="H18308" s="69">
        <v>3.1399551635126866</v>
      </c>
    </row>
    <row r="18309" spans="6:8">
      <c r="F18309" s="68" t="s">
        <v>662</v>
      </c>
      <c r="G18309" s="67" t="s">
        <v>705</v>
      </c>
      <c r="H18309" s="69">
        <v>112.77878258</v>
      </c>
    </row>
    <row r="18310" spans="6:8">
      <c r="F18310" s="68" t="s">
        <v>119</v>
      </c>
      <c r="G18310" s="67" t="s">
        <v>705</v>
      </c>
      <c r="H18310" s="69">
        <v>-0.81</v>
      </c>
    </row>
    <row r="18311" spans="6:8">
      <c r="F18311" s="68" t="s">
        <v>120</v>
      </c>
      <c r="G18311" s="67" t="s">
        <v>705</v>
      </c>
      <c r="H18311" s="69">
        <v>-0.82</v>
      </c>
    </row>
    <row r="18312" spans="6:8">
      <c r="F18312" s="68" t="s">
        <v>121</v>
      </c>
      <c r="G18312" s="67" t="s">
        <v>705</v>
      </c>
      <c r="H18312" s="69">
        <v>-0.62</v>
      </c>
    </row>
    <row r="18313" spans="6:8">
      <c r="F18313" s="68" t="s">
        <v>251</v>
      </c>
      <c r="G18313" s="67" t="s">
        <v>705</v>
      </c>
      <c r="H18313" s="69">
        <v>0.19</v>
      </c>
    </row>
    <row r="18314" spans="6:8">
      <c r="F18314" s="68" t="s">
        <v>122</v>
      </c>
      <c r="G18314" s="67" t="s">
        <v>705</v>
      </c>
      <c r="H18314" s="69">
        <v>-0.77</v>
      </c>
    </row>
    <row r="18315" spans="6:8">
      <c r="F18315" s="68" t="s">
        <v>123</v>
      </c>
      <c r="G18315" s="67" t="s">
        <v>705</v>
      </c>
      <c r="H18315" s="69">
        <v>-0.98</v>
      </c>
    </row>
    <row r="18316" spans="6:8">
      <c r="F18316" s="68" t="s">
        <v>124</v>
      </c>
      <c r="G18316" s="67" t="s">
        <v>705</v>
      </c>
      <c r="H18316" s="69">
        <v>-0.51</v>
      </c>
    </row>
    <row r="18317" spans="6:8">
      <c r="F18317" s="68" t="s">
        <v>252</v>
      </c>
      <c r="G18317" s="67" t="s">
        <v>705</v>
      </c>
      <c r="H18317" s="69">
        <v>0.27</v>
      </c>
    </row>
    <row r="18318" spans="6:8">
      <c r="F18318" s="68" t="s">
        <v>314</v>
      </c>
      <c r="G18318" s="67" t="s">
        <v>705</v>
      </c>
      <c r="H18318" s="69">
        <v>-0.41</v>
      </c>
    </row>
    <row r="18319" spans="6:8">
      <c r="F18319" s="68" t="s">
        <v>663</v>
      </c>
      <c r="G18319" s="67" t="s">
        <v>705</v>
      </c>
      <c r="H18319" s="69">
        <v>112.7793664</v>
      </c>
    </row>
    <row r="18320" spans="6:8">
      <c r="F18320" s="68" t="s">
        <v>125</v>
      </c>
      <c r="G18320" s="67" t="s">
        <v>705</v>
      </c>
      <c r="H18320" s="69">
        <v>-0.52</v>
      </c>
    </row>
    <row r="18321" spans="6:8">
      <c r="F18321" s="68" t="s">
        <v>126</v>
      </c>
      <c r="G18321" s="67" t="s">
        <v>705</v>
      </c>
      <c r="H18321" s="69">
        <v>-0.92</v>
      </c>
    </row>
    <row r="18322" spans="6:8">
      <c r="F18322" s="68" t="s">
        <v>127</v>
      </c>
      <c r="G18322" s="67" t="s">
        <v>705</v>
      </c>
      <c r="H18322" s="69">
        <v>-0.42</v>
      </c>
    </row>
    <row r="18323" spans="6:8">
      <c r="F18323" s="68" t="s">
        <v>253</v>
      </c>
      <c r="G18323" s="67" t="s">
        <v>705</v>
      </c>
      <c r="H18323" s="69">
        <v>0.41</v>
      </c>
    </row>
    <row r="18324" spans="6:8">
      <c r="F18324" s="68" t="s">
        <v>315</v>
      </c>
      <c r="G18324" s="67" t="s">
        <v>705</v>
      </c>
      <c r="H18324" s="69">
        <v>-0.2</v>
      </c>
    </row>
    <row r="18325" spans="6:8">
      <c r="F18325" s="68" t="s">
        <v>664</v>
      </c>
      <c r="G18325" s="67" t="s">
        <v>705</v>
      </c>
      <c r="H18325" s="69">
        <v>112.77916104000001</v>
      </c>
    </row>
    <row r="18326" spans="6:8">
      <c r="F18326" s="68" t="s">
        <v>128</v>
      </c>
      <c r="G18326" s="67" t="s">
        <v>705</v>
      </c>
      <c r="H18326" s="69">
        <v>-0.88</v>
      </c>
    </row>
    <row r="18327" spans="6:8">
      <c r="F18327" s="68" t="s">
        <v>129</v>
      </c>
      <c r="G18327" s="67" t="s">
        <v>705</v>
      </c>
      <c r="H18327" s="69">
        <v>-0.71</v>
      </c>
    </row>
    <row r="18328" spans="6:8">
      <c r="F18328" s="68" t="s">
        <v>304</v>
      </c>
      <c r="G18328" s="67" t="s">
        <v>705</v>
      </c>
      <c r="H18328" s="69">
        <v>17.973958333333332</v>
      </c>
    </row>
    <row r="18329" spans="6:8">
      <c r="F18329" s="68" t="s">
        <v>254</v>
      </c>
      <c r="G18329" s="67" t="s">
        <v>705</v>
      </c>
      <c r="H18329" s="69">
        <v>0.56999999999999995</v>
      </c>
    </row>
    <row r="18330" spans="6:8">
      <c r="F18330" s="68" t="s">
        <v>421</v>
      </c>
      <c r="G18330" s="67" t="s">
        <v>705</v>
      </c>
      <c r="H18330" s="69">
        <v>2.2571042397718788</v>
      </c>
    </row>
    <row r="18331" spans="6:8">
      <c r="F18331" s="68" t="s">
        <v>567</v>
      </c>
      <c r="G18331" s="67" t="s">
        <v>705</v>
      </c>
      <c r="H18331" s="69">
        <v>-0.85</v>
      </c>
    </row>
    <row r="18332" spans="6:8">
      <c r="F18332" s="68" t="s">
        <v>665</v>
      </c>
      <c r="G18332" s="67" t="s">
        <v>705</v>
      </c>
      <c r="H18332" s="69">
        <v>112.77913458</v>
      </c>
    </row>
    <row r="18333" spans="6:8">
      <c r="F18333" s="68" t="s">
        <v>130</v>
      </c>
      <c r="G18333" s="67" t="s">
        <v>705</v>
      </c>
      <c r="H18333" s="69">
        <v>-1.04</v>
      </c>
    </row>
    <row r="18334" spans="6:8">
      <c r="F18334" s="68" t="s">
        <v>131</v>
      </c>
      <c r="G18334" s="67" t="s">
        <v>705</v>
      </c>
      <c r="H18334" s="69">
        <v>-0.55000000000000004</v>
      </c>
    </row>
    <row r="18335" spans="6:8">
      <c r="F18335" s="68" t="s">
        <v>303</v>
      </c>
      <c r="G18335" s="67" t="s">
        <v>705</v>
      </c>
      <c r="H18335" s="69">
        <v>18.65625</v>
      </c>
    </row>
    <row r="18336" spans="6:8">
      <c r="F18336" s="68" t="s">
        <v>255</v>
      </c>
      <c r="G18336" s="67" t="s">
        <v>705</v>
      </c>
      <c r="H18336" s="69">
        <v>0.73</v>
      </c>
    </row>
    <row r="18337" spans="6:8">
      <c r="F18337" s="68" t="s">
        <v>422</v>
      </c>
      <c r="G18337" s="67" t="s">
        <v>705</v>
      </c>
      <c r="H18337" s="69">
        <v>2.2635939104823866</v>
      </c>
    </row>
    <row r="18338" spans="6:8">
      <c r="F18338" s="68" t="s">
        <v>568</v>
      </c>
      <c r="G18338" s="67" t="s">
        <v>705</v>
      </c>
      <c r="H18338" s="69">
        <v>-0.41</v>
      </c>
    </row>
    <row r="18339" spans="6:8">
      <c r="F18339" s="68" t="s">
        <v>666</v>
      </c>
      <c r="G18339" s="67" t="s">
        <v>705</v>
      </c>
      <c r="H18339" s="69">
        <v>112.77901627</v>
      </c>
    </row>
    <row r="18340" spans="6:8">
      <c r="F18340" s="68" t="s">
        <v>132</v>
      </c>
      <c r="G18340" s="67" t="s">
        <v>705</v>
      </c>
      <c r="H18340" s="69">
        <v>-0.94</v>
      </c>
    </row>
    <row r="18341" spans="6:8">
      <c r="F18341" s="68" t="s">
        <v>133</v>
      </c>
      <c r="G18341" s="67" t="s">
        <v>705</v>
      </c>
      <c r="H18341" s="69">
        <v>-0.62</v>
      </c>
    </row>
    <row r="18342" spans="6:8">
      <c r="F18342" s="68" t="s">
        <v>256</v>
      </c>
      <c r="G18342" s="67" t="s">
        <v>705</v>
      </c>
      <c r="H18342" s="69">
        <v>0.82</v>
      </c>
    </row>
    <row r="18343" spans="6:8">
      <c r="F18343" s="68" t="s">
        <v>423</v>
      </c>
      <c r="G18343" s="67" t="s">
        <v>705</v>
      </c>
      <c r="H18343" s="69">
        <v>2.2833916259174636</v>
      </c>
    </row>
    <row r="18344" spans="6:8">
      <c r="F18344" s="68" t="s">
        <v>569</v>
      </c>
      <c r="G18344" s="67" t="s">
        <v>705</v>
      </c>
      <c r="H18344" s="69">
        <v>-0.19</v>
      </c>
    </row>
    <row r="18345" spans="6:8">
      <c r="F18345" s="68" t="s">
        <v>667</v>
      </c>
      <c r="G18345" s="67" t="s">
        <v>705</v>
      </c>
      <c r="H18345" s="69">
        <v>112.779374</v>
      </c>
    </row>
    <row r="18346" spans="6:8">
      <c r="F18346" s="68" t="s">
        <v>424</v>
      </c>
      <c r="G18346" s="67" t="s">
        <v>705</v>
      </c>
      <c r="H18346" s="69">
        <v>2.7796895776163844</v>
      </c>
    </row>
    <row r="18347" spans="6:8">
      <c r="F18347" s="68" t="s">
        <v>668</v>
      </c>
      <c r="G18347" s="67" t="s">
        <v>705</v>
      </c>
      <c r="H18347" s="69">
        <v>112.77908954999999</v>
      </c>
    </row>
    <row r="18348" spans="6:8">
      <c r="F18348" s="68" t="s">
        <v>134</v>
      </c>
      <c r="G18348" s="67" t="s">
        <v>705</v>
      </c>
      <c r="H18348" s="69">
        <v>-0.89</v>
      </c>
    </row>
    <row r="18349" spans="6:8">
      <c r="F18349" s="68" t="s">
        <v>135</v>
      </c>
      <c r="G18349" s="67" t="s">
        <v>705</v>
      </c>
      <c r="H18349" s="69">
        <v>-0.78</v>
      </c>
    </row>
    <row r="18350" spans="6:8">
      <c r="F18350" s="68" t="s">
        <v>257</v>
      </c>
      <c r="G18350" s="67" t="s">
        <v>705</v>
      </c>
      <c r="H18350" s="69">
        <v>0.89</v>
      </c>
    </row>
    <row r="18351" spans="6:8">
      <c r="F18351" s="68" t="s">
        <v>258</v>
      </c>
      <c r="G18351" s="67" t="s">
        <v>705</v>
      </c>
      <c r="H18351" s="69">
        <v>0.15</v>
      </c>
    </row>
    <row r="18352" spans="6:8">
      <c r="F18352" s="68" t="s">
        <v>425</v>
      </c>
      <c r="G18352" s="67" t="s">
        <v>705</v>
      </c>
      <c r="H18352" s="69">
        <v>2.8323363961399561</v>
      </c>
    </row>
    <row r="18353" spans="6:8">
      <c r="F18353" s="68" t="s">
        <v>669</v>
      </c>
      <c r="G18353" s="67" t="s">
        <v>705</v>
      </c>
      <c r="H18353" s="69">
        <v>112.77942081</v>
      </c>
    </row>
    <row r="18354" spans="6:8">
      <c r="F18354" s="68" t="s">
        <v>136</v>
      </c>
      <c r="G18354" s="67" t="s">
        <v>705</v>
      </c>
      <c r="H18354" s="69">
        <v>-0.87</v>
      </c>
    </row>
    <row r="18355" spans="6:8">
      <c r="F18355" s="68" t="s">
        <v>137</v>
      </c>
      <c r="G18355" s="67" t="s">
        <v>705</v>
      </c>
      <c r="H18355" s="69">
        <v>-0.68</v>
      </c>
    </row>
    <row r="18356" spans="6:8">
      <c r="F18356" s="68" t="s">
        <v>138</v>
      </c>
      <c r="G18356" s="67" t="s">
        <v>705</v>
      </c>
      <c r="H18356" s="69">
        <v>-0.72</v>
      </c>
    </row>
    <row r="18357" spans="6:8">
      <c r="F18357" s="68" t="s">
        <v>259</v>
      </c>
      <c r="G18357" s="67" t="s">
        <v>705</v>
      </c>
      <c r="H18357" s="69">
        <v>0.15</v>
      </c>
    </row>
    <row r="18358" spans="6:8">
      <c r="F18358" s="68" t="s">
        <v>259</v>
      </c>
      <c r="G18358" s="67" t="s">
        <v>706</v>
      </c>
      <c r="H18358" s="69">
        <v>0.15</v>
      </c>
    </row>
    <row r="18359" spans="6:8">
      <c r="F18359" s="68" t="s">
        <v>138</v>
      </c>
      <c r="G18359" s="67" t="s">
        <v>706</v>
      </c>
      <c r="H18359" s="69">
        <v>-0.72</v>
      </c>
    </row>
    <row r="18360" spans="6:8">
      <c r="F18360" s="68" t="s">
        <v>137</v>
      </c>
      <c r="G18360" s="67" t="s">
        <v>706</v>
      </c>
      <c r="H18360" s="69">
        <v>-0.68</v>
      </c>
    </row>
    <row r="18361" spans="6:8">
      <c r="F18361" s="68" t="s">
        <v>136</v>
      </c>
      <c r="G18361" s="67" t="s">
        <v>706</v>
      </c>
      <c r="H18361" s="69">
        <v>-0.87</v>
      </c>
    </row>
    <row r="18362" spans="6:8">
      <c r="F18362" s="68" t="s">
        <v>669</v>
      </c>
      <c r="G18362" s="67" t="s">
        <v>706</v>
      </c>
      <c r="H18362" s="69">
        <v>112.8600613</v>
      </c>
    </row>
    <row r="18363" spans="6:8">
      <c r="F18363" s="68" t="s">
        <v>425</v>
      </c>
      <c r="G18363" s="67" t="s">
        <v>706</v>
      </c>
      <c r="H18363" s="69">
        <v>2.7597416926518736</v>
      </c>
    </row>
    <row r="18364" spans="6:8">
      <c r="F18364" s="68" t="s">
        <v>258</v>
      </c>
      <c r="G18364" s="67" t="s">
        <v>706</v>
      </c>
      <c r="H18364" s="69">
        <v>0.15</v>
      </c>
    </row>
    <row r="18365" spans="6:8">
      <c r="F18365" s="68" t="s">
        <v>257</v>
      </c>
      <c r="G18365" s="67" t="s">
        <v>706</v>
      </c>
      <c r="H18365" s="69">
        <v>0.89</v>
      </c>
    </row>
    <row r="18366" spans="6:8">
      <c r="F18366" s="68" t="s">
        <v>135</v>
      </c>
      <c r="G18366" s="67" t="s">
        <v>706</v>
      </c>
      <c r="H18366" s="69">
        <v>-0.78</v>
      </c>
    </row>
    <row r="18367" spans="6:8">
      <c r="F18367" s="68" t="s">
        <v>134</v>
      </c>
      <c r="G18367" s="67" t="s">
        <v>706</v>
      </c>
      <c r="H18367" s="69">
        <v>-0.89</v>
      </c>
    </row>
    <row r="18368" spans="6:8">
      <c r="F18368" s="68" t="s">
        <v>668</v>
      </c>
      <c r="G18368" s="67" t="s">
        <v>706</v>
      </c>
      <c r="H18368" s="69">
        <v>112.85972758</v>
      </c>
    </row>
    <row r="18369" spans="6:8">
      <c r="F18369" s="68" t="s">
        <v>424</v>
      </c>
      <c r="G18369" s="67" t="s">
        <v>706</v>
      </c>
      <c r="H18369" s="69">
        <v>2.7021707093586755</v>
      </c>
    </row>
    <row r="18370" spans="6:8">
      <c r="F18370" s="68" t="s">
        <v>667</v>
      </c>
      <c r="G18370" s="67" t="s">
        <v>706</v>
      </c>
      <c r="H18370" s="69">
        <v>112.86001414</v>
      </c>
    </row>
    <row r="18371" spans="6:8">
      <c r="F18371" s="68" t="s">
        <v>569</v>
      </c>
      <c r="G18371" s="67" t="s">
        <v>706</v>
      </c>
      <c r="H18371" s="69">
        <v>-0.19</v>
      </c>
    </row>
    <row r="18372" spans="6:8">
      <c r="F18372" s="68" t="s">
        <v>423</v>
      </c>
      <c r="G18372" s="67" t="s">
        <v>706</v>
      </c>
      <c r="H18372" s="69">
        <v>2.2602181575467117</v>
      </c>
    </row>
    <row r="18373" spans="6:8">
      <c r="F18373" s="68" t="s">
        <v>256</v>
      </c>
      <c r="G18373" s="67" t="s">
        <v>706</v>
      </c>
      <c r="H18373" s="69">
        <v>0.82</v>
      </c>
    </row>
    <row r="18374" spans="6:8">
      <c r="F18374" s="68" t="s">
        <v>133</v>
      </c>
      <c r="G18374" s="67" t="s">
        <v>706</v>
      </c>
      <c r="H18374" s="69">
        <v>-0.62</v>
      </c>
    </row>
    <row r="18375" spans="6:8">
      <c r="F18375" s="68" t="s">
        <v>132</v>
      </c>
      <c r="G18375" s="67" t="s">
        <v>706</v>
      </c>
      <c r="H18375" s="69">
        <v>-0.94</v>
      </c>
    </row>
    <row r="18376" spans="6:8">
      <c r="F18376" s="68" t="s">
        <v>666</v>
      </c>
      <c r="G18376" s="67" t="s">
        <v>706</v>
      </c>
      <c r="H18376" s="69">
        <v>112.85965375000001</v>
      </c>
    </row>
    <row r="18377" spans="6:8">
      <c r="F18377" s="68" t="s">
        <v>568</v>
      </c>
      <c r="G18377" s="67" t="s">
        <v>706</v>
      </c>
      <c r="H18377" s="69">
        <v>-0.41</v>
      </c>
    </row>
    <row r="18378" spans="6:8">
      <c r="F18378" s="68" t="s">
        <v>422</v>
      </c>
      <c r="G18378" s="67" t="s">
        <v>706</v>
      </c>
      <c r="H18378" s="69">
        <v>2.2286210870512857</v>
      </c>
    </row>
    <row r="18379" spans="6:8">
      <c r="F18379" s="68" t="s">
        <v>255</v>
      </c>
      <c r="G18379" s="67" t="s">
        <v>706</v>
      </c>
      <c r="H18379" s="69">
        <v>0.73</v>
      </c>
    </row>
    <row r="18380" spans="6:8">
      <c r="F18380" s="68" t="s">
        <v>303</v>
      </c>
      <c r="G18380" s="67" t="s">
        <v>706</v>
      </c>
      <c r="H18380" s="69">
        <v>18.5</v>
      </c>
    </row>
    <row r="18381" spans="6:8">
      <c r="F18381" s="68" t="s">
        <v>131</v>
      </c>
      <c r="G18381" s="67" t="s">
        <v>706</v>
      </c>
      <c r="H18381" s="69">
        <v>-0.55000000000000004</v>
      </c>
    </row>
    <row r="18382" spans="6:8">
      <c r="F18382" s="68" t="s">
        <v>130</v>
      </c>
      <c r="G18382" s="67" t="s">
        <v>706</v>
      </c>
      <c r="H18382" s="69">
        <v>-1.04</v>
      </c>
    </row>
    <row r="18383" spans="6:8">
      <c r="F18383" s="68" t="s">
        <v>665</v>
      </c>
      <c r="G18383" s="67" t="s">
        <v>706</v>
      </c>
      <c r="H18383" s="69">
        <v>112.85977295000001</v>
      </c>
    </row>
    <row r="18384" spans="6:8">
      <c r="F18384" s="68" t="s">
        <v>567</v>
      </c>
      <c r="G18384" s="67" t="s">
        <v>706</v>
      </c>
      <c r="H18384" s="69">
        <v>-0.85</v>
      </c>
    </row>
    <row r="18385" spans="6:8">
      <c r="F18385" s="68" t="s">
        <v>421</v>
      </c>
      <c r="G18385" s="67" t="s">
        <v>706</v>
      </c>
      <c r="H18385" s="69">
        <v>2.2221761532344342</v>
      </c>
    </row>
    <row r="18386" spans="6:8">
      <c r="F18386" s="68" t="s">
        <v>254</v>
      </c>
      <c r="G18386" s="67" t="s">
        <v>706</v>
      </c>
      <c r="H18386" s="69">
        <v>0.56999999999999995</v>
      </c>
    </row>
    <row r="18387" spans="6:8">
      <c r="F18387" s="68" t="s">
        <v>304</v>
      </c>
      <c r="G18387" s="67" t="s">
        <v>706</v>
      </c>
      <c r="H18387" s="69">
        <v>17.71875</v>
      </c>
    </row>
    <row r="18388" spans="6:8">
      <c r="F18388" s="68" t="s">
        <v>129</v>
      </c>
      <c r="G18388" s="67" t="s">
        <v>706</v>
      </c>
      <c r="H18388" s="69">
        <v>-0.71</v>
      </c>
    </row>
    <row r="18389" spans="6:8">
      <c r="F18389" s="68" t="s">
        <v>128</v>
      </c>
      <c r="G18389" s="67" t="s">
        <v>706</v>
      </c>
      <c r="H18389" s="69">
        <v>-0.88</v>
      </c>
    </row>
    <row r="18390" spans="6:8">
      <c r="F18390" s="68" t="s">
        <v>664</v>
      </c>
      <c r="G18390" s="67" t="s">
        <v>706</v>
      </c>
      <c r="H18390" s="69">
        <v>112.8597996</v>
      </c>
    </row>
    <row r="18391" spans="6:8">
      <c r="F18391" s="68" t="s">
        <v>315</v>
      </c>
      <c r="G18391" s="67" t="s">
        <v>706</v>
      </c>
      <c r="H18391" s="69">
        <v>-0.2</v>
      </c>
    </row>
    <row r="18392" spans="6:8">
      <c r="F18392" s="68" t="s">
        <v>253</v>
      </c>
      <c r="G18392" s="67" t="s">
        <v>706</v>
      </c>
      <c r="H18392" s="69">
        <v>0.41</v>
      </c>
    </row>
    <row r="18393" spans="6:8">
      <c r="F18393" s="68" t="s">
        <v>127</v>
      </c>
      <c r="G18393" s="67" t="s">
        <v>706</v>
      </c>
      <c r="H18393" s="69">
        <v>-0.42</v>
      </c>
    </row>
    <row r="18394" spans="6:8">
      <c r="F18394" s="68" t="s">
        <v>126</v>
      </c>
      <c r="G18394" s="67" t="s">
        <v>706</v>
      </c>
      <c r="H18394" s="69">
        <v>-0.92</v>
      </c>
    </row>
    <row r="18395" spans="6:8">
      <c r="F18395" s="68" t="s">
        <v>125</v>
      </c>
      <c r="G18395" s="67" t="s">
        <v>706</v>
      </c>
      <c r="H18395" s="69">
        <v>-0.52</v>
      </c>
    </row>
    <row r="18396" spans="6:8">
      <c r="F18396" s="68" t="s">
        <v>663</v>
      </c>
      <c r="G18396" s="67" t="s">
        <v>706</v>
      </c>
      <c r="H18396" s="69">
        <v>112.86000649</v>
      </c>
    </row>
    <row r="18397" spans="6:8">
      <c r="F18397" s="68" t="s">
        <v>314</v>
      </c>
      <c r="G18397" s="67" t="s">
        <v>706</v>
      </c>
      <c r="H18397" s="69">
        <v>-0.41</v>
      </c>
    </row>
    <row r="18398" spans="6:8">
      <c r="F18398" s="68" t="s">
        <v>252</v>
      </c>
      <c r="G18398" s="67" t="s">
        <v>706</v>
      </c>
      <c r="H18398" s="69">
        <v>0.27</v>
      </c>
    </row>
    <row r="18399" spans="6:8">
      <c r="F18399" s="68" t="s">
        <v>124</v>
      </c>
      <c r="G18399" s="67" t="s">
        <v>706</v>
      </c>
      <c r="H18399" s="69">
        <v>-0.51</v>
      </c>
    </row>
    <row r="18400" spans="6:8">
      <c r="F18400" s="68" t="s">
        <v>123</v>
      </c>
      <c r="G18400" s="67" t="s">
        <v>706</v>
      </c>
      <c r="H18400" s="69">
        <v>-0.98</v>
      </c>
    </row>
    <row r="18401" spans="6:8">
      <c r="F18401" s="68" t="s">
        <v>122</v>
      </c>
      <c r="G18401" s="67" t="s">
        <v>706</v>
      </c>
      <c r="H18401" s="69">
        <v>-0.77</v>
      </c>
    </row>
    <row r="18402" spans="6:8">
      <c r="F18402" s="68" t="s">
        <v>251</v>
      </c>
      <c r="G18402" s="67" t="s">
        <v>706</v>
      </c>
      <c r="H18402" s="69">
        <v>0.19</v>
      </c>
    </row>
    <row r="18403" spans="6:8">
      <c r="F18403" s="68" t="s">
        <v>121</v>
      </c>
      <c r="G18403" s="67" t="s">
        <v>706</v>
      </c>
      <c r="H18403" s="69">
        <v>-0.62</v>
      </c>
    </row>
    <row r="18404" spans="6:8">
      <c r="F18404" s="68" t="s">
        <v>120</v>
      </c>
      <c r="G18404" s="67" t="s">
        <v>706</v>
      </c>
      <c r="H18404" s="69">
        <v>-0.82</v>
      </c>
    </row>
    <row r="18405" spans="6:8">
      <c r="F18405" s="68" t="s">
        <v>119</v>
      </c>
      <c r="G18405" s="67" t="s">
        <v>706</v>
      </c>
      <c r="H18405" s="69">
        <v>-0.81</v>
      </c>
    </row>
    <row r="18406" spans="6:8">
      <c r="F18406" s="68" t="s">
        <v>662</v>
      </c>
      <c r="G18406" s="67" t="s">
        <v>706</v>
      </c>
      <c r="H18406" s="69">
        <v>112.85941832</v>
      </c>
    </row>
    <row r="18407" spans="6:8">
      <c r="F18407" s="68" t="s">
        <v>420</v>
      </c>
      <c r="G18407" s="67" t="s">
        <v>706</v>
      </c>
      <c r="H18407" s="69">
        <v>3.0935764216510453</v>
      </c>
    </row>
    <row r="18408" spans="6:8">
      <c r="F18408" s="68" t="s">
        <v>420</v>
      </c>
      <c r="G18408" s="67" t="s">
        <v>707</v>
      </c>
      <c r="H18408" s="69">
        <v>3.1399786597886337</v>
      </c>
    </row>
    <row r="18409" spans="6:8">
      <c r="F18409" s="68" t="s">
        <v>662</v>
      </c>
      <c r="G18409" s="67" t="s">
        <v>707</v>
      </c>
      <c r="H18409" s="69">
        <v>112.71191394</v>
      </c>
    </row>
    <row r="18410" spans="6:8">
      <c r="F18410" s="68" t="s">
        <v>119</v>
      </c>
      <c r="G18410" s="67" t="s">
        <v>707</v>
      </c>
      <c r="H18410" s="69">
        <v>-0.8</v>
      </c>
    </row>
    <row r="18411" spans="6:8">
      <c r="F18411" s="68" t="s">
        <v>120</v>
      </c>
      <c r="G18411" s="67" t="s">
        <v>707</v>
      </c>
      <c r="H18411" s="69">
        <v>-0.82</v>
      </c>
    </row>
    <row r="18412" spans="6:8">
      <c r="F18412" s="68" t="s">
        <v>121</v>
      </c>
      <c r="G18412" s="67" t="s">
        <v>707</v>
      </c>
      <c r="H18412" s="69">
        <v>-0.63</v>
      </c>
    </row>
    <row r="18413" spans="6:8">
      <c r="F18413" s="68" t="s">
        <v>251</v>
      </c>
      <c r="G18413" s="67" t="s">
        <v>707</v>
      </c>
      <c r="H18413" s="69">
        <v>0.19</v>
      </c>
    </row>
    <row r="18414" spans="6:8">
      <c r="F18414" s="68" t="s">
        <v>122</v>
      </c>
      <c r="G18414" s="67" t="s">
        <v>707</v>
      </c>
      <c r="H18414" s="69">
        <v>-0.76</v>
      </c>
    </row>
    <row r="18415" spans="6:8">
      <c r="F18415" s="68" t="s">
        <v>123</v>
      </c>
      <c r="G18415" s="67" t="s">
        <v>707</v>
      </c>
      <c r="H18415" s="69">
        <v>-0.94</v>
      </c>
    </row>
    <row r="18416" spans="6:8">
      <c r="F18416" s="68" t="s">
        <v>124</v>
      </c>
      <c r="G18416" s="67" t="s">
        <v>707</v>
      </c>
      <c r="H18416" s="69">
        <v>-0.52</v>
      </c>
    </row>
    <row r="18417" spans="6:8">
      <c r="F18417" s="68" t="s">
        <v>252</v>
      </c>
      <c r="G18417" s="67" t="s">
        <v>707</v>
      </c>
      <c r="H18417" s="69">
        <v>0.26</v>
      </c>
    </row>
    <row r="18418" spans="6:8">
      <c r="F18418" s="68" t="s">
        <v>314</v>
      </c>
      <c r="G18418" s="67" t="s">
        <v>707</v>
      </c>
      <c r="H18418" s="69">
        <v>-0.45</v>
      </c>
    </row>
    <row r="18419" spans="6:8">
      <c r="F18419" s="68" t="s">
        <v>663</v>
      </c>
      <c r="G18419" s="67" t="s">
        <v>707</v>
      </c>
      <c r="H18419" s="69">
        <v>112.71249706</v>
      </c>
    </row>
    <row r="18420" spans="6:8">
      <c r="F18420" s="68" t="s">
        <v>125</v>
      </c>
      <c r="G18420" s="67" t="s">
        <v>707</v>
      </c>
      <c r="H18420" s="69">
        <v>-0.55000000000000004</v>
      </c>
    </row>
    <row r="18421" spans="6:8">
      <c r="F18421" s="68" t="s">
        <v>126</v>
      </c>
      <c r="G18421" s="67" t="s">
        <v>707</v>
      </c>
      <c r="H18421" s="69">
        <v>-0.91</v>
      </c>
    </row>
    <row r="18422" spans="6:8">
      <c r="F18422" s="68" t="s">
        <v>127</v>
      </c>
      <c r="G18422" s="67" t="s">
        <v>707</v>
      </c>
      <c r="H18422" s="69">
        <v>-0.42</v>
      </c>
    </row>
    <row r="18423" spans="6:8">
      <c r="F18423" s="68" t="s">
        <v>253</v>
      </c>
      <c r="G18423" s="67" t="s">
        <v>707</v>
      </c>
      <c r="H18423" s="69">
        <v>0.4</v>
      </c>
    </row>
    <row r="18424" spans="6:8">
      <c r="F18424" s="68" t="s">
        <v>315</v>
      </c>
      <c r="G18424" s="67" t="s">
        <v>707</v>
      </c>
      <c r="H18424" s="69">
        <v>-0.2</v>
      </c>
    </row>
    <row r="18425" spans="6:8">
      <c r="F18425" s="68" t="s">
        <v>664</v>
      </c>
      <c r="G18425" s="67" t="s">
        <v>707</v>
      </c>
      <c r="H18425" s="69">
        <v>112.71229194</v>
      </c>
    </row>
    <row r="18426" spans="6:8">
      <c r="F18426" s="68" t="s">
        <v>128</v>
      </c>
      <c r="G18426" s="67" t="s">
        <v>707</v>
      </c>
      <c r="H18426" s="69">
        <v>-0.86</v>
      </c>
    </row>
    <row r="18427" spans="6:8">
      <c r="F18427" s="68" t="s">
        <v>129</v>
      </c>
      <c r="G18427" s="67" t="s">
        <v>707</v>
      </c>
      <c r="H18427" s="69">
        <v>-0.72</v>
      </c>
    </row>
    <row r="18428" spans="6:8">
      <c r="F18428" s="68" t="s">
        <v>304</v>
      </c>
      <c r="G18428" s="67" t="s">
        <v>707</v>
      </c>
      <c r="H18428" s="69">
        <v>17.9375</v>
      </c>
    </row>
    <row r="18429" spans="6:8">
      <c r="F18429" s="68" t="s">
        <v>254</v>
      </c>
      <c r="G18429" s="67" t="s">
        <v>707</v>
      </c>
      <c r="H18429" s="69">
        <v>0.55000000000000004</v>
      </c>
    </row>
    <row r="18430" spans="6:8">
      <c r="F18430" s="68" t="s">
        <v>421</v>
      </c>
      <c r="G18430" s="67" t="s">
        <v>707</v>
      </c>
      <c r="H18430" s="69">
        <v>2.2471894335121867</v>
      </c>
    </row>
    <row r="18431" spans="6:8">
      <c r="F18431" s="68" t="s">
        <v>567</v>
      </c>
      <c r="G18431" s="67" t="s">
        <v>707</v>
      </c>
      <c r="H18431" s="69">
        <v>-0.89</v>
      </c>
    </row>
    <row r="18432" spans="6:8">
      <c r="F18432" s="68" t="s">
        <v>665</v>
      </c>
      <c r="G18432" s="67" t="s">
        <v>707</v>
      </c>
      <c r="H18432" s="69">
        <v>112.71226552</v>
      </c>
    </row>
    <row r="18433" spans="6:8">
      <c r="F18433" s="68" t="s">
        <v>130</v>
      </c>
      <c r="G18433" s="67" t="s">
        <v>707</v>
      </c>
      <c r="H18433" s="69">
        <v>-1.06</v>
      </c>
    </row>
    <row r="18434" spans="6:8">
      <c r="F18434" s="68" t="s">
        <v>131</v>
      </c>
      <c r="G18434" s="67" t="s">
        <v>707</v>
      </c>
      <c r="H18434" s="69">
        <v>-0.56000000000000005</v>
      </c>
    </row>
    <row r="18435" spans="6:8">
      <c r="F18435" s="68" t="s">
        <v>303</v>
      </c>
      <c r="G18435" s="67" t="s">
        <v>707</v>
      </c>
      <c r="H18435" s="69">
        <v>18.708333333333332</v>
      </c>
    </row>
    <row r="18436" spans="6:8">
      <c r="F18436" s="68" t="s">
        <v>255</v>
      </c>
      <c r="G18436" s="67" t="s">
        <v>707</v>
      </c>
      <c r="H18436" s="69">
        <v>0.7</v>
      </c>
    </row>
    <row r="18437" spans="6:8">
      <c r="F18437" s="68" t="s">
        <v>422</v>
      </c>
      <c r="G18437" s="67" t="s">
        <v>707</v>
      </c>
      <c r="H18437" s="69">
        <v>2.2538174161933267</v>
      </c>
    </row>
    <row r="18438" spans="6:8">
      <c r="F18438" s="68" t="s">
        <v>568</v>
      </c>
      <c r="G18438" s="67" t="s">
        <v>707</v>
      </c>
      <c r="H18438" s="69">
        <v>-0.44</v>
      </c>
    </row>
    <row r="18439" spans="6:8">
      <c r="F18439" s="68" t="s">
        <v>666</v>
      </c>
      <c r="G18439" s="67" t="s">
        <v>707</v>
      </c>
      <c r="H18439" s="69">
        <v>112.71214735</v>
      </c>
    </row>
    <row r="18440" spans="6:8">
      <c r="F18440" s="68" t="s">
        <v>132</v>
      </c>
      <c r="G18440" s="67" t="s">
        <v>707</v>
      </c>
      <c r="H18440" s="69">
        <v>-0.96</v>
      </c>
    </row>
    <row r="18441" spans="6:8">
      <c r="F18441" s="68" t="s">
        <v>133</v>
      </c>
      <c r="G18441" s="67" t="s">
        <v>707</v>
      </c>
      <c r="H18441" s="69">
        <v>-0.62</v>
      </c>
    </row>
    <row r="18442" spans="6:8">
      <c r="F18442" s="68" t="s">
        <v>256</v>
      </c>
      <c r="G18442" s="67" t="s">
        <v>707</v>
      </c>
      <c r="H18442" s="69">
        <v>0.81</v>
      </c>
    </row>
    <row r="18443" spans="6:8">
      <c r="F18443" s="68" t="s">
        <v>423</v>
      </c>
      <c r="G18443" s="67" t="s">
        <v>707</v>
      </c>
      <c r="H18443" s="69">
        <v>2.2900106794790265</v>
      </c>
    </row>
    <row r="18444" spans="6:8">
      <c r="F18444" s="68" t="s">
        <v>569</v>
      </c>
      <c r="G18444" s="67" t="s">
        <v>707</v>
      </c>
      <c r="H18444" s="69">
        <v>-0.2</v>
      </c>
    </row>
    <row r="18445" spans="6:8">
      <c r="F18445" s="68" t="s">
        <v>667</v>
      </c>
      <c r="G18445" s="67" t="s">
        <v>707</v>
      </c>
      <c r="H18445" s="69">
        <v>112.71250465</v>
      </c>
    </row>
    <row r="18446" spans="6:8">
      <c r="F18446" s="68" t="s">
        <v>424</v>
      </c>
      <c r="G18446" s="67" t="s">
        <v>707</v>
      </c>
      <c r="H18446" s="69">
        <v>2.8413775826868992</v>
      </c>
    </row>
    <row r="18447" spans="6:8">
      <c r="F18447" s="68" t="s">
        <v>668</v>
      </c>
      <c r="G18447" s="67" t="s">
        <v>707</v>
      </c>
      <c r="H18447" s="69">
        <v>112.71222055</v>
      </c>
    </row>
    <row r="18448" spans="6:8">
      <c r="F18448" s="68" t="s">
        <v>134</v>
      </c>
      <c r="G18448" s="67" t="s">
        <v>707</v>
      </c>
      <c r="H18448" s="69">
        <v>-0.91</v>
      </c>
    </row>
    <row r="18449" spans="6:8">
      <c r="F18449" s="68" t="s">
        <v>135</v>
      </c>
      <c r="G18449" s="67" t="s">
        <v>707</v>
      </c>
      <c r="H18449" s="69">
        <v>-0.79</v>
      </c>
    </row>
    <row r="18450" spans="6:8">
      <c r="F18450" s="68" t="s">
        <v>257</v>
      </c>
      <c r="G18450" s="67" t="s">
        <v>707</v>
      </c>
      <c r="H18450" s="69">
        <v>0.87</v>
      </c>
    </row>
    <row r="18451" spans="6:8">
      <c r="F18451" s="68" t="s">
        <v>258</v>
      </c>
      <c r="G18451" s="67" t="s">
        <v>707</v>
      </c>
      <c r="H18451" s="69">
        <v>0.15</v>
      </c>
    </row>
    <row r="18452" spans="6:8">
      <c r="F18452" s="68" t="s">
        <v>425</v>
      </c>
      <c r="G18452" s="67" t="s">
        <v>707</v>
      </c>
      <c r="H18452" s="69">
        <v>2.8305883624980765</v>
      </c>
    </row>
    <row r="18453" spans="6:8">
      <c r="F18453" s="68" t="s">
        <v>669</v>
      </c>
      <c r="G18453" s="67" t="s">
        <v>707</v>
      </c>
      <c r="H18453" s="69">
        <v>112.71255141</v>
      </c>
    </row>
    <row r="18454" spans="6:8">
      <c r="F18454" s="68" t="s">
        <v>136</v>
      </c>
      <c r="G18454" s="67" t="s">
        <v>707</v>
      </c>
      <c r="H18454" s="69">
        <v>-0.86</v>
      </c>
    </row>
    <row r="18455" spans="6:8">
      <c r="F18455" s="68" t="s">
        <v>137</v>
      </c>
      <c r="G18455" s="67" t="s">
        <v>707</v>
      </c>
      <c r="H18455" s="69">
        <v>-0.68</v>
      </c>
    </row>
    <row r="18456" spans="6:8">
      <c r="F18456" s="68" t="s">
        <v>138</v>
      </c>
      <c r="G18456" s="67" t="s">
        <v>707</v>
      </c>
      <c r="H18456" s="69">
        <v>-0.73</v>
      </c>
    </row>
    <row r="18457" spans="6:8">
      <c r="F18457" s="68" t="s">
        <v>259</v>
      </c>
      <c r="G18457" s="67" t="s">
        <v>707</v>
      </c>
      <c r="H18457" s="69">
        <v>0.15</v>
      </c>
    </row>
    <row r="18458" spans="6:8">
      <c r="F18458" s="68" t="s">
        <v>259</v>
      </c>
      <c r="G18458" s="67" t="s">
        <v>708</v>
      </c>
      <c r="H18458" s="69">
        <v>0.15</v>
      </c>
    </row>
    <row r="18459" spans="6:8">
      <c r="F18459" s="68" t="s">
        <v>138</v>
      </c>
      <c r="G18459" s="67" t="s">
        <v>708</v>
      </c>
      <c r="H18459" s="69">
        <v>-0.73</v>
      </c>
    </row>
    <row r="18460" spans="6:8">
      <c r="F18460" s="68" t="s">
        <v>137</v>
      </c>
      <c r="G18460" s="67" t="s">
        <v>708</v>
      </c>
      <c r="H18460" s="69">
        <v>-0.68</v>
      </c>
    </row>
    <row r="18461" spans="6:8">
      <c r="F18461" s="68" t="s">
        <v>136</v>
      </c>
      <c r="G18461" s="67" t="s">
        <v>708</v>
      </c>
      <c r="H18461" s="69">
        <v>-0.86</v>
      </c>
    </row>
    <row r="18462" spans="6:8">
      <c r="F18462" s="68" t="s">
        <v>669</v>
      </c>
      <c r="G18462" s="67" t="s">
        <v>708</v>
      </c>
      <c r="H18462" s="69">
        <v>112.56731632</v>
      </c>
    </row>
    <row r="18463" spans="6:8">
      <c r="F18463" s="68" t="s">
        <v>425</v>
      </c>
      <c r="G18463" s="67" t="s">
        <v>708</v>
      </c>
      <c r="H18463" s="69">
        <v>2.8447747452702288</v>
      </c>
    </row>
    <row r="18464" spans="6:8">
      <c r="F18464" s="68" t="s">
        <v>258</v>
      </c>
      <c r="G18464" s="67" t="s">
        <v>708</v>
      </c>
      <c r="H18464" s="69">
        <v>0.15</v>
      </c>
    </row>
    <row r="18465" spans="6:8">
      <c r="F18465" s="68" t="s">
        <v>257</v>
      </c>
      <c r="G18465" s="67" t="s">
        <v>708</v>
      </c>
      <c r="H18465" s="69">
        <v>0.87</v>
      </c>
    </row>
    <row r="18466" spans="6:8">
      <c r="F18466" s="68" t="s">
        <v>135</v>
      </c>
      <c r="G18466" s="67" t="s">
        <v>708</v>
      </c>
      <c r="H18466" s="69">
        <v>-0.79</v>
      </c>
    </row>
    <row r="18467" spans="6:8">
      <c r="F18467" s="68" t="s">
        <v>134</v>
      </c>
      <c r="G18467" s="67" t="s">
        <v>708</v>
      </c>
      <c r="H18467" s="69">
        <v>-0.91</v>
      </c>
    </row>
    <row r="18468" spans="6:8">
      <c r="F18468" s="68" t="s">
        <v>668</v>
      </c>
      <c r="G18468" s="67" t="s">
        <v>708</v>
      </c>
      <c r="H18468" s="69">
        <v>112.56698894</v>
      </c>
    </row>
    <row r="18469" spans="6:8">
      <c r="F18469" s="68" t="s">
        <v>424</v>
      </c>
      <c r="G18469" s="67" t="s">
        <v>708</v>
      </c>
      <c r="H18469" s="69">
        <v>2.8288515920463997</v>
      </c>
    </row>
    <row r="18470" spans="6:8">
      <c r="F18470" s="68" t="s">
        <v>667</v>
      </c>
      <c r="G18470" s="67" t="s">
        <v>708</v>
      </c>
      <c r="H18470" s="69">
        <v>112.56727006</v>
      </c>
    </row>
    <row r="18471" spans="6:8">
      <c r="F18471" s="68" t="s">
        <v>569</v>
      </c>
      <c r="G18471" s="67" t="s">
        <v>708</v>
      </c>
      <c r="H18471" s="69">
        <v>-0.2</v>
      </c>
    </row>
    <row r="18472" spans="6:8">
      <c r="F18472" s="68" t="s">
        <v>423</v>
      </c>
      <c r="G18472" s="67" t="s">
        <v>708</v>
      </c>
      <c r="H18472" s="69">
        <v>2.302287038801909</v>
      </c>
    </row>
    <row r="18473" spans="6:8">
      <c r="F18473" s="68" t="s">
        <v>256</v>
      </c>
      <c r="G18473" s="67" t="s">
        <v>708</v>
      </c>
      <c r="H18473" s="69">
        <v>0.81</v>
      </c>
    </row>
    <row r="18474" spans="6:8">
      <c r="F18474" s="68" t="s">
        <v>133</v>
      </c>
      <c r="G18474" s="67" t="s">
        <v>708</v>
      </c>
      <c r="H18474" s="69">
        <v>-0.62</v>
      </c>
    </row>
    <row r="18475" spans="6:8">
      <c r="F18475" s="68" t="s">
        <v>132</v>
      </c>
      <c r="G18475" s="67" t="s">
        <v>708</v>
      </c>
      <c r="H18475" s="69">
        <v>-0.96</v>
      </c>
    </row>
    <row r="18476" spans="6:8">
      <c r="F18476" s="68" t="s">
        <v>666</v>
      </c>
      <c r="G18476" s="67" t="s">
        <v>708</v>
      </c>
      <c r="H18476" s="69">
        <v>112.56691652000001</v>
      </c>
    </row>
    <row r="18477" spans="6:8">
      <c r="F18477" s="68" t="s">
        <v>568</v>
      </c>
      <c r="G18477" s="67" t="s">
        <v>708</v>
      </c>
      <c r="H18477" s="69">
        <v>-0.44</v>
      </c>
    </row>
    <row r="18478" spans="6:8">
      <c r="F18478" s="68" t="s">
        <v>422</v>
      </c>
      <c r="G18478" s="67" t="s">
        <v>708</v>
      </c>
      <c r="H18478" s="69">
        <v>2.2706553076113689</v>
      </c>
    </row>
    <row r="18479" spans="6:8">
      <c r="F18479" s="68" t="s">
        <v>255</v>
      </c>
      <c r="G18479" s="67" t="s">
        <v>708</v>
      </c>
      <c r="H18479" s="69">
        <v>0.7</v>
      </c>
    </row>
    <row r="18480" spans="6:8">
      <c r="F18480" s="68" t="s">
        <v>303</v>
      </c>
      <c r="G18480" s="67" t="s">
        <v>708</v>
      </c>
      <c r="H18480" s="69">
        <v>18.635416666666668</v>
      </c>
    </row>
    <row r="18481" spans="6:8">
      <c r="F18481" s="68" t="s">
        <v>131</v>
      </c>
      <c r="G18481" s="67" t="s">
        <v>708</v>
      </c>
      <c r="H18481" s="69">
        <v>-0.56000000000000005</v>
      </c>
    </row>
    <row r="18482" spans="6:8">
      <c r="F18482" s="68" t="s">
        <v>130</v>
      </c>
      <c r="G18482" s="67" t="s">
        <v>708</v>
      </c>
      <c r="H18482" s="69">
        <v>-1.06</v>
      </c>
    </row>
    <row r="18483" spans="6:8">
      <c r="F18483" s="68" t="s">
        <v>665</v>
      </c>
      <c r="G18483" s="67" t="s">
        <v>708</v>
      </c>
      <c r="H18483" s="69">
        <v>112.56703344</v>
      </c>
    </row>
    <row r="18484" spans="6:8">
      <c r="F18484" s="68" t="s">
        <v>567</v>
      </c>
      <c r="G18484" s="67" t="s">
        <v>708</v>
      </c>
      <c r="H18484" s="69">
        <v>-0.89</v>
      </c>
    </row>
    <row r="18485" spans="6:8">
      <c r="F18485" s="68" t="s">
        <v>421</v>
      </c>
      <c r="G18485" s="67" t="s">
        <v>708</v>
      </c>
      <c r="H18485" s="69">
        <v>2.2640276479355403</v>
      </c>
    </row>
    <row r="18486" spans="6:8">
      <c r="F18486" s="68" t="s">
        <v>254</v>
      </c>
      <c r="G18486" s="67" t="s">
        <v>708</v>
      </c>
      <c r="H18486" s="69">
        <v>0.55000000000000004</v>
      </c>
    </row>
    <row r="18487" spans="6:8">
      <c r="F18487" s="68" t="s">
        <v>304</v>
      </c>
      <c r="G18487" s="67" t="s">
        <v>708</v>
      </c>
      <c r="H18487" s="69">
        <v>17.90625</v>
      </c>
    </row>
    <row r="18488" spans="6:8">
      <c r="F18488" s="68" t="s">
        <v>129</v>
      </c>
      <c r="G18488" s="67" t="s">
        <v>708</v>
      </c>
      <c r="H18488" s="69">
        <v>-0.72</v>
      </c>
    </row>
    <row r="18489" spans="6:8">
      <c r="F18489" s="68" t="s">
        <v>128</v>
      </c>
      <c r="G18489" s="67" t="s">
        <v>708</v>
      </c>
      <c r="H18489" s="69">
        <v>-0.86</v>
      </c>
    </row>
    <row r="18490" spans="6:8">
      <c r="F18490" s="68" t="s">
        <v>664</v>
      </c>
      <c r="G18490" s="67" t="s">
        <v>708</v>
      </c>
      <c r="H18490" s="69">
        <v>112.56705959</v>
      </c>
    </row>
    <row r="18491" spans="6:8">
      <c r="F18491" s="68" t="s">
        <v>315</v>
      </c>
      <c r="G18491" s="67" t="s">
        <v>708</v>
      </c>
      <c r="H18491" s="69">
        <v>-0.2</v>
      </c>
    </row>
    <row r="18492" spans="6:8">
      <c r="F18492" s="68" t="s">
        <v>253</v>
      </c>
      <c r="G18492" s="67" t="s">
        <v>708</v>
      </c>
      <c r="H18492" s="69">
        <v>0.4</v>
      </c>
    </row>
    <row r="18493" spans="6:8">
      <c r="F18493" s="68" t="s">
        <v>127</v>
      </c>
      <c r="G18493" s="67" t="s">
        <v>708</v>
      </c>
      <c r="H18493" s="69">
        <v>-0.42</v>
      </c>
    </row>
    <row r="18494" spans="6:8">
      <c r="F18494" s="68" t="s">
        <v>126</v>
      </c>
      <c r="G18494" s="67" t="s">
        <v>708</v>
      </c>
      <c r="H18494" s="69">
        <v>-0.91</v>
      </c>
    </row>
    <row r="18495" spans="6:8">
      <c r="F18495" s="68" t="s">
        <v>125</v>
      </c>
      <c r="G18495" s="67" t="s">
        <v>708</v>
      </c>
      <c r="H18495" s="69">
        <v>-0.55000000000000004</v>
      </c>
    </row>
    <row r="18496" spans="6:8">
      <c r="F18496" s="68" t="s">
        <v>663</v>
      </c>
      <c r="G18496" s="67" t="s">
        <v>708</v>
      </c>
      <c r="H18496" s="69">
        <v>112.56726255</v>
      </c>
    </row>
    <row r="18497" spans="6:8">
      <c r="F18497" s="68" t="s">
        <v>314</v>
      </c>
      <c r="G18497" s="67" t="s">
        <v>708</v>
      </c>
      <c r="H18497" s="69">
        <v>-0.45</v>
      </c>
    </row>
    <row r="18498" spans="6:8">
      <c r="F18498" s="68" t="s">
        <v>252</v>
      </c>
      <c r="G18498" s="67" t="s">
        <v>708</v>
      </c>
      <c r="H18498" s="69">
        <v>0.26</v>
      </c>
    </row>
    <row r="18499" spans="6:8">
      <c r="F18499" s="68" t="s">
        <v>124</v>
      </c>
      <c r="G18499" s="67" t="s">
        <v>708</v>
      </c>
      <c r="H18499" s="69">
        <v>-0.52</v>
      </c>
    </row>
    <row r="18500" spans="6:8">
      <c r="F18500" s="68" t="s">
        <v>123</v>
      </c>
      <c r="G18500" s="67" t="s">
        <v>708</v>
      </c>
      <c r="H18500" s="69">
        <v>-0.94</v>
      </c>
    </row>
    <row r="18501" spans="6:8">
      <c r="F18501" s="68" t="s">
        <v>122</v>
      </c>
      <c r="G18501" s="67" t="s">
        <v>708</v>
      </c>
      <c r="H18501" s="69">
        <v>-0.76</v>
      </c>
    </row>
    <row r="18502" spans="6:8">
      <c r="F18502" s="68" t="s">
        <v>251</v>
      </c>
      <c r="G18502" s="67" t="s">
        <v>708</v>
      </c>
      <c r="H18502" s="69">
        <v>0.19</v>
      </c>
    </row>
    <row r="18503" spans="6:8">
      <c r="F18503" s="68" t="s">
        <v>121</v>
      </c>
      <c r="G18503" s="67" t="s">
        <v>708</v>
      </c>
      <c r="H18503" s="69">
        <v>-0.63</v>
      </c>
    </row>
    <row r="18504" spans="6:8">
      <c r="F18504" s="68" t="s">
        <v>120</v>
      </c>
      <c r="G18504" s="67" t="s">
        <v>708</v>
      </c>
      <c r="H18504" s="69">
        <v>-0.82</v>
      </c>
    </row>
    <row r="18505" spans="6:8">
      <c r="F18505" s="68" t="s">
        <v>119</v>
      </c>
      <c r="G18505" s="67" t="s">
        <v>708</v>
      </c>
      <c r="H18505" s="69">
        <v>-0.8</v>
      </c>
    </row>
    <row r="18506" spans="6:8">
      <c r="F18506" s="68" t="s">
        <v>662</v>
      </c>
      <c r="G18506" s="67" t="s">
        <v>708</v>
      </c>
      <c r="H18506" s="69">
        <v>112.56668556</v>
      </c>
    </row>
    <row r="18507" spans="6:8">
      <c r="F18507" s="68" t="s">
        <v>420</v>
      </c>
      <c r="G18507" s="67" t="s">
        <v>708</v>
      </c>
      <c r="H18507" s="69">
        <v>3.164838421731675</v>
      </c>
    </row>
    <row r="18508" spans="6:8">
      <c r="F18508" s="68" t="s">
        <v>420</v>
      </c>
      <c r="G18508" s="67" t="s">
        <v>709</v>
      </c>
      <c r="H18508" s="69">
        <v>3.1828839679523657</v>
      </c>
    </row>
    <row r="18509" spans="6:8">
      <c r="F18509" s="68" t="s">
        <v>662</v>
      </c>
      <c r="G18509" s="67" t="s">
        <v>709</v>
      </c>
      <c r="H18509" s="69">
        <v>112.4214557</v>
      </c>
    </row>
    <row r="18510" spans="6:8">
      <c r="F18510" s="68" t="s">
        <v>119</v>
      </c>
      <c r="G18510" s="67" t="s">
        <v>709</v>
      </c>
      <c r="H18510" s="69">
        <v>-0.8</v>
      </c>
    </row>
    <row r="18511" spans="6:8">
      <c r="F18511" s="68" t="s">
        <v>120</v>
      </c>
      <c r="G18511" s="67" t="s">
        <v>709</v>
      </c>
      <c r="H18511" s="69">
        <v>-0.82</v>
      </c>
    </row>
    <row r="18512" spans="6:8">
      <c r="F18512" s="68" t="s">
        <v>121</v>
      </c>
      <c r="G18512" s="67" t="s">
        <v>709</v>
      </c>
      <c r="H18512" s="69">
        <v>-0.63</v>
      </c>
    </row>
    <row r="18513" spans="6:8">
      <c r="F18513" s="68" t="s">
        <v>251</v>
      </c>
      <c r="G18513" s="67" t="s">
        <v>709</v>
      </c>
      <c r="H18513" s="69">
        <v>0.19</v>
      </c>
    </row>
    <row r="18514" spans="6:8">
      <c r="F18514" s="68" t="s">
        <v>122</v>
      </c>
      <c r="G18514" s="67" t="s">
        <v>709</v>
      </c>
      <c r="H18514" s="69">
        <v>-0.76</v>
      </c>
    </row>
    <row r="18515" spans="6:8">
      <c r="F18515" s="68" t="s">
        <v>123</v>
      </c>
      <c r="G18515" s="67" t="s">
        <v>709</v>
      </c>
      <c r="H18515" s="69">
        <v>-0.94</v>
      </c>
    </row>
    <row r="18516" spans="6:8">
      <c r="F18516" s="68" t="s">
        <v>124</v>
      </c>
      <c r="G18516" s="67" t="s">
        <v>709</v>
      </c>
      <c r="H18516" s="69">
        <v>-0.52</v>
      </c>
    </row>
    <row r="18517" spans="6:8">
      <c r="F18517" s="68" t="s">
        <v>252</v>
      </c>
      <c r="G18517" s="67" t="s">
        <v>709</v>
      </c>
      <c r="H18517" s="69">
        <v>0.26</v>
      </c>
    </row>
    <row r="18518" spans="6:8">
      <c r="F18518" s="68" t="s">
        <v>314</v>
      </c>
      <c r="G18518" s="67" t="s">
        <v>709</v>
      </c>
      <c r="H18518" s="69">
        <v>-0.45</v>
      </c>
    </row>
    <row r="18519" spans="6:8">
      <c r="F18519" s="68" t="s">
        <v>663</v>
      </c>
      <c r="G18519" s="67" t="s">
        <v>709</v>
      </c>
      <c r="H18519" s="69">
        <v>112.42202654</v>
      </c>
    </row>
    <row r="18520" spans="6:8">
      <c r="F18520" s="68" t="s">
        <v>125</v>
      </c>
      <c r="G18520" s="67" t="s">
        <v>709</v>
      </c>
      <c r="H18520" s="69">
        <v>-0.55000000000000004</v>
      </c>
    </row>
    <row r="18521" spans="6:8">
      <c r="F18521" s="68" t="s">
        <v>126</v>
      </c>
      <c r="G18521" s="67" t="s">
        <v>709</v>
      </c>
      <c r="H18521" s="69">
        <v>-0.91</v>
      </c>
    </row>
    <row r="18522" spans="6:8">
      <c r="F18522" s="68" t="s">
        <v>127</v>
      </c>
      <c r="G18522" s="67" t="s">
        <v>709</v>
      </c>
      <c r="H18522" s="69">
        <v>-0.42</v>
      </c>
    </row>
    <row r="18523" spans="6:8">
      <c r="F18523" s="68" t="s">
        <v>253</v>
      </c>
      <c r="G18523" s="67" t="s">
        <v>709</v>
      </c>
      <c r="H18523" s="69">
        <v>0.4</v>
      </c>
    </row>
    <row r="18524" spans="6:8">
      <c r="F18524" s="68" t="s">
        <v>315</v>
      </c>
      <c r="G18524" s="67" t="s">
        <v>709</v>
      </c>
      <c r="H18524" s="69">
        <v>-0.2</v>
      </c>
    </row>
    <row r="18525" spans="6:8">
      <c r="F18525" s="68" t="s">
        <v>664</v>
      </c>
      <c r="G18525" s="67" t="s">
        <v>709</v>
      </c>
      <c r="H18525" s="69">
        <v>112.42182574</v>
      </c>
    </row>
    <row r="18526" spans="6:8">
      <c r="F18526" s="68" t="s">
        <v>128</v>
      </c>
      <c r="G18526" s="67" t="s">
        <v>709</v>
      </c>
      <c r="H18526" s="69">
        <v>-0.86</v>
      </c>
    </row>
    <row r="18527" spans="6:8">
      <c r="F18527" s="68" t="s">
        <v>129</v>
      </c>
      <c r="G18527" s="67" t="s">
        <v>709</v>
      </c>
      <c r="H18527" s="69">
        <v>-0.72</v>
      </c>
    </row>
    <row r="18528" spans="6:8">
      <c r="F18528" s="68" t="s">
        <v>304</v>
      </c>
      <c r="G18528" s="67" t="s">
        <v>709</v>
      </c>
      <c r="H18528" s="69">
        <v>17.822916666666668</v>
      </c>
    </row>
    <row r="18529" spans="6:8">
      <c r="F18529" s="68" t="s">
        <v>254</v>
      </c>
      <c r="G18529" s="67" t="s">
        <v>709</v>
      </c>
      <c r="H18529" s="69">
        <v>0.55000000000000004</v>
      </c>
    </row>
    <row r="18530" spans="6:8">
      <c r="F18530" s="68" t="s">
        <v>421</v>
      </c>
      <c r="G18530" s="67" t="s">
        <v>709</v>
      </c>
      <c r="H18530" s="69">
        <v>2.2856916142244277</v>
      </c>
    </row>
    <row r="18531" spans="6:8">
      <c r="F18531" s="68" t="s">
        <v>567</v>
      </c>
      <c r="G18531" s="67" t="s">
        <v>709</v>
      </c>
      <c r="H18531" s="69">
        <v>-0.89</v>
      </c>
    </row>
    <row r="18532" spans="6:8">
      <c r="F18532" s="68" t="s">
        <v>665</v>
      </c>
      <c r="G18532" s="67" t="s">
        <v>709</v>
      </c>
      <c r="H18532" s="69">
        <v>112.42179987999999</v>
      </c>
    </row>
    <row r="18533" spans="6:8">
      <c r="F18533" s="68" t="s">
        <v>130</v>
      </c>
      <c r="G18533" s="67" t="s">
        <v>709</v>
      </c>
      <c r="H18533" s="69">
        <v>-1.06</v>
      </c>
    </row>
    <row r="18534" spans="6:8">
      <c r="F18534" s="68" t="s">
        <v>131</v>
      </c>
      <c r="G18534" s="67" t="s">
        <v>709</v>
      </c>
      <c r="H18534" s="69">
        <v>-0.56000000000000005</v>
      </c>
    </row>
    <row r="18535" spans="6:8">
      <c r="F18535" s="68" t="s">
        <v>303</v>
      </c>
      <c r="G18535" s="67" t="s">
        <v>709</v>
      </c>
      <c r="H18535" s="69">
        <v>18.59375</v>
      </c>
    </row>
    <row r="18536" spans="6:8">
      <c r="F18536" s="68" t="s">
        <v>255</v>
      </c>
      <c r="G18536" s="67" t="s">
        <v>709</v>
      </c>
      <c r="H18536" s="69">
        <v>0.7</v>
      </c>
    </row>
    <row r="18537" spans="6:8">
      <c r="F18537" s="68" t="s">
        <v>422</v>
      </c>
      <c r="G18537" s="67" t="s">
        <v>709</v>
      </c>
      <c r="H18537" s="69">
        <v>2.292376545007313</v>
      </c>
    </row>
    <row r="18538" spans="6:8">
      <c r="F18538" s="68" t="s">
        <v>568</v>
      </c>
      <c r="G18538" s="67" t="s">
        <v>709</v>
      </c>
      <c r="H18538" s="69">
        <v>-0.44</v>
      </c>
    </row>
    <row r="18539" spans="6:8">
      <c r="F18539" s="68" t="s">
        <v>666</v>
      </c>
      <c r="G18539" s="67" t="s">
        <v>709</v>
      </c>
      <c r="H18539" s="69">
        <v>112.42168418999999</v>
      </c>
    </row>
    <row r="18540" spans="6:8">
      <c r="F18540" s="68" t="s">
        <v>132</v>
      </c>
      <c r="G18540" s="67" t="s">
        <v>709</v>
      </c>
      <c r="H18540" s="69">
        <v>-0.96</v>
      </c>
    </row>
    <row r="18541" spans="6:8">
      <c r="F18541" s="68" t="s">
        <v>133</v>
      </c>
      <c r="G18541" s="67" t="s">
        <v>709</v>
      </c>
      <c r="H18541" s="69">
        <v>-0.62</v>
      </c>
    </row>
    <row r="18542" spans="6:8">
      <c r="F18542" s="68" t="s">
        <v>256</v>
      </c>
      <c r="G18542" s="67" t="s">
        <v>709</v>
      </c>
      <c r="H18542" s="69">
        <v>0.81</v>
      </c>
    </row>
    <row r="18543" spans="6:8">
      <c r="F18543" s="68" t="s">
        <v>423</v>
      </c>
      <c r="G18543" s="67" t="s">
        <v>709</v>
      </c>
      <c r="H18543" s="69">
        <v>2.3238291961968027</v>
      </c>
    </row>
    <row r="18544" spans="6:8">
      <c r="F18544" s="68" t="s">
        <v>569</v>
      </c>
      <c r="G18544" s="67" t="s">
        <v>709</v>
      </c>
      <c r="H18544" s="69">
        <v>-0.2</v>
      </c>
    </row>
    <row r="18545" spans="6:8">
      <c r="F18545" s="68" t="s">
        <v>667</v>
      </c>
      <c r="G18545" s="67" t="s">
        <v>709</v>
      </c>
      <c r="H18545" s="69">
        <v>112.42203397</v>
      </c>
    </row>
    <row r="18546" spans="6:8">
      <c r="F18546" s="68" t="s">
        <v>424</v>
      </c>
      <c r="G18546" s="67" t="s">
        <v>709</v>
      </c>
      <c r="H18546" s="69">
        <v>2.8547803063168953</v>
      </c>
    </row>
    <row r="18547" spans="6:8">
      <c r="F18547" s="68" t="s">
        <v>668</v>
      </c>
      <c r="G18547" s="67" t="s">
        <v>709</v>
      </c>
      <c r="H18547" s="69">
        <v>112.42175585</v>
      </c>
    </row>
    <row r="18548" spans="6:8">
      <c r="F18548" s="68" t="s">
        <v>134</v>
      </c>
      <c r="G18548" s="67" t="s">
        <v>709</v>
      </c>
      <c r="H18548" s="69">
        <v>-0.91</v>
      </c>
    </row>
    <row r="18549" spans="6:8">
      <c r="F18549" s="68" t="s">
        <v>135</v>
      </c>
      <c r="G18549" s="67" t="s">
        <v>709</v>
      </c>
      <c r="H18549" s="69">
        <v>-0.79</v>
      </c>
    </row>
    <row r="18550" spans="6:8">
      <c r="F18550" s="68" t="s">
        <v>257</v>
      </c>
      <c r="G18550" s="67" t="s">
        <v>709</v>
      </c>
      <c r="H18550" s="69">
        <v>0.87</v>
      </c>
    </row>
    <row r="18551" spans="6:8">
      <c r="F18551" s="68" t="s">
        <v>258</v>
      </c>
      <c r="G18551" s="67" t="s">
        <v>709</v>
      </c>
      <c r="H18551" s="69">
        <v>0.15</v>
      </c>
    </row>
    <row r="18552" spans="6:8">
      <c r="F18552" s="68" t="s">
        <v>425</v>
      </c>
      <c r="G18552" s="67" t="s">
        <v>709</v>
      </c>
      <c r="H18552" s="69">
        <v>2.8611318336371649</v>
      </c>
    </row>
    <row r="18553" spans="6:8">
      <c r="F18553" s="68" t="s">
        <v>669</v>
      </c>
      <c r="G18553" s="67" t="s">
        <v>709</v>
      </c>
      <c r="H18553" s="69">
        <v>112.42207974</v>
      </c>
    </row>
    <row r="18554" spans="6:8">
      <c r="F18554" s="68" t="s">
        <v>136</v>
      </c>
      <c r="G18554" s="67" t="s">
        <v>709</v>
      </c>
      <c r="H18554" s="69">
        <v>-0.86</v>
      </c>
    </row>
    <row r="18555" spans="6:8">
      <c r="F18555" s="68" t="s">
        <v>137</v>
      </c>
      <c r="G18555" s="67" t="s">
        <v>709</v>
      </c>
      <c r="H18555" s="69">
        <v>-0.68</v>
      </c>
    </row>
    <row r="18556" spans="6:8">
      <c r="F18556" s="68" t="s">
        <v>138</v>
      </c>
      <c r="G18556" s="67" t="s">
        <v>709</v>
      </c>
      <c r="H18556" s="69">
        <v>-0.73</v>
      </c>
    </row>
    <row r="18557" spans="6:8">
      <c r="F18557" s="68" t="s">
        <v>259</v>
      </c>
      <c r="G18557" s="67" t="s">
        <v>709</v>
      </c>
      <c r="H18557" s="69">
        <v>0.15</v>
      </c>
    </row>
    <row r="18558" spans="6:8">
      <c r="F18558" s="68" t="s">
        <v>259</v>
      </c>
      <c r="G18558" s="67" t="s">
        <v>710</v>
      </c>
      <c r="H18558" s="69">
        <v>0.15</v>
      </c>
    </row>
    <row r="18559" spans="6:8">
      <c r="F18559" s="68" t="s">
        <v>138</v>
      </c>
      <c r="G18559" s="67" t="s">
        <v>710</v>
      </c>
      <c r="H18559" s="69">
        <v>-0.72499999999999998</v>
      </c>
    </row>
    <row r="18560" spans="6:8">
      <c r="F18560" s="68" t="s">
        <v>137</v>
      </c>
      <c r="G18560" s="67" t="s">
        <v>710</v>
      </c>
      <c r="H18560" s="69">
        <v>-0.67999999999999994</v>
      </c>
    </row>
    <row r="18561" spans="6:8">
      <c r="F18561" s="68" t="s">
        <v>136</v>
      </c>
      <c r="G18561" s="67" t="s">
        <v>710</v>
      </c>
      <c r="H18561" s="69">
        <v>-0.84499999999999997</v>
      </c>
    </row>
    <row r="18562" spans="6:8">
      <c r="F18562" s="68" t="s">
        <v>669</v>
      </c>
      <c r="G18562" s="67" t="s">
        <v>710</v>
      </c>
      <c r="H18562" s="69">
        <v>112.50272294</v>
      </c>
    </row>
    <row r="18563" spans="6:8">
      <c r="F18563" s="68" t="s">
        <v>425</v>
      </c>
      <c r="G18563" s="67" t="s">
        <v>710</v>
      </c>
      <c r="H18563" s="69">
        <v>2.8374046930907504</v>
      </c>
    </row>
    <row r="18564" spans="6:8">
      <c r="F18564" s="68" t="s">
        <v>258</v>
      </c>
      <c r="G18564" s="67" t="s">
        <v>710</v>
      </c>
      <c r="H18564" s="69">
        <v>0.15</v>
      </c>
    </row>
    <row r="18565" spans="6:8">
      <c r="F18565" s="68" t="s">
        <v>257</v>
      </c>
      <c r="G18565" s="67" t="s">
        <v>710</v>
      </c>
      <c r="H18565" s="69">
        <v>0.8833333333333333</v>
      </c>
    </row>
    <row r="18566" spans="6:8">
      <c r="F18566" s="68" t="s">
        <v>135</v>
      </c>
      <c r="G18566" s="67" t="s">
        <v>710</v>
      </c>
      <c r="H18566" s="69">
        <v>-0.78499999999999992</v>
      </c>
    </row>
    <row r="18567" spans="6:8">
      <c r="F18567" s="68" t="s">
        <v>134</v>
      </c>
      <c r="G18567" s="67" t="s">
        <v>710</v>
      </c>
      <c r="H18567" s="69">
        <v>-0.89999999999999991</v>
      </c>
    </row>
    <row r="18568" spans="6:8">
      <c r="F18568" s="68" t="s">
        <v>668</v>
      </c>
      <c r="G18568" s="67" t="s">
        <v>710</v>
      </c>
      <c r="H18568" s="69">
        <v>112.50239658</v>
      </c>
    </row>
    <row r="18569" spans="6:8">
      <c r="F18569" s="68" t="s">
        <v>424</v>
      </c>
      <c r="G18569" s="67" t="s">
        <v>710</v>
      </c>
      <c r="H18569" s="69">
        <v>2.8253605263113712</v>
      </c>
    </row>
    <row r="18570" spans="6:8">
      <c r="F18570" s="68" t="s">
        <v>667</v>
      </c>
      <c r="G18570" s="67" t="s">
        <v>710</v>
      </c>
      <c r="H18570" s="69">
        <v>112.50267682</v>
      </c>
    </row>
    <row r="18571" spans="6:8">
      <c r="F18571" s="68" t="s">
        <v>569</v>
      </c>
      <c r="G18571" s="67" t="s">
        <v>710</v>
      </c>
      <c r="H18571" s="69">
        <v>-0.19</v>
      </c>
    </row>
    <row r="18572" spans="6:8">
      <c r="F18572" s="68" t="s">
        <v>423</v>
      </c>
      <c r="G18572" s="67" t="s">
        <v>710</v>
      </c>
      <c r="H18572" s="69">
        <v>2.3100403175862816</v>
      </c>
    </row>
    <row r="18573" spans="6:8">
      <c r="F18573" s="68" t="s">
        <v>256</v>
      </c>
      <c r="G18573" s="67" t="s">
        <v>710</v>
      </c>
      <c r="H18573" s="69">
        <v>0.8214285714285714</v>
      </c>
    </row>
    <row r="18574" spans="6:8">
      <c r="F18574" s="68" t="s">
        <v>133</v>
      </c>
      <c r="G18574" s="67" t="s">
        <v>710</v>
      </c>
      <c r="H18574" s="69">
        <v>-0.62</v>
      </c>
    </row>
    <row r="18575" spans="6:8">
      <c r="F18575" s="68" t="s">
        <v>132</v>
      </c>
      <c r="G18575" s="67" t="s">
        <v>710</v>
      </c>
      <c r="H18575" s="69">
        <v>-0.95</v>
      </c>
    </row>
    <row r="18576" spans="6:8">
      <c r="F18576" s="68" t="s">
        <v>666</v>
      </c>
      <c r="G18576" s="67" t="s">
        <v>710</v>
      </c>
      <c r="H18576" s="69">
        <v>112.50232438</v>
      </c>
    </row>
    <row r="18577" spans="6:8">
      <c r="F18577" s="68" t="s">
        <v>568</v>
      </c>
      <c r="G18577" s="67" t="s">
        <v>710</v>
      </c>
      <c r="H18577" s="69">
        <v>-0.42500000000000004</v>
      </c>
    </row>
    <row r="18578" spans="6:8">
      <c r="F18578" s="68" t="s">
        <v>422</v>
      </c>
      <c r="G18578" s="67" t="s">
        <v>710</v>
      </c>
      <c r="H18578" s="69">
        <v>2.2744240670639737</v>
      </c>
    </row>
    <row r="18579" spans="6:8">
      <c r="F18579" s="68" t="s">
        <v>255</v>
      </c>
      <c r="G18579" s="67" t="s">
        <v>710</v>
      </c>
      <c r="H18579" s="69">
        <v>0.71571428571428564</v>
      </c>
    </row>
    <row r="18580" spans="6:8">
      <c r="F18580" s="68" t="s">
        <v>303</v>
      </c>
      <c r="G18580" s="67" t="s">
        <v>710</v>
      </c>
      <c r="H18580" s="69">
        <v>18.583333333333332</v>
      </c>
    </row>
    <row r="18581" spans="6:8">
      <c r="F18581" s="68" t="s">
        <v>131</v>
      </c>
      <c r="G18581" s="67" t="s">
        <v>710</v>
      </c>
      <c r="H18581" s="69">
        <v>-0.55000000000000004</v>
      </c>
    </row>
    <row r="18582" spans="6:8">
      <c r="F18582" s="68" t="s">
        <v>130</v>
      </c>
      <c r="G18582" s="67" t="s">
        <v>710</v>
      </c>
      <c r="H18582" s="69">
        <v>-1.05</v>
      </c>
    </row>
    <row r="18583" spans="6:8">
      <c r="F18583" s="68" t="s">
        <v>665</v>
      </c>
      <c r="G18583" s="67" t="s">
        <v>710</v>
      </c>
      <c r="H18583" s="69">
        <v>112.50244094999999</v>
      </c>
    </row>
    <row r="18584" spans="6:8">
      <c r="F18584" s="68" t="s">
        <v>567</v>
      </c>
      <c r="G18584" s="67" t="s">
        <v>710</v>
      </c>
      <c r="H18584" s="69">
        <v>-0.875</v>
      </c>
    </row>
    <row r="18585" spans="6:8">
      <c r="F18585" s="68" t="s">
        <v>421</v>
      </c>
      <c r="G18585" s="67" t="s">
        <v>710</v>
      </c>
      <c r="H18585" s="69">
        <v>2.2677980943365039</v>
      </c>
    </row>
    <row r="18586" spans="6:8">
      <c r="F18586" s="68" t="s">
        <v>254</v>
      </c>
      <c r="G18586" s="67" t="s">
        <v>710</v>
      </c>
      <c r="H18586" s="69">
        <v>0.56142857142857139</v>
      </c>
    </row>
    <row r="18587" spans="6:8">
      <c r="F18587" s="68" t="s">
        <v>304</v>
      </c>
      <c r="G18587" s="67" t="s">
        <v>710</v>
      </c>
      <c r="H18587" s="69">
        <v>17.8125</v>
      </c>
    </row>
    <row r="18588" spans="6:8">
      <c r="F18588" s="68" t="s">
        <v>129</v>
      </c>
      <c r="G18588" s="67" t="s">
        <v>710</v>
      </c>
      <c r="H18588" s="69">
        <v>-0.71500000000000008</v>
      </c>
    </row>
    <row r="18589" spans="6:8">
      <c r="F18589" s="68" t="s">
        <v>128</v>
      </c>
      <c r="G18589" s="67" t="s">
        <v>710</v>
      </c>
      <c r="H18589" s="69">
        <v>-0.86</v>
      </c>
    </row>
    <row r="18590" spans="6:8">
      <c r="F18590" s="68" t="s">
        <v>664</v>
      </c>
      <c r="G18590" s="67" t="s">
        <v>710</v>
      </c>
      <c r="H18590" s="69">
        <v>112.50246701</v>
      </c>
    </row>
    <row r="18591" spans="6:8">
      <c r="F18591" s="68" t="s">
        <v>315</v>
      </c>
      <c r="G18591" s="67" t="s">
        <v>710</v>
      </c>
      <c r="H18591" s="69">
        <v>-0.19500000000000001</v>
      </c>
    </row>
    <row r="18592" spans="6:8">
      <c r="F18592" s="68" t="s">
        <v>253</v>
      </c>
      <c r="G18592" s="67" t="s">
        <v>710</v>
      </c>
      <c r="H18592" s="69">
        <v>0.40571428571428569</v>
      </c>
    </row>
    <row r="18593" spans="6:8">
      <c r="F18593" s="68" t="s">
        <v>127</v>
      </c>
      <c r="G18593" s="67" t="s">
        <v>710</v>
      </c>
      <c r="H18593" s="69">
        <v>-0.42000000000000004</v>
      </c>
    </row>
    <row r="18594" spans="6:8">
      <c r="F18594" s="68" t="s">
        <v>126</v>
      </c>
      <c r="G18594" s="67" t="s">
        <v>710</v>
      </c>
      <c r="H18594" s="69">
        <v>-0.90500000000000003</v>
      </c>
    </row>
    <row r="18595" spans="6:8">
      <c r="F18595" s="68" t="s">
        <v>125</v>
      </c>
      <c r="G18595" s="67" t="s">
        <v>710</v>
      </c>
      <c r="H18595" s="69">
        <v>-0.54</v>
      </c>
    </row>
    <row r="18596" spans="6:8">
      <c r="F18596" s="68" t="s">
        <v>663</v>
      </c>
      <c r="G18596" s="67" t="s">
        <v>710</v>
      </c>
      <c r="H18596" s="69">
        <v>112.50266934</v>
      </c>
    </row>
    <row r="18597" spans="6:8">
      <c r="F18597" s="68" t="s">
        <v>314</v>
      </c>
      <c r="G18597" s="67" t="s">
        <v>710</v>
      </c>
      <c r="H18597" s="69">
        <v>-0.43</v>
      </c>
    </row>
    <row r="18598" spans="6:8">
      <c r="F18598" s="68" t="s">
        <v>252</v>
      </c>
      <c r="G18598" s="67" t="s">
        <v>710</v>
      </c>
      <c r="H18598" s="69">
        <v>0.26857142857142857</v>
      </c>
    </row>
    <row r="18599" spans="6:8">
      <c r="F18599" s="68" t="s">
        <v>124</v>
      </c>
      <c r="G18599" s="67" t="s">
        <v>710</v>
      </c>
      <c r="H18599" s="69">
        <v>-0.51500000000000001</v>
      </c>
    </row>
    <row r="18600" spans="6:8">
      <c r="F18600" s="68" t="s">
        <v>123</v>
      </c>
      <c r="G18600" s="67" t="s">
        <v>710</v>
      </c>
      <c r="H18600" s="69">
        <v>-0.93500000000000005</v>
      </c>
    </row>
    <row r="18601" spans="6:8">
      <c r="F18601" s="68" t="s">
        <v>122</v>
      </c>
      <c r="G18601" s="67" t="s">
        <v>710</v>
      </c>
      <c r="H18601" s="69">
        <v>-0.74</v>
      </c>
    </row>
    <row r="18602" spans="6:8">
      <c r="F18602" s="68" t="s">
        <v>251</v>
      </c>
      <c r="G18602" s="67" t="s">
        <v>710</v>
      </c>
      <c r="H18602" s="69">
        <v>0.19285714285714287</v>
      </c>
    </row>
    <row r="18603" spans="6:8">
      <c r="F18603" s="68" t="s">
        <v>121</v>
      </c>
      <c r="G18603" s="67" t="s">
        <v>710</v>
      </c>
      <c r="H18603" s="69">
        <v>-0.625</v>
      </c>
    </row>
    <row r="18604" spans="6:8">
      <c r="F18604" s="68" t="s">
        <v>120</v>
      </c>
      <c r="G18604" s="67" t="s">
        <v>710</v>
      </c>
      <c r="H18604" s="69">
        <v>-0.82000000000000006</v>
      </c>
    </row>
    <row r="18605" spans="6:8">
      <c r="F18605" s="68" t="s">
        <v>119</v>
      </c>
      <c r="G18605" s="67" t="s">
        <v>710</v>
      </c>
      <c r="H18605" s="69">
        <v>-0.78</v>
      </c>
    </row>
    <row r="18606" spans="6:8">
      <c r="F18606" s="68" t="s">
        <v>662</v>
      </c>
      <c r="G18606" s="67" t="s">
        <v>710</v>
      </c>
      <c r="H18606" s="69">
        <v>112.50209415</v>
      </c>
    </row>
    <row r="18607" spans="6:8">
      <c r="F18607" s="68" t="s">
        <v>420</v>
      </c>
      <c r="G18607" s="67" t="s">
        <v>710</v>
      </c>
      <c r="H18607" s="69">
        <v>3.1567795766011653</v>
      </c>
    </row>
    <row r="18608" spans="6:8">
      <c r="F18608" s="68" t="s">
        <v>420</v>
      </c>
      <c r="G18608" s="67" t="s">
        <v>711</v>
      </c>
      <c r="H18608" s="69">
        <v>3.1508216358267838</v>
      </c>
    </row>
    <row r="18609" spans="6:8">
      <c r="F18609" s="68" t="s">
        <v>662</v>
      </c>
      <c r="G18609" s="67" t="s">
        <v>711</v>
      </c>
      <c r="H18609" s="69">
        <v>112.51263622</v>
      </c>
    </row>
    <row r="18610" spans="6:8">
      <c r="F18610" s="68" t="s">
        <v>119</v>
      </c>
      <c r="G18610" s="67" t="s">
        <v>711</v>
      </c>
      <c r="H18610" s="69">
        <v>-0.78</v>
      </c>
    </row>
    <row r="18611" spans="6:8">
      <c r="F18611" s="68" t="s">
        <v>120</v>
      </c>
      <c r="G18611" s="67" t="s">
        <v>711</v>
      </c>
      <c r="H18611" s="69">
        <v>-0.82000000000000006</v>
      </c>
    </row>
    <row r="18612" spans="6:8">
      <c r="F18612" s="68" t="s">
        <v>121</v>
      </c>
      <c r="G18612" s="67" t="s">
        <v>711</v>
      </c>
      <c r="H18612" s="69">
        <v>-0.625</v>
      </c>
    </row>
    <row r="18613" spans="6:8">
      <c r="F18613" s="68" t="s">
        <v>251</v>
      </c>
      <c r="G18613" s="67" t="s">
        <v>711</v>
      </c>
      <c r="H18613" s="69">
        <v>0.19285714285714287</v>
      </c>
    </row>
    <row r="18614" spans="6:8">
      <c r="F18614" s="68" t="s">
        <v>122</v>
      </c>
      <c r="G18614" s="67" t="s">
        <v>711</v>
      </c>
      <c r="H18614" s="69">
        <v>-0.74</v>
      </c>
    </row>
    <row r="18615" spans="6:8">
      <c r="F18615" s="68" t="s">
        <v>123</v>
      </c>
      <c r="G18615" s="67" t="s">
        <v>711</v>
      </c>
      <c r="H18615" s="69">
        <v>-0.93500000000000005</v>
      </c>
    </row>
    <row r="18616" spans="6:8">
      <c r="F18616" s="68" t="s">
        <v>124</v>
      </c>
      <c r="G18616" s="67" t="s">
        <v>711</v>
      </c>
      <c r="H18616" s="69">
        <v>-0.51500000000000001</v>
      </c>
    </row>
    <row r="18617" spans="6:8">
      <c r="F18617" s="68" t="s">
        <v>252</v>
      </c>
      <c r="G18617" s="67" t="s">
        <v>711</v>
      </c>
      <c r="H18617" s="69">
        <v>0.26857142857142857</v>
      </c>
    </row>
    <row r="18618" spans="6:8">
      <c r="F18618" s="68" t="s">
        <v>314</v>
      </c>
      <c r="G18618" s="67" t="s">
        <v>711</v>
      </c>
      <c r="H18618" s="69">
        <v>-0.43</v>
      </c>
    </row>
    <row r="18619" spans="6:8">
      <c r="F18619" s="68" t="s">
        <v>663</v>
      </c>
      <c r="G18619" s="67" t="s">
        <v>711</v>
      </c>
      <c r="H18619" s="69">
        <v>112.51321249999999</v>
      </c>
    </row>
    <row r="18620" spans="6:8">
      <c r="F18620" s="68" t="s">
        <v>125</v>
      </c>
      <c r="G18620" s="67" t="s">
        <v>711</v>
      </c>
      <c r="H18620" s="69">
        <v>-0.54</v>
      </c>
    </row>
    <row r="18621" spans="6:8">
      <c r="F18621" s="68" t="s">
        <v>126</v>
      </c>
      <c r="G18621" s="67" t="s">
        <v>711</v>
      </c>
      <c r="H18621" s="69">
        <v>-0.90500000000000003</v>
      </c>
    </row>
    <row r="18622" spans="6:8">
      <c r="F18622" s="68" t="s">
        <v>127</v>
      </c>
      <c r="G18622" s="67" t="s">
        <v>711</v>
      </c>
      <c r="H18622" s="69">
        <v>-0.42000000000000004</v>
      </c>
    </row>
    <row r="18623" spans="6:8">
      <c r="F18623" s="68" t="s">
        <v>253</v>
      </c>
      <c r="G18623" s="67" t="s">
        <v>711</v>
      </c>
      <c r="H18623" s="69">
        <v>0.40571428571428569</v>
      </c>
    </row>
    <row r="18624" spans="6:8">
      <c r="F18624" s="68" t="s">
        <v>315</v>
      </c>
      <c r="G18624" s="67" t="s">
        <v>711</v>
      </c>
      <c r="H18624" s="69">
        <v>-0.19500000000000001</v>
      </c>
    </row>
    <row r="18625" spans="6:8">
      <c r="F18625" s="68" t="s">
        <v>664</v>
      </c>
      <c r="G18625" s="67" t="s">
        <v>711</v>
      </c>
      <c r="H18625" s="69">
        <v>112.51300979</v>
      </c>
    </row>
    <row r="18626" spans="6:8">
      <c r="F18626" s="68" t="s">
        <v>128</v>
      </c>
      <c r="G18626" s="67" t="s">
        <v>711</v>
      </c>
      <c r="H18626" s="69">
        <v>-0.86</v>
      </c>
    </row>
    <row r="18627" spans="6:8">
      <c r="F18627" s="68" t="s">
        <v>129</v>
      </c>
      <c r="G18627" s="67" t="s">
        <v>711</v>
      </c>
      <c r="H18627" s="69">
        <v>-0.71500000000000008</v>
      </c>
    </row>
    <row r="18628" spans="6:8">
      <c r="F18628" s="68" t="s">
        <v>304</v>
      </c>
      <c r="G18628" s="67" t="s">
        <v>711</v>
      </c>
      <c r="H18628" s="69">
        <v>17.791666666666668</v>
      </c>
    </row>
    <row r="18629" spans="6:8">
      <c r="F18629" s="68" t="s">
        <v>254</v>
      </c>
      <c r="G18629" s="67" t="s">
        <v>711</v>
      </c>
      <c r="H18629" s="69">
        <v>0.56142857142857139</v>
      </c>
    </row>
    <row r="18630" spans="6:8">
      <c r="F18630" s="68" t="s">
        <v>421</v>
      </c>
      <c r="G18630" s="67" t="s">
        <v>711</v>
      </c>
      <c r="H18630" s="69">
        <v>2.2819450646881734</v>
      </c>
    </row>
    <row r="18631" spans="6:8">
      <c r="F18631" s="68" t="s">
        <v>567</v>
      </c>
      <c r="G18631" s="67" t="s">
        <v>711</v>
      </c>
      <c r="H18631" s="69">
        <v>-0.875</v>
      </c>
    </row>
    <row r="18632" spans="6:8">
      <c r="F18632" s="68" t="s">
        <v>665</v>
      </c>
      <c r="G18632" s="67" t="s">
        <v>711</v>
      </c>
      <c r="H18632" s="69">
        <v>112.51298367</v>
      </c>
    </row>
    <row r="18633" spans="6:8">
      <c r="F18633" s="68" t="s">
        <v>130</v>
      </c>
      <c r="G18633" s="67" t="s">
        <v>711</v>
      </c>
      <c r="H18633" s="69">
        <v>-1.05</v>
      </c>
    </row>
    <row r="18634" spans="6:8">
      <c r="F18634" s="68" t="s">
        <v>131</v>
      </c>
      <c r="G18634" s="67" t="s">
        <v>711</v>
      </c>
      <c r="H18634" s="69">
        <v>-0.55000000000000004</v>
      </c>
    </row>
    <row r="18635" spans="6:8">
      <c r="F18635" s="68" t="s">
        <v>303</v>
      </c>
      <c r="G18635" s="67" t="s">
        <v>711</v>
      </c>
      <c r="H18635" s="69">
        <v>18.5625</v>
      </c>
    </row>
    <row r="18636" spans="6:8">
      <c r="F18636" s="68" t="s">
        <v>255</v>
      </c>
      <c r="G18636" s="67" t="s">
        <v>711</v>
      </c>
      <c r="H18636" s="69">
        <v>0.71571428571428564</v>
      </c>
    </row>
    <row r="18637" spans="6:8">
      <c r="F18637" s="68" t="s">
        <v>422</v>
      </c>
      <c r="G18637" s="67" t="s">
        <v>711</v>
      </c>
      <c r="H18637" s="69">
        <v>2.2885844559110691</v>
      </c>
    </row>
    <row r="18638" spans="6:8">
      <c r="F18638" s="68" t="s">
        <v>568</v>
      </c>
      <c r="G18638" s="67" t="s">
        <v>711</v>
      </c>
      <c r="H18638" s="69">
        <v>-0.42500000000000004</v>
      </c>
    </row>
    <row r="18639" spans="6:8">
      <c r="F18639" s="68" t="s">
        <v>666</v>
      </c>
      <c r="G18639" s="67" t="s">
        <v>711</v>
      </c>
      <c r="H18639" s="69">
        <v>112.51286689</v>
      </c>
    </row>
    <row r="18640" spans="6:8">
      <c r="F18640" s="68" t="s">
        <v>132</v>
      </c>
      <c r="G18640" s="67" t="s">
        <v>711</v>
      </c>
      <c r="H18640" s="69">
        <v>-0.95</v>
      </c>
    </row>
    <row r="18641" spans="6:8">
      <c r="F18641" s="68" t="s">
        <v>133</v>
      </c>
      <c r="G18641" s="67" t="s">
        <v>711</v>
      </c>
      <c r="H18641" s="69">
        <v>-0.62</v>
      </c>
    </row>
    <row r="18642" spans="6:8">
      <c r="F18642" s="68" t="s">
        <v>256</v>
      </c>
      <c r="G18642" s="67" t="s">
        <v>711</v>
      </c>
      <c r="H18642" s="69">
        <v>0.8214285714285714</v>
      </c>
    </row>
    <row r="18643" spans="6:8">
      <c r="F18643" s="68" t="s">
        <v>423</v>
      </c>
      <c r="G18643" s="67" t="s">
        <v>711</v>
      </c>
      <c r="H18643" s="69">
        <v>2.3184026996843521</v>
      </c>
    </row>
    <row r="18644" spans="6:8">
      <c r="F18644" s="68" t="s">
        <v>569</v>
      </c>
      <c r="G18644" s="67" t="s">
        <v>711</v>
      </c>
      <c r="H18644" s="69">
        <v>-0.19</v>
      </c>
    </row>
    <row r="18645" spans="6:8">
      <c r="F18645" s="68" t="s">
        <v>667</v>
      </c>
      <c r="G18645" s="67" t="s">
        <v>711</v>
      </c>
      <c r="H18645" s="69">
        <v>112.51322</v>
      </c>
    </row>
    <row r="18646" spans="6:8">
      <c r="F18646" s="68" t="s">
        <v>424</v>
      </c>
      <c r="G18646" s="67" t="s">
        <v>711</v>
      </c>
      <c r="H18646" s="69">
        <v>2.8354989027136845</v>
      </c>
    </row>
    <row r="18647" spans="6:8">
      <c r="F18647" s="68" t="s">
        <v>668</v>
      </c>
      <c r="G18647" s="67" t="s">
        <v>711</v>
      </c>
      <c r="H18647" s="69">
        <v>112.51293923</v>
      </c>
    </row>
    <row r="18648" spans="6:8">
      <c r="F18648" s="68" t="s">
        <v>134</v>
      </c>
      <c r="G18648" s="67" t="s">
        <v>711</v>
      </c>
      <c r="H18648" s="69">
        <v>-0.89999999999999991</v>
      </c>
    </row>
    <row r="18649" spans="6:8">
      <c r="F18649" s="68" t="s">
        <v>135</v>
      </c>
      <c r="G18649" s="67" t="s">
        <v>711</v>
      </c>
      <c r="H18649" s="69">
        <v>-0.78499999999999992</v>
      </c>
    </row>
    <row r="18650" spans="6:8">
      <c r="F18650" s="68" t="s">
        <v>257</v>
      </c>
      <c r="G18650" s="67" t="s">
        <v>711</v>
      </c>
      <c r="H18650" s="69">
        <v>0.8833333333333333</v>
      </c>
    </row>
    <row r="18651" spans="6:8">
      <c r="F18651" s="68" t="s">
        <v>258</v>
      </c>
      <c r="G18651" s="67" t="s">
        <v>711</v>
      </c>
      <c r="H18651" s="69">
        <v>0.15</v>
      </c>
    </row>
    <row r="18652" spans="6:8">
      <c r="F18652" s="68" t="s">
        <v>425</v>
      </c>
      <c r="G18652" s="67" t="s">
        <v>711</v>
      </c>
      <c r="H18652" s="69">
        <v>2.8378020869866294</v>
      </c>
    </row>
    <row r="18653" spans="6:8">
      <c r="F18653" s="68" t="s">
        <v>669</v>
      </c>
      <c r="G18653" s="67" t="s">
        <v>711</v>
      </c>
      <c r="H18653" s="69">
        <v>112.5132662</v>
      </c>
    </row>
    <row r="18654" spans="6:8">
      <c r="F18654" s="68" t="s">
        <v>136</v>
      </c>
      <c r="G18654" s="67" t="s">
        <v>711</v>
      </c>
      <c r="H18654" s="69">
        <v>-0.84499999999999997</v>
      </c>
    </row>
    <row r="18655" spans="6:8">
      <c r="F18655" s="68" t="s">
        <v>137</v>
      </c>
      <c r="G18655" s="67" t="s">
        <v>711</v>
      </c>
      <c r="H18655" s="69">
        <v>-0.67999999999999994</v>
      </c>
    </row>
    <row r="18656" spans="6:8">
      <c r="F18656" s="68" t="s">
        <v>138</v>
      </c>
      <c r="G18656" s="67" t="s">
        <v>711</v>
      </c>
      <c r="H18656" s="69">
        <v>-0.72499999999999998</v>
      </c>
    </row>
    <row r="18657" spans="6:8">
      <c r="F18657" s="68" t="s">
        <v>259</v>
      </c>
      <c r="G18657" s="67" t="s">
        <v>711</v>
      </c>
      <c r="H18657" s="69">
        <v>0.15</v>
      </c>
    </row>
    <row r="18658" spans="6:8">
      <c r="F18658" s="68" t="s">
        <v>259</v>
      </c>
      <c r="G18658" s="67" t="s">
        <v>712</v>
      </c>
      <c r="H18658" s="69">
        <v>0.15</v>
      </c>
    </row>
    <row r="18659" spans="6:8">
      <c r="F18659" s="68" t="s">
        <v>138</v>
      </c>
      <c r="G18659" s="67" t="s">
        <v>712</v>
      </c>
      <c r="H18659" s="69">
        <v>-0.72499999999999998</v>
      </c>
    </row>
    <row r="18660" spans="6:8">
      <c r="F18660" s="68" t="s">
        <v>137</v>
      </c>
      <c r="G18660" s="67" t="s">
        <v>712</v>
      </c>
      <c r="H18660" s="69">
        <v>-0.65500000000000003</v>
      </c>
    </row>
    <row r="18661" spans="6:8">
      <c r="F18661" s="68" t="s">
        <v>136</v>
      </c>
      <c r="G18661" s="67" t="s">
        <v>712</v>
      </c>
      <c r="H18661" s="69">
        <v>-0.85</v>
      </c>
    </row>
    <row r="18662" spans="6:8">
      <c r="F18662" s="68" t="s">
        <v>669</v>
      </c>
      <c r="G18662" s="67" t="s">
        <v>712</v>
      </c>
      <c r="H18662" s="69">
        <v>112.43584573</v>
      </c>
    </row>
    <row r="18663" spans="6:8">
      <c r="F18663" s="68" t="s">
        <v>425</v>
      </c>
      <c r="G18663" s="67" t="s">
        <v>712</v>
      </c>
      <c r="H18663" s="69">
        <v>2.8156145225994855</v>
      </c>
    </row>
    <row r="18664" spans="6:8">
      <c r="F18664" s="68" t="s">
        <v>258</v>
      </c>
      <c r="G18664" s="67" t="s">
        <v>712</v>
      </c>
      <c r="H18664" s="69">
        <v>0.15</v>
      </c>
    </row>
    <row r="18665" spans="6:8">
      <c r="F18665" s="68" t="s">
        <v>257</v>
      </c>
      <c r="G18665" s="67" t="s">
        <v>712</v>
      </c>
      <c r="H18665" s="69">
        <v>0.8833333333333333</v>
      </c>
    </row>
    <row r="18666" spans="6:8">
      <c r="F18666" s="68" t="s">
        <v>135</v>
      </c>
      <c r="G18666" s="67" t="s">
        <v>712</v>
      </c>
      <c r="H18666" s="69">
        <v>-0.79</v>
      </c>
    </row>
    <row r="18667" spans="6:8">
      <c r="F18667" s="68" t="s">
        <v>134</v>
      </c>
      <c r="G18667" s="67" t="s">
        <v>712</v>
      </c>
      <c r="H18667" s="69">
        <v>-0.90500000000000003</v>
      </c>
    </row>
    <row r="18668" spans="6:8">
      <c r="F18668" s="68" t="s">
        <v>668</v>
      </c>
      <c r="G18668" s="67" t="s">
        <v>712</v>
      </c>
      <c r="H18668" s="69">
        <v>112.43551978000001</v>
      </c>
    </row>
    <row r="18669" spans="6:8">
      <c r="F18669" s="68" t="s">
        <v>424</v>
      </c>
      <c r="G18669" s="67" t="s">
        <v>712</v>
      </c>
      <c r="H18669" s="69">
        <v>2.8235688398010161</v>
      </c>
    </row>
    <row r="18670" spans="6:8">
      <c r="F18670" s="68" t="s">
        <v>667</v>
      </c>
      <c r="G18670" s="67" t="s">
        <v>712</v>
      </c>
      <c r="H18670" s="69">
        <v>112.43579966999999</v>
      </c>
    </row>
    <row r="18671" spans="6:8">
      <c r="F18671" s="68" t="s">
        <v>569</v>
      </c>
      <c r="G18671" s="67" t="s">
        <v>712</v>
      </c>
      <c r="H18671" s="69">
        <v>-0.19500000000000001</v>
      </c>
    </row>
    <row r="18672" spans="6:8">
      <c r="F18672" s="68" t="s">
        <v>423</v>
      </c>
      <c r="G18672" s="67" t="s">
        <v>712</v>
      </c>
      <c r="H18672" s="69">
        <v>2.3225400693063225</v>
      </c>
    </row>
    <row r="18673" spans="6:8">
      <c r="F18673" s="68" t="s">
        <v>256</v>
      </c>
      <c r="G18673" s="67" t="s">
        <v>712</v>
      </c>
      <c r="H18673" s="69">
        <v>0.8214285714285714</v>
      </c>
    </row>
    <row r="18674" spans="6:8">
      <c r="F18674" s="68" t="s">
        <v>133</v>
      </c>
      <c r="G18674" s="67" t="s">
        <v>712</v>
      </c>
      <c r="H18674" s="69">
        <v>-0.62</v>
      </c>
    </row>
    <row r="18675" spans="6:8">
      <c r="F18675" s="68" t="s">
        <v>132</v>
      </c>
      <c r="G18675" s="67" t="s">
        <v>712</v>
      </c>
      <c r="H18675" s="69">
        <v>-0.95</v>
      </c>
    </row>
    <row r="18676" spans="6:8">
      <c r="F18676" s="68" t="s">
        <v>666</v>
      </c>
      <c r="G18676" s="67" t="s">
        <v>712</v>
      </c>
      <c r="H18676" s="69">
        <v>112.43544765999999</v>
      </c>
    </row>
    <row r="18677" spans="6:8">
      <c r="F18677" s="68" t="s">
        <v>568</v>
      </c>
      <c r="G18677" s="67" t="s">
        <v>712</v>
      </c>
      <c r="H18677" s="69">
        <v>-0.43</v>
      </c>
    </row>
    <row r="18678" spans="6:8">
      <c r="F18678" s="68" t="s">
        <v>422</v>
      </c>
      <c r="G18678" s="67" t="s">
        <v>712</v>
      </c>
      <c r="H18678" s="69">
        <v>2.2903374782361041</v>
      </c>
    </row>
    <row r="18679" spans="6:8">
      <c r="F18679" s="68" t="s">
        <v>255</v>
      </c>
      <c r="G18679" s="67" t="s">
        <v>712</v>
      </c>
      <c r="H18679" s="69">
        <v>0.71571428571428564</v>
      </c>
    </row>
    <row r="18680" spans="6:8">
      <c r="F18680" s="68" t="s">
        <v>303</v>
      </c>
      <c r="G18680" s="67" t="s">
        <v>712</v>
      </c>
      <c r="H18680" s="69">
        <v>18.541666666666668</v>
      </c>
    </row>
    <row r="18681" spans="6:8">
      <c r="F18681" s="68" t="s">
        <v>131</v>
      </c>
      <c r="G18681" s="67" t="s">
        <v>712</v>
      </c>
      <c r="H18681" s="69">
        <v>-0.55000000000000004</v>
      </c>
    </row>
    <row r="18682" spans="6:8">
      <c r="F18682" s="68" t="s">
        <v>130</v>
      </c>
      <c r="G18682" s="67" t="s">
        <v>712</v>
      </c>
      <c r="H18682" s="69">
        <v>-1.0550000000000002</v>
      </c>
    </row>
    <row r="18683" spans="6:8">
      <c r="F18683" s="68" t="s">
        <v>665</v>
      </c>
      <c r="G18683" s="67" t="s">
        <v>712</v>
      </c>
      <c r="H18683" s="69">
        <v>112.43556408000001</v>
      </c>
    </row>
    <row r="18684" spans="6:8">
      <c r="F18684" s="68" t="s">
        <v>567</v>
      </c>
      <c r="G18684" s="67" t="s">
        <v>712</v>
      </c>
      <c r="H18684" s="69">
        <v>-0.9</v>
      </c>
    </row>
    <row r="18685" spans="6:8">
      <c r="F18685" s="68" t="s">
        <v>421</v>
      </c>
      <c r="G18685" s="67" t="s">
        <v>712</v>
      </c>
      <c r="H18685" s="69">
        <v>2.2836469548961347</v>
      </c>
    </row>
    <row r="18686" spans="6:8">
      <c r="F18686" s="68" t="s">
        <v>254</v>
      </c>
      <c r="G18686" s="67" t="s">
        <v>712</v>
      </c>
      <c r="H18686" s="69">
        <v>0.56142857142857139</v>
      </c>
    </row>
    <row r="18687" spans="6:8">
      <c r="F18687" s="68" t="s">
        <v>304</v>
      </c>
      <c r="G18687" s="67" t="s">
        <v>712</v>
      </c>
      <c r="H18687" s="69">
        <v>17.770833333333332</v>
      </c>
    </row>
    <row r="18688" spans="6:8">
      <c r="F18688" s="68" t="s">
        <v>129</v>
      </c>
      <c r="G18688" s="67" t="s">
        <v>712</v>
      </c>
      <c r="H18688" s="69">
        <v>-0.71</v>
      </c>
    </row>
    <row r="18689" spans="6:8">
      <c r="F18689" s="68" t="s">
        <v>128</v>
      </c>
      <c r="G18689" s="67" t="s">
        <v>712</v>
      </c>
      <c r="H18689" s="69">
        <v>-0.86</v>
      </c>
    </row>
    <row r="18690" spans="6:8">
      <c r="F18690" s="68" t="s">
        <v>664</v>
      </c>
      <c r="G18690" s="67" t="s">
        <v>712</v>
      </c>
      <c r="H18690" s="69">
        <v>112.43559012</v>
      </c>
    </row>
    <row r="18691" spans="6:8">
      <c r="F18691" s="68" t="s">
        <v>315</v>
      </c>
      <c r="G18691" s="67" t="s">
        <v>712</v>
      </c>
      <c r="H18691" s="69">
        <v>-0.19500000000000001</v>
      </c>
    </row>
    <row r="18692" spans="6:8">
      <c r="F18692" s="68" t="s">
        <v>253</v>
      </c>
      <c r="G18692" s="67" t="s">
        <v>712</v>
      </c>
      <c r="H18692" s="69">
        <v>0.40571428571428569</v>
      </c>
    </row>
    <row r="18693" spans="6:8">
      <c r="F18693" s="68" t="s">
        <v>127</v>
      </c>
      <c r="G18693" s="67" t="s">
        <v>712</v>
      </c>
      <c r="H18693" s="69">
        <v>-0.41500000000000004</v>
      </c>
    </row>
    <row r="18694" spans="6:8">
      <c r="F18694" s="68" t="s">
        <v>126</v>
      </c>
      <c r="G18694" s="67" t="s">
        <v>712</v>
      </c>
      <c r="H18694" s="69">
        <v>-0.90500000000000003</v>
      </c>
    </row>
    <row r="18695" spans="6:8">
      <c r="F18695" s="68" t="s">
        <v>125</v>
      </c>
      <c r="G18695" s="67" t="s">
        <v>712</v>
      </c>
      <c r="H18695" s="69">
        <v>-0.54500000000000004</v>
      </c>
    </row>
    <row r="18696" spans="6:8">
      <c r="F18696" s="68" t="s">
        <v>663</v>
      </c>
      <c r="G18696" s="67" t="s">
        <v>712</v>
      </c>
      <c r="H18696" s="69">
        <v>112.43579219999999</v>
      </c>
    </row>
    <row r="18697" spans="6:8">
      <c r="F18697" s="68" t="s">
        <v>314</v>
      </c>
      <c r="G18697" s="67" t="s">
        <v>712</v>
      </c>
      <c r="H18697" s="69">
        <v>-0.435</v>
      </c>
    </row>
    <row r="18698" spans="6:8">
      <c r="F18698" s="68" t="s">
        <v>252</v>
      </c>
      <c r="G18698" s="67" t="s">
        <v>712</v>
      </c>
      <c r="H18698" s="69">
        <v>0.26857142857142857</v>
      </c>
    </row>
    <row r="18699" spans="6:8">
      <c r="F18699" s="68" t="s">
        <v>124</v>
      </c>
      <c r="G18699" s="67" t="s">
        <v>712</v>
      </c>
      <c r="H18699" s="69">
        <v>-0.51500000000000001</v>
      </c>
    </row>
    <row r="18700" spans="6:8">
      <c r="F18700" s="68" t="s">
        <v>123</v>
      </c>
      <c r="G18700" s="67" t="s">
        <v>712</v>
      </c>
      <c r="H18700" s="69">
        <v>-0.93500000000000005</v>
      </c>
    </row>
    <row r="18701" spans="6:8">
      <c r="F18701" s="68" t="s">
        <v>122</v>
      </c>
      <c r="G18701" s="67" t="s">
        <v>712</v>
      </c>
      <c r="H18701" s="69">
        <v>-0.76</v>
      </c>
    </row>
    <row r="18702" spans="6:8">
      <c r="F18702" s="68" t="s">
        <v>251</v>
      </c>
      <c r="G18702" s="67" t="s">
        <v>712</v>
      </c>
      <c r="H18702" s="69">
        <v>0.19285714285714287</v>
      </c>
    </row>
    <row r="18703" spans="6:8">
      <c r="F18703" s="68" t="s">
        <v>121</v>
      </c>
      <c r="G18703" s="67" t="s">
        <v>712</v>
      </c>
      <c r="H18703" s="69">
        <v>-0.625</v>
      </c>
    </row>
    <row r="18704" spans="6:8">
      <c r="F18704" s="68" t="s">
        <v>120</v>
      </c>
      <c r="G18704" s="67" t="s">
        <v>712</v>
      </c>
      <c r="H18704" s="69">
        <v>-0.79500000000000004</v>
      </c>
    </row>
    <row r="18705" spans="6:8">
      <c r="F18705" s="68" t="s">
        <v>119</v>
      </c>
      <c r="G18705" s="67" t="s">
        <v>712</v>
      </c>
      <c r="H18705" s="69">
        <v>-0.78500000000000003</v>
      </c>
    </row>
    <row r="18706" spans="6:8">
      <c r="F18706" s="68" t="s">
        <v>662</v>
      </c>
      <c r="G18706" s="67" t="s">
        <v>712</v>
      </c>
      <c r="H18706" s="69">
        <v>112.43521771</v>
      </c>
    </row>
    <row r="18707" spans="6:8">
      <c r="F18707" s="68" t="s">
        <v>420</v>
      </c>
      <c r="G18707" s="67" t="s">
        <v>712</v>
      </c>
      <c r="H18707" s="69">
        <v>3.1385592562937159</v>
      </c>
    </row>
    <row r="18708" spans="6:8">
      <c r="F18708" s="68" t="s">
        <v>420</v>
      </c>
      <c r="G18708" s="67" t="s">
        <v>713</v>
      </c>
      <c r="H18708" s="69">
        <v>3.1294369608209305</v>
      </c>
    </row>
    <row r="18709" spans="6:8">
      <c r="F18709" s="68" t="s">
        <v>662</v>
      </c>
      <c r="G18709" s="67" t="s">
        <v>713</v>
      </c>
      <c r="H18709" s="69">
        <v>112.39123682</v>
      </c>
    </row>
    <row r="18710" spans="6:8">
      <c r="F18710" s="68" t="s">
        <v>119</v>
      </c>
      <c r="G18710" s="67" t="s">
        <v>713</v>
      </c>
      <c r="H18710" s="69">
        <v>-0.78500000000000003</v>
      </c>
    </row>
    <row r="18711" spans="6:8">
      <c r="F18711" s="68" t="s">
        <v>120</v>
      </c>
      <c r="G18711" s="67" t="s">
        <v>713</v>
      </c>
      <c r="H18711" s="69">
        <v>-0.79500000000000004</v>
      </c>
    </row>
    <row r="18712" spans="6:8">
      <c r="F18712" s="68" t="s">
        <v>121</v>
      </c>
      <c r="G18712" s="67" t="s">
        <v>713</v>
      </c>
      <c r="H18712" s="69">
        <v>-0.625</v>
      </c>
    </row>
    <row r="18713" spans="6:8">
      <c r="F18713" s="68" t="s">
        <v>251</v>
      </c>
      <c r="G18713" s="67" t="s">
        <v>713</v>
      </c>
      <c r="H18713" s="69">
        <v>0.19285714285714287</v>
      </c>
    </row>
    <row r="18714" spans="6:8">
      <c r="F18714" s="68" t="s">
        <v>122</v>
      </c>
      <c r="G18714" s="67" t="s">
        <v>713</v>
      </c>
      <c r="H18714" s="69">
        <v>-0.76</v>
      </c>
    </row>
    <row r="18715" spans="6:8">
      <c r="F18715" s="68" t="s">
        <v>123</v>
      </c>
      <c r="G18715" s="67" t="s">
        <v>713</v>
      </c>
      <c r="H18715" s="69">
        <v>-0.93500000000000005</v>
      </c>
    </row>
    <row r="18716" spans="6:8">
      <c r="F18716" s="68" t="s">
        <v>124</v>
      </c>
      <c r="G18716" s="67" t="s">
        <v>713</v>
      </c>
      <c r="H18716" s="69">
        <v>-0.51500000000000001</v>
      </c>
    </row>
    <row r="18717" spans="6:8">
      <c r="F18717" s="68" t="s">
        <v>252</v>
      </c>
      <c r="G18717" s="67" t="s">
        <v>713</v>
      </c>
      <c r="H18717" s="69">
        <v>0.26857142857142857</v>
      </c>
    </row>
    <row r="18718" spans="6:8">
      <c r="F18718" s="68" t="s">
        <v>314</v>
      </c>
      <c r="G18718" s="67" t="s">
        <v>713</v>
      </c>
      <c r="H18718" s="69">
        <v>-0.435</v>
      </c>
    </row>
    <row r="18719" spans="6:8">
      <c r="F18719" s="68" t="s">
        <v>663</v>
      </c>
      <c r="G18719" s="67" t="s">
        <v>713</v>
      </c>
      <c r="H18719" s="69">
        <v>112.39180987</v>
      </c>
    </row>
    <row r="18720" spans="6:8">
      <c r="F18720" s="68" t="s">
        <v>125</v>
      </c>
      <c r="G18720" s="67" t="s">
        <v>713</v>
      </c>
      <c r="H18720" s="69">
        <v>-0.54500000000000004</v>
      </c>
    </row>
    <row r="18721" spans="6:8">
      <c r="F18721" s="68" t="s">
        <v>126</v>
      </c>
      <c r="G18721" s="67" t="s">
        <v>713</v>
      </c>
      <c r="H18721" s="69">
        <v>-0.90500000000000003</v>
      </c>
    </row>
    <row r="18722" spans="6:8">
      <c r="F18722" s="68" t="s">
        <v>127</v>
      </c>
      <c r="G18722" s="67" t="s">
        <v>713</v>
      </c>
      <c r="H18722" s="69">
        <v>-0.41500000000000004</v>
      </c>
    </row>
    <row r="18723" spans="6:8">
      <c r="F18723" s="68" t="s">
        <v>253</v>
      </c>
      <c r="G18723" s="67" t="s">
        <v>713</v>
      </c>
      <c r="H18723" s="69">
        <v>0.40571428571428569</v>
      </c>
    </row>
    <row r="18724" spans="6:8">
      <c r="F18724" s="68" t="s">
        <v>315</v>
      </c>
      <c r="G18724" s="67" t="s">
        <v>713</v>
      </c>
      <c r="H18724" s="69">
        <v>-0.19500000000000001</v>
      </c>
    </row>
    <row r="18725" spans="6:8">
      <c r="F18725" s="68" t="s">
        <v>664</v>
      </c>
      <c r="G18725" s="67" t="s">
        <v>713</v>
      </c>
      <c r="H18725" s="69">
        <v>112.3916083</v>
      </c>
    </row>
    <row r="18726" spans="6:8">
      <c r="F18726" s="68" t="s">
        <v>128</v>
      </c>
      <c r="G18726" s="67" t="s">
        <v>713</v>
      </c>
      <c r="H18726" s="69">
        <v>-0.86</v>
      </c>
    </row>
    <row r="18727" spans="6:8">
      <c r="F18727" s="68" t="s">
        <v>129</v>
      </c>
      <c r="G18727" s="67" t="s">
        <v>713</v>
      </c>
      <c r="H18727" s="69">
        <v>-0.71</v>
      </c>
    </row>
    <row r="18728" spans="6:8">
      <c r="F18728" s="68" t="s">
        <v>304</v>
      </c>
      <c r="G18728" s="67" t="s">
        <v>713</v>
      </c>
      <c r="H18728" s="69">
        <v>17.78125</v>
      </c>
    </row>
    <row r="18729" spans="6:8">
      <c r="F18729" s="68" t="s">
        <v>254</v>
      </c>
      <c r="G18729" s="67" t="s">
        <v>713</v>
      </c>
      <c r="H18729" s="69">
        <v>0.56142857142857139</v>
      </c>
    </row>
    <row r="18730" spans="6:8">
      <c r="F18730" s="68" t="s">
        <v>421</v>
      </c>
      <c r="G18730" s="67" t="s">
        <v>713</v>
      </c>
      <c r="H18730" s="69">
        <v>2.2557345516311056</v>
      </c>
    </row>
    <row r="18731" spans="6:8">
      <c r="F18731" s="68" t="s">
        <v>567</v>
      </c>
      <c r="G18731" s="67" t="s">
        <v>713</v>
      </c>
      <c r="H18731" s="69">
        <v>-0.9</v>
      </c>
    </row>
    <row r="18732" spans="6:8">
      <c r="F18732" s="68" t="s">
        <v>665</v>
      </c>
      <c r="G18732" s="67" t="s">
        <v>713</v>
      </c>
      <c r="H18732" s="69">
        <v>112.39158233000001</v>
      </c>
    </row>
    <row r="18733" spans="6:8">
      <c r="F18733" s="68" t="s">
        <v>130</v>
      </c>
      <c r="G18733" s="67" t="s">
        <v>713</v>
      </c>
      <c r="H18733" s="69">
        <v>-1.0550000000000002</v>
      </c>
    </row>
    <row r="18734" spans="6:8">
      <c r="F18734" s="68" t="s">
        <v>131</v>
      </c>
      <c r="G18734" s="67" t="s">
        <v>713</v>
      </c>
      <c r="H18734" s="69">
        <v>-0.55000000000000004</v>
      </c>
    </row>
    <row r="18735" spans="6:8">
      <c r="F18735" s="68" t="s">
        <v>303</v>
      </c>
      <c r="G18735" s="67" t="s">
        <v>713</v>
      </c>
      <c r="H18735" s="69">
        <v>18.541666666666668</v>
      </c>
    </row>
    <row r="18736" spans="6:8">
      <c r="F18736" s="68" t="s">
        <v>255</v>
      </c>
      <c r="G18736" s="67" t="s">
        <v>713</v>
      </c>
      <c r="H18736" s="69">
        <v>0.71571428571428564</v>
      </c>
    </row>
    <row r="18737" spans="6:8">
      <c r="F18737" s="68" t="s">
        <v>422</v>
      </c>
      <c r="G18737" s="67" t="s">
        <v>713</v>
      </c>
      <c r="H18737" s="69">
        <v>2.2624689701487455</v>
      </c>
    </row>
    <row r="18738" spans="6:8">
      <c r="F18738" s="68" t="s">
        <v>568</v>
      </c>
      <c r="G18738" s="67" t="s">
        <v>713</v>
      </c>
      <c r="H18738" s="69">
        <v>-0.43</v>
      </c>
    </row>
    <row r="18739" spans="6:8">
      <c r="F18739" s="68" t="s">
        <v>666</v>
      </c>
      <c r="G18739" s="67" t="s">
        <v>713</v>
      </c>
      <c r="H18739" s="69">
        <v>112.3914662</v>
      </c>
    </row>
    <row r="18740" spans="6:8">
      <c r="F18740" s="68" t="s">
        <v>132</v>
      </c>
      <c r="G18740" s="67" t="s">
        <v>713</v>
      </c>
      <c r="H18740" s="69">
        <v>-0.95</v>
      </c>
    </row>
    <row r="18741" spans="6:8">
      <c r="F18741" s="68" t="s">
        <v>133</v>
      </c>
      <c r="G18741" s="67" t="s">
        <v>713</v>
      </c>
      <c r="H18741" s="69">
        <v>-0.62</v>
      </c>
    </row>
    <row r="18742" spans="6:8">
      <c r="F18742" s="68" t="s">
        <v>256</v>
      </c>
      <c r="G18742" s="67" t="s">
        <v>713</v>
      </c>
      <c r="H18742" s="69">
        <v>0.8214285714285714</v>
      </c>
    </row>
    <row r="18743" spans="6:8">
      <c r="F18743" s="68" t="s">
        <v>423</v>
      </c>
      <c r="G18743" s="67" t="s">
        <v>713</v>
      </c>
      <c r="H18743" s="69">
        <v>2.3051434053070086</v>
      </c>
    </row>
    <row r="18744" spans="6:8">
      <c r="F18744" s="68" t="s">
        <v>569</v>
      </c>
      <c r="G18744" s="67" t="s">
        <v>713</v>
      </c>
      <c r="H18744" s="69">
        <v>-0.19500000000000001</v>
      </c>
    </row>
    <row r="18745" spans="6:8">
      <c r="F18745" s="68" t="s">
        <v>667</v>
      </c>
      <c r="G18745" s="67" t="s">
        <v>713</v>
      </c>
      <c r="H18745" s="69">
        <v>112.39181732999999</v>
      </c>
    </row>
    <row r="18746" spans="6:8">
      <c r="F18746" s="68" t="s">
        <v>424</v>
      </c>
      <c r="G18746" s="67" t="s">
        <v>713</v>
      </c>
      <c r="H18746" s="69">
        <v>2.8078080087281521</v>
      </c>
    </row>
    <row r="18747" spans="6:8">
      <c r="F18747" s="68" t="s">
        <v>668</v>
      </c>
      <c r="G18747" s="67" t="s">
        <v>713</v>
      </c>
      <c r="H18747" s="69">
        <v>112.39153813</v>
      </c>
    </row>
    <row r="18748" spans="6:8">
      <c r="F18748" s="68" t="s">
        <v>134</v>
      </c>
      <c r="G18748" s="67" t="s">
        <v>713</v>
      </c>
      <c r="H18748" s="69">
        <v>-0.90500000000000003</v>
      </c>
    </row>
    <row r="18749" spans="6:8">
      <c r="F18749" s="68" t="s">
        <v>135</v>
      </c>
      <c r="G18749" s="67" t="s">
        <v>713</v>
      </c>
      <c r="H18749" s="69">
        <v>-0.79</v>
      </c>
    </row>
    <row r="18750" spans="6:8">
      <c r="F18750" s="68" t="s">
        <v>257</v>
      </c>
      <c r="G18750" s="67" t="s">
        <v>713</v>
      </c>
      <c r="H18750" s="69">
        <v>0.8833333333333333</v>
      </c>
    </row>
    <row r="18751" spans="6:8">
      <c r="F18751" s="68" t="s">
        <v>258</v>
      </c>
      <c r="G18751" s="67" t="s">
        <v>713</v>
      </c>
      <c r="H18751" s="69">
        <v>0.15</v>
      </c>
    </row>
    <row r="18752" spans="6:8">
      <c r="F18752" s="68" t="s">
        <v>425</v>
      </c>
      <c r="G18752" s="67" t="s">
        <v>713</v>
      </c>
      <c r="H18752" s="69">
        <v>2.7996367689252288</v>
      </c>
    </row>
    <row r="18753" spans="6:8">
      <c r="F18753" s="68" t="s">
        <v>669</v>
      </c>
      <c r="G18753" s="67" t="s">
        <v>713</v>
      </c>
      <c r="H18753" s="69">
        <v>112.39186328</v>
      </c>
    </row>
    <row r="18754" spans="6:8">
      <c r="F18754" s="68" t="s">
        <v>136</v>
      </c>
      <c r="G18754" s="67" t="s">
        <v>713</v>
      </c>
      <c r="H18754" s="69">
        <v>-0.85</v>
      </c>
    </row>
    <row r="18755" spans="6:8">
      <c r="F18755" s="68" t="s">
        <v>137</v>
      </c>
      <c r="G18755" s="67" t="s">
        <v>713</v>
      </c>
      <c r="H18755" s="69">
        <v>-0.65500000000000003</v>
      </c>
    </row>
    <row r="18756" spans="6:8">
      <c r="F18756" s="68" t="s">
        <v>138</v>
      </c>
      <c r="G18756" s="67" t="s">
        <v>713</v>
      </c>
      <c r="H18756" s="69">
        <v>-0.72499999999999998</v>
      </c>
    </row>
    <row r="18757" spans="6:8">
      <c r="F18757" s="68" t="s">
        <v>259</v>
      </c>
      <c r="G18757" s="67" t="s">
        <v>713</v>
      </c>
      <c r="H18757" s="69">
        <v>0.15</v>
      </c>
    </row>
    <row r="18758" spans="6:8">
      <c r="F18758" s="68" t="s">
        <v>259</v>
      </c>
      <c r="G18758" s="67" t="s">
        <v>714</v>
      </c>
      <c r="H18758" s="69">
        <v>0.15</v>
      </c>
    </row>
    <row r="18759" spans="6:8">
      <c r="F18759" s="68" t="s">
        <v>138</v>
      </c>
      <c r="G18759" s="67" t="s">
        <v>714</v>
      </c>
      <c r="H18759" s="69">
        <v>-0.72499999999999998</v>
      </c>
    </row>
    <row r="18760" spans="6:8">
      <c r="F18760" s="68" t="s">
        <v>137</v>
      </c>
      <c r="G18760" s="67" t="s">
        <v>714</v>
      </c>
      <c r="H18760" s="69">
        <v>-0.65500000000000003</v>
      </c>
    </row>
    <row r="18761" spans="6:8">
      <c r="F18761" s="68" t="s">
        <v>136</v>
      </c>
      <c r="G18761" s="67" t="s">
        <v>714</v>
      </c>
      <c r="H18761" s="69">
        <v>-0.85</v>
      </c>
    </row>
    <row r="18762" spans="6:8">
      <c r="F18762" s="68" t="s">
        <v>669</v>
      </c>
      <c r="G18762" s="67" t="s">
        <v>714</v>
      </c>
      <c r="H18762" s="69">
        <v>112.44135426</v>
      </c>
    </row>
    <row r="18763" spans="6:8">
      <c r="F18763" s="68" t="s">
        <v>425</v>
      </c>
      <c r="G18763" s="67" t="s">
        <v>714</v>
      </c>
      <c r="H18763" s="69">
        <v>2.7573536086492378</v>
      </c>
    </row>
    <row r="18764" spans="6:8">
      <c r="F18764" s="68" t="s">
        <v>258</v>
      </c>
      <c r="G18764" s="67" t="s">
        <v>714</v>
      </c>
      <c r="H18764" s="69">
        <v>0.15</v>
      </c>
    </row>
    <row r="18765" spans="6:8">
      <c r="F18765" s="68" t="s">
        <v>257</v>
      </c>
      <c r="G18765" s="67" t="s">
        <v>714</v>
      </c>
      <c r="H18765" s="69">
        <v>0.8833333333333333</v>
      </c>
    </row>
    <row r="18766" spans="6:8">
      <c r="F18766" s="68" t="s">
        <v>135</v>
      </c>
      <c r="G18766" s="67" t="s">
        <v>714</v>
      </c>
      <c r="H18766" s="69">
        <v>-0.79</v>
      </c>
    </row>
    <row r="18767" spans="6:8">
      <c r="F18767" s="68" t="s">
        <v>134</v>
      </c>
      <c r="G18767" s="67" t="s">
        <v>714</v>
      </c>
      <c r="H18767" s="69">
        <v>-0.90500000000000003</v>
      </c>
    </row>
    <row r="18768" spans="6:8">
      <c r="F18768" s="68" t="s">
        <v>668</v>
      </c>
      <c r="G18768" s="67" t="s">
        <v>714</v>
      </c>
      <c r="H18768" s="69">
        <v>112.44102748</v>
      </c>
    </row>
    <row r="18769" spans="6:8">
      <c r="F18769" s="68" t="s">
        <v>424</v>
      </c>
      <c r="G18769" s="67" t="s">
        <v>714</v>
      </c>
      <c r="H18769" s="69">
        <v>2.7662173131064449</v>
      </c>
    </row>
    <row r="18770" spans="6:8">
      <c r="F18770" s="68" t="s">
        <v>667</v>
      </c>
      <c r="G18770" s="67" t="s">
        <v>714</v>
      </c>
      <c r="H18770" s="69">
        <v>112.44130808</v>
      </c>
    </row>
    <row r="18771" spans="6:8">
      <c r="F18771" s="68" t="s">
        <v>569</v>
      </c>
      <c r="G18771" s="67" t="s">
        <v>714</v>
      </c>
      <c r="H18771" s="69">
        <v>-0.19500000000000001</v>
      </c>
    </row>
    <row r="18772" spans="6:8">
      <c r="F18772" s="68" t="s">
        <v>423</v>
      </c>
      <c r="G18772" s="67" t="s">
        <v>714</v>
      </c>
      <c r="H18772" s="69">
        <v>2.2838828443839443</v>
      </c>
    </row>
    <row r="18773" spans="6:8">
      <c r="F18773" s="68" t="s">
        <v>256</v>
      </c>
      <c r="G18773" s="67" t="s">
        <v>714</v>
      </c>
      <c r="H18773" s="69">
        <v>0.8214285714285714</v>
      </c>
    </row>
    <row r="18774" spans="6:8">
      <c r="F18774" s="68" t="s">
        <v>133</v>
      </c>
      <c r="G18774" s="67" t="s">
        <v>714</v>
      </c>
      <c r="H18774" s="69">
        <v>-0.62</v>
      </c>
    </row>
    <row r="18775" spans="6:8">
      <c r="F18775" s="68" t="s">
        <v>132</v>
      </c>
      <c r="G18775" s="67" t="s">
        <v>714</v>
      </c>
      <c r="H18775" s="69">
        <v>-0.95</v>
      </c>
    </row>
    <row r="18776" spans="6:8">
      <c r="F18776" s="68" t="s">
        <v>666</v>
      </c>
      <c r="G18776" s="67" t="s">
        <v>714</v>
      </c>
      <c r="H18776" s="69">
        <v>112.44095518</v>
      </c>
    </row>
    <row r="18777" spans="6:8">
      <c r="F18777" s="68" t="s">
        <v>568</v>
      </c>
      <c r="G18777" s="67" t="s">
        <v>714</v>
      </c>
      <c r="H18777" s="69">
        <v>-0.43</v>
      </c>
    </row>
    <row r="18778" spans="6:8">
      <c r="F18778" s="68" t="s">
        <v>422</v>
      </c>
      <c r="G18778" s="67" t="s">
        <v>714</v>
      </c>
      <c r="H18778" s="69">
        <v>2.2319948659534905</v>
      </c>
    </row>
    <row r="18779" spans="6:8">
      <c r="F18779" s="68" t="s">
        <v>255</v>
      </c>
      <c r="G18779" s="67" t="s">
        <v>714</v>
      </c>
      <c r="H18779" s="69">
        <v>0.71</v>
      </c>
    </row>
    <row r="18780" spans="6:8">
      <c r="F18780" s="68" t="s">
        <v>303</v>
      </c>
      <c r="G18780" s="67" t="s">
        <v>714</v>
      </c>
      <c r="H18780" s="69">
        <v>18.40625</v>
      </c>
    </row>
    <row r="18781" spans="6:8">
      <c r="F18781" s="68" t="s">
        <v>131</v>
      </c>
      <c r="G18781" s="67" t="s">
        <v>714</v>
      </c>
      <c r="H18781" s="69">
        <v>-0.55000000000000004</v>
      </c>
    </row>
    <row r="18782" spans="6:8">
      <c r="F18782" s="68" t="s">
        <v>130</v>
      </c>
      <c r="G18782" s="67" t="s">
        <v>714</v>
      </c>
      <c r="H18782" s="69">
        <v>-1.0550000000000002</v>
      </c>
    </row>
    <row r="18783" spans="6:8">
      <c r="F18783" s="68" t="s">
        <v>665</v>
      </c>
      <c r="G18783" s="67" t="s">
        <v>714</v>
      </c>
      <c r="H18783" s="69">
        <v>112.4410719</v>
      </c>
    </row>
    <row r="18784" spans="6:8">
      <c r="F18784" s="68" t="s">
        <v>567</v>
      </c>
      <c r="G18784" s="67" t="s">
        <v>714</v>
      </c>
      <c r="H18784" s="69">
        <v>-0.9</v>
      </c>
    </row>
    <row r="18785" spans="6:8">
      <c r="F18785" s="68" t="s">
        <v>421</v>
      </c>
      <c r="G18785" s="67" t="s">
        <v>714</v>
      </c>
      <c r="H18785" s="69">
        <v>2.2252684870162298</v>
      </c>
    </row>
    <row r="18786" spans="6:8">
      <c r="F18786" s="68" t="s">
        <v>254</v>
      </c>
      <c r="G18786" s="67" t="s">
        <v>714</v>
      </c>
      <c r="H18786" s="69">
        <v>0.56142857142857139</v>
      </c>
    </row>
    <row r="18787" spans="6:8">
      <c r="F18787" s="68" t="s">
        <v>304</v>
      </c>
      <c r="G18787" s="67" t="s">
        <v>714</v>
      </c>
      <c r="H18787" s="69">
        <v>17.6875</v>
      </c>
    </row>
    <row r="18788" spans="6:8">
      <c r="F18788" s="68" t="s">
        <v>129</v>
      </c>
      <c r="G18788" s="67" t="s">
        <v>714</v>
      </c>
      <c r="H18788" s="69">
        <v>-0.71</v>
      </c>
    </row>
    <row r="18789" spans="6:8">
      <c r="F18789" s="68" t="s">
        <v>128</v>
      </c>
      <c r="G18789" s="67" t="s">
        <v>714</v>
      </c>
      <c r="H18789" s="69">
        <v>-0.86</v>
      </c>
    </row>
    <row r="18790" spans="6:8">
      <c r="F18790" s="68" t="s">
        <v>664</v>
      </c>
      <c r="G18790" s="67" t="s">
        <v>714</v>
      </c>
      <c r="H18790" s="69">
        <v>112.44109799</v>
      </c>
    </row>
    <row r="18791" spans="6:8">
      <c r="F18791" s="68" t="s">
        <v>315</v>
      </c>
      <c r="G18791" s="67" t="s">
        <v>714</v>
      </c>
      <c r="H18791" s="69">
        <v>-0.19500000000000001</v>
      </c>
    </row>
    <row r="18792" spans="6:8">
      <c r="F18792" s="68" t="s">
        <v>253</v>
      </c>
      <c r="G18792" s="67" t="s">
        <v>714</v>
      </c>
      <c r="H18792" s="69">
        <v>0.4</v>
      </c>
    </row>
    <row r="18793" spans="6:8">
      <c r="F18793" s="68" t="s">
        <v>127</v>
      </c>
      <c r="G18793" s="67" t="s">
        <v>714</v>
      </c>
      <c r="H18793" s="69">
        <v>-0.41500000000000004</v>
      </c>
    </row>
    <row r="18794" spans="6:8">
      <c r="F18794" s="68" t="s">
        <v>126</v>
      </c>
      <c r="G18794" s="67" t="s">
        <v>714</v>
      </c>
      <c r="H18794" s="69">
        <v>-0.90500000000000003</v>
      </c>
    </row>
    <row r="18795" spans="6:8">
      <c r="F18795" s="68" t="s">
        <v>125</v>
      </c>
      <c r="G18795" s="67" t="s">
        <v>714</v>
      </c>
      <c r="H18795" s="69">
        <v>-0.54500000000000004</v>
      </c>
    </row>
    <row r="18796" spans="6:8">
      <c r="F18796" s="68" t="s">
        <v>663</v>
      </c>
      <c r="G18796" s="67" t="s">
        <v>714</v>
      </c>
      <c r="H18796" s="69">
        <v>112.44130059</v>
      </c>
    </row>
    <row r="18797" spans="6:8">
      <c r="F18797" s="68" t="s">
        <v>314</v>
      </c>
      <c r="G18797" s="67" t="s">
        <v>714</v>
      </c>
      <c r="H18797" s="69">
        <v>-0.435</v>
      </c>
    </row>
    <row r="18798" spans="6:8">
      <c r="F18798" s="68" t="s">
        <v>252</v>
      </c>
      <c r="G18798" s="67" t="s">
        <v>714</v>
      </c>
      <c r="H18798" s="69">
        <v>0.26</v>
      </c>
    </row>
    <row r="18799" spans="6:8">
      <c r="F18799" s="68" t="s">
        <v>124</v>
      </c>
      <c r="G18799" s="67" t="s">
        <v>714</v>
      </c>
      <c r="H18799" s="69">
        <v>-0.51500000000000001</v>
      </c>
    </row>
    <row r="18800" spans="6:8">
      <c r="F18800" s="68" t="s">
        <v>123</v>
      </c>
      <c r="G18800" s="67" t="s">
        <v>714</v>
      </c>
      <c r="H18800" s="69">
        <v>-0.93500000000000005</v>
      </c>
    </row>
    <row r="18801" spans="6:8">
      <c r="F18801" s="68" t="s">
        <v>122</v>
      </c>
      <c r="G18801" s="67" t="s">
        <v>714</v>
      </c>
      <c r="H18801" s="69">
        <v>-0.76</v>
      </c>
    </row>
    <row r="18802" spans="6:8">
      <c r="F18802" s="68" t="s">
        <v>251</v>
      </c>
      <c r="G18802" s="67" t="s">
        <v>714</v>
      </c>
      <c r="H18802" s="69">
        <v>0.19285714285714287</v>
      </c>
    </row>
    <row r="18803" spans="6:8">
      <c r="F18803" s="68" t="s">
        <v>121</v>
      </c>
      <c r="G18803" s="67" t="s">
        <v>714</v>
      </c>
      <c r="H18803" s="69">
        <v>-0.625</v>
      </c>
    </row>
    <row r="18804" spans="6:8">
      <c r="F18804" s="68" t="s">
        <v>120</v>
      </c>
      <c r="G18804" s="67" t="s">
        <v>714</v>
      </c>
      <c r="H18804" s="69">
        <v>-0.79500000000000004</v>
      </c>
    </row>
    <row r="18805" spans="6:8">
      <c r="F18805" s="68" t="s">
        <v>119</v>
      </c>
      <c r="G18805" s="67" t="s">
        <v>714</v>
      </c>
      <c r="H18805" s="69">
        <v>-0.78500000000000003</v>
      </c>
    </row>
    <row r="18806" spans="6:8">
      <c r="F18806" s="68" t="s">
        <v>662</v>
      </c>
      <c r="G18806" s="67" t="s">
        <v>714</v>
      </c>
      <c r="H18806" s="69">
        <v>112.44072464</v>
      </c>
    </row>
    <row r="18807" spans="6:8">
      <c r="F18807" s="68" t="s">
        <v>420</v>
      </c>
      <c r="G18807" s="67" t="s">
        <v>714</v>
      </c>
      <c r="H18807" s="69">
        <v>3.0988702284125313</v>
      </c>
    </row>
    <row r="18808" spans="6:8">
      <c r="F18808" s="68" t="s">
        <v>420</v>
      </c>
      <c r="G18808" s="67" t="s">
        <v>715</v>
      </c>
      <c r="H18808" s="69">
        <v>3.0781225342059848</v>
      </c>
    </row>
    <row r="18809" spans="6:8">
      <c r="F18809" s="68" t="s">
        <v>662</v>
      </c>
      <c r="G18809" s="67" t="s">
        <v>715</v>
      </c>
      <c r="H18809" s="69">
        <v>112.42790021</v>
      </c>
    </row>
    <row r="18810" spans="6:8">
      <c r="F18810" s="68" t="s">
        <v>119</v>
      </c>
      <c r="G18810" s="67" t="s">
        <v>715</v>
      </c>
      <c r="H18810" s="69">
        <v>-0.8</v>
      </c>
    </row>
    <row r="18811" spans="6:8">
      <c r="F18811" s="68" t="s">
        <v>120</v>
      </c>
      <c r="G18811" s="67" t="s">
        <v>715</v>
      </c>
      <c r="H18811" s="69">
        <v>-0.79500000000000004</v>
      </c>
    </row>
    <row r="18812" spans="6:8">
      <c r="F18812" s="68" t="s">
        <v>121</v>
      </c>
      <c r="G18812" s="67" t="s">
        <v>715</v>
      </c>
      <c r="H18812" s="69">
        <v>-0.625</v>
      </c>
    </row>
    <row r="18813" spans="6:8">
      <c r="F18813" s="68" t="s">
        <v>251</v>
      </c>
      <c r="G18813" s="67" t="s">
        <v>715</v>
      </c>
      <c r="H18813" s="69">
        <v>0.19285714285714287</v>
      </c>
    </row>
    <row r="18814" spans="6:8">
      <c r="F18814" s="68" t="s">
        <v>122</v>
      </c>
      <c r="G18814" s="67" t="s">
        <v>715</v>
      </c>
      <c r="H18814" s="69">
        <v>-0.77500000000000002</v>
      </c>
    </row>
    <row r="18815" spans="6:8">
      <c r="F18815" s="68" t="s">
        <v>123</v>
      </c>
      <c r="G18815" s="67" t="s">
        <v>715</v>
      </c>
      <c r="H18815" s="69">
        <v>-0.93500000000000005</v>
      </c>
    </row>
    <row r="18816" spans="6:8">
      <c r="F18816" s="68" t="s">
        <v>124</v>
      </c>
      <c r="G18816" s="67" t="s">
        <v>715</v>
      </c>
      <c r="H18816" s="69">
        <v>-0.52</v>
      </c>
    </row>
    <row r="18817" spans="6:8">
      <c r="F18817" s="68" t="s">
        <v>252</v>
      </c>
      <c r="G18817" s="67" t="s">
        <v>715</v>
      </c>
      <c r="H18817" s="69">
        <v>0.26</v>
      </c>
    </row>
    <row r="18818" spans="6:8">
      <c r="F18818" s="68" t="s">
        <v>314</v>
      </c>
      <c r="G18818" s="67" t="s">
        <v>715</v>
      </c>
      <c r="H18818" s="69">
        <v>-0.44500000000000001</v>
      </c>
    </row>
    <row r="18819" spans="6:8">
      <c r="F18819" s="68" t="s">
        <v>663</v>
      </c>
      <c r="G18819" s="67" t="s">
        <v>715</v>
      </c>
      <c r="H18819" s="69">
        <v>112.42847614999999</v>
      </c>
    </row>
    <row r="18820" spans="6:8">
      <c r="F18820" s="68" t="s">
        <v>125</v>
      </c>
      <c r="G18820" s="67" t="s">
        <v>715</v>
      </c>
      <c r="H18820" s="69">
        <v>-0.55500000000000005</v>
      </c>
    </row>
    <row r="18821" spans="6:8">
      <c r="F18821" s="68" t="s">
        <v>126</v>
      </c>
      <c r="G18821" s="67" t="s">
        <v>715</v>
      </c>
      <c r="H18821" s="69">
        <v>-0.90500000000000003</v>
      </c>
    </row>
    <row r="18822" spans="6:8">
      <c r="F18822" s="68" t="s">
        <v>127</v>
      </c>
      <c r="G18822" s="67" t="s">
        <v>715</v>
      </c>
      <c r="H18822" s="69">
        <v>-0.41500000000000004</v>
      </c>
    </row>
    <row r="18823" spans="6:8">
      <c r="F18823" s="68" t="s">
        <v>253</v>
      </c>
      <c r="G18823" s="67" t="s">
        <v>715</v>
      </c>
      <c r="H18823" s="69">
        <v>0.4</v>
      </c>
    </row>
    <row r="18824" spans="6:8">
      <c r="F18824" s="68" t="s">
        <v>315</v>
      </c>
      <c r="G18824" s="67" t="s">
        <v>715</v>
      </c>
      <c r="H18824" s="69">
        <v>-0.2</v>
      </c>
    </row>
    <row r="18825" spans="6:8">
      <c r="F18825" s="68" t="s">
        <v>664</v>
      </c>
      <c r="G18825" s="67" t="s">
        <v>715</v>
      </c>
      <c r="H18825" s="69">
        <v>112.42827355999999</v>
      </c>
    </row>
    <row r="18826" spans="6:8">
      <c r="F18826" s="68" t="s">
        <v>128</v>
      </c>
      <c r="G18826" s="67" t="s">
        <v>715</v>
      </c>
      <c r="H18826" s="69">
        <v>-0.86499999999999999</v>
      </c>
    </row>
    <row r="18827" spans="6:8">
      <c r="F18827" s="68" t="s">
        <v>129</v>
      </c>
      <c r="G18827" s="67" t="s">
        <v>715</v>
      </c>
      <c r="H18827" s="69">
        <v>-0.71</v>
      </c>
    </row>
    <row r="18828" spans="6:8">
      <c r="F18828" s="68" t="s">
        <v>304</v>
      </c>
      <c r="G18828" s="67" t="s">
        <v>715</v>
      </c>
      <c r="H18828" s="69">
        <v>17.645833333333332</v>
      </c>
    </row>
    <row r="18829" spans="6:8">
      <c r="F18829" s="68" t="s">
        <v>254</v>
      </c>
      <c r="G18829" s="67" t="s">
        <v>715</v>
      </c>
      <c r="H18829" s="69">
        <v>0.56142857142857139</v>
      </c>
    </row>
    <row r="18830" spans="6:8">
      <c r="F18830" s="68" t="s">
        <v>421</v>
      </c>
      <c r="G18830" s="67" t="s">
        <v>715</v>
      </c>
      <c r="H18830" s="69">
        <v>2.2222946844843605</v>
      </c>
    </row>
    <row r="18831" spans="6:8">
      <c r="F18831" s="68" t="s">
        <v>567</v>
      </c>
      <c r="G18831" s="67" t="s">
        <v>715</v>
      </c>
      <c r="H18831" s="69">
        <v>-0.91</v>
      </c>
    </row>
    <row r="18832" spans="6:8">
      <c r="F18832" s="68" t="s">
        <v>665</v>
      </c>
      <c r="G18832" s="67" t="s">
        <v>715</v>
      </c>
      <c r="H18832" s="69">
        <v>112.42824745999999</v>
      </c>
    </row>
    <row r="18833" spans="6:8">
      <c r="F18833" s="68" t="s">
        <v>130</v>
      </c>
      <c r="G18833" s="67" t="s">
        <v>715</v>
      </c>
      <c r="H18833" s="69">
        <v>-1.06</v>
      </c>
    </row>
    <row r="18834" spans="6:8">
      <c r="F18834" s="68" t="s">
        <v>131</v>
      </c>
      <c r="G18834" s="67" t="s">
        <v>715</v>
      </c>
      <c r="H18834" s="69">
        <v>-0.55499999999999994</v>
      </c>
    </row>
    <row r="18835" spans="6:8">
      <c r="F18835" s="68" t="s">
        <v>303</v>
      </c>
      <c r="G18835" s="67" t="s">
        <v>715</v>
      </c>
      <c r="H18835" s="69">
        <v>18.364583333333332</v>
      </c>
    </row>
    <row r="18836" spans="6:8">
      <c r="F18836" s="68" t="s">
        <v>255</v>
      </c>
      <c r="G18836" s="67" t="s">
        <v>715</v>
      </c>
      <c r="H18836" s="69">
        <v>0.71</v>
      </c>
    </row>
    <row r="18837" spans="6:8">
      <c r="F18837" s="68" t="s">
        <v>422</v>
      </c>
      <c r="G18837" s="67" t="s">
        <v>715</v>
      </c>
      <c r="H18837" s="69">
        <v>2.2288770358748433</v>
      </c>
    </row>
    <row r="18838" spans="6:8">
      <c r="F18838" s="68" t="s">
        <v>568</v>
      </c>
      <c r="G18838" s="67" t="s">
        <v>715</v>
      </c>
      <c r="H18838" s="69">
        <v>-0.44500000000000001</v>
      </c>
    </row>
    <row r="18839" spans="6:8">
      <c r="F18839" s="68" t="s">
        <v>666</v>
      </c>
      <c r="G18839" s="67" t="s">
        <v>715</v>
      </c>
      <c r="H18839" s="69">
        <v>112.42813074999999</v>
      </c>
    </row>
    <row r="18840" spans="6:8">
      <c r="F18840" s="68" t="s">
        <v>132</v>
      </c>
      <c r="G18840" s="67" t="s">
        <v>715</v>
      </c>
      <c r="H18840" s="69">
        <v>-0.96</v>
      </c>
    </row>
    <row r="18841" spans="6:8">
      <c r="F18841" s="68" t="s">
        <v>133</v>
      </c>
      <c r="G18841" s="67" t="s">
        <v>715</v>
      </c>
      <c r="H18841" s="69">
        <v>-0.62</v>
      </c>
    </row>
    <row r="18842" spans="6:8">
      <c r="F18842" s="68" t="s">
        <v>256</v>
      </c>
      <c r="G18842" s="67" t="s">
        <v>715</v>
      </c>
      <c r="H18842" s="69">
        <v>0.8214285714285714</v>
      </c>
    </row>
    <row r="18843" spans="6:8">
      <c r="F18843" s="68" t="s">
        <v>423</v>
      </c>
      <c r="G18843" s="67" t="s">
        <v>715</v>
      </c>
      <c r="H18843" s="69">
        <v>2.2662099229788346</v>
      </c>
    </row>
    <row r="18844" spans="6:8">
      <c r="F18844" s="68" t="s">
        <v>569</v>
      </c>
      <c r="G18844" s="67" t="s">
        <v>715</v>
      </c>
      <c r="H18844" s="69">
        <v>-0.2</v>
      </c>
    </row>
    <row r="18845" spans="6:8">
      <c r="F18845" s="68" t="s">
        <v>667</v>
      </c>
      <c r="G18845" s="67" t="s">
        <v>715</v>
      </c>
      <c r="H18845" s="69">
        <v>112.42848365</v>
      </c>
    </row>
    <row r="18846" spans="6:8">
      <c r="F18846" s="68" t="s">
        <v>424</v>
      </c>
      <c r="G18846" s="67" t="s">
        <v>715</v>
      </c>
      <c r="H18846" s="69">
        <v>2.7414137780975345</v>
      </c>
    </row>
    <row r="18847" spans="6:8">
      <c r="F18847" s="68" t="s">
        <v>668</v>
      </c>
      <c r="G18847" s="67" t="s">
        <v>715</v>
      </c>
      <c r="H18847" s="69">
        <v>112.42820304</v>
      </c>
    </row>
    <row r="18848" spans="6:8">
      <c r="F18848" s="68" t="s">
        <v>134</v>
      </c>
      <c r="G18848" s="67" t="s">
        <v>715</v>
      </c>
      <c r="H18848" s="69">
        <v>-0.91500000000000004</v>
      </c>
    </row>
    <row r="18849" spans="6:8">
      <c r="F18849" s="68" t="s">
        <v>135</v>
      </c>
      <c r="G18849" s="67" t="s">
        <v>715</v>
      </c>
      <c r="H18849" s="69">
        <v>-0.79</v>
      </c>
    </row>
    <row r="18850" spans="6:8">
      <c r="F18850" s="68" t="s">
        <v>257</v>
      </c>
      <c r="G18850" s="67" t="s">
        <v>715</v>
      </c>
      <c r="H18850" s="69">
        <v>0.87</v>
      </c>
    </row>
    <row r="18851" spans="6:8">
      <c r="F18851" s="68" t="s">
        <v>258</v>
      </c>
      <c r="G18851" s="67" t="s">
        <v>715</v>
      </c>
      <c r="H18851" s="69">
        <v>0.15</v>
      </c>
    </row>
    <row r="18852" spans="6:8">
      <c r="F18852" s="68" t="s">
        <v>425</v>
      </c>
      <c r="G18852" s="67" t="s">
        <v>715</v>
      </c>
      <c r="H18852" s="69">
        <v>2.7215409483670072</v>
      </c>
    </row>
    <row r="18853" spans="6:8">
      <c r="F18853" s="68" t="s">
        <v>669</v>
      </c>
      <c r="G18853" s="67" t="s">
        <v>715</v>
      </c>
      <c r="H18853" s="69">
        <v>112.42852983</v>
      </c>
    </row>
    <row r="18854" spans="6:8">
      <c r="F18854" s="68" t="s">
        <v>136</v>
      </c>
      <c r="G18854" s="67" t="s">
        <v>715</v>
      </c>
      <c r="H18854" s="69">
        <v>-0.86499999999999999</v>
      </c>
    </row>
    <row r="18855" spans="6:8">
      <c r="F18855" s="68" t="s">
        <v>137</v>
      </c>
      <c r="G18855" s="67" t="s">
        <v>715</v>
      </c>
      <c r="H18855" s="69">
        <v>-0.65500000000000003</v>
      </c>
    </row>
    <row r="18856" spans="6:8">
      <c r="F18856" s="68" t="s">
        <v>138</v>
      </c>
      <c r="G18856" s="67" t="s">
        <v>715</v>
      </c>
      <c r="H18856" s="69">
        <v>-0.72</v>
      </c>
    </row>
    <row r="18857" spans="6:8">
      <c r="F18857" s="68" t="s">
        <v>259</v>
      </c>
      <c r="G18857" s="67" t="s">
        <v>715</v>
      </c>
      <c r="H18857" s="69">
        <v>0.15</v>
      </c>
    </row>
    <row r="18858" spans="6:8">
      <c r="F18858" s="68" t="s">
        <v>259</v>
      </c>
      <c r="G18858" s="67" t="s">
        <v>716</v>
      </c>
      <c r="H18858" s="69">
        <v>0.15</v>
      </c>
    </row>
    <row r="18859" spans="6:8">
      <c r="F18859" s="68" t="s">
        <v>138</v>
      </c>
      <c r="G18859" s="67" t="s">
        <v>716</v>
      </c>
      <c r="H18859" s="69">
        <v>-0.72</v>
      </c>
    </row>
    <row r="18860" spans="6:8">
      <c r="F18860" s="68" t="s">
        <v>137</v>
      </c>
      <c r="G18860" s="67" t="s">
        <v>716</v>
      </c>
      <c r="H18860" s="69">
        <v>-0.65500000000000003</v>
      </c>
    </row>
    <row r="18861" spans="6:8">
      <c r="F18861" s="68" t="s">
        <v>136</v>
      </c>
      <c r="G18861" s="67" t="s">
        <v>716</v>
      </c>
      <c r="H18861" s="69">
        <v>-0.86499999999999999</v>
      </c>
    </row>
    <row r="18862" spans="6:8">
      <c r="F18862" s="68" t="s">
        <v>669</v>
      </c>
      <c r="G18862" s="67" t="s">
        <v>716</v>
      </c>
      <c r="H18862" s="69">
        <v>112.52476049000001</v>
      </c>
    </row>
    <row r="18863" spans="6:8">
      <c r="F18863" s="68" t="s">
        <v>425</v>
      </c>
      <c r="G18863" s="67" t="s">
        <v>716</v>
      </c>
      <c r="H18863" s="69">
        <v>2.7256923324523008</v>
      </c>
    </row>
    <row r="18864" spans="6:8">
      <c r="F18864" s="68" t="s">
        <v>258</v>
      </c>
      <c r="G18864" s="67" t="s">
        <v>716</v>
      </c>
      <c r="H18864" s="69">
        <v>0.15</v>
      </c>
    </row>
    <row r="18865" spans="6:8">
      <c r="F18865" s="68" t="s">
        <v>257</v>
      </c>
      <c r="G18865" s="67" t="s">
        <v>716</v>
      </c>
      <c r="H18865" s="69">
        <v>0.87</v>
      </c>
    </row>
    <row r="18866" spans="6:8">
      <c r="F18866" s="68" t="s">
        <v>135</v>
      </c>
      <c r="G18866" s="67" t="s">
        <v>716</v>
      </c>
      <c r="H18866" s="69">
        <v>-0.79</v>
      </c>
    </row>
    <row r="18867" spans="6:8">
      <c r="F18867" s="68" t="s">
        <v>134</v>
      </c>
      <c r="G18867" s="67" t="s">
        <v>716</v>
      </c>
      <c r="H18867" s="69">
        <v>-0.91500000000000004</v>
      </c>
    </row>
    <row r="18868" spans="6:8">
      <c r="F18868" s="68" t="s">
        <v>668</v>
      </c>
      <c r="G18868" s="67" t="s">
        <v>716</v>
      </c>
      <c r="H18868" s="69">
        <v>112.52443083</v>
      </c>
    </row>
    <row r="18869" spans="6:8">
      <c r="F18869" s="68" t="s">
        <v>424</v>
      </c>
      <c r="G18869" s="67" t="s">
        <v>716</v>
      </c>
      <c r="H18869" s="69">
        <v>2.746942567740529</v>
      </c>
    </row>
    <row r="18870" spans="6:8">
      <c r="F18870" s="68" t="s">
        <v>667</v>
      </c>
      <c r="G18870" s="67" t="s">
        <v>716</v>
      </c>
      <c r="H18870" s="69">
        <v>112.52471391</v>
      </c>
    </row>
    <row r="18871" spans="6:8">
      <c r="F18871" s="68" t="s">
        <v>569</v>
      </c>
      <c r="G18871" s="67" t="s">
        <v>716</v>
      </c>
      <c r="H18871" s="69">
        <v>-0.2</v>
      </c>
    </row>
    <row r="18872" spans="6:8">
      <c r="F18872" s="68" t="s">
        <v>423</v>
      </c>
      <c r="G18872" s="67" t="s">
        <v>716</v>
      </c>
      <c r="H18872" s="69">
        <v>2.2624466410762878</v>
      </c>
    </row>
    <row r="18873" spans="6:8">
      <c r="F18873" s="68" t="s">
        <v>256</v>
      </c>
      <c r="G18873" s="67" t="s">
        <v>716</v>
      </c>
      <c r="H18873" s="69">
        <v>0.81</v>
      </c>
    </row>
    <row r="18874" spans="6:8">
      <c r="F18874" s="68" t="s">
        <v>133</v>
      </c>
      <c r="G18874" s="67" t="s">
        <v>716</v>
      </c>
      <c r="H18874" s="69">
        <v>-0.62</v>
      </c>
    </row>
    <row r="18875" spans="6:8">
      <c r="F18875" s="68" t="s">
        <v>132</v>
      </c>
      <c r="G18875" s="67" t="s">
        <v>716</v>
      </c>
      <c r="H18875" s="69">
        <v>-0.96</v>
      </c>
    </row>
    <row r="18876" spans="6:8">
      <c r="F18876" s="68" t="s">
        <v>666</v>
      </c>
      <c r="G18876" s="67" t="s">
        <v>716</v>
      </c>
      <c r="H18876" s="69">
        <v>112.5243579</v>
      </c>
    </row>
    <row r="18877" spans="6:8">
      <c r="F18877" s="68" t="s">
        <v>568</v>
      </c>
      <c r="G18877" s="67" t="s">
        <v>716</v>
      </c>
      <c r="H18877" s="69">
        <v>-0.44500000000000001</v>
      </c>
    </row>
    <row r="18878" spans="6:8">
      <c r="F18878" s="68" t="s">
        <v>422</v>
      </c>
      <c r="G18878" s="67" t="s">
        <v>716</v>
      </c>
      <c r="H18878" s="69">
        <v>2.228596512052583</v>
      </c>
    </row>
    <row r="18879" spans="6:8">
      <c r="F18879" s="68" t="s">
        <v>255</v>
      </c>
      <c r="G18879" s="67" t="s">
        <v>716</v>
      </c>
      <c r="H18879" s="69">
        <v>0.7</v>
      </c>
    </row>
    <row r="18880" spans="6:8">
      <c r="F18880" s="68" t="s">
        <v>303</v>
      </c>
      <c r="G18880" s="67" t="s">
        <v>716</v>
      </c>
      <c r="H18880" s="69">
        <v>18.34375</v>
      </c>
    </row>
    <row r="18881" spans="6:8">
      <c r="F18881" s="68" t="s">
        <v>131</v>
      </c>
      <c r="G18881" s="67" t="s">
        <v>716</v>
      </c>
      <c r="H18881" s="69">
        <v>-0.55499999999999994</v>
      </c>
    </row>
    <row r="18882" spans="6:8">
      <c r="F18882" s="68" t="s">
        <v>130</v>
      </c>
      <c r="G18882" s="67" t="s">
        <v>716</v>
      </c>
      <c r="H18882" s="69">
        <v>-1.06</v>
      </c>
    </row>
    <row r="18883" spans="6:8">
      <c r="F18883" s="68" t="s">
        <v>665</v>
      </c>
      <c r="G18883" s="67" t="s">
        <v>716</v>
      </c>
      <c r="H18883" s="69">
        <v>112.52447564000001</v>
      </c>
    </row>
    <row r="18884" spans="6:8">
      <c r="F18884" s="68" t="s">
        <v>567</v>
      </c>
      <c r="G18884" s="67" t="s">
        <v>716</v>
      </c>
      <c r="H18884" s="69">
        <v>-0.91</v>
      </c>
    </row>
    <row r="18885" spans="6:8">
      <c r="F18885" s="68" t="s">
        <v>421</v>
      </c>
      <c r="G18885" s="67" t="s">
        <v>716</v>
      </c>
      <c r="H18885" s="69">
        <v>2.2220582352797003</v>
      </c>
    </row>
    <row r="18886" spans="6:8">
      <c r="F18886" s="68" t="s">
        <v>254</v>
      </c>
      <c r="G18886" s="67" t="s">
        <v>716</v>
      </c>
      <c r="H18886" s="69">
        <v>0.55000000000000004</v>
      </c>
    </row>
    <row r="18887" spans="6:8">
      <c r="F18887" s="68" t="s">
        <v>304</v>
      </c>
      <c r="G18887" s="67" t="s">
        <v>716</v>
      </c>
      <c r="H18887" s="69">
        <v>17.604166666666668</v>
      </c>
    </row>
    <row r="18888" spans="6:8">
      <c r="F18888" s="68" t="s">
        <v>129</v>
      </c>
      <c r="G18888" s="67" t="s">
        <v>716</v>
      </c>
      <c r="H18888" s="69">
        <v>-0.71</v>
      </c>
    </row>
    <row r="18889" spans="6:8">
      <c r="F18889" s="68" t="s">
        <v>128</v>
      </c>
      <c r="G18889" s="67" t="s">
        <v>716</v>
      </c>
      <c r="H18889" s="69">
        <v>-0.86499999999999999</v>
      </c>
    </row>
    <row r="18890" spans="6:8">
      <c r="F18890" s="68" t="s">
        <v>664</v>
      </c>
      <c r="G18890" s="67" t="s">
        <v>716</v>
      </c>
      <c r="H18890" s="69">
        <v>112.52450197</v>
      </c>
    </row>
    <row r="18891" spans="6:8">
      <c r="F18891" s="68" t="s">
        <v>315</v>
      </c>
      <c r="G18891" s="67" t="s">
        <v>716</v>
      </c>
      <c r="H18891" s="69">
        <v>-0.2</v>
      </c>
    </row>
    <row r="18892" spans="6:8">
      <c r="F18892" s="68" t="s">
        <v>253</v>
      </c>
      <c r="G18892" s="67" t="s">
        <v>716</v>
      </c>
      <c r="H18892" s="69">
        <v>0.39</v>
      </c>
    </row>
    <row r="18893" spans="6:8">
      <c r="F18893" s="68" t="s">
        <v>127</v>
      </c>
      <c r="G18893" s="67" t="s">
        <v>716</v>
      </c>
      <c r="H18893" s="69">
        <v>-0.41500000000000004</v>
      </c>
    </row>
    <row r="18894" spans="6:8">
      <c r="F18894" s="68" t="s">
        <v>126</v>
      </c>
      <c r="G18894" s="67" t="s">
        <v>716</v>
      </c>
      <c r="H18894" s="69">
        <v>-0.90500000000000003</v>
      </c>
    </row>
    <row r="18895" spans="6:8">
      <c r="F18895" s="68" t="s">
        <v>125</v>
      </c>
      <c r="G18895" s="67" t="s">
        <v>716</v>
      </c>
      <c r="H18895" s="69">
        <v>-0.55500000000000005</v>
      </c>
    </row>
    <row r="18896" spans="6:8">
      <c r="F18896" s="68" t="s">
        <v>663</v>
      </c>
      <c r="G18896" s="67" t="s">
        <v>716</v>
      </c>
      <c r="H18896" s="69">
        <v>112.52470635</v>
      </c>
    </row>
    <row r="18897" spans="6:8">
      <c r="F18897" s="68" t="s">
        <v>314</v>
      </c>
      <c r="G18897" s="67" t="s">
        <v>716</v>
      </c>
      <c r="H18897" s="69">
        <v>-0.44500000000000001</v>
      </c>
    </row>
    <row r="18898" spans="6:8">
      <c r="F18898" s="68" t="s">
        <v>252</v>
      </c>
      <c r="G18898" s="67" t="s">
        <v>716</v>
      </c>
      <c r="H18898" s="69">
        <v>0.25</v>
      </c>
    </row>
    <row r="18899" spans="6:8">
      <c r="F18899" s="68" t="s">
        <v>124</v>
      </c>
      <c r="G18899" s="67" t="s">
        <v>716</v>
      </c>
      <c r="H18899" s="69">
        <v>-0.52</v>
      </c>
    </row>
    <row r="18900" spans="6:8">
      <c r="F18900" s="68" t="s">
        <v>123</v>
      </c>
      <c r="G18900" s="67" t="s">
        <v>716</v>
      </c>
      <c r="H18900" s="69">
        <v>-0.93500000000000005</v>
      </c>
    </row>
    <row r="18901" spans="6:8">
      <c r="F18901" s="68" t="s">
        <v>122</v>
      </c>
      <c r="G18901" s="67" t="s">
        <v>716</v>
      </c>
      <c r="H18901" s="69">
        <v>-0.77500000000000002</v>
      </c>
    </row>
    <row r="18902" spans="6:8">
      <c r="F18902" s="68" t="s">
        <v>251</v>
      </c>
      <c r="G18902" s="67" t="s">
        <v>716</v>
      </c>
      <c r="H18902" s="69">
        <v>0.18</v>
      </c>
    </row>
    <row r="18903" spans="6:8">
      <c r="F18903" s="68" t="s">
        <v>121</v>
      </c>
      <c r="G18903" s="67" t="s">
        <v>716</v>
      </c>
      <c r="H18903" s="69">
        <v>-0.625</v>
      </c>
    </row>
    <row r="18904" spans="6:8">
      <c r="F18904" s="68" t="s">
        <v>120</v>
      </c>
      <c r="G18904" s="67" t="s">
        <v>716</v>
      </c>
      <c r="H18904" s="69">
        <v>-0.79500000000000004</v>
      </c>
    </row>
    <row r="18905" spans="6:8">
      <c r="F18905" s="68" t="s">
        <v>119</v>
      </c>
      <c r="G18905" s="67" t="s">
        <v>716</v>
      </c>
      <c r="H18905" s="69">
        <v>-0.8</v>
      </c>
    </row>
    <row r="18906" spans="6:8">
      <c r="F18906" s="68" t="s">
        <v>662</v>
      </c>
      <c r="G18906" s="67" t="s">
        <v>716</v>
      </c>
      <c r="H18906" s="69">
        <v>112.52412533</v>
      </c>
    </row>
    <row r="18907" spans="6:8">
      <c r="F18907" s="68" t="s">
        <v>420</v>
      </c>
      <c r="G18907" s="67" t="s">
        <v>716</v>
      </c>
      <c r="H18907" s="69">
        <v>3.0803371977218941</v>
      </c>
    </row>
    <row r="18908" spans="6:8">
      <c r="F18908" s="68" t="s">
        <v>420</v>
      </c>
      <c r="G18908" s="67" t="s">
        <v>717</v>
      </c>
      <c r="H18908" s="69">
        <v>3.1334692922129648</v>
      </c>
    </row>
    <row r="18909" spans="6:8">
      <c r="F18909" s="68" t="s">
        <v>662</v>
      </c>
      <c r="G18909" s="67" t="s">
        <v>717</v>
      </c>
      <c r="H18909" s="69">
        <v>112.4591975</v>
      </c>
    </row>
    <row r="18910" spans="6:8">
      <c r="F18910" s="68" t="s">
        <v>119</v>
      </c>
      <c r="G18910" s="67" t="s">
        <v>717</v>
      </c>
      <c r="H18910" s="69">
        <v>-0.8</v>
      </c>
    </row>
    <row r="18911" spans="6:8">
      <c r="F18911" s="68" t="s">
        <v>120</v>
      </c>
      <c r="G18911" s="67" t="s">
        <v>717</v>
      </c>
      <c r="H18911" s="69">
        <v>-0.79500000000000004</v>
      </c>
    </row>
    <row r="18912" spans="6:8">
      <c r="F18912" s="68" t="s">
        <v>121</v>
      </c>
      <c r="G18912" s="67" t="s">
        <v>717</v>
      </c>
      <c r="H18912" s="69">
        <v>-0.625</v>
      </c>
    </row>
    <row r="18913" spans="6:8">
      <c r="F18913" s="68" t="s">
        <v>251</v>
      </c>
      <c r="G18913" s="67" t="s">
        <v>717</v>
      </c>
      <c r="H18913" s="69">
        <v>0.18</v>
      </c>
    </row>
    <row r="18914" spans="6:8">
      <c r="F18914" s="68" t="s">
        <v>122</v>
      </c>
      <c r="G18914" s="67" t="s">
        <v>717</v>
      </c>
      <c r="H18914" s="69">
        <v>-0.77500000000000002</v>
      </c>
    </row>
    <row r="18915" spans="6:8">
      <c r="F18915" s="68" t="s">
        <v>123</v>
      </c>
      <c r="G18915" s="67" t="s">
        <v>717</v>
      </c>
      <c r="H18915" s="69">
        <v>-0.93500000000000005</v>
      </c>
    </row>
    <row r="18916" spans="6:8">
      <c r="F18916" s="68" t="s">
        <v>124</v>
      </c>
      <c r="G18916" s="67" t="s">
        <v>717</v>
      </c>
      <c r="H18916" s="69">
        <v>-0.52</v>
      </c>
    </row>
    <row r="18917" spans="6:8">
      <c r="F18917" s="68" t="s">
        <v>252</v>
      </c>
      <c r="G18917" s="67" t="s">
        <v>717</v>
      </c>
      <c r="H18917" s="69">
        <v>0.25</v>
      </c>
    </row>
    <row r="18918" spans="6:8">
      <c r="F18918" s="68" t="s">
        <v>314</v>
      </c>
      <c r="G18918" s="67" t="s">
        <v>717</v>
      </c>
      <c r="H18918" s="69">
        <v>-0.44500000000000001</v>
      </c>
    </row>
    <row r="18919" spans="6:8">
      <c r="F18919" s="68" t="s">
        <v>663</v>
      </c>
      <c r="G18919" s="67" t="s">
        <v>717</v>
      </c>
      <c r="H18919" s="69">
        <v>112.4591975</v>
      </c>
    </row>
    <row r="18920" spans="6:8">
      <c r="F18920" s="68" t="s">
        <v>125</v>
      </c>
      <c r="G18920" s="67" t="s">
        <v>717</v>
      </c>
      <c r="H18920" s="69">
        <v>-0.55500000000000005</v>
      </c>
    </row>
    <row r="18921" spans="6:8">
      <c r="F18921" s="68" t="s">
        <v>126</v>
      </c>
      <c r="G18921" s="67" t="s">
        <v>717</v>
      </c>
      <c r="H18921" s="69">
        <v>-0.90500000000000003</v>
      </c>
    </row>
    <row r="18922" spans="6:8">
      <c r="F18922" s="68" t="s">
        <v>127</v>
      </c>
      <c r="G18922" s="67" t="s">
        <v>717</v>
      </c>
      <c r="H18922" s="69">
        <v>-0.41500000000000004</v>
      </c>
    </row>
    <row r="18923" spans="6:8">
      <c r="F18923" s="68" t="s">
        <v>253</v>
      </c>
      <c r="G18923" s="67" t="s">
        <v>717</v>
      </c>
      <c r="H18923" s="69">
        <v>0.39</v>
      </c>
    </row>
    <row r="18924" spans="6:8">
      <c r="F18924" s="68" t="s">
        <v>315</v>
      </c>
      <c r="G18924" s="67" t="s">
        <v>717</v>
      </c>
      <c r="H18924" s="69">
        <v>-0.2</v>
      </c>
    </row>
    <row r="18925" spans="6:8">
      <c r="F18925" s="68" t="s">
        <v>664</v>
      </c>
      <c r="G18925" s="67" t="s">
        <v>717</v>
      </c>
      <c r="H18925" s="69">
        <v>112.4591975</v>
      </c>
    </row>
    <row r="18926" spans="6:8">
      <c r="F18926" s="68" t="s">
        <v>128</v>
      </c>
      <c r="G18926" s="67" t="s">
        <v>717</v>
      </c>
      <c r="H18926" s="69">
        <v>-0.86499999999999999</v>
      </c>
    </row>
    <row r="18927" spans="6:8">
      <c r="F18927" s="68" t="s">
        <v>129</v>
      </c>
      <c r="G18927" s="67" t="s">
        <v>717</v>
      </c>
      <c r="H18927" s="69">
        <v>-0.71</v>
      </c>
    </row>
    <row r="18928" spans="6:8">
      <c r="F18928" s="68" t="s">
        <v>304</v>
      </c>
      <c r="G18928" s="67" t="s">
        <v>717</v>
      </c>
      <c r="H18928" s="69">
        <v>17.677083333333332</v>
      </c>
    </row>
    <row r="18929" spans="6:8">
      <c r="F18929" s="68" t="s">
        <v>254</v>
      </c>
      <c r="G18929" s="67" t="s">
        <v>717</v>
      </c>
      <c r="H18929" s="69">
        <v>0.55000000000000004</v>
      </c>
    </row>
    <row r="18930" spans="6:8">
      <c r="F18930" s="68" t="s">
        <v>421</v>
      </c>
      <c r="G18930" s="67" t="s">
        <v>717</v>
      </c>
      <c r="H18930" s="69">
        <v>2.2558018492603082</v>
      </c>
    </row>
    <row r="18931" spans="6:8">
      <c r="F18931" s="68" t="s">
        <v>567</v>
      </c>
      <c r="G18931" s="67" t="s">
        <v>717</v>
      </c>
      <c r="H18931" s="69">
        <v>-0.91</v>
      </c>
    </row>
    <row r="18932" spans="6:8">
      <c r="F18932" s="68" t="s">
        <v>665</v>
      </c>
      <c r="G18932" s="67" t="s">
        <v>717</v>
      </c>
      <c r="H18932" s="69">
        <v>112.4591975</v>
      </c>
    </row>
    <row r="18933" spans="6:8">
      <c r="F18933" s="68" t="s">
        <v>130</v>
      </c>
      <c r="G18933" s="67" t="s">
        <v>717</v>
      </c>
      <c r="H18933" s="69">
        <v>-1.06</v>
      </c>
    </row>
    <row r="18934" spans="6:8">
      <c r="F18934" s="68" t="s">
        <v>131</v>
      </c>
      <c r="G18934" s="67" t="s">
        <v>717</v>
      </c>
      <c r="H18934" s="69">
        <v>-0.55499999999999994</v>
      </c>
    </row>
    <row r="18935" spans="6:8">
      <c r="F18935" s="68" t="s">
        <v>303</v>
      </c>
      <c r="G18935" s="67" t="s">
        <v>717</v>
      </c>
      <c r="H18935" s="69">
        <v>18.364583333333332</v>
      </c>
    </row>
    <row r="18936" spans="6:8">
      <c r="F18936" s="68" t="s">
        <v>255</v>
      </c>
      <c r="G18936" s="67" t="s">
        <v>717</v>
      </c>
      <c r="H18936" s="69">
        <v>0.7</v>
      </c>
    </row>
    <row r="18937" spans="6:8">
      <c r="F18937" s="68" t="s">
        <v>422</v>
      </c>
      <c r="G18937" s="67" t="s">
        <v>717</v>
      </c>
      <c r="H18937" s="69">
        <v>2.2623748993098936</v>
      </c>
    </row>
    <row r="18938" spans="6:8">
      <c r="F18938" s="68" t="s">
        <v>568</v>
      </c>
      <c r="G18938" s="67" t="s">
        <v>717</v>
      </c>
      <c r="H18938" s="69">
        <v>-0.44500000000000001</v>
      </c>
    </row>
    <row r="18939" spans="6:8">
      <c r="F18939" s="68" t="s">
        <v>666</v>
      </c>
      <c r="G18939" s="67" t="s">
        <v>717</v>
      </c>
      <c r="H18939" s="69">
        <v>112.4591975</v>
      </c>
    </row>
    <row r="18940" spans="6:8">
      <c r="F18940" s="68" t="s">
        <v>132</v>
      </c>
      <c r="G18940" s="67" t="s">
        <v>717</v>
      </c>
      <c r="H18940" s="69">
        <v>-0.96</v>
      </c>
    </row>
    <row r="18941" spans="6:8">
      <c r="F18941" s="68" t="s">
        <v>133</v>
      </c>
      <c r="G18941" s="67" t="s">
        <v>717</v>
      </c>
      <c r="H18941" s="69">
        <v>-0.62</v>
      </c>
    </row>
    <row r="18942" spans="6:8">
      <c r="F18942" s="68" t="s">
        <v>256</v>
      </c>
      <c r="G18942" s="67" t="s">
        <v>717</v>
      </c>
      <c r="H18942" s="69">
        <v>0.81</v>
      </c>
    </row>
    <row r="18943" spans="6:8">
      <c r="F18943" s="68" t="s">
        <v>423</v>
      </c>
      <c r="G18943" s="67" t="s">
        <v>717</v>
      </c>
      <c r="H18943" s="69">
        <v>2.2871861823258399</v>
      </c>
    </row>
    <row r="18944" spans="6:8">
      <c r="F18944" s="68" t="s">
        <v>569</v>
      </c>
      <c r="G18944" s="67" t="s">
        <v>717</v>
      </c>
      <c r="H18944" s="69">
        <v>-0.2</v>
      </c>
    </row>
    <row r="18945" spans="6:8">
      <c r="F18945" s="68" t="s">
        <v>667</v>
      </c>
      <c r="G18945" s="67" t="s">
        <v>717</v>
      </c>
      <c r="H18945" s="69">
        <v>112.4591975</v>
      </c>
    </row>
    <row r="18946" spans="6:8">
      <c r="F18946" s="68" t="s">
        <v>424</v>
      </c>
      <c r="G18946" s="67" t="s">
        <v>717</v>
      </c>
      <c r="H18946" s="69">
        <v>2.8267346183637354</v>
      </c>
    </row>
    <row r="18947" spans="6:8">
      <c r="F18947" s="68" t="s">
        <v>668</v>
      </c>
      <c r="G18947" s="67" t="s">
        <v>717</v>
      </c>
      <c r="H18947" s="69">
        <v>112.4591975</v>
      </c>
    </row>
    <row r="18948" spans="6:8">
      <c r="F18948" s="68" t="s">
        <v>134</v>
      </c>
      <c r="G18948" s="67" t="s">
        <v>717</v>
      </c>
      <c r="H18948" s="69">
        <v>-0.91500000000000004</v>
      </c>
    </row>
    <row r="18949" spans="6:8">
      <c r="F18949" s="68" t="s">
        <v>135</v>
      </c>
      <c r="G18949" s="67" t="s">
        <v>717</v>
      </c>
      <c r="H18949" s="69">
        <v>-0.79</v>
      </c>
    </row>
    <row r="18950" spans="6:8">
      <c r="F18950" s="68" t="s">
        <v>257</v>
      </c>
      <c r="G18950" s="67" t="s">
        <v>717</v>
      </c>
      <c r="H18950" s="69">
        <v>0.87</v>
      </c>
    </row>
    <row r="18951" spans="6:8">
      <c r="F18951" s="68" t="s">
        <v>258</v>
      </c>
      <c r="G18951" s="67" t="s">
        <v>717</v>
      </c>
      <c r="H18951" s="69">
        <v>0.15</v>
      </c>
    </row>
    <row r="18952" spans="6:8">
      <c r="F18952" s="68" t="s">
        <v>425</v>
      </c>
      <c r="G18952" s="67" t="s">
        <v>717</v>
      </c>
      <c r="H18952" s="69">
        <v>2.8053735004907931</v>
      </c>
    </row>
    <row r="18953" spans="6:8">
      <c r="F18953" s="68" t="s">
        <v>669</v>
      </c>
      <c r="G18953" s="67" t="s">
        <v>717</v>
      </c>
      <c r="H18953" s="69">
        <v>112.4591975</v>
      </c>
    </row>
    <row r="18954" spans="6:8">
      <c r="F18954" s="68" t="s">
        <v>136</v>
      </c>
      <c r="G18954" s="67" t="s">
        <v>717</v>
      </c>
      <c r="H18954" s="69">
        <v>-0.86499999999999999</v>
      </c>
    </row>
    <row r="18955" spans="6:8">
      <c r="F18955" s="68" t="s">
        <v>137</v>
      </c>
      <c r="G18955" s="67" t="s">
        <v>717</v>
      </c>
      <c r="H18955" s="69">
        <v>-0.65500000000000003</v>
      </c>
    </row>
    <row r="18956" spans="6:8">
      <c r="F18956" s="68" t="s">
        <v>138</v>
      </c>
      <c r="G18956" s="67" t="s">
        <v>717</v>
      </c>
      <c r="H18956" s="69">
        <v>-0.72</v>
      </c>
    </row>
    <row r="18957" spans="6:8">
      <c r="F18957" s="68" t="s">
        <v>259</v>
      </c>
      <c r="G18957" s="67" t="s">
        <v>717</v>
      </c>
      <c r="H18957" s="69">
        <v>0.15</v>
      </c>
    </row>
    <row r="18958" spans="6:8">
      <c r="F18958" s="68" t="s">
        <v>259</v>
      </c>
      <c r="G18958" s="67" t="s">
        <v>718</v>
      </c>
      <c r="H18958" s="69">
        <v>0.15</v>
      </c>
    </row>
    <row r="18959" spans="6:8">
      <c r="F18959" s="68" t="s">
        <v>138</v>
      </c>
      <c r="G18959" s="67" t="s">
        <v>718</v>
      </c>
      <c r="H18959" s="69">
        <v>-0.73499999999999999</v>
      </c>
    </row>
    <row r="18960" spans="6:8">
      <c r="F18960" s="68" t="s">
        <v>137</v>
      </c>
      <c r="G18960" s="67" t="s">
        <v>718</v>
      </c>
      <c r="H18960" s="69">
        <v>-0.61</v>
      </c>
    </row>
    <row r="18961" spans="6:8">
      <c r="F18961" s="68" t="s">
        <v>136</v>
      </c>
      <c r="G18961" s="67" t="s">
        <v>718</v>
      </c>
      <c r="H18961" s="69">
        <v>-0.90500000000000003</v>
      </c>
    </row>
    <row r="18962" spans="6:8">
      <c r="F18962" s="68" t="s">
        <v>669</v>
      </c>
      <c r="G18962" s="67" t="s">
        <v>718</v>
      </c>
      <c r="H18962" s="69">
        <v>112.50105383</v>
      </c>
    </row>
    <row r="18963" spans="6:8">
      <c r="F18963" s="68" t="s">
        <v>425</v>
      </c>
      <c r="G18963" s="67" t="s">
        <v>718</v>
      </c>
      <c r="H18963" s="69">
        <v>2.7854534823684052</v>
      </c>
    </row>
    <row r="18964" spans="6:8">
      <c r="F18964" s="68" t="s">
        <v>258</v>
      </c>
      <c r="G18964" s="67" t="s">
        <v>718</v>
      </c>
      <c r="H18964" s="69">
        <v>0.15</v>
      </c>
    </row>
    <row r="18965" spans="6:8">
      <c r="F18965" s="68" t="s">
        <v>257</v>
      </c>
      <c r="G18965" s="67" t="s">
        <v>718</v>
      </c>
      <c r="H18965" s="69">
        <v>0.88</v>
      </c>
    </row>
    <row r="18966" spans="6:8">
      <c r="F18966" s="68" t="s">
        <v>135</v>
      </c>
      <c r="G18966" s="67" t="s">
        <v>718</v>
      </c>
      <c r="H18966" s="69">
        <v>-0.82000000000000006</v>
      </c>
    </row>
    <row r="18967" spans="6:8">
      <c r="F18967" s="68" t="s">
        <v>134</v>
      </c>
      <c r="G18967" s="67" t="s">
        <v>718</v>
      </c>
      <c r="H18967" s="69">
        <v>-0.88500000000000001</v>
      </c>
    </row>
    <row r="18968" spans="6:8">
      <c r="F18968" s="68" t="s">
        <v>668</v>
      </c>
      <c r="G18968" s="67" t="s">
        <v>718</v>
      </c>
      <c r="H18968" s="69">
        <v>112.50105383</v>
      </c>
    </row>
    <row r="18969" spans="6:8">
      <c r="F18969" s="68" t="s">
        <v>424</v>
      </c>
      <c r="G18969" s="67" t="s">
        <v>718</v>
      </c>
      <c r="H18969" s="69">
        <v>2.8003965323717406</v>
      </c>
    </row>
    <row r="18970" spans="6:8">
      <c r="F18970" s="68" t="s">
        <v>667</v>
      </c>
      <c r="G18970" s="67" t="s">
        <v>718</v>
      </c>
      <c r="H18970" s="69">
        <v>112.50105383</v>
      </c>
    </row>
    <row r="18971" spans="6:8">
      <c r="F18971" s="68" t="s">
        <v>569</v>
      </c>
      <c r="G18971" s="67" t="s">
        <v>718</v>
      </c>
      <c r="H18971" s="69">
        <v>-0.20500000000000002</v>
      </c>
    </row>
    <row r="18972" spans="6:8">
      <c r="F18972" s="68" t="s">
        <v>423</v>
      </c>
      <c r="G18972" s="67" t="s">
        <v>718</v>
      </c>
      <c r="H18972" s="69">
        <v>2.2840570942290306</v>
      </c>
    </row>
    <row r="18973" spans="6:8">
      <c r="F18973" s="68" t="s">
        <v>256</v>
      </c>
      <c r="G18973" s="67" t="s">
        <v>718</v>
      </c>
      <c r="H18973" s="69">
        <v>0.81</v>
      </c>
    </row>
    <row r="18974" spans="6:8">
      <c r="F18974" s="68" t="s">
        <v>133</v>
      </c>
      <c r="G18974" s="67" t="s">
        <v>718</v>
      </c>
      <c r="H18974" s="69">
        <v>-0.59</v>
      </c>
    </row>
    <row r="18975" spans="6:8">
      <c r="F18975" s="68" t="s">
        <v>132</v>
      </c>
      <c r="G18975" s="67" t="s">
        <v>718</v>
      </c>
      <c r="H18975" s="69">
        <v>-0.92500000000000004</v>
      </c>
    </row>
    <row r="18976" spans="6:8">
      <c r="F18976" s="68" t="s">
        <v>666</v>
      </c>
      <c r="G18976" s="67" t="s">
        <v>718</v>
      </c>
      <c r="H18976" s="69">
        <v>112.50105383</v>
      </c>
    </row>
    <row r="18977" spans="6:8">
      <c r="F18977" s="68" t="s">
        <v>568</v>
      </c>
      <c r="G18977" s="67" t="s">
        <v>718</v>
      </c>
      <c r="H18977" s="69">
        <v>-0.45999999999999996</v>
      </c>
    </row>
    <row r="18978" spans="6:8">
      <c r="F18978" s="68" t="s">
        <v>422</v>
      </c>
      <c r="G18978" s="67" t="s">
        <v>718</v>
      </c>
      <c r="H18978" s="69">
        <v>2.2594243710560846</v>
      </c>
    </row>
    <row r="18979" spans="6:8">
      <c r="F18979" s="68" t="s">
        <v>255</v>
      </c>
      <c r="G18979" s="67" t="s">
        <v>718</v>
      </c>
      <c r="H18979" s="69">
        <v>0.71</v>
      </c>
    </row>
    <row r="18980" spans="6:8">
      <c r="F18980" s="68" t="s">
        <v>303</v>
      </c>
      <c r="G18980" s="67" t="s">
        <v>718</v>
      </c>
      <c r="H18980" s="69">
        <v>18.354166666666668</v>
      </c>
    </row>
    <row r="18981" spans="6:8">
      <c r="F18981" s="68" t="s">
        <v>131</v>
      </c>
      <c r="G18981" s="67" t="s">
        <v>718</v>
      </c>
      <c r="H18981" s="69">
        <v>-0.51500000000000001</v>
      </c>
    </row>
    <row r="18982" spans="6:8">
      <c r="F18982" s="68" t="s">
        <v>130</v>
      </c>
      <c r="G18982" s="67" t="s">
        <v>718</v>
      </c>
      <c r="H18982" s="69">
        <v>-1.03</v>
      </c>
    </row>
    <row r="18983" spans="6:8">
      <c r="F18983" s="68" t="s">
        <v>665</v>
      </c>
      <c r="G18983" s="67" t="s">
        <v>718</v>
      </c>
      <c r="H18983" s="69">
        <v>112.50105383</v>
      </c>
    </row>
    <row r="18984" spans="6:8">
      <c r="F18984" s="68" t="s">
        <v>567</v>
      </c>
      <c r="G18984" s="67" t="s">
        <v>718</v>
      </c>
      <c r="H18984" s="69">
        <v>-0.91</v>
      </c>
    </row>
    <row r="18985" spans="6:8">
      <c r="F18985" s="68" t="s">
        <v>421</v>
      </c>
      <c r="G18985" s="67" t="s">
        <v>718</v>
      </c>
      <c r="H18985" s="69">
        <v>2.252881221170222</v>
      </c>
    </row>
    <row r="18986" spans="6:8">
      <c r="F18986" s="68" t="s">
        <v>254</v>
      </c>
      <c r="G18986" s="67" t="s">
        <v>718</v>
      </c>
      <c r="H18986" s="69">
        <v>0.55000000000000004</v>
      </c>
    </row>
    <row r="18987" spans="6:8">
      <c r="F18987" s="68" t="s">
        <v>304</v>
      </c>
      <c r="G18987" s="67" t="s">
        <v>718</v>
      </c>
      <c r="H18987" s="69">
        <v>17.666666666666668</v>
      </c>
    </row>
    <row r="18988" spans="6:8">
      <c r="F18988" s="68" t="s">
        <v>129</v>
      </c>
      <c r="G18988" s="67" t="s">
        <v>718</v>
      </c>
      <c r="H18988" s="69">
        <v>-0.745</v>
      </c>
    </row>
    <row r="18989" spans="6:8">
      <c r="F18989" s="68" t="s">
        <v>128</v>
      </c>
      <c r="G18989" s="67" t="s">
        <v>718</v>
      </c>
      <c r="H18989" s="69">
        <v>-0.83</v>
      </c>
    </row>
    <row r="18990" spans="6:8">
      <c r="F18990" s="68" t="s">
        <v>664</v>
      </c>
      <c r="G18990" s="67" t="s">
        <v>718</v>
      </c>
      <c r="H18990" s="69">
        <v>112.50105383</v>
      </c>
    </row>
    <row r="18991" spans="6:8">
      <c r="F18991" s="68" t="s">
        <v>315</v>
      </c>
      <c r="G18991" s="67" t="s">
        <v>718</v>
      </c>
      <c r="H18991" s="69">
        <v>-0.21000000000000002</v>
      </c>
    </row>
    <row r="18992" spans="6:8">
      <c r="F18992" s="68" t="s">
        <v>253</v>
      </c>
      <c r="G18992" s="67" t="s">
        <v>718</v>
      </c>
      <c r="H18992" s="69">
        <v>0.39</v>
      </c>
    </row>
    <row r="18993" spans="6:8">
      <c r="F18993" s="68" t="s">
        <v>127</v>
      </c>
      <c r="G18993" s="67" t="s">
        <v>718</v>
      </c>
      <c r="H18993" s="69">
        <v>-0.32500000000000001</v>
      </c>
    </row>
    <row r="18994" spans="6:8">
      <c r="F18994" s="68" t="s">
        <v>126</v>
      </c>
      <c r="G18994" s="67" t="s">
        <v>718</v>
      </c>
      <c r="H18994" s="69">
        <v>-0.86</v>
      </c>
    </row>
    <row r="18995" spans="6:8">
      <c r="F18995" s="68" t="s">
        <v>125</v>
      </c>
      <c r="G18995" s="67" t="s">
        <v>718</v>
      </c>
      <c r="H18995" s="69">
        <v>-0.57000000000000006</v>
      </c>
    </row>
    <row r="18996" spans="6:8">
      <c r="F18996" s="68" t="s">
        <v>663</v>
      </c>
      <c r="G18996" s="67" t="s">
        <v>718</v>
      </c>
      <c r="H18996" s="69">
        <v>112.50105383</v>
      </c>
    </row>
    <row r="18997" spans="6:8">
      <c r="F18997" s="68" t="s">
        <v>314</v>
      </c>
      <c r="G18997" s="67" t="s">
        <v>718</v>
      </c>
      <c r="H18997" s="69">
        <v>-0.45499999999999996</v>
      </c>
    </row>
    <row r="18998" spans="6:8">
      <c r="F18998" s="68" t="s">
        <v>252</v>
      </c>
      <c r="G18998" s="67" t="s">
        <v>718</v>
      </c>
      <c r="H18998" s="69">
        <v>0.26</v>
      </c>
    </row>
    <row r="18999" spans="6:8">
      <c r="F18999" s="68" t="s">
        <v>124</v>
      </c>
      <c r="G18999" s="67" t="s">
        <v>718</v>
      </c>
      <c r="H18999" s="69">
        <v>-0.55499999999999994</v>
      </c>
    </row>
    <row r="19000" spans="6:8">
      <c r="F19000" s="68" t="s">
        <v>123</v>
      </c>
      <c r="G19000" s="67" t="s">
        <v>718</v>
      </c>
      <c r="H19000" s="69">
        <v>-0.96499999999999997</v>
      </c>
    </row>
    <row r="19001" spans="6:8">
      <c r="F19001" s="68" t="s">
        <v>122</v>
      </c>
      <c r="G19001" s="67" t="s">
        <v>718</v>
      </c>
      <c r="H19001" s="69">
        <v>-0.77</v>
      </c>
    </row>
    <row r="19002" spans="6:8">
      <c r="F19002" s="68" t="s">
        <v>251</v>
      </c>
      <c r="G19002" s="67" t="s">
        <v>718</v>
      </c>
      <c r="H19002" s="69">
        <v>0.18</v>
      </c>
    </row>
    <row r="19003" spans="6:8">
      <c r="F19003" s="68" t="s">
        <v>121</v>
      </c>
      <c r="G19003" s="67" t="s">
        <v>718</v>
      </c>
      <c r="H19003" s="69">
        <v>-0.63</v>
      </c>
    </row>
    <row r="19004" spans="6:8">
      <c r="F19004" s="68" t="s">
        <v>120</v>
      </c>
      <c r="G19004" s="67" t="s">
        <v>718</v>
      </c>
      <c r="H19004" s="69">
        <v>-0.79</v>
      </c>
    </row>
    <row r="19005" spans="6:8">
      <c r="F19005" s="68" t="s">
        <v>119</v>
      </c>
      <c r="G19005" s="67" t="s">
        <v>718</v>
      </c>
      <c r="H19005" s="69">
        <v>-0.82499999999999996</v>
      </c>
    </row>
    <row r="19006" spans="6:8">
      <c r="F19006" s="68" t="s">
        <v>662</v>
      </c>
      <c r="G19006" s="67" t="s">
        <v>718</v>
      </c>
      <c r="H19006" s="69">
        <v>112.50105383</v>
      </c>
    </row>
    <row r="19007" spans="6:8">
      <c r="F19007" s="68" t="s">
        <v>420</v>
      </c>
      <c r="G19007" s="67" t="s">
        <v>718</v>
      </c>
      <c r="H19007" s="69">
        <v>3.1253552915520455</v>
      </c>
    </row>
    <row r="19008" spans="6:8">
      <c r="F19008" s="68" t="s">
        <v>420</v>
      </c>
      <c r="G19008" s="67" t="s">
        <v>719</v>
      </c>
      <c r="H19008" s="69">
        <v>3.152831691456992</v>
      </c>
    </row>
    <row r="19009" spans="6:8">
      <c r="F19009" s="68" t="s">
        <v>662</v>
      </c>
      <c r="G19009" s="67" t="s">
        <v>719</v>
      </c>
      <c r="H19009" s="69">
        <v>112.44135391</v>
      </c>
    </row>
    <row r="19010" spans="6:8">
      <c r="F19010" s="68" t="s">
        <v>119</v>
      </c>
      <c r="G19010" s="67" t="s">
        <v>719</v>
      </c>
      <c r="H19010" s="69">
        <v>-0.82499999999999996</v>
      </c>
    </row>
    <row r="19011" spans="6:8">
      <c r="F19011" s="68" t="s">
        <v>120</v>
      </c>
      <c r="G19011" s="67" t="s">
        <v>719</v>
      </c>
      <c r="H19011" s="69">
        <v>-0.79</v>
      </c>
    </row>
    <row r="19012" spans="6:8">
      <c r="F19012" s="68" t="s">
        <v>121</v>
      </c>
      <c r="G19012" s="67" t="s">
        <v>719</v>
      </c>
      <c r="H19012" s="69">
        <v>-0.63</v>
      </c>
    </row>
    <row r="19013" spans="6:8">
      <c r="F19013" s="68" t="s">
        <v>251</v>
      </c>
      <c r="G19013" s="67" t="s">
        <v>719</v>
      </c>
      <c r="H19013" s="69">
        <v>0.18</v>
      </c>
    </row>
    <row r="19014" spans="6:8">
      <c r="F19014" s="68" t="s">
        <v>122</v>
      </c>
      <c r="G19014" s="67" t="s">
        <v>719</v>
      </c>
      <c r="H19014" s="69">
        <v>-0.77</v>
      </c>
    </row>
    <row r="19015" spans="6:8">
      <c r="F19015" s="68" t="s">
        <v>123</v>
      </c>
      <c r="G19015" s="67" t="s">
        <v>719</v>
      </c>
      <c r="H19015" s="69">
        <v>-0.96499999999999997</v>
      </c>
    </row>
    <row r="19016" spans="6:8">
      <c r="F19016" s="68" t="s">
        <v>124</v>
      </c>
      <c r="G19016" s="67" t="s">
        <v>719</v>
      </c>
      <c r="H19016" s="69">
        <v>-0.55499999999999994</v>
      </c>
    </row>
    <row r="19017" spans="6:8">
      <c r="F19017" s="68" t="s">
        <v>252</v>
      </c>
      <c r="G19017" s="67" t="s">
        <v>719</v>
      </c>
      <c r="H19017" s="69">
        <v>0.26</v>
      </c>
    </row>
    <row r="19018" spans="6:8">
      <c r="F19018" s="68" t="s">
        <v>314</v>
      </c>
      <c r="G19018" s="67" t="s">
        <v>719</v>
      </c>
      <c r="H19018" s="69">
        <v>-0.45499999999999996</v>
      </c>
    </row>
    <row r="19019" spans="6:8">
      <c r="F19019" s="68" t="s">
        <v>663</v>
      </c>
      <c r="G19019" s="67" t="s">
        <v>719</v>
      </c>
      <c r="H19019" s="69">
        <v>112.44135391</v>
      </c>
    </row>
    <row r="19020" spans="6:8">
      <c r="F19020" s="68" t="s">
        <v>125</v>
      </c>
      <c r="G19020" s="67" t="s">
        <v>719</v>
      </c>
      <c r="H19020" s="69">
        <v>-0.57000000000000006</v>
      </c>
    </row>
    <row r="19021" spans="6:8">
      <c r="F19021" s="68" t="s">
        <v>126</v>
      </c>
      <c r="G19021" s="67" t="s">
        <v>719</v>
      </c>
      <c r="H19021" s="69">
        <v>-0.86</v>
      </c>
    </row>
    <row r="19022" spans="6:8">
      <c r="F19022" s="68" t="s">
        <v>127</v>
      </c>
      <c r="G19022" s="67" t="s">
        <v>719</v>
      </c>
      <c r="H19022" s="69">
        <v>-0.32500000000000001</v>
      </c>
    </row>
    <row r="19023" spans="6:8">
      <c r="F19023" s="68" t="s">
        <v>253</v>
      </c>
      <c r="G19023" s="67" t="s">
        <v>719</v>
      </c>
      <c r="H19023" s="69">
        <v>0.39</v>
      </c>
    </row>
    <row r="19024" spans="6:8">
      <c r="F19024" s="68" t="s">
        <v>315</v>
      </c>
      <c r="G19024" s="67" t="s">
        <v>719</v>
      </c>
      <c r="H19024" s="69">
        <v>-0.21000000000000002</v>
      </c>
    </row>
    <row r="19025" spans="6:8">
      <c r="F19025" s="68" t="s">
        <v>664</v>
      </c>
      <c r="G19025" s="67" t="s">
        <v>719</v>
      </c>
      <c r="H19025" s="69">
        <v>112.44135391</v>
      </c>
    </row>
    <row r="19026" spans="6:8">
      <c r="F19026" s="68" t="s">
        <v>128</v>
      </c>
      <c r="G19026" s="67" t="s">
        <v>719</v>
      </c>
      <c r="H19026" s="69">
        <v>-0.83</v>
      </c>
    </row>
    <row r="19027" spans="6:8">
      <c r="F19027" s="68" t="s">
        <v>129</v>
      </c>
      <c r="G19027" s="67" t="s">
        <v>719</v>
      </c>
      <c r="H19027" s="69">
        <v>-0.745</v>
      </c>
    </row>
    <row r="19028" spans="6:8">
      <c r="F19028" s="68" t="s">
        <v>304</v>
      </c>
      <c r="G19028" s="67" t="s">
        <v>719</v>
      </c>
      <c r="H19028" s="69">
        <v>17.739583333333332</v>
      </c>
    </row>
    <row r="19029" spans="6:8">
      <c r="F19029" s="68" t="s">
        <v>254</v>
      </c>
      <c r="G19029" s="67" t="s">
        <v>719</v>
      </c>
      <c r="H19029" s="69">
        <v>0.55000000000000004</v>
      </c>
    </row>
    <row r="19030" spans="6:8">
      <c r="F19030" s="68" t="s">
        <v>421</v>
      </c>
      <c r="G19030" s="67" t="s">
        <v>719</v>
      </c>
      <c r="H19030" s="69">
        <v>2.2726622493911997</v>
      </c>
    </row>
    <row r="19031" spans="6:8">
      <c r="F19031" s="68" t="s">
        <v>567</v>
      </c>
      <c r="G19031" s="67" t="s">
        <v>719</v>
      </c>
      <c r="H19031" s="69">
        <v>-0.91</v>
      </c>
    </row>
    <row r="19032" spans="6:8">
      <c r="F19032" s="68" t="s">
        <v>665</v>
      </c>
      <c r="G19032" s="67" t="s">
        <v>719</v>
      </c>
      <c r="H19032" s="69">
        <v>112.44135391</v>
      </c>
    </row>
    <row r="19033" spans="6:8">
      <c r="F19033" s="68" t="s">
        <v>130</v>
      </c>
      <c r="G19033" s="67" t="s">
        <v>719</v>
      </c>
      <c r="H19033" s="69">
        <v>-1.03</v>
      </c>
    </row>
    <row r="19034" spans="6:8">
      <c r="F19034" s="68" t="s">
        <v>131</v>
      </c>
      <c r="G19034" s="67" t="s">
        <v>719</v>
      </c>
      <c r="H19034" s="69">
        <v>-0.51500000000000001</v>
      </c>
    </row>
    <row r="19035" spans="6:8">
      <c r="F19035" s="68" t="s">
        <v>303</v>
      </c>
      <c r="G19035" s="67" t="s">
        <v>719</v>
      </c>
      <c r="H19035" s="69">
        <v>18.458333333333332</v>
      </c>
    </row>
    <row r="19036" spans="6:8">
      <c r="F19036" s="68" t="s">
        <v>255</v>
      </c>
      <c r="G19036" s="67" t="s">
        <v>719</v>
      </c>
      <c r="H19036" s="69">
        <v>0.71</v>
      </c>
    </row>
    <row r="19037" spans="6:8">
      <c r="F19037" s="68" t="s">
        <v>422</v>
      </c>
      <c r="G19037" s="67" t="s">
        <v>719</v>
      </c>
      <c r="H19037" s="69">
        <v>2.2791574990228547</v>
      </c>
    </row>
    <row r="19038" spans="6:8">
      <c r="F19038" s="68" t="s">
        <v>568</v>
      </c>
      <c r="G19038" s="67" t="s">
        <v>719</v>
      </c>
      <c r="H19038" s="69">
        <v>-0.45999999999999996</v>
      </c>
    </row>
    <row r="19039" spans="6:8">
      <c r="F19039" s="68" t="s">
        <v>666</v>
      </c>
      <c r="G19039" s="67" t="s">
        <v>719</v>
      </c>
      <c r="H19039" s="69">
        <v>112.44135391</v>
      </c>
    </row>
    <row r="19040" spans="6:8">
      <c r="F19040" s="68" t="s">
        <v>132</v>
      </c>
      <c r="G19040" s="67" t="s">
        <v>719</v>
      </c>
      <c r="H19040" s="69">
        <v>-0.92500000000000004</v>
      </c>
    </row>
    <row r="19041" spans="6:8">
      <c r="F19041" s="68" t="s">
        <v>133</v>
      </c>
      <c r="G19041" s="67" t="s">
        <v>719</v>
      </c>
      <c r="H19041" s="69">
        <v>-0.59</v>
      </c>
    </row>
    <row r="19042" spans="6:8">
      <c r="F19042" s="68" t="s">
        <v>256</v>
      </c>
      <c r="G19042" s="67" t="s">
        <v>719</v>
      </c>
      <c r="H19042" s="69">
        <v>0.81</v>
      </c>
    </row>
    <row r="19043" spans="6:8">
      <c r="F19043" s="68" t="s">
        <v>423</v>
      </c>
      <c r="G19043" s="67" t="s">
        <v>719</v>
      </c>
      <c r="H19043" s="69">
        <v>2.2970468803496402</v>
      </c>
    </row>
    <row r="19044" spans="6:8">
      <c r="F19044" s="68" t="s">
        <v>569</v>
      </c>
      <c r="G19044" s="67" t="s">
        <v>719</v>
      </c>
      <c r="H19044" s="69">
        <v>-0.20500000000000002</v>
      </c>
    </row>
    <row r="19045" spans="6:8">
      <c r="F19045" s="68" t="s">
        <v>667</v>
      </c>
      <c r="G19045" s="67" t="s">
        <v>719</v>
      </c>
      <c r="H19045" s="69">
        <v>112.44135391</v>
      </c>
    </row>
    <row r="19046" spans="6:8">
      <c r="F19046" s="68" t="s">
        <v>424</v>
      </c>
      <c r="G19046" s="67" t="s">
        <v>719</v>
      </c>
      <c r="H19046" s="69">
        <v>2.8360264407451652</v>
      </c>
    </row>
    <row r="19047" spans="6:8">
      <c r="F19047" s="68" t="s">
        <v>668</v>
      </c>
      <c r="G19047" s="67" t="s">
        <v>719</v>
      </c>
      <c r="H19047" s="69">
        <v>112.44135391</v>
      </c>
    </row>
    <row r="19048" spans="6:8">
      <c r="F19048" s="68" t="s">
        <v>134</v>
      </c>
      <c r="G19048" s="67" t="s">
        <v>719</v>
      </c>
      <c r="H19048" s="69">
        <v>-0.88500000000000001</v>
      </c>
    </row>
    <row r="19049" spans="6:8">
      <c r="F19049" s="68" t="s">
        <v>135</v>
      </c>
      <c r="G19049" s="67" t="s">
        <v>719</v>
      </c>
      <c r="H19049" s="69">
        <v>-0.82000000000000006</v>
      </c>
    </row>
    <row r="19050" spans="6:8">
      <c r="F19050" s="68" t="s">
        <v>257</v>
      </c>
      <c r="G19050" s="67" t="s">
        <v>719</v>
      </c>
      <c r="H19050" s="69">
        <v>0.88</v>
      </c>
    </row>
    <row r="19051" spans="6:8">
      <c r="F19051" s="68" t="s">
        <v>258</v>
      </c>
      <c r="G19051" s="67" t="s">
        <v>719</v>
      </c>
      <c r="H19051" s="69">
        <v>0.15</v>
      </c>
    </row>
    <row r="19052" spans="6:8">
      <c r="F19052" s="68" t="s">
        <v>425</v>
      </c>
      <c r="G19052" s="67" t="s">
        <v>719</v>
      </c>
      <c r="H19052" s="69">
        <v>2.8184193170420535</v>
      </c>
    </row>
    <row r="19053" spans="6:8">
      <c r="F19053" s="68" t="s">
        <v>669</v>
      </c>
      <c r="G19053" s="67" t="s">
        <v>719</v>
      </c>
      <c r="H19053" s="69">
        <v>112.44135391</v>
      </c>
    </row>
    <row r="19054" spans="6:8">
      <c r="F19054" s="68" t="s">
        <v>136</v>
      </c>
      <c r="G19054" s="67" t="s">
        <v>719</v>
      </c>
      <c r="H19054" s="69">
        <v>-0.90500000000000003</v>
      </c>
    </row>
    <row r="19055" spans="6:8">
      <c r="F19055" s="68" t="s">
        <v>137</v>
      </c>
      <c r="G19055" s="67" t="s">
        <v>719</v>
      </c>
      <c r="H19055" s="69">
        <v>-0.61</v>
      </c>
    </row>
    <row r="19056" spans="6:8">
      <c r="F19056" s="68" t="s">
        <v>138</v>
      </c>
      <c r="G19056" s="67" t="s">
        <v>719</v>
      </c>
      <c r="H19056" s="69">
        <v>-0.73499999999999999</v>
      </c>
    </row>
    <row r="19057" spans="6:8">
      <c r="F19057" s="68" t="s">
        <v>259</v>
      </c>
      <c r="G19057" s="67" t="s">
        <v>719</v>
      </c>
      <c r="H19057" s="69">
        <v>0.15</v>
      </c>
    </row>
    <row r="19058" spans="6:8">
      <c r="F19058" s="68" t="s">
        <v>259</v>
      </c>
      <c r="G19058" s="67" t="s">
        <v>720</v>
      </c>
      <c r="H19058" s="69">
        <v>0.15</v>
      </c>
    </row>
    <row r="19059" spans="6:8">
      <c r="F19059" s="68" t="s">
        <v>138</v>
      </c>
      <c r="G19059" s="67" t="s">
        <v>720</v>
      </c>
      <c r="H19059" s="69">
        <v>-0.71499999999999997</v>
      </c>
    </row>
    <row r="19060" spans="6:8">
      <c r="F19060" s="68" t="s">
        <v>137</v>
      </c>
      <c r="G19060" s="67" t="s">
        <v>720</v>
      </c>
      <c r="H19060" s="69">
        <v>-0.85499999999999998</v>
      </c>
    </row>
    <row r="19061" spans="6:8">
      <c r="F19061" s="68" t="s">
        <v>136</v>
      </c>
      <c r="G19061" s="67" t="s">
        <v>720</v>
      </c>
      <c r="H19061" s="69">
        <v>-0.94</v>
      </c>
    </row>
    <row r="19062" spans="6:8">
      <c r="F19062" s="68" t="s">
        <v>669</v>
      </c>
      <c r="G19062" s="67" t="s">
        <v>720</v>
      </c>
      <c r="H19062" s="69">
        <v>112.43633902000001</v>
      </c>
    </row>
    <row r="19063" spans="6:8">
      <c r="F19063" s="68" t="s">
        <v>425</v>
      </c>
      <c r="G19063" s="67" t="s">
        <v>720</v>
      </c>
      <c r="H19063" s="69">
        <v>2.8984503287345031</v>
      </c>
    </row>
    <row r="19064" spans="6:8">
      <c r="F19064" s="68" t="s">
        <v>258</v>
      </c>
      <c r="G19064" s="67" t="s">
        <v>720</v>
      </c>
      <c r="H19064" s="69">
        <v>0.15</v>
      </c>
    </row>
    <row r="19065" spans="6:8">
      <c r="F19065" s="68" t="s">
        <v>257</v>
      </c>
      <c r="G19065" s="67" t="s">
        <v>720</v>
      </c>
      <c r="H19065" s="69">
        <v>0.88</v>
      </c>
    </row>
    <row r="19066" spans="6:8">
      <c r="F19066" s="68" t="s">
        <v>135</v>
      </c>
      <c r="G19066" s="67" t="s">
        <v>720</v>
      </c>
      <c r="H19066" s="69">
        <v>-0.55000000000000004</v>
      </c>
    </row>
    <row r="19067" spans="6:8">
      <c r="F19067" s="68" t="s">
        <v>134</v>
      </c>
      <c r="G19067" s="67" t="s">
        <v>720</v>
      </c>
      <c r="H19067" s="69">
        <v>-1.05</v>
      </c>
    </row>
    <row r="19068" spans="6:8">
      <c r="F19068" s="68" t="s">
        <v>668</v>
      </c>
      <c r="G19068" s="67" t="s">
        <v>720</v>
      </c>
      <c r="H19068" s="69">
        <v>112.43633902000001</v>
      </c>
    </row>
    <row r="19069" spans="6:8">
      <c r="F19069" s="68" t="s">
        <v>424</v>
      </c>
      <c r="G19069" s="67" t="s">
        <v>720</v>
      </c>
      <c r="H19069" s="69">
        <v>2.8638014072507101</v>
      </c>
    </row>
    <row r="19070" spans="6:8">
      <c r="F19070" s="68" t="s">
        <v>667</v>
      </c>
      <c r="G19070" s="67" t="s">
        <v>720</v>
      </c>
      <c r="H19070" s="69">
        <v>112.43633902000001</v>
      </c>
    </row>
    <row r="19071" spans="6:8">
      <c r="F19071" s="68" t="s">
        <v>569</v>
      </c>
      <c r="G19071" s="67" t="s">
        <v>720</v>
      </c>
      <c r="H19071" s="69">
        <v>-0.2</v>
      </c>
    </row>
    <row r="19072" spans="6:8">
      <c r="F19072" s="68" t="s">
        <v>423</v>
      </c>
      <c r="G19072" s="67" t="s">
        <v>720</v>
      </c>
      <c r="H19072" s="69">
        <v>2.3123214390039948</v>
      </c>
    </row>
    <row r="19073" spans="6:8">
      <c r="F19073" s="68" t="s">
        <v>256</v>
      </c>
      <c r="G19073" s="67" t="s">
        <v>720</v>
      </c>
      <c r="H19073" s="69">
        <v>0.81</v>
      </c>
    </row>
    <row r="19074" spans="6:8">
      <c r="F19074" s="68" t="s">
        <v>133</v>
      </c>
      <c r="G19074" s="67" t="s">
        <v>720</v>
      </c>
      <c r="H19074" s="69">
        <v>-0.61499999999999999</v>
      </c>
    </row>
    <row r="19075" spans="6:8">
      <c r="F19075" s="68" t="s">
        <v>132</v>
      </c>
      <c r="G19075" s="67" t="s">
        <v>720</v>
      </c>
      <c r="H19075" s="69">
        <v>-0.95</v>
      </c>
    </row>
    <row r="19076" spans="6:8">
      <c r="F19076" s="68" t="s">
        <v>666</v>
      </c>
      <c r="G19076" s="67" t="s">
        <v>720</v>
      </c>
      <c r="H19076" s="69">
        <v>112.43633902000001</v>
      </c>
    </row>
    <row r="19077" spans="6:8">
      <c r="F19077" s="68" t="s">
        <v>568</v>
      </c>
      <c r="G19077" s="67" t="s">
        <v>720</v>
      </c>
      <c r="H19077" s="69">
        <v>-0.55000000000000004</v>
      </c>
    </row>
    <row r="19078" spans="6:8">
      <c r="F19078" s="68" t="s">
        <v>422</v>
      </c>
      <c r="G19078" s="67" t="s">
        <v>720</v>
      </c>
      <c r="H19078" s="69">
        <v>2.3231265864838146</v>
      </c>
    </row>
    <row r="19079" spans="6:8">
      <c r="F19079" s="68" t="s">
        <v>255</v>
      </c>
      <c r="G19079" s="67" t="s">
        <v>720</v>
      </c>
      <c r="H19079" s="69">
        <v>0.71</v>
      </c>
    </row>
    <row r="19080" spans="6:8">
      <c r="F19080" s="68" t="s">
        <v>303</v>
      </c>
      <c r="G19080" s="67" t="s">
        <v>720</v>
      </c>
      <c r="H19080" s="69">
        <v>18.458333333333332</v>
      </c>
    </row>
    <row r="19081" spans="6:8">
      <c r="F19081" s="68" t="s">
        <v>131</v>
      </c>
      <c r="G19081" s="67" t="s">
        <v>720</v>
      </c>
      <c r="H19081" s="69">
        <v>-0.78</v>
      </c>
    </row>
    <row r="19082" spans="6:8">
      <c r="F19082" s="68" t="s">
        <v>130</v>
      </c>
      <c r="G19082" s="67" t="s">
        <v>720</v>
      </c>
      <c r="H19082" s="69">
        <v>-0.90500000000000003</v>
      </c>
    </row>
    <row r="19083" spans="6:8">
      <c r="F19083" s="68" t="s">
        <v>665</v>
      </c>
      <c r="G19083" s="67" t="s">
        <v>720</v>
      </c>
      <c r="H19083" s="69">
        <v>112.43633902000001</v>
      </c>
    </row>
    <row r="19084" spans="6:8">
      <c r="F19084" s="68" t="s">
        <v>567</v>
      </c>
      <c r="G19084" s="67" t="s">
        <v>720</v>
      </c>
      <c r="H19084" s="69">
        <v>-0.86499999999999999</v>
      </c>
    </row>
    <row r="19085" spans="6:8">
      <c r="F19085" s="68" t="s">
        <v>421</v>
      </c>
      <c r="G19085" s="67" t="s">
        <v>720</v>
      </c>
      <c r="H19085" s="69">
        <v>2.3168728889944923</v>
      </c>
    </row>
    <row r="19086" spans="6:8">
      <c r="F19086" s="68" t="s">
        <v>254</v>
      </c>
      <c r="G19086" s="67" t="s">
        <v>720</v>
      </c>
      <c r="H19086" s="69">
        <v>0.55000000000000004</v>
      </c>
    </row>
    <row r="19087" spans="6:8">
      <c r="F19087" s="68" t="s">
        <v>304</v>
      </c>
      <c r="G19087" s="67" t="s">
        <v>720</v>
      </c>
      <c r="H19087" s="69">
        <v>17.760416666666668</v>
      </c>
    </row>
    <row r="19088" spans="6:8">
      <c r="F19088" s="68" t="s">
        <v>129</v>
      </c>
      <c r="G19088" s="67" t="s">
        <v>720</v>
      </c>
      <c r="H19088" s="69">
        <v>-0.7</v>
      </c>
    </row>
    <row r="19089" spans="6:8">
      <c r="F19089" s="68" t="s">
        <v>128</v>
      </c>
      <c r="G19089" s="67" t="s">
        <v>720</v>
      </c>
      <c r="H19089" s="69">
        <v>-0.64999999999999991</v>
      </c>
    </row>
    <row r="19090" spans="6:8">
      <c r="F19090" s="68" t="s">
        <v>664</v>
      </c>
      <c r="G19090" s="67" t="s">
        <v>720</v>
      </c>
      <c r="H19090" s="69">
        <v>112.43633902000001</v>
      </c>
    </row>
    <row r="19091" spans="6:8">
      <c r="F19091" s="68" t="s">
        <v>315</v>
      </c>
      <c r="G19091" s="67" t="s">
        <v>720</v>
      </c>
      <c r="H19091" s="69">
        <v>-0.2</v>
      </c>
    </row>
    <row r="19092" spans="6:8">
      <c r="F19092" s="68" t="s">
        <v>253</v>
      </c>
      <c r="G19092" s="67" t="s">
        <v>720</v>
      </c>
      <c r="H19092" s="69">
        <v>0.39</v>
      </c>
    </row>
    <row r="19093" spans="6:8">
      <c r="F19093" s="68" t="s">
        <v>127</v>
      </c>
      <c r="G19093" s="67" t="s">
        <v>720</v>
      </c>
      <c r="H19093" s="69">
        <v>-0.41000000000000003</v>
      </c>
    </row>
    <row r="19094" spans="6:8">
      <c r="F19094" s="68" t="s">
        <v>126</v>
      </c>
      <c r="G19094" s="67" t="s">
        <v>720</v>
      </c>
      <c r="H19094" s="69">
        <v>-0.79</v>
      </c>
    </row>
    <row r="19095" spans="6:8">
      <c r="F19095" s="68" t="s">
        <v>125</v>
      </c>
      <c r="G19095" s="67" t="s">
        <v>720</v>
      </c>
      <c r="H19095" s="69">
        <v>-0.44500000000000001</v>
      </c>
    </row>
    <row r="19096" spans="6:8">
      <c r="F19096" s="68" t="s">
        <v>663</v>
      </c>
      <c r="G19096" s="67" t="s">
        <v>720</v>
      </c>
      <c r="H19096" s="69">
        <v>112.43633902000001</v>
      </c>
    </row>
    <row r="19097" spans="6:8">
      <c r="F19097" s="68" t="s">
        <v>314</v>
      </c>
      <c r="G19097" s="67" t="s">
        <v>720</v>
      </c>
      <c r="H19097" s="69">
        <v>-0.44500000000000001</v>
      </c>
    </row>
    <row r="19098" spans="6:8">
      <c r="F19098" s="68" t="s">
        <v>252</v>
      </c>
      <c r="G19098" s="67" t="s">
        <v>720</v>
      </c>
      <c r="H19098" s="69">
        <v>0.26</v>
      </c>
    </row>
    <row r="19099" spans="6:8">
      <c r="F19099" s="68" t="s">
        <v>124</v>
      </c>
      <c r="G19099" s="67" t="s">
        <v>720</v>
      </c>
      <c r="H19099" s="69">
        <v>-0.52</v>
      </c>
    </row>
    <row r="19100" spans="6:8">
      <c r="F19100" s="68" t="s">
        <v>123</v>
      </c>
      <c r="G19100" s="67" t="s">
        <v>720</v>
      </c>
      <c r="H19100" s="69">
        <v>-0.92500000000000004</v>
      </c>
    </row>
    <row r="19101" spans="6:8">
      <c r="F19101" s="68" t="s">
        <v>122</v>
      </c>
      <c r="G19101" s="67" t="s">
        <v>720</v>
      </c>
      <c r="H19101" s="69">
        <v>-0.8</v>
      </c>
    </row>
    <row r="19102" spans="6:8">
      <c r="F19102" s="68" t="s">
        <v>251</v>
      </c>
      <c r="G19102" s="67" t="s">
        <v>720</v>
      </c>
      <c r="H19102" s="69">
        <v>0.18</v>
      </c>
    </row>
    <row r="19103" spans="6:8">
      <c r="F19103" s="68" t="s">
        <v>121</v>
      </c>
      <c r="G19103" s="67" t="s">
        <v>720</v>
      </c>
      <c r="H19103" s="69">
        <v>-0.62</v>
      </c>
    </row>
    <row r="19104" spans="6:8">
      <c r="F19104" s="68" t="s">
        <v>120</v>
      </c>
      <c r="G19104" s="67" t="s">
        <v>720</v>
      </c>
      <c r="H19104" s="69">
        <v>-0.89999999999999991</v>
      </c>
    </row>
    <row r="19105" spans="6:8">
      <c r="F19105" s="68" t="s">
        <v>119</v>
      </c>
      <c r="G19105" s="67" t="s">
        <v>720</v>
      </c>
      <c r="H19105" s="69">
        <v>-0.77</v>
      </c>
    </row>
    <row r="19106" spans="6:8">
      <c r="F19106" s="68" t="s">
        <v>662</v>
      </c>
      <c r="G19106" s="67" t="s">
        <v>720</v>
      </c>
      <c r="H19106" s="69">
        <v>112.43633902000001</v>
      </c>
    </row>
    <row r="19107" spans="6:8">
      <c r="F19107" s="68" t="s">
        <v>420</v>
      </c>
      <c r="G19107" s="67" t="s">
        <v>720</v>
      </c>
      <c r="H19107" s="69">
        <v>3.168426530145263</v>
      </c>
    </row>
    <row r="19108" spans="6:8">
      <c r="F19108" s="68" t="s">
        <v>420</v>
      </c>
      <c r="G19108" s="67" t="s">
        <v>721</v>
      </c>
      <c r="H19108" s="69">
        <v>3.1764195142772955</v>
      </c>
    </row>
    <row r="19109" spans="6:8">
      <c r="F19109" s="68" t="s">
        <v>662</v>
      </c>
      <c r="G19109" s="67" t="s">
        <v>721</v>
      </c>
      <c r="H19109" s="69">
        <v>112.4603552</v>
      </c>
    </row>
    <row r="19110" spans="6:8">
      <c r="F19110" s="68" t="s">
        <v>119</v>
      </c>
      <c r="G19110" s="67" t="s">
        <v>721</v>
      </c>
      <c r="H19110" s="69">
        <v>-0.77</v>
      </c>
    </row>
    <row r="19111" spans="6:8">
      <c r="F19111" s="68" t="s">
        <v>120</v>
      </c>
      <c r="G19111" s="67" t="s">
        <v>721</v>
      </c>
      <c r="H19111" s="69">
        <v>-0.89999999999999991</v>
      </c>
    </row>
    <row r="19112" spans="6:8">
      <c r="F19112" s="68" t="s">
        <v>121</v>
      </c>
      <c r="G19112" s="67" t="s">
        <v>721</v>
      </c>
      <c r="H19112" s="69">
        <v>-0.62</v>
      </c>
    </row>
    <row r="19113" spans="6:8">
      <c r="F19113" s="68" t="s">
        <v>251</v>
      </c>
      <c r="G19113" s="67" t="s">
        <v>721</v>
      </c>
      <c r="H19113" s="69">
        <v>0.18</v>
      </c>
    </row>
    <row r="19114" spans="6:8">
      <c r="F19114" s="68" t="s">
        <v>122</v>
      </c>
      <c r="G19114" s="67" t="s">
        <v>721</v>
      </c>
      <c r="H19114" s="69">
        <v>-0.8</v>
      </c>
    </row>
    <row r="19115" spans="6:8">
      <c r="F19115" s="68" t="s">
        <v>123</v>
      </c>
      <c r="G19115" s="67" t="s">
        <v>721</v>
      </c>
      <c r="H19115" s="69">
        <v>-0.92500000000000004</v>
      </c>
    </row>
    <row r="19116" spans="6:8">
      <c r="F19116" s="68" t="s">
        <v>124</v>
      </c>
      <c r="G19116" s="67" t="s">
        <v>721</v>
      </c>
      <c r="H19116" s="69">
        <v>-0.52</v>
      </c>
    </row>
    <row r="19117" spans="6:8">
      <c r="F19117" s="68" t="s">
        <v>252</v>
      </c>
      <c r="G19117" s="67" t="s">
        <v>721</v>
      </c>
      <c r="H19117" s="69">
        <v>0.26</v>
      </c>
    </row>
    <row r="19118" spans="6:8">
      <c r="F19118" s="68" t="s">
        <v>314</v>
      </c>
      <c r="G19118" s="67" t="s">
        <v>721</v>
      </c>
      <c r="H19118" s="69">
        <v>-0.44500000000000001</v>
      </c>
    </row>
    <row r="19119" spans="6:8">
      <c r="F19119" s="68" t="s">
        <v>663</v>
      </c>
      <c r="G19119" s="67" t="s">
        <v>721</v>
      </c>
      <c r="H19119" s="69">
        <v>112.4603552</v>
      </c>
    </row>
    <row r="19120" spans="6:8">
      <c r="F19120" s="68" t="s">
        <v>125</v>
      </c>
      <c r="G19120" s="67" t="s">
        <v>721</v>
      </c>
      <c r="H19120" s="69">
        <v>-0.44500000000000001</v>
      </c>
    </row>
    <row r="19121" spans="6:8">
      <c r="F19121" s="68" t="s">
        <v>126</v>
      </c>
      <c r="G19121" s="67" t="s">
        <v>721</v>
      </c>
      <c r="H19121" s="69">
        <v>-0.79</v>
      </c>
    </row>
    <row r="19122" spans="6:8">
      <c r="F19122" s="68" t="s">
        <v>127</v>
      </c>
      <c r="G19122" s="67" t="s">
        <v>721</v>
      </c>
      <c r="H19122" s="69">
        <v>-0.41000000000000003</v>
      </c>
    </row>
    <row r="19123" spans="6:8">
      <c r="F19123" s="68" t="s">
        <v>253</v>
      </c>
      <c r="G19123" s="67" t="s">
        <v>721</v>
      </c>
      <c r="H19123" s="69">
        <v>0.39</v>
      </c>
    </row>
    <row r="19124" spans="6:8">
      <c r="F19124" s="68" t="s">
        <v>315</v>
      </c>
      <c r="G19124" s="67" t="s">
        <v>721</v>
      </c>
      <c r="H19124" s="69">
        <v>-0.2</v>
      </c>
    </row>
    <row r="19125" spans="6:8">
      <c r="F19125" s="68" t="s">
        <v>664</v>
      </c>
      <c r="G19125" s="67" t="s">
        <v>721</v>
      </c>
      <c r="H19125" s="69">
        <v>112.4603552</v>
      </c>
    </row>
    <row r="19126" spans="6:8">
      <c r="F19126" s="68" t="s">
        <v>128</v>
      </c>
      <c r="G19126" s="67" t="s">
        <v>721</v>
      </c>
      <c r="H19126" s="69">
        <v>-0.64999999999999991</v>
      </c>
    </row>
    <row r="19127" spans="6:8">
      <c r="F19127" s="68" t="s">
        <v>129</v>
      </c>
      <c r="G19127" s="67" t="s">
        <v>721</v>
      </c>
      <c r="H19127" s="69">
        <v>-0.7</v>
      </c>
    </row>
    <row r="19128" spans="6:8">
      <c r="F19128" s="68" t="s">
        <v>304</v>
      </c>
      <c r="G19128" s="67" t="s">
        <v>721</v>
      </c>
      <c r="H19128" s="69">
        <v>17.947916666666668</v>
      </c>
    </row>
    <row r="19129" spans="6:8">
      <c r="F19129" s="68" t="s">
        <v>254</v>
      </c>
      <c r="G19129" s="67" t="s">
        <v>721</v>
      </c>
      <c r="H19129" s="69">
        <v>0.55000000000000004</v>
      </c>
    </row>
    <row r="19130" spans="6:8">
      <c r="F19130" s="68" t="s">
        <v>421</v>
      </c>
      <c r="G19130" s="67" t="s">
        <v>721</v>
      </c>
      <c r="H19130" s="69">
        <v>2.3126449449620612</v>
      </c>
    </row>
    <row r="19131" spans="6:8">
      <c r="F19131" s="68" t="s">
        <v>567</v>
      </c>
      <c r="G19131" s="67" t="s">
        <v>721</v>
      </c>
      <c r="H19131" s="69">
        <v>-0.86499999999999999</v>
      </c>
    </row>
    <row r="19132" spans="6:8">
      <c r="F19132" s="68" t="s">
        <v>665</v>
      </c>
      <c r="G19132" s="67" t="s">
        <v>721</v>
      </c>
      <c r="H19132" s="69">
        <v>112.4603552</v>
      </c>
    </row>
    <row r="19133" spans="6:8">
      <c r="F19133" s="68" t="s">
        <v>130</v>
      </c>
      <c r="G19133" s="67" t="s">
        <v>721</v>
      </c>
      <c r="H19133" s="69">
        <v>-0.90500000000000003</v>
      </c>
    </row>
    <row r="19134" spans="6:8">
      <c r="F19134" s="68" t="s">
        <v>131</v>
      </c>
      <c r="G19134" s="67" t="s">
        <v>721</v>
      </c>
      <c r="H19134" s="69">
        <v>-0.78</v>
      </c>
    </row>
    <row r="19135" spans="6:8">
      <c r="F19135" s="68" t="s">
        <v>303</v>
      </c>
      <c r="G19135" s="67" t="s">
        <v>721</v>
      </c>
      <c r="H19135" s="69">
        <v>18.479166666666668</v>
      </c>
    </row>
    <row r="19136" spans="6:8">
      <c r="F19136" s="68" t="s">
        <v>255</v>
      </c>
      <c r="G19136" s="67" t="s">
        <v>721</v>
      </c>
      <c r="H19136" s="69">
        <v>0.71</v>
      </c>
    </row>
    <row r="19137" spans="6:8">
      <c r="F19137" s="68" t="s">
        <v>422</v>
      </c>
      <c r="G19137" s="67" t="s">
        <v>721</v>
      </c>
      <c r="H19137" s="69">
        <v>2.318972899858629</v>
      </c>
    </row>
    <row r="19138" spans="6:8">
      <c r="F19138" s="68" t="s">
        <v>568</v>
      </c>
      <c r="G19138" s="67" t="s">
        <v>721</v>
      </c>
      <c r="H19138" s="69">
        <v>-0.55000000000000004</v>
      </c>
    </row>
    <row r="19139" spans="6:8">
      <c r="F19139" s="68" t="s">
        <v>666</v>
      </c>
      <c r="G19139" s="67" t="s">
        <v>721</v>
      </c>
      <c r="H19139" s="69">
        <v>112.4603552</v>
      </c>
    </row>
    <row r="19140" spans="6:8">
      <c r="F19140" s="68" t="s">
        <v>132</v>
      </c>
      <c r="G19140" s="67" t="s">
        <v>721</v>
      </c>
      <c r="H19140" s="69">
        <v>-0.95</v>
      </c>
    </row>
    <row r="19141" spans="6:8">
      <c r="F19141" s="68" t="s">
        <v>133</v>
      </c>
      <c r="G19141" s="67" t="s">
        <v>721</v>
      </c>
      <c r="H19141" s="69">
        <v>-0.61499999999999999</v>
      </c>
    </row>
    <row r="19142" spans="6:8">
      <c r="F19142" s="68" t="s">
        <v>256</v>
      </c>
      <c r="G19142" s="67" t="s">
        <v>721</v>
      </c>
      <c r="H19142" s="69">
        <v>0.81</v>
      </c>
    </row>
    <row r="19143" spans="6:8">
      <c r="F19143" s="68" t="s">
        <v>423</v>
      </c>
      <c r="G19143" s="67" t="s">
        <v>721</v>
      </c>
      <c r="H19143" s="69">
        <v>2.318492826738705</v>
      </c>
    </row>
    <row r="19144" spans="6:8">
      <c r="F19144" s="68" t="s">
        <v>569</v>
      </c>
      <c r="G19144" s="67" t="s">
        <v>721</v>
      </c>
      <c r="H19144" s="69">
        <v>-0.2</v>
      </c>
    </row>
    <row r="19145" spans="6:8">
      <c r="F19145" s="68" t="s">
        <v>667</v>
      </c>
      <c r="G19145" s="67" t="s">
        <v>721</v>
      </c>
      <c r="H19145" s="69">
        <v>112.4603552</v>
      </c>
    </row>
    <row r="19146" spans="6:8">
      <c r="F19146" s="68" t="s">
        <v>424</v>
      </c>
      <c r="G19146" s="67" t="s">
        <v>721</v>
      </c>
      <c r="H19146" s="69">
        <v>2.8786208663428958</v>
      </c>
    </row>
    <row r="19147" spans="6:8">
      <c r="F19147" s="68" t="s">
        <v>668</v>
      </c>
      <c r="G19147" s="67" t="s">
        <v>721</v>
      </c>
      <c r="H19147" s="69">
        <v>112.4603552</v>
      </c>
    </row>
    <row r="19148" spans="6:8">
      <c r="F19148" s="68" t="s">
        <v>134</v>
      </c>
      <c r="G19148" s="67" t="s">
        <v>721</v>
      </c>
      <c r="H19148" s="69">
        <v>-1.05</v>
      </c>
    </row>
    <row r="19149" spans="6:8">
      <c r="F19149" s="68" t="s">
        <v>135</v>
      </c>
      <c r="G19149" s="67" t="s">
        <v>721</v>
      </c>
      <c r="H19149" s="69">
        <v>-0.55000000000000004</v>
      </c>
    </row>
    <row r="19150" spans="6:8">
      <c r="F19150" s="68" t="s">
        <v>257</v>
      </c>
      <c r="G19150" s="67" t="s">
        <v>721</v>
      </c>
      <c r="H19150" s="69">
        <v>0.88</v>
      </c>
    </row>
    <row r="19151" spans="6:8">
      <c r="F19151" s="68" t="s">
        <v>258</v>
      </c>
      <c r="G19151" s="67" t="s">
        <v>721</v>
      </c>
      <c r="H19151" s="69">
        <v>0.15</v>
      </c>
    </row>
    <row r="19152" spans="6:8">
      <c r="F19152" s="68" t="s">
        <v>425</v>
      </c>
      <c r="G19152" s="67" t="s">
        <v>721</v>
      </c>
      <c r="H19152" s="69">
        <v>2.9066382236901056</v>
      </c>
    </row>
    <row r="19153" spans="6:8">
      <c r="F19153" s="68" t="s">
        <v>669</v>
      </c>
      <c r="G19153" s="67" t="s">
        <v>721</v>
      </c>
      <c r="H19153" s="69">
        <v>112.4603552</v>
      </c>
    </row>
    <row r="19154" spans="6:8">
      <c r="F19154" s="68" t="s">
        <v>136</v>
      </c>
      <c r="G19154" s="67" t="s">
        <v>721</v>
      </c>
      <c r="H19154" s="69">
        <v>-0.94</v>
      </c>
    </row>
    <row r="19155" spans="6:8">
      <c r="F19155" s="68" t="s">
        <v>137</v>
      </c>
      <c r="G19155" s="67" t="s">
        <v>721</v>
      </c>
      <c r="H19155" s="69">
        <v>-0.85499999999999998</v>
      </c>
    </row>
    <row r="19156" spans="6:8">
      <c r="F19156" s="68" t="s">
        <v>138</v>
      </c>
      <c r="G19156" s="67" t="s">
        <v>721</v>
      </c>
      <c r="H19156" s="69">
        <v>-0.71499999999999997</v>
      </c>
    </row>
    <row r="19157" spans="6:8">
      <c r="F19157" s="68" t="s">
        <v>259</v>
      </c>
      <c r="G19157" s="67" t="s">
        <v>721</v>
      </c>
      <c r="H19157" s="69">
        <v>0.15</v>
      </c>
    </row>
    <row r="19158" spans="6:8">
      <c r="F19158" s="68" t="s">
        <v>259</v>
      </c>
      <c r="G19158" s="67" t="s">
        <v>722</v>
      </c>
      <c r="H19158" s="69">
        <v>0.15</v>
      </c>
    </row>
    <row r="19159" spans="6:8">
      <c r="F19159" s="68" t="s">
        <v>138</v>
      </c>
      <c r="G19159" s="67" t="s">
        <v>722</v>
      </c>
      <c r="H19159" s="69">
        <v>-0.70499999999999996</v>
      </c>
    </row>
    <row r="19160" spans="6:8">
      <c r="F19160" s="68" t="s">
        <v>137</v>
      </c>
      <c r="G19160" s="67" t="s">
        <v>722</v>
      </c>
      <c r="H19160" s="69">
        <v>-0.85000000000000009</v>
      </c>
    </row>
    <row r="19161" spans="6:8">
      <c r="F19161" s="68" t="s">
        <v>136</v>
      </c>
      <c r="G19161" s="67" t="s">
        <v>722</v>
      </c>
      <c r="H19161" s="69">
        <v>-0.92500000000000004</v>
      </c>
    </row>
    <row r="19162" spans="6:8">
      <c r="F19162" s="68" t="s">
        <v>669</v>
      </c>
      <c r="G19162" s="67" t="s">
        <v>722</v>
      </c>
      <c r="H19162" s="69">
        <v>112.3498743</v>
      </c>
    </row>
    <row r="19163" spans="6:8">
      <c r="F19163" s="68" t="s">
        <v>425</v>
      </c>
      <c r="G19163" s="67" t="s">
        <v>722</v>
      </c>
      <c r="H19163" s="69">
        <v>2.8815376514031765</v>
      </c>
    </row>
    <row r="19164" spans="6:8">
      <c r="F19164" s="68" t="s">
        <v>258</v>
      </c>
      <c r="G19164" s="67" t="s">
        <v>722</v>
      </c>
      <c r="H19164" s="69">
        <v>0.15</v>
      </c>
    </row>
    <row r="19165" spans="6:8">
      <c r="F19165" s="68" t="s">
        <v>257</v>
      </c>
      <c r="G19165" s="67" t="s">
        <v>722</v>
      </c>
      <c r="H19165" s="69">
        <v>0.8833333333333333</v>
      </c>
    </row>
    <row r="19166" spans="6:8">
      <c r="F19166" s="68" t="s">
        <v>135</v>
      </c>
      <c r="G19166" s="67" t="s">
        <v>722</v>
      </c>
      <c r="H19166" s="69">
        <v>-0.54</v>
      </c>
    </row>
    <row r="19167" spans="6:8">
      <c r="F19167" s="68" t="s">
        <v>134</v>
      </c>
      <c r="G19167" s="67" t="s">
        <v>722</v>
      </c>
      <c r="H19167" s="69">
        <v>-1.0350000000000001</v>
      </c>
    </row>
    <row r="19168" spans="6:8">
      <c r="F19168" s="68" t="s">
        <v>668</v>
      </c>
      <c r="G19168" s="67" t="s">
        <v>722</v>
      </c>
      <c r="H19168" s="69">
        <v>112.3498743</v>
      </c>
    </row>
    <row r="19169" spans="6:8">
      <c r="F19169" s="68" t="s">
        <v>424</v>
      </c>
      <c r="G19169" s="67" t="s">
        <v>722</v>
      </c>
      <c r="H19169" s="69">
        <v>2.8974768304030007</v>
      </c>
    </row>
    <row r="19170" spans="6:8">
      <c r="F19170" s="68" t="s">
        <v>667</v>
      </c>
      <c r="G19170" s="67" t="s">
        <v>722</v>
      </c>
      <c r="H19170" s="69">
        <v>112.3498743</v>
      </c>
    </row>
    <row r="19171" spans="6:8">
      <c r="F19171" s="68" t="s">
        <v>569</v>
      </c>
      <c r="G19171" s="67" t="s">
        <v>722</v>
      </c>
      <c r="H19171" s="69">
        <v>-0.19500000000000001</v>
      </c>
    </row>
    <row r="19172" spans="6:8">
      <c r="F19172" s="68" t="s">
        <v>423</v>
      </c>
      <c r="G19172" s="67" t="s">
        <v>722</v>
      </c>
      <c r="H19172" s="69">
        <v>2.3624154604281689</v>
      </c>
    </row>
    <row r="19173" spans="6:8">
      <c r="F19173" s="68" t="s">
        <v>256</v>
      </c>
      <c r="G19173" s="67" t="s">
        <v>722</v>
      </c>
      <c r="H19173" s="69">
        <v>0.81714285714285728</v>
      </c>
    </row>
    <row r="19174" spans="6:8">
      <c r="F19174" s="68" t="s">
        <v>133</v>
      </c>
      <c r="G19174" s="67" t="s">
        <v>722</v>
      </c>
      <c r="H19174" s="69">
        <v>-0.61</v>
      </c>
    </row>
    <row r="19175" spans="6:8">
      <c r="F19175" s="68" t="s">
        <v>132</v>
      </c>
      <c r="G19175" s="67" t="s">
        <v>722</v>
      </c>
      <c r="H19175" s="69">
        <v>-0.94</v>
      </c>
    </row>
    <row r="19176" spans="6:8">
      <c r="F19176" s="68" t="s">
        <v>666</v>
      </c>
      <c r="G19176" s="67" t="s">
        <v>722</v>
      </c>
      <c r="H19176" s="69">
        <v>112.3498743</v>
      </c>
    </row>
    <row r="19177" spans="6:8">
      <c r="F19177" s="68" t="s">
        <v>568</v>
      </c>
      <c r="G19177" s="67" t="s">
        <v>722</v>
      </c>
      <c r="H19177" s="69">
        <v>-0.54</v>
      </c>
    </row>
    <row r="19178" spans="6:8">
      <c r="F19178" s="68" t="s">
        <v>422</v>
      </c>
      <c r="G19178" s="67" t="s">
        <v>722</v>
      </c>
      <c r="H19178" s="69">
        <v>2.3578017228907733</v>
      </c>
    </row>
    <row r="19179" spans="6:8">
      <c r="F19179" s="68" t="s">
        <v>255</v>
      </c>
      <c r="G19179" s="67" t="s">
        <v>722</v>
      </c>
      <c r="H19179" s="69">
        <v>0.70857142857142841</v>
      </c>
    </row>
    <row r="19180" spans="6:8">
      <c r="F19180" s="68" t="s">
        <v>303</v>
      </c>
      <c r="G19180" s="67" t="s">
        <v>722</v>
      </c>
      <c r="H19180" s="69">
        <v>18.5</v>
      </c>
    </row>
    <row r="19181" spans="6:8">
      <c r="F19181" s="68" t="s">
        <v>131</v>
      </c>
      <c r="G19181" s="67" t="s">
        <v>722</v>
      </c>
      <c r="H19181" s="69">
        <v>-0.77500000000000002</v>
      </c>
    </row>
    <row r="19182" spans="6:8">
      <c r="F19182" s="68" t="s">
        <v>130</v>
      </c>
      <c r="G19182" s="67" t="s">
        <v>722</v>
      </c>
      <c r="H19182" s="69">
        <v>-0.8899999999999999</v>
      </c>
    </row>
    <row r="19183" spans="6:8">
      <c r="F19183" s="68" t="s">
        <v>665</v>
      </c>
      <c r="G19183" s="67" t="s">
        <v>722</v>
      </c>
      <c r="H19183" s="69">
        <v>112.3498743</v>
      </c>
    </row>
    <row r="19184" spans="6:8">
      <c r="F19184" s="68" t="s">
        <v>567</v>
      </c>
      <c r="G19184" s="67" t="s">
        <v>722</v>
      </c>
      <c r="H19184" s="69">
        <v>-0.84</v>
      </c>
    </row>
    <row r="19185" spans="6:8">
      <c r="F19185" s="68" t="s">
        <v>421</v>
      </c>
      <c r="G19185" s="67" t="s">
        <v>722</v>
      </c>
      <c r="H19185" s="69">
        <v>2.3512280996817125</v>
      </c>
    </row>
    <row r="19186" spans="6:8">
      <c r="F19186" s="68" t="s">
        <v>254</v>
      </c>
      <c r="G19186" s="67" t="s">
        <v>722</v>
      </c>
      <c r="H19186" s="69">
        <v>0.55000000000000004</v>
      </c>
    </row>
    <row r="19187" spans="6:8">
      <c r="F19187" s="68" t="s">
        <v>304</v>
      </c>
      <c r="G19187" s="67" t="s">
        <v>722</v>
      </c>
      <c r="H19187" s="69">
        <v>17.979166666666668</v>
      </c>
    </row>
    <row r="19188" spans="6:8">
      <c r="F19188" s="68" t="s">
        <v>129</v>
      </c>
      <c r="G19188" s="67" t="s">
        <v>722</v>
      </c>
      <c r="H19188" s="69">
        <v>-0.7</v>
      </c>
    </row>
    <row r="19189" spans="6:8">
      <c r="F19189" s="68" t="s">
        <v>128</v>
      </c>
      <c r="G19189" s="67" t="s">
        <v>722</v>
      </c>
      <c r="H19189" s="69">
        <v>-0.64500000000000002</v>
      </c>
    </row>
    <row r="19190" spans="6:8">
      <c r="F19190" s="68" t="s">
        <v>664</v>
      </c>
      <c r="G19190" s="67" t="s">
        <v>722</v>
      </c>
      <c r="H19190" s="69">
        <v>112.3498743</v>
      </c>
    </row>
    <row r="19191" spans="6:8">
      <c r="F19191" s="68" t="s">
        <v>315</v>
      </c>
      <c r="G19191" s="67" t="s">
        <v>722</v>
      </c>
      <c r="H19191" s="69">
        <v>-0.19</v>
      </c>
    </row>
    <row r="19192" spans="6:8">
      <c r="F19192" s="68" t="s">
        <v>253</v>
      </c>
      <c r="G19192" s="67" t="s">
        <v>722</v>
      </c>
      <c r="H19192" s="69">
        <v>0.39571428571428563</v>
      </c>
    </row>
    <row r="19193" spans="6:8">
      <c r="F19193" s="68" t="s">
        <v>127</v>
      </c>
      <c r="G19193" s="67" t="s">
        <v>722</v>
      </c>
      <c r="H19193" s="69">
        <v>-0.41000000000000003</v>
      </c>
    </row>
    <row r="19194" spans="6:8">
      <c r="F19194" s="68" t="s">
        <v>126</v>
      </c>
      <c r="G19194" s="67" t="s">
        <v>722</v>
      </c>
      <c r="H19194" s="69">
        <v>-0.78</v>
      </c>
    </row>
    <row r="19195" spans="6:8">
      <c r="F19195" s="68" t="s">
        <v>125</v>
      </c>
      <c r="G19195" s="67" t="s">
        <v>722</v>
      </c>
      <c r="H19195" s="69">
        <v>-0.42500000000000004</v>
      </c>
    </row>
    <row r="19196" spans="6:8">
      <c r="F19196" s="68" t="s">
        <v>663</v>
      </c>
      <c r="G19196" s="67" t="s">
        <v>722</v>
      </c>
      <c r="H19196" s="69">
        <v>112.3498743</v>
      </c>
    </row>
    <row r="19197" spans="6:8">
      <c r="F19197" s="68" t="s">
        <v>314</v>
      </c>
      <c r="G19197" s="67" t="s">
        <v>722</v>
      </c>
      <c r="H19197" s="69">
        <v>-0.42500000000000004</v>
      </c>
    </row>
    <row r="19198" spans="6:8">
      <c r="F19198" s="68" t="s">
        <v>252</v>
      </c>
      <c r="G19198" s="67" t="s">
        <v>722</v>
      </c>
      <c r="H19198" s="69">
        <v>0.26142857142857145</v>
      </c>
    </row>
    <row r="19199" spans="6:8">
      <c r="F19199" s="68" t="s">
        <v>124</v>
      </c>
      <c r="G19199" s="67" t="s">
        <v>722</v>
      </c>
      <c r="H19199" s="69">
        <v>-0.505</v>
      </c>
    </row>
    <row r="19200" spans="6:8">
      <c r="F19200" s="68" t="s">
        <v>123</v>
      </c>
      <c r="G19200" s="67" t="s">
        <v>722</v>
      </c>
      <c r="H19200" s="69">
        <v>-0.91999999999999993</v>
      </c>
    </row>
    <row r="19201" spans="6:8">
      <c r="F19201" s="68" t="s">
        <v>122</v>
      </c>
      <c r="G19201" s="67" t="s">
        <v>722</v>
      </c>
      <c r="H19201" s="69">
        <v>-0.77500000000000002</v>
      </c>
    </row>
    <row r="19202" spans="6:8">
      <c r="F19202" s="68" t="s">
        <v>251</v>
      </c>
      <c r="G19202" s="67" t="s">
        <v>722</v>
      </c>
      <c r="H19202" s="69">
        <v>0.18857142857142858</v>
      </c>
    </row>
    <row r="19203" spans="6:8">
      <c r="F19203" s="68" t="s">
        <v>121</v>
      </c>
      <c r="G19203" s="67" t="s">
        <v>722</v>
      </c>
      <c r="H19203" s="69">
        <v>-0.61499999999999999</v>
      </c>
    </row>
    <row r="19204" spans="6:8">
      <c r="F19204" s="68" t="s">
        <v>120</v>
      </c>
      <c r="G19204" s="67" t="s">
        <v>722</v>
      </c>
      <c r="H19204" s="69">
        <v>-0.89500000000000002</v>
      </c>
    </row>
    <row r="19205" spans="6:8">
      <c r="F19205" s="68" t="s">
        <v>119</v>
      </c>
      <c r="G19205" s="67" t="s">
        <v>722</v>
      </c>
      <c r="H19205" s="69">
        <v>-0.75</v>
      </c>
    </row>
    <row r="19206" spans="6:8">
      <c r="F19206" s="68" t="s">
        <v>662</v>
      </c>
      <c r="G19206" s="67" t="s">
        <v>722</v>
      </c>
      <c r="H19206" s="69">
        <v>112.3498743</v>
      </c>
    </row>
    <row r="19207" spans="6:8">
      <c r="F19207" s="68" t="s">
        <v>420</v>
      </c>
      <c r="G19207" s="67" t="s">
        <v>722</v>
      </c>
      <c r="H19207" s="69">
        <v>3.2042635431141608</v>
      </c>
    </row>
    <row r="19208" spans="6:8">
      <c r="F19208" s="68" t="s">
        <v>420</v>
      </c>
      <c r="G19208" s="67" t="s">
        <v>723</v>
      </c>
      <c r="H19208" s="69">
        <v>3.2394569316622324</v>
      </c>
    </row>
    <row r="19209" spans="6:8">
      <c r="F19209" s="68" t="s">
        <v>662</v>
      </c>
      <c r="G19209" s="67" t="s">
        <v>723</v>
      </c>
      <c r="H19209" s="69">
        <v>112.27359525</v>
      </c>
    </row>
    <row r="19210" spans="6:8">
      <c r="F19210" s="68" t="s">
        <v>119</v>
      </c>
      <c r="G19210" s="67" t="s">
        <v>723</v>
      </c>
      <c r="H19210" s="69">
        <v>-0.75</v>
      </c>
    </row>
    <row r="19211" spans="6:8">
      <c r="F19211" s="68" t="s">
        <v>120</v>
      </c>
      <c r="G19211" s="67" t="s">
        <v>723</v>
      </c>
      <c r="H19211" s="69">
        <v>-0.89500000000000002</v>
      </c>
    </row>
    <row r="19212" spans="6:8">
      <c r="F19212" s="68" t="s">
        <v>121</v>
      </c>
      <c r="G19212" s="67" t="s">
        <v>723</v>
      </c>
      <c r="H19212" s="69">
        <v>-0.61499999999999999</v>
      </c>
    </row>
    <row r="19213" spans="6:8">
      <c r="F19213" s="68" t="s">
        <v>251</v>
      </c>
      <c r="G19213" s="67" t="s">
        <v>723</v>
      </c>
      <c r="H19213" s="69">
        <v>0.18857142857142858</v>
      </c>
    </row>
    <row r="19214" spans="6:8">
      <c r="F19214" s="68" t="s">
        <v>122</v>
      </c>
      <c r="G19214" s="67" t="s">
        <v>723</v>
      </c>
      <c r="H19214" s="69">
        <v>-0.77500000000000002</v>
      </c>
    </row>
    <row r="19215" spans="6:8">
      <c r="F19215" s="68" t="s">
        <v>123</v>
      </c>
      <c r="G19215" s="67" t="s">
        <v>723</v>
      </c>
      <c r="H19215" s="69">
        <v>-0.91999999999999993</v>
      </c>
    </row>
    <row r="19216" spans="6:8">
      <c r="F19216" s="68" t="s">
        <v>124</v>
      </c>
      <c r="G19216" s="67" t="s">
        <v>723</v>
      </c>
      <c r="H19216" s="69">
        <v>-0.505</v>
      </c>
    </row>
    <row r="19217" spans="6:8">
      <c r="F19217" s="68" t="s">
        <v>252</v>
      </c>
      <c r="G19217" s="67" t="s">
        <v>723</v>
      </c>
      <c r="H19217" s="69">
        <v>0.26142857142857145</v>
      </c>
    </row>
    <row r="19218" spans="6:8">
      <c r="F19218" s="68" t="s">
        <v>314</v>
      </c>
      <c r="G19218" s="67" t="s">
        <v>723</v>
      </c>
      <c r="H19218" s="69">
        <v>-0.42500000000000004</v>
      </c>
    </row>
    <row r="19219" spans="6:8">
      <c r="F19219" s="68" t="s">
        <v>663</v>
      </c>
      <c r="G19219" s="67" t="s">
        <v>723</v>
      </c>
      <c r="H19219" s="69">
        <v>112.27415529</v>
      </c>
    </row>
    <row r="19220" spans="6:8">
      <c r="F19220" s="68" t="s">
        <v>125</v>
      </c>
      <c r="G19220" s="67" t="s">
        <v>723</v>
      </c>
      <c r="H19220" s="69">
        <v>-0.42500000000000004</v>
      </c>
    </row>
    <row r="19221" spans="6:8">
      <c r="F19221" s="68" t="s">
        <v>126</v>
      </c>
      <c r="G19221" s="67" t="s">
        <v>723</v>
      </c>
      <c r="H19221" s="69">
        <v>-0.78</v>
      </c>
    </row>
    <row r="19222" spans="6:8">
      <c r="F19222" s="68" t="s">
        <v>127</v>
      </c>
      <c r="G19222" s="67" t="s">
        <v>723</v>
      </c>
      <c r="H19222" s="69">
        <v>-0.41000000000000003</v>
      </c>
    </row>
    <row r="19223" spans="6:8">
      <c r="F19223" s="68" t="s">
        <v>253</v>
      </c>
      <c r="G19223" s="67" t="s">
        <v>723</v>
      </c>
      <c r="H19223" s="69">
        <v>0.39571428571428563</v>
      </c>
    </row>
    <row r="19224" spans="6:8">
      <c r="F19224" s="68" t="s">
        <v>315</v>
      </c>
      <c r="G19224" s="67" t="s">
        <v>723</v>
      </c>
      <c r="H19224" s="69">
        <v>-0.19</v>
      </c>
    </row>
    <row r="19225" spans="6:8">
      <c r="F19225" s="68" t="s">
        <v>664</v>
      </c>
      <c r="G19225" s="67" t="s">
        <v>723</v>
      </c>
      <c r="H19225" s="69">
        <v>112.27395892</v>
      </c>
    </row>
    <row r="19226" spans="6:8">
      <c r="F19226" s="68" t="s">
        <v>128</v>
      </c>
      <c r="G19226" s="67" t="s">
        <v>723</v>
      </c>
      <c r="H19226" s="69">
        <v>-0.64500000000000002</v>
      </c>
    </row>
    <row r="19227" spans="6:8">
      <c r="F19227" s="68" t="s">
        <v>129</v>
      </c>
      <c r="G19227" s="67" t="s">
        <v>723</v>
      </c>
      <c r="H19227" s="69">
        <v>-0.7</v>
      </c>
    </row>
    <row r="19228" spans="6:8">
      <c r="F19228" s="68" t="s">
        <v>304</v>
      </c>
      <c r="G19228" s="67" t="s">
        <v>723</v>
      </c>
      <c r="H19228" s="69">
        <v>17.96875</v>
      </c>
    </row>
    <row r="19229" spans="6:8">
      <c r="F19229" s="68" t="s">
        <v>254</v>
      </c>
      <c r="G19229" s="67" t="s">
        <v>723</v>
      </c>
      <c r="H19229" s="69">
        <v>0.55000000000000004</v>
      </c>
    </row>
    <row r="19230" spans="6:8">
      <c r="F19230" s="68" t="s">
        <v>421</v>
      </c>
      <c r="G19230" s="67" t="s">
        <v>723</v>
      </c>
      <c r="H19230" s="69">
        <v>2.390541554424086</v>
      </c>
    </row>
    <row r="19231" spans="6:8">
      <c r="F19231" s="68" t="s">
        <v>567</v>
      </c>
      <c r="G19231" s="67" t="s">
        <v>723</v>
      </c>
      <c r="H19231" s="69">
        <v>-0.84</v>
      </c>
    </row>
    <row r="19232" spans="6:8">
      <c r="F19232" s="68" t="s">
        <v>665</v>
      </c>
      <c r="G19232" s="67" t="s">
        <v>723</v>
      </c>
      <c r="H19232" s="69">
        <v>112.27393357</v>
      </c>
    </row>
    <row r="19233" spans="6:8">
      <c r="F19233" s="68" t="s">
        <v>130</v>
      </c>
      <c r="G19233" s="67" t="s">
        <v>723</v>
      </c>
      <c r="H19233" s="69">
        <v>-0.8899999999999999</v>
      </c>
    </row>
    <row r="19234" spans="6:8">
      <c r="F19234" s="68" t="s">
        <v>131</v>
      </c>
      <c r="G19234" s="67" t="s">
        <v>723</v>
      </c>
      <c r="H19234" s="69">
        <v>-0.77500000000000002</v>
      </c>
    </row>
    <row r="19235" spans="6:8">
      <c r="F19235" s="68" t="s">
        <v>303</v>
      </c>
      <c r="G19235" s="67" t="s">
        <v>723</v>
      </c>
      <c r="H19235" s="69">
        <v>18.489583333333332</v>
      </c>
    </row>
    <row r="19236" spans="6:8">
      <c r="F19236" s="68" t="s">
        <v>255</v>
      </c>
      <c r="G19236" s="67" t="s">
        <v>723</v>
      </c>
      <c r="H19236" s="69">
        <v>0.70857142857142841</v>
      </c>
    </row>
    <row r="19237" spans="6:8">
      <c r="F19237" s="68" t="s">
        <v>422</v>
      </c>
      <c r="G19237" s="67" t="s">
        <v>723</v>
      </c>
      <c r="H19237" s="69">
        <v>2.3971024203839342</v>
      </c>
    </row>
    <row r="19238" spans="6:8">
      <c r="F19238" s="68" t="s">
        <v>568</v>
      </c>
      <c r="G19238" s="67" t="s">
        <v>723</v>
      </c>
      <c r="H19238" s="69">
        <v>-0.54</v>
      </c>
    </row>
    <row r="19239" spans="6:8">
      <c r="F19239" s="68" t="s">
        <v>666</v>
      </c>
      <c r="G19239" s="67" t="s">
        <v>723</v>
      </c>
      <c r="H19239" s="69">
        <v>112.27381987</v>
      </c>
    </row>
    <row r="19240" spans="6:8">
      <c r="F19240" s="68" t="s">
        <v>132</v>
      </c>
      <c r="G19240" s="67" t="s">
        <v>723</v>
      </c>
      <c r="H19240" s="69">
        <v>-0.94</v>
      </c>
    </row>
    <row r="19241" spans="6:8">
      <c r="F19241" s="68" t="s">
        <v>133</v>
      </c>
      <c r="G19241" s="67" t="s">
        <v>723</v>
      </c>
      <c r="H19241" s="69">
        <v>-0.61</v>
      </c>
    </row>
    <row r="19242" spans="6:8">
      <c r="F19242" s="68" t="s">
        <v>256</v>
      </c>
      <c r="G19242" s="67" t="s">
        <v>723</v>
      </c>
      <c r="H19242" s="69">
        <v>0.81714285714285728</v>
      </c>
    </row>
    <row r="19243" spans="6:8">
      <c r="F19243" s="68" t="s">
        <v>423</v>
      </c>
      <c r="G19243" s="67" t="s">
        <v>723</v>
      </c>
      <c r="H19243" s="69">
        <v>2.3951330820213279</v>
      </c>
    </row>
    <row r="19244" spans="6:8">
      <c r="F19244" s="68" t="s">
        <v>569</v>
      </c>
      <c r="G19244" s="67" t="s">
        <v>723</v>
      </c>
      <c r="H19244" s="69">
        <v>-0.19500000000000001</v>
      </c>
    </row>
    <row r="19245" spans="6:8">
      <c r="F19245" s="68" t="s">
        <v>667</v>
      </c>
      <c r="G19245" s="67" t="s">
        <v>723</v>
      </c>
      <c r="H19245" s="69">
        <v>112.27415473000001</v>
      </c>
    </row>
    <row r="19246" spans="6:8">
      <c r="F19246" s="68" t="s">
        <v>424</v>
      </c>
      <c r="G19246" s="67" t="s">
        <v>723</v>
      </c>
      <c r="H19246" s="69">
        <v>2.9405439350293161</v>
      </c>
    </row>
    <row r="19247" spans="6:8">
      <c r="F19247" s="68" t="s">
        <v>668</v>
      </c>
      <c r="G19247" s="67" t="s">
        <v>723</v>
      </c>
      <c r="H19247" s="69">
        <v>112.27384804</v>
      </c>
    </row>
    <row r="19248" spans="6:8">
      <c r="F19248" s="68" t="s">
        <v>134</v>
      </c>
      <c r="G19248" s="67" t="s">
        <v>723</v>
      </c>
      <c r="H19248" s="69">
        <v>-1.0350000000000001</v>
      </c>
    </row>
    <row r="19249" spans="6:8">
      <c r="F19249" s="68" t="s">
        <v>135</v>
      </c>
      <c r="G19249" s="67" t="s">
        <v>723</v>
      </c>
      <c r="H19249" s="69">
        <v>-0.54</v>
      </c>
    </row>
    <row r="19250" spans="6:8">
      <c r="F19250" s="68" t="s">
        <v>257</v>
      </c>
      <c r="G19250" s="67" t="s">
        <v>723</v>
      </c>
      <c r="H19250" s="69">
        <v>0.8833333333333333</v>
      </c>
    </row>
    <row r="19251" spans="6:8">
      <c r="F19251" s="68" t="s">
        <v>258</v>
      </c>
      <c r="G19251" s="67" t="s">
        <v>723</v>
      </c>
      <c r="H19251" s="69">
        <v>0.15</v>
      </c>
    </row>
    <row r="19252" spans="6:8">
      <c r="F19252" s="68" t="s">
        <v>425</v>
      </c>
      <c r="G19252" s="67" t="s">
        <v>723</v>
      </c>
      <c r="H19252" s="69">
        <v>2.9680737474074181</v>
      </c>
    </row>
    <row r="19253" spans="6:8">
      <c r="F19253" s="68" t="s">
        <v>669</v>
      </c>
      <c r="G19253" s="67" t="s">
        <v>723</v>
      </c>
      <c r="H19253" s="69">
        <v>112.27420778</v>
      </c>
    </row>
    <row r="19254" spans="6:8">
      <c r="F19254" s="68" t="s">
        <v>136</v>
      </c>
      <c r="G19254" s="67" t="s">
        <v>723</v>
      </c>
      <c r="H19254" s="69">
        <v>-0.92500000000000004</v>
      </c>
    </row>
    <row r="19255" spans="6:8">
      <c r="F19255" s="68" t="s">
        <v>137</v>
      </c>
      <c r="G19255" s="67" t="s">
        <v>723</v>
      </c>
      <c r="H19255" s="69">
        <v>-0.85000000000000009</v>
      </c>
    </row>
    <row r="19256" spans="6:8">
      <c r="F19256" s="68" t="s">
        <v>138</v>
      </c>
      <c r="G19256" s="67" t="s">
        <v>723</v>
      </c>
      <c r="H19256" s="69">
        <v>-0.70499999999999996</v>
      </c>
    </row>
    <row r="19257" spans="6:8">
      <c r="F19257" s="68" t="s">
        <v>259</v>
      </c>
      <c r="G19257" s="67" t="s">
        <v>723</v>
      </c>
      <c r="H19257" s="69">
        <v>0.15</v>
      </c>
    </row>
    <row r="19258" spans="6:8">
      <c r="F19258" s="68" t="s">
        <v>259</v>
      </c>
      <c r="G19258" s="67" t="s">
        <v>724</v>
      </c>
      <c r="H19258" s="69">
        <v>0.15142857142857144</v>
      </c>
    </row>
    <row r="19259" spans="6:8">
      <c r="F19259" s="68" t="s">
        <v>138</v>
      </c>
      <c r="G19259" s="67" t="s">
        <v>724</v>
      </c>
      <c r="H19259" s="69">
        <v>-0.70499999999999996</v>
      </c>
    </row>
    <row r="19260" spans="6:8">
      <c r="F19260" s="68" t="s">
        <v>137</v>
      </c>
      <c r="G19260" s="67" t="s">
        <v>724</v>
      </c>
      <c r="H19260" s="69">
        <v>-0.85000000000000009</v>
      </c>
    </row>
    <row r="19261" spans="6:8">
      <c r="F19261" s="68" t="s">
        <v>136</v>
      </c>
      <c r="G19261" s="67" t="s">
        <v>724</v>
      </c>
      <c r="H19261" s="69">
        <v>-0.92500000000000004</v>
      </c>
    </row>
    <row r="19262" spans="6:8">
      <c r="F19262" s="68" t="s">
        <v>669</v>
      </c>
      <c r="G19262" s="67" t="s">
        <v>724</v>
      </c>
      <c r="H19262" s="69">
        <v>112.25361899000001</v>
      </c>
    </row>
    <row r="19263" spans="6:8">
      <c r="F19263" s="68" t="s">
        <v>425</v>
      </c>
      <c r="G19263" s="67" t="s">
        <v>724</v>
      </c>
      <c r="H19263" s="69">
        <v>2.9569476573708897</v>
      </c>
    </row>
    <row r="19264" spans="6:8">
      <c r="F19264" s="68" t="s">
        <v>258</v>
      </c>
      <c r="G19264" s="67" t="s">
        <v>724</v>
      </c>
      <c r="H19264" s="69">
        <v>0.15</v>
      </c>
    </row>
    <row r="19265" spans="6:8">
      <c r="F19265" s="68" t="s">
        <v>257</v>
      </c>
      <c r="G19265" s="67" t="s">
        <v>724</v>
      </c>
      <c r="H19265" s="69">
        <v>0.89833333333333343</v>
      </c>
    </row>
    <row r="19266" spans="6:8">
      <c r="F19266" s="68" t="s">
        <v>135</v>
      </c>
      <c r="G19266" s="67" t="s">
        <v>724</v>
      </c>
      <c r="H19266" s="69">
        <v>-0.54</v>
      </c>
    </row>
    <row r="19267" spans="6:8">
      <c r="F19267" s="68" t="s">
        <v>134</v>
      </c>
      <c r="G19267" s="67" t="s">
        <v>724</v>
      </c>
      <c r="H19267" s="69">
        <v>-1.0350000000000001</v>
      </c>
    </row>
    <row r="19268" spans="6:8">
      <c r="F19268" s="68" t="s">
        <v>668</v>
      </c>
      <c r="G19268" s="67" t="s">
        <v>724</v>
      </c>
      <c r="H19268" s="69">
        <v>112.25325947</v>
      </c>
    </row>
    <row r="19269" spans="6:8">
      <c r="F19269" s="68" t="s">
        <v>424</v>
      </c>
      <c r="G19269" s="67" t="s">
        <v>724</v>
      </c>
      <c r="H19269" s="69">
        <v>2.9291248765699773</v>
      </c>
    </row>
    <row r="19270" spans="6:8">
      <c r="F19270" s="68" t="s">
        <v>667</v>
      </c>
      <c r="G19270" s="67" t="s">
        <v>724</v>
      </c>
      <c r="H19270" s="69">
        <v>112.25356597</v>
      </c>
    </row>
    <row r="19271" spans="6:8">
      <c r="F19271" s="68" t="s">
        <v>569</v>
      </c>
      <c r="G19271" s="67" t="s">
        <v>724</v>
      </c>
      <c r="H19271" s="69">
        <v>-0.19500000000000001</v>
      </c>
    </row>
    <row r="19272" spans="6:8">
      <c r="F19272" s="68" t="s">
        <v>423</v>
      </c>
      <c r="G19272" s="67" t="s">
        <v>724</v>
      </c>
      <c r="H19272" s="69">
        <v>2.3978774266515401</v>
      </c>
    </row>
    <row r="19273" spans="6:8">
      <c r="F19273" s="68" t="s">
        <v>256</v>
      </c>
      <c r="G19273" s="67" t="s">
        <v>724</v>
      </c>
      <c r="H19273" s="69">
        <v>0.83000000000000007</v>
      </c>
    </row>
    <row r="19274" spans="6:8">
      <c r="F19274" s="68" t="s">
        <v>133</v>
      </c>
      <c r="G19274" s="67" t="s">
        <v>724</v>
      </c>
      <c r="H19274" s="69">
        <v>-0.61</v>
      </c>
    </row>
    <row r="19275" spans="6:8">
      <c r="F19275" s="68" t="s">
        <v>132</v>
      </c>
      <c r="G19275" s="67" t="s">
        <v>724</v>
      </c>
      <c r="H19275" s="69">
        <v>-0.94</v>
      </c>
    </row>
    <row r="19276" spans="6:8">
      <c r="F19276" s="68" t="s">
        <v>666</v>
      </c>
      <c r="G19276" s="67" t="s">
        <v>724</v>
      </c>
      <c r="H19276" s="69">
        <v>112.25323132</v>
      </c>
    </row>
    <row r="19277" spans="6:8">
      <c r="F19277" s="68" t="s">
        <v>568</v>
      </c>
      <c r="G19277" s="67" t="s">
        <v>724</v>
      </c>
      <c r="H19277" s="69">
        <v>-0.54</v>
      </c>
    </row>
    <row r="19278" spans="6:8">
      <c r="F19278" s="68" t="s">
        <v>422</v>
      </c>
      <c r="G19278" s="67" t="s">
        <v>724</v>
      </c>
      <c r="H19278" s="69">
        <v>2.4028435688506544</v>
      </c>
    </row>
    <row r="19279" spans="6:8">
      <c r="F19279" s="68" t="s">
        <v>255</v>
      </c>
      <c r="G19279" s="67" t="s">
        <v>724</v>
      </c>
      <c r="H19279" s="69">
        <v>0.70428571428571429</v>
      </c>
    </row>
    <row r="19280" spans="6:8">
      <c r="F19280" s="68" t="s">
        <v>303</v>
      </c>
      <c r="G19280" s="67" t="s">
        <v>724</v>
      </c>
      <c r="H19280" s="69">
        <v>18.5</v>
      </c>
    </row>
    <row r="19281" spans="6:8">
      <c r="F19281" s="68" t="s">
        <v>131</v>
      </c>
      <c r="G19281" s="67" t="s">
        <v>724</v>
      </c>
      <c r="H19281" s="69">
        <v>-0.77500000000000002</v>
      </c>
    </row>
    <row r="19282" spans="6:8">
      <c r="F19282" s="68" t="s">
        <v>130</v>
      </c>
      <c r="G19282" s="67" t="s">
        <v>724</v>
      </c>
      <c r="H19282" s="69">
        <v>-0.8899999999999999</v>
      </c>
    </row>
    <row r="19283" spans="6:8">
      <c r="F19283" s="68" t="s">
        <v>665</v>
      </c>
      <c r="G19283" s="67" t="s">
        <v>724</v>
      </c>
      <c r="H19283" s="69">
        <v>112.25334495</v>
      </c>
    </row>
    <row r="19284" spans="6:8">
      <c r="F19284" s="68" t="s">
        <v>567</v>
      </c>
      <c r="G19284" s="67" t="s">
        <v>724</v>
      </c>
      <c r="H19284" s="69">
        <v>-0.84</v>
      </c>
    </row>
    <row r="19285" spans="6:8">
      <c r="F19285" s="68" t="s">
        <v>421</v>
      </c>
      <c r="G19285" s="67" t="s">
        <v>724</v>
      </c>
      <c r="H19285" s="69">
        <v>2.3963465394045258</v>
      </c>
    </row>
    <row r="19286" spans="6:8">
      <c r="F19286" s="68" t="s">
        <v>254</v>
      </c>
      <c r="G19286" s="67" t="s">
        <v>724</v>
      </c>
      <c r="H19286" s="69">
        <v>0.56571428571428573</v>
      </c>
    </row>
    <row r="19287" spans="6:8">
      <c r="F19287" s="68" t="s">
        <v>304</v>
      </c>
      <c r="G19287" s="67" t="s">
        <v>724</v>
      </c>
      <c r="H19287" s="69">
        <v>18</v>
      </c>
    </row>
    <row r="19288" spans="6:8">
      <c r="F19288" s="68" t="s">
        <v>129</v>
      </c>
      <c r="G19288" s="67" t="s">
        <v>724</v>
      </c>
      <c r="H19288" s="69">
        <v>-0.7</v>
      </c>
    </row>
    <row r="19289" spans="6:8">
      <c r="F19289" s="68" t="s">
        <v>128</v>
      </c>
      <c r="G19289" s="67" t="s">
        <v>724</v>
      </c>
      <c r="H19289" s="69">
        <v>-0.64500000000000002</v>
      </c>
    </row>
    <row r="19290" spans="6:8">
      <c r="F19290" s="68" t="s">
        <v>664</v>
      </c>
      <c r="G19290" s="67" t="s">
        <v>724</v>
      </c>
      <c r="H19290" s="69">
        <v>112.25337028</v>
      </c>
    </row>
    <row r="19291" spans="6:8">
      <c r="F19291" s="68" t="s">
        <v>315</v>
      </c>
      <c r="G19291" s="67" t="s">
        <v>724</v>
      </c>
      <c r="H19291" s="69">
        <v>-0.19</v>
      </c>
    </row>
    <row r="19292" spans="6:8">
      <c r="F19292" s="68" t="s">
        <v>253</v>
      </c>
      <c r="G19292" s="67" t="s">
        <v>724</v>
      </c>
      <c r="H19292" s="69">
        <v>0.40428571428571425</v>
      </c>
    </row>
    <row r="19293" spans="6:8">
      <c r="F19293" s="68" t="s">
        <v>127</v>
      </c>
      <c r="G19293" s="67" t="s">
        <v>724</v>
      </c>
      <c r="H19293" s="69">
        <v>-0.41000000000000003</v>
      </c>
    </row>
    <row r="19294" spans="6:8">
      <c r="F19294" s="68" t="s">
        <v>126</v>
      </c>
      <c r="G19294" s="67" t="s">
        <v>724</v>
      </c>
      <c r="H19294" s="69">
        <v>-0.78</v>
      </c>
    </row>
    <row r="19295" spans="6:8">
      <c r="F19295" s="68" t="s">
        <v>125</v>
      </c>
      <c r="G19295" s="67" t="s">
        <v>724</v>
      </c>
      <c r="H19295" s="69">
        <v>-0.42500000000000004</v>
      </c>
    </row>
    <row r="19296" spans="6:8">
      <c r="F19296" s="68" t="s">
        <v>663</v>
      </c>
      <c r="G19296" s="67" t="s">
        <v>724</v>
      </c>
      <c r="H19296" s="69">
        <v>112.25356653</v>
      </c>
    </row>
    <row r="19297" spans="6:8">
      <c r="F19297" s="68" t="s">
        <v>314</v>
      </c>
      <c r="G19297" s="67" t="s">
        <v>724</v>
      </c>
      <c r="H19297" s="69">
        <v>-0.42500000000000004</v>
      </c>
    </row>
    <row r="19298" spans="6:8">
      <c r="F19298" s="68" t="s">
        <v>252</v>
      </c>
      <c r="G19298" s="67" t="s">
        <v>724</v>
      </c>
      <c r="H19298" s="69">
        <v>0.26428571428571429</v>
      </c>
    </row>
    <row r="19299" spans="6:8">
      <c r="F19299" s="68" t="s">
        <v>124</v>
      </c>
      <c r="G19299" s="67" t="s">
        <v>724</v>
      </c>
      <c r="H19299" s="69">
        <v>-0.505</v>
      </c>
    </row>
    <row r="19300" spans="6:8">
      <c r="F19300" s="68" t="s">
        <v>123</v>
      </c>
      <c r="G19300" s="67" t="s">
        <v>724</v>
      </c>
      <c r="H19300" s="69">
        <v>-0.91999999999999993</v>
      </c>
    </row>
    <row r="19301" spans="6:8">
      <c r="F19301" s="68" t="s">
        <v>122</v>
      </c>
      <c r="G19301" s="67" t="s">
        <v>724</v>
      </c>
      <c r="H19301" s="69">
        <v>-0.77500000000000002</v>
      </c>
    </row>
    <row r="19302" spans="6:8">
      <c r="F19302" s="68" t="s">
        <v>251</v>
      </c>
      <c r="G19302" s="67" t="s">
        <v>724</v>
      </c>
      <c r="H19302" s="69">
        <v>0.19142857142857145</v>
      </c>
    </row>
    <row r="19303" spans="6:8">
      <c r="F19303" s="68" t="s">
        <v>121</v>
      </c>
      <c r="G19303" s="67" t="s">
        <v>724</v>
      </c>
      <c r="H19303" s="69">
        <v>-0.61499999999999999</v>
      </c>
    </row>
    <row r="19304" spans="6:8">
      <c r="F19304" s="68" t="s">
        <v>120</v>
      </c>
      <c r="G19304" s="67" t="s">
        <v>724</v>
      </c>
      <c r="H19304" s="69">
        <v>-0.89500000000000002</v>
      </c>
    </row>
    <row r="19305" spans="6:8">
      <c r="F19305" s="68" t="s">
        <v>119</v>
      </c>
      <c r="G19305" s="67" t="s">
        <v>724</v>
      </c>
      <c r="H19305" s="69">
        <v>-0.75</v>
      </c>
    </row>
    <row r="19306" spans="6:8">
      <c r="F19306" s="68" t="s">
        <v>662</v>
      </c>
      <c r="G19306" s="67" t="s">
        <v>724</v>
      </c>
      <c r="H19306" s="69">
        <v>112.25300684</v>
      </c>
    </row>
    <row r="19307" spans="6:8">
      <c r="F19307" s="68" t="s">
        <v>420</v>
      </c>
      <c r="G19307" s="67" t="s">
        <v>724</v>
      </c>
      <c r="H19307" s="69">
        <v>3.2382871609859976</v>
      </c>
    </row>
    <row r="19308" spans="6:8">
      <c r="F19308" s="68" t="s">
        <v>420</v>
      </c>
      <c r="G19308" s="67" t="s">
        <v>725</v>
      </c>
      <c r="H19308" s="69">
        <v>3.3010687896336766</v>
      </c>
    </row>
    <row r="19309" spans="6:8">
      <c r="F19309" s="68" t="s">
        <v>662</v>
      </c>
      <c r="G19309" s="67" t="s">
        <v>725</v>
      </c>
      <c r="H19309" s="69">
        <v>111.99959532</v>
      </c>
    </row>
    <row r="19310" spans="6:8">
      <c r="F19310" s="68" t="s">
        <v>119</v>
      </c>
      <c r="G19310" s="67" t="s">
        <v>725</v>
      </c>
      <c r="H19310" s="69">
        <v>-0.75</v>
      </c>
    </row>
    <row r="19311" spans="6:8">
      <c r="F19311" s="68" t="s">
        <v>120</v>
      </c>
      <c r="G19311" s="67" t="s">
        <v>725</v>
      </c>
      <c r="H19311" s="69">
        <v>-0.89500000000000002</v>
      </c>
    </row>
    <row r="19312" spans="6:8">
      <c r="F19312" s="68" t="s">
        <v>121</v>
      </c>
      <c r="G19312" s="67" t="s">
        <v>725</v>
      </c>
      <c r="H19312" s="69">
        <v>-0.61499999999999999</v>
      </c>
    </row>
    <row r="19313" spans="6:8">
      <c r="F19313" s="68" t="s">
        <v>251</v>
      </c>
      <c r="G19313" s="67" t="s">
        <v>725</v>
      </c>
      <c r="H19313" s="69">
        <v>0.19142857142857145</v>
      </c>
    </row>
    <row r="19314" spans="6:8">
      <c r="F19314" s="68" t="s">
        <v>122</v>
      </c>
      <c r="G19314" s="67" t="s">
        <v>725</v>
      </c>
      <c r="H19314" s="69">
        <v>-0.77500000000000002</v>
      </c>
    </row>
    <row r="19315" spans="6:8">
      <c r="F19315" s="68" t="s">
        <v>123</v>
      </c>
      <c r="G19315" s="67" t="s">
        <v>725</v>
      </c>
      <c r="H19315" s="69">
        <v>-0.91999999999999993</v>
      </c>
    </row>
    <row r="19316" spans="6:8">
      <c r="F19316" s="68" t="s">
        <v>124</v>
      </c>
      <c r="G19316" s="67" t="s">
        <v>725</v>
      </c>
      <c r="H19316" s="69">
        <v>-0.505</v>
      </c>
    </row>
    <row r="19317" spans="6:8">
      <c r="F19317" s="68" t="s">
        <v>252</v>
      </c>
      <c r="G19317" s="67" t="s">
        <v>725</v>
      </c>
      <c r="H19317" s="69">
        <v>0.26428571428571429</v>
      </c>
    </row>
    <row r="19318" spans="6:8">
      <c r="F19318" s="68" t="s">
        <v>314</v>
      </c>
      <c r="G19318" s="67" t="s">
        <v>725</v>
      </c>
      <c r="H19318" s="69">
        <v>-0.42500000000000004</v>
      </c>
    </row>
    <row r="19319" spans="6:8">
      <c r="F19319" s="68" t="s">
        <v>663</v>
      </c>
      <c r="G19319" s="67" t="s">
        <v>725</v>
      </c>
      <c r="H19319" s="69">
        <v>112.0001438</v>
      </c>
    </row>
    <row r="19320" spans="6:8">
      <c r="F19320" s="68" t="s">
        <v>125</v>
      </c>
      <c r="G19320" s="67" t="s">
        <v>725</v>
      </c>
      <c r="H19320" s="69">
        <v>-0.42500000000000004</v>
      </c>
    </row>
    <row r="19321" spans="6:8">
      <c r="F19321" s="68" t="s">
        <v>126</v>
      </c>
      <c r="G19321" s="67" t="s">
        <v>725</v>
      </c>
      <c r="H19321" s="69">
        <v>-0.78</v>
      </c>
    </row>
    <row r="19322" spans="6:8">
      <c r="F19322" s="68" t="s">
        <v>127</v>
      </c>
      <c r="G19322" s="67" t="s">
        <v>725</v>
      </c>
      <c r="H19322" s="69">
        <v>-0.41000000000000003</v>
      </c>
    </row>
    <row r="19323" spans="6:8">
      <c r="F19323" s="68" t="s">
        <v>253</v>
      </c>
      <c r="G19323" s="67" t="s">
        <v>725</v>
      </c>
      <c r="H19323" s="69">
        <v>0.40428571428571425</v>
      </c>
    </row>
    <row r="19324" spans="6:8">
      <c r="F19324" s="68" t="s">
        <v>315</v>
      </c>
      <c r="G19324" s="67" t="s">
        <v>725</v>
      </c>
      <c r="H19324" s="69">
        <v>-0.19</v>
      </c>
    </row>
    <row r="19325" spans="6:8">
      <c r="F19325" s="68" t="s">
        <v>664</v>
      </c>
      <c r="G19325" s="67" t="s">
        <v>725</v>
      </c>
      <c r="H19325" s="69">
        <v>111.99995147999999</v>
      </c>
    </row>
    <row r="19326" spans="6:8">
      <c r="F19326" s="68" t="s">
        <v>128</v>
      </c>
      <c r="G19326" s="67" t="s">
        <v>725</v>
      </c>
      <c r="H19326" s="69">
        <v>-0.64500000000000002</v>
      </c>
    </row>
    <row r="19327" spans="6:8">
      <c r="F19327" s="68" t="s">
        <v>129</v>
      </c>
      <c r="G19327" s="67" t="s">
        <v>725</v>
      </c>
      <c r="H19327" s="69">
        <v>-0.7</v>
      </c>
    </row>
    <row r="19328" spans="6:8">
      <c r="F19328" s="68" t="s">
        <v>304</v>
      </c>
      <c r="G19328" s="67" t="s">
        <v>725</v>
      </c>
      <c r="H19328" s="69">
        <v>17.989583333333332</v>
      </c>
    </row>
    <row r="19329" spans="6:8">
      <c r="F19329" s="68" t="s">
        <v>254</v>
      </c>
      <c r="G19329" s="67" t="s">
        <v>725</v>
      </c>
      <c r="H19329" s="69">
        <v>0.56571428571428573</v>
      </c>
    </row>
    <row r="19330" spans="6:8">
      <c r="F19330" s="68" t="s">
        <v>421</v>
      </c>
      <c r="G19330" s="67" t="s">
        <v>725</v>
      </c>
      <c r="H19330" s="69">
        <v>2.4311988641953608</v>
      </c>
    </row>
    <row r="19331" spans="6:8">
      <c r="F19331" s="68" t="s">
        <v>567</v>
      </c>
      <c r="G19331" s="67" t="s">
        <v>725</v>
      </c>
      <c r="H19331" s="69">
        <v>-0.84</v>
      </c>
    </row>
    <row r="19332" spans="6:8">
      <c r="F19332" s="68" t="s">
        <v>665</v>
      </c>
      <c r="G19332" s="67" t="s">
        <v>725</v>
      </c>
      <c r="H19332" s="69">
        <v>111.99992666</v>
      </c>
    </row>
    <row r="19333" spans="6:8">
      <c r="F19333" s="68" t="s">
        <v>130</v>
      </c>
      <c r="G19333" s="67" t="s">
        <v>725</v>
      </c>
      <c r="H19333" s="69">
        <v>-0.8899999999999999</v>
      </c>
    </row>
    <row r="19334" spans="6:8">
      <c r="F19334" s="68" t="s">
        <v>131</v>
      </c>
      <c r="G19334" s="67" t="s">
        <v>725</v>
      </c>
      <c r="H19334" s="69">
        <v>-0.77500000000000002</v>
      </c>
    </row>
    <row r="19335" spans="6:8">
      <c r="F19335" s="68" t="s">
        <v>303</v>
      </c>
      <c r="G19335" s="67" t="s">
        <v>725</v>
      </c>
      <c r="H19335" s="69">
        <v>18.447916666666668</v>
      </c>
    </row>
    <row r="19336" spans="6:8">
      <c r="F19336" s="68" t="s">
        <v>255</v>
      </c>
      <c r="G19336" s="67" t="s">
        <v>725</v>
      </c>
      <c r="H19336" s="69">
        <v>0.70428571428571429</v>
      </c>
    </row>
    <row r="19337" spans="6:8">
      <c r="F19337" s="68" t="s">
        <v>422</v>
      </c>
      <c r="G19337" s="67" t="s">
        <v>725</v>
      </c>
      <c r="H19337" s="69">
        <v>2.4376729665344765</v>
      </c>
    </row>
    <row r="19338" spans="6:8">
      <c r="F19338" s="68" t="s">
        <v>568</v>
      </c>
      <c r="G19338" s="67" t="s">
        <v>725</v>
      </c>
      <c r="H19338" s="69">
        <v>-0.54</v>
      </c>
    </row>
    <row r="19339" spans="6:8">
      <c r="F19339" s="68" t="s">
        <v>666</v>
      </c>
      <c r="G19339" s="67" t="s">
        <v>725</v>
      </c>
      <c r="H19339" s="69">
        <v>111.99981529999999</v>
      </c>
    </row>
    <row r="19340" spans="6:8">
      <c r="F19340" s="68" t="s">
        <v>132</v>
      </c>
      <c r="G19340" s="67" t="s">
        <v>725</v>
      </c>
      <c r="H19340" s="69">
        <v>-0.94</v>
      </c>
    </row>
    <row r="19341" spans="6:8">
      <c r="F19341" s="68" t="s">
        <v>133</v>
      </c>
      <c r="G19341" s="67" t="s">
        <v>725</v>
      </c>
      <c r="H19341" s="69">
        <v>-0.61</v>
      </c>
    </row>
    <row r="19342" spans="6:8">
      <c r="F19342" s="68" t="s">
        <v>256</v>
      </c>
      <c r="G19342" s="67" t="s">
        <v>725</v>
      </c>
      <c r="H19342" s="69">
        <v>0.83000000000000007</v>
      </c>
    </row>
    <row r="19343" spans="6:8">
      <c r="F19343" s="68" t="s">
        <v>423</v>
      </c>
      <c r="G19343" s="67" t="s">
        <v>725</v>
      </c>
      <c r="H19343" s="69">
        <v>2.4304679452156197</v>
      </c>
    </row>
    <row r="19344" spans="6:8">
      <c r="F19344" s="68" t="s">
        <v>569</v>
      </c>
      <c r="G19344" s="67" t="s">
        <v>725</v>
      </c>
      <c r="H19344" s="69">
        <v>-0.19500000000000001</v>
      </c>
    </row>
    <row r="19345" spans="6:8">
      <c r="F19345" s="68" t="s">
        <v>667</v>
      </c>
      <c r="G19345" s="67" t="s">
        <v>725</v>
      </c>
      <c r="H19345" s="69">
        <v>112.00014324999999</v>
      </c>
    </row>
    <row r="19346" spans="6:8">
      <c r="F19346" s="68" t="s">
        <v>424</v>
      </c>
      <c r="G19346" s="67" t="s">
        <v>725</v>
      </c>
      <c r="H19346" s="69">
        <v>3.0068759921199728</v>
      </c>
    </row>
    <row r="19347" spans="6:8">
      <c r="F19347" s="68" t="s">
        <v>668</v>
      </c>
      <c r="G19347" s="67" t="s">
        <v>725</v>
      </c>
      <c r="H19347" s="69">
        <v>111.99984289</v>
      </c>
    </row>
    <row r="19348" spans="6:8">
      <c r="F19348" s="68" t="s">
        <v>134</v>
      </c>
      <c r="G19348" s="67" t="s">
        <v>725</v>
      </c>
      <c r="H19348" s="69">
        <v>-1.0350000000000001</v>
      </c>
    </row>
    <row r="19349" spans="6:8">
      <c r="F19349" s="68" t="s">
        <v>135</v>
      </c>
      <c r="G19349" s="67" t="s">
        <v>725</v>
      </c>
      <c r="H19349" s="69">
        <v>-0.54</v>
      </c>
    </row>
    <row r="19350" spans="6:8">
      <c r="F19350" s="68" t="s">
        <v>257</v>
      </c>
      <c r="G19350" s="67" t="s">
        <v>725</v>
      </c>
      <c r="H19350" s="69">
        <v>0.89833333333333343</v>
      </c>
    </row>
    <row r="19351" spans="6:8">
      <c r="F19351" s="68" t="s">
        <v>258</v>
      </c>
      <c r="G19351" s="67" t="s">
        <v>725</v>
      </c>
      <c r="H19351" s="69">
        <v>0.15</v>
      </c>
    </row>
    <row r="19352" spans="6:8">
      <c r="F19352" s="68" t="s">
        <v>425</v>
      </c>
      <c r="G19352" s="67" t="s">
        <v>725</v>
      </c>
      <c r="H19352" s="69">
        <v>3.0323141406753962</v>
      </c>
    </row>
    <row r="19353" spans="6:8">
      <c r="F19353" s="68" t="s">
        <v>669</v>
      </c>
      <c r="G19353" s="67" t="s">
        <v>725</v>
      </c>
      <c r="H19353" s="69">
        <v>112.00019521</v>
      </c>
    </row>
    <row r="19354" spans="6:8">
      <c r="F19354" s="68" t="s">
        <v>136</v>
      </c>
      <c r="G19354" s="67" t="s">
        <v>725</v>
      </c>
      <c r="H19354" s="69">
        <v>-0.92500000000000004</v>
      </c>
    </row>
    <row r="19355" spans="6:8">
      <c r="F19355" s="68" t="s">
        <v>137</v>
      </c>
      <c r="G19355" s="67" t="s">
        <v>725</v>
      </c>
      <c r="H19355" s="69">
        <v>-0.85000000000000009</v>
      </c>
    </row>
    <row r="19356" spans="6:8">
      <c r="F19356" s="68" t="s">
        <v>138</v>
      </c>
      <c r="G19356" s="67" t="s">
        <v>725</v>
      </c>
      <c r="H19356" s="69">
        <v>-0.70499999999999996</v>
      </c>
    </row>
    <row r="19357" spans="6:8">
      <c r="F19357" s="68" t="s">
        <v>259</v>
      </c>
      <c r="G19357" s="67" t="s">
        <v>725</v>
      </c>
      <c r="H19357" s="69">
        <v>0.15142857142857144</v>
      </c>
    </row>
    <row r="19358" spans="6:8">
      <c r="F19358" s="68" t="s">
        <v>259</v>
      </c>
      <c r="G19358" s="67" t="s">
        <v>726</v>
      </c>
      <c r="H19358" s="69">
        <v>0.15571428571428572</v>
      </c>
    </row>
    <row r="19359" spans="6:8">
      <c r="F19359" s="68" t="s">
        <v>138</v>
      </c>
      <c r="G19359" s="67" t="s">
        <v>726</v>
      </c>
      <c r="H19359" s="69">
        <v>-0.70499999999999996</v>
      </c>
    </row>
    <row r="19360" spans="6:8">
      <c r="F19360" s="68" t="s">
        <v>137</v>
      </c>
      <c r="G19360" s="67" t="s">
        <v>726</v>
      </c>
      <c r="H19360" s="69">
        <v>-0.85000000000000009</v>
      </c>
    </row>
    <row r="19361" spans="6:8">
      <c r="F19361" s="68" t="s">
        <v>136</v>
      </c>
      <c r="G19361" s="67" t="s">
        <v>726</v>
      </c>
      <c r="H19361" s="69">
        <v>-0.92500000000000004</v>
      </c>
    </row>
    <row r="19362" spans="6:8">
      <c r="F19362" s="68" t="s">
        <v>669</v>
      </c>
      <c r="G19362" s="67" t="s">
        <v>726</v>
      </c>
      <c r="H19362" s="69">
        <v>111.9539427</v>
      </c>
    </row>
    <row r="19363" spans="6:8">
      <c r="F19363" s="68" t="s">
        <v>425</v>
      </c>
      <c r="G19363" s="67" t="s">
        <v>726</v>
      </c>
      <c r="H19363" s="69">
        <v>2.989974938103801</v>
      </c>
    </row>
    <row r="19364" spans="6:8">
      <c r="F19364" s="68" t="s">
        <v>258</v>
      </c>
      <c r="G19364" s="67" t="s">
        <v>726</v>
      </c>
      <c r="H19364" s="69">
        <v>0.15</v>
      </c>
    </row>
    <row r="19365" spans="6:8">
      <c r="F19365" s="68" t="s">
        <v>257</v>
      </c>
      <c r="G19365" s="67" t="s">
        <v>726</v>
      </c>
      <c r="H19365" s="69">
        <v>0.90333333333333332</v>
      </c>
    </row>
    <row r="19366" spans="6:8">
      <c r="F19366" s="68" t="s">
        <v>135</v>
      </c>
      <c r="G19366" s="67" t="s">
        <v>726</v>
      </c>
      <c r="H19366" s="69">
        <v>-0.54</v>
      </c>
    </row>
    <row r="19367" spans="6:8">
      <c r="F19367" s="68" t="s">
        <v>134</v>
      </c>
      <c r="G19367" s="67" t="s">
        <v>726</v>
      </c>
      <c r="H19367" s="69">
        <v>-1.0350000000000001</v>
      </c>
    </row>
    <row r="19368" spans="6:8">
      <c r="F19368" s="68" t="s">
        <v>668</v>
      </c>
      <c r="G19368" s="67" t="s">
        <v>726</v>
      </c>
      <c r="H19368" s="69">
        <v>111.95359061000001</v>
      </c>
    </row>
    <row r="19369" spans="6:8">
      <c r="F19369" s="68" t="s">
        <v>424</v>
      </c>
      <c r="G19369" s="67" t="s">
        <v>726</v>
      </c>
      <c r="H19369" s="69">
        <v>2.970866969406627</v>
      </c>
    </row>
    <row r="19370" spans="6:8">
      <c r="F19370" s="68" t="s">
        <v>667</v>
      </c>
      <c r="G19370" s="67" t="s">
        <v>726</v>
      </c>
      <c r="H19370" s="69">
        <v>111.95389077999999</v>
      </c>
    </row>
    <row r="19371" spans="6:8">
      <c r="F19371" s="68" t="s">
        <v>569</v>
      </c>
      <c r="G19371" s="67" t="s">
        <v>726</v>
      </c>
      <c r="H19371" s="69">
        <v>-0.19500000000000001</v>
      </c>
    </row>
    <row r="19372" spans="6:8">
      <c r="F19372" s="68" t="s">
        <v>423</v>
      </c>
      <c r="G19372" s="67" t="s">
        <v>726</v>
      </c>
      <c r="H19372" s="69">
        <v>2.4252928797478646</v>
      </c>
    </row>
    <row r="19373" spans="6:8">
      <c r="F19373" s="68" t="s">
        <v>256</v>
      </c>
      <c r="G19373" s="67" t="s">
        <v>726</v>
      </c>
      <c r="H19373" s="69">
        <v>0.83857142857142863</v>
      </c>
    </row>
    <row r="19374" spans="6:8">
      <c r="F19374" s="68" t="s">
        <v>133</v>
      </c>
      <c r="G19374" s="67" t="s">
        <v>726</v>
      </c>
      <c r="H19374" s="69">
        <v>-0.61</v>
      </c>
    </row>
    <row r="19375" spans="6:8">
      <c r="F19375" s="68" t="s">
        <v>132</v>
      </c>
      <c r="G19375" s="67" t="s">
        <v>726</v>
      </c>
      <c r="H19375" s="69">
        <v>-0.94</v>
      </c>
    </row>
    <row r="19376" spans="6:8">
      <c r="F19376" s="68" t="s">
        <v>666</v>
      </c>
      <c r="G19376" s="67" t="s">
        <v>726</v>
      </c>
      <c r="H19376" s="69">
        <v>111.95356303</v>
      </c>
    </row>
    <row r="19377" spans="6:8">
      <c r="F19377" s="68" t="s">
        <v>568</v>
      </c>
      <c r="G19377" s="67" t="s">
        <v>726</v>
      </c>
      <c r="H19377" s="69">
        <v>-0.54</v>
      </c>
    </row>
    <row r="19378" spans="6:8">
      <c r="F19378" s="68" t="s">
        <v>422</v>
      </c>
      <c r="G19378" s="67" t="s">
        <v>726</v>
      </c>
      <c r="H19378" s="69">
        <v>2.4311576838508042</v>
      </c>
    </row>
    <row r="19379" spans="6:8">
      <c r="F19379" s="68" t="s">
        <v>255</v>
      </c>
      <c r="G19379" s="67" t="s">
        <v>726</v>
      </c>
      <c r="H19379" s="69">
        <v>0.73142857142857132</v>
      </c>
    </row>
    <row r="19380" spans="6:8">
      <c r="F19380" s="68" t="s">
        <v>303</v>
      </c>
      <c r="G19380" s="67" t="s">
        <v>726</v>
      </c>
      <c r="H19380" s="69">
        <v>18.4375</v>
      </c>
    </row>
    <row r="19381" spans="6:8">
      <c r="F19381" s="68" t="s">
        <v>131</v>
      </c>
      <c r="G19381" s="67" t="s">
        <v>726</v>
      </c>
      <c r="H19381" s="69">
        <v>-0.77500000000000002</v>
      </c>
    </row>
    <row r="19382" spans="6:8">
      <c r="F19382" s="68" t="s">
        <v>130</v>
      </c>
      <c r="G19382" s="67" t="s">
        <v>726</v>
      </c>
      <c r="H19382" s="69">
        <v>-0.8899999999999999</v>
      </c>
    </row>
    <row r="19383" spans="6:8">
      <c r="F19383" s="68" t="s">
        <v>665</v>
      </c>
      <c r="G19383" s="67" t="s">
        <v>726</v>
      </c>
      <c r="H19383" s="69">
        <v>111.95367432</v>
      </c>
    </row>
    <row r="19384" spans="6:8">
      <c r="F19384" s="68" t="s">
        <v>567</v>
      </c>
      <c r="G19384" s="67" t="s">
        <v>726</v>
      </c>
      <c r="H19384" s="69">
        <v>-0.84</v>
      </c>
    </row>
    <row r="19385" spans="6:8">
      <c r="F19385" s="68" t="s">
        <v>421</v>
      </c>
      <c r="G19385" s="67" t="s">
        <v>726</v>
      </c>
      <c r="H19385" s="69">
        <v>2.4246035516323428</v>
      </c>
    </row>
    <row r="19386" spans="6:8">
      <c r="F19386" s="68" t="s">
        <v>254</v>
      </c>
      <c r="G19386" s="67" t="s">
        <v>726</v>
      </c>
      <c r="H19386" s="69">
        <v>0.57857142857142851</v>
      </c>
    </row>
    <row r="19387" spans="6:8">
      <c r="F19387" s="68" t="s">
        <v>304</v>
      </c>
      <c r="G19387" s="67" t="s">
        <v>726</v>
      </c>
      <c r="H19387" s="69">
        <v>17.979166666666668</v>
      </c>
    </row>
    <row r="19388" spans="6:8">
      <c r="F19388" s="68" t="s">
        <v>129</v>
      </c>
      <c r="G19388" s="67" t="s">
        <v>726</v>
      </c>
      <c r="H19388" s="69">
        <v>-0.7</v>
      </c>
    </row>
    <row r="19389" spans="6:8">
      <c r="F19389" s="68" t="s">
        <v>128</v>
      </c>
      <c r="G19389" s="67" t="s">
        <v>726</v>
      </c>
      <c r="H19389" s="69">
        <v>-0.64500000000000002</v>
      </c>
    </row>
    <row r="19390" spans="6:8">
      <c r="F19390" s="68" t="s">
        <v>664</v>
      </c>
      <c r="G19390" s="67" t="s">
        <v>726</v>
      </c>
      <c r="H19390" s="69">
        <v>111.95369913</v>
      </c>
    </row>
    <row r="19391" spans="6:8">
      <c r="F19391" s="68" t="s">
        <v>315</v>
      </c>
      <c r="G19391" s="67" t="s">
        <v>726</v>
      </c>
      <c r="H19391" s="69">
        <v>-0.19</v>
      </c>
    </row>
    <row r="19392" spans="6:8">
      <c r="F19392" s="68" t="s">
        <v>253</v>
      </c>
      <c r="G19392" s="67" t="s">
        <v>726</v>
      </c>
      <c r="H19392" s="69">
        <v>0.41857142857142859</v>
      </c>
    </row>
    <row r="19393" spans="6:8">
      <c r="F19393" s="68" t="s">
        <v>127</v>
      </c>
      <c r="G19393" s="67" t="s">
        <v>726</v>
      </c>
      <c r="H19393" s="69">
        <v>-0.41000000000000003</v>
      </c>
    </row>
    <row r="19394" spans="6:8">
      <c r="F19394" s="68" t="s">
        <v>126</v>
      </c>
      <c r="G19394" s="67" t="s">
        <v>726</v>
      </c>
      <c r="H19394" s="69">
        <v>-0.78</v>
      </c>
    </row>
    <row r="19395" spans="6:8">
      <c r="F19395" s="68" t="s">
        <v>125</v>
      </c>
      <c r="G19395" s="67" t="s">
        <v>726</v>
      </c>
      <c r="H19395" s="69">
        <v>-0.42500000000000004</v>
      </c>
    </row>
    <row r="19396" spans="6:8">
      <c r="F19396" s="68" t="s">
        <v>663</v>
      </c>
      <c r="G19396" s="67" t="s">
        <v>726</v>
      </c>
      <c r="H19396" s="69">
        <v>111.95389133</v>
      </c>
    </row>
    <row r="19397" spans="6:8">
      <c r="F19397" s="68" t="s">
        <v>314</v>
      </c>
      <c r="G19397" s="67" t="s">
        <v>726</v>
      </c>
      <c r="H19397" s="69">
        <v>-0.42500000000000004</v>
      </c>
    </row>
    <row r="19398" spans="6:8">
      <c r="F19398" s="68" t="s">
        <v>252</v>
      </c>
      <c r="G19398" s="67" t="s">
        <v>726</v>
      </c>
      <c r="H19398" s="69">
        <v>0.27571428571428569</v>
      </c>
    </row>
    <row r="19399" spans="6:8">
      <c r="F19399" s="68" t="s">
        <v>124</v>
      </c>
      <c r="G19399" s="67" t="s">
        <v>726</v>
      </c>
      <c r="H19399" s="69">
        <v>-0.505</v>
      </c>
    </row>
    <row r="19400" spans="6:8">
      <c r="F19400" s="68" t="s">
        <v>123</v>
      </c>
      <c r="G19400" s="67" t="s">
        <v>726</v>
      </c>
      <c r="H19400" s="69">
        <v>-0.91999999999999993</v>
      </c>
    </row>
    <row r="19401" spans="6:8">
      <c r="F19401" s="68" t="s">
        <v>122</v>
      </c>
      <c r="G19401" s="67" t="s">
        <v>726</v>
      </c>
      <c r="H19401" s="69">
        <v>-0.77500000000000002</v>
      </c>
    </row>
    <row r="19402" spans="6:8">
      <c r="F19402" s="68" t="s">
        <v>251</v>
      </c>
      <c r="G19402" s="67" t="s">
        <v>726</v>
      </c>
      <c r="H19402" s="69">
        <v>0.19714285714285715</v>
      </c>
    </row>
    <row r="19403" spans="6:8">
      <c r="F19403" s="68" t="s">
        <v>121</v>
      </c>
      <c r="G19403" s="67" t="s">
        <v>726</v>
      </c>
      <c r="H19403" s="69">
        <v>-0.61499999999999999</v>
      </c>
    </row>
    <row r="19404" spans="6:8">
      <c r="F19404" s="68" t="s">
        <v>120</v>
      </c>
      <c r="G19404" s="67" t="s">
        <v>726</v>
      </c>
      <c r="H19404" s="69">
        <v>-0.89500000000000002</v>
      </c>
    </row>
    <row r="19405" spans="6:8">
      <c r="F19405" s="68" t="s">
        <v>119</v>
      </c>
      <c r="G19405" s="67" t="s">
        <v>726</v>
      </c>
      <c r="H19405" s="69">
        <v>-0.75</v>
      </c>
    </row>
    <row r="19406" spans="6:8">
      <c r="F19406" s="68" t="s">
        <v>662</v>
      </c>
      <c r="G19406" s="67" t="s">
        <v>726</v>
      </c>
      <c r="H19406" s="69">
        <v>111.95334319</v>
      </c>
    </row>
    <row r="19407" spans="6:8">
      <c r="F19407" s="68" t="s">
        <v>420</v>
      </c>
      <c r="G19407" s="67" t="s">
        <v>726</v>
      </c>
      <c r="H19407" s="69">
        <v>3.2813411057709185</v>
      </c>
    </row>
    <row r="19408" spans="6:8">
      <c r="F19408" s="68" t="s">
        <v>420</v>
      </c>
      <c r="G19408" s="67" t="s">
        <v>727</v>
      </c>
      <c r="H19408" s="69">
        <v>3.2840830228472395</v>
      </c>
    </row>
    <row r="19409" spans="6:8">
      <c r="F19409" s="68" t="s">
        <v>662</v>
      </c>
      <c r="G19409" s="67" t="s">
        <v>727</v>
      </c>
      <c r="H19409" s="69">
        <v>111.90946848</v>
      </c>
    </row>
    <row r="19410" spans="6:8">
      <c r="F19410" s="68" t="s">
        <v>119</v>
      </c>
      <c r="G19410" s="67" t="s">
        <v>727</v>
      </c>
      <c r="H19410" s="69">
        <v>-0.75</v>
      </c>
    </row>
    <row r="19411" spans="6:8">
      <c r="F19411" s="68" t="s">
        <v>120</v>
      </c>
      <c r="G19411" s="67" t="s">
        <v>727</v>
      </c>
      <c r="H19411" s="69">
        <v>-0.89500000000000002</v>
      </c>
    </row>
    <row r="19412" spans="6:8">
      <c r="F19412" s="68" t="s">
        <v>121</v>
      </c>
      <c r="G19412" s="67" t="s">
        <v>727</v>
      </c>
      <c r="H19412" s="69">
        <v>-0.61499999999999999</v>
      </c>
    </row>
    <row r="19413" spans="6:8">
      <c r="F19413" s="68" t="s">
        <v>251</v>
      </c>
      <c r="G19413" s="67" t="s">
        <v>727</v>
      </c>
      <c r="H19413" s="69">
        <v>0.19714285714285715</v>
      </c>
    </row>
    <row r="19414" spans="6:8">
      <c r="F19414" s="68" t="s">
        <v>122</v>
      </c>
      <c r="G19414" s="67" t="s">
        <v>727</v>
      </c>
      <c r="H19414" s="69">
        <v>-0.77500000000000002</v>
      </c>
    </row>
    <row r="19415" spans="6:8">
      <c r="F19415" s="68" t="s">
        <v>123</v>
      </c>
      <c r="G19415" s="67" t="s">
        <v>727</v>
      </c>
      <c r="H19415" s="69">
        <v>-0.91999999999999993</v>
      </c>
    </row>
    <row r="19416" spans="6:8">
      <c r="F19416" s="68" t="s">
        <v>124</v>
      </c>
      <c r="G19416" s="67" t="s">
        <v>727</v>
      </c>
      <c r="H19416" s="69">
        <v>-0.505</v>
      </c>
    </row>
    <row r="19417" spans="6:8">
      <c r="F19417" s="68" t="s">
        <v>252</v>
      </c>
      <c r="G19417" s="67" t="s">
        <v>727</v>
      </c>
      <c r="H19417" s="69">
        <v>0.27571428571428569</v>
      </c>
    </row>
    <row r="19418" spans="6:8">
      <c r="F19418" s="68" t="s">
        <v>314</v>
      </c>
      <c r="G19418" s="67" t="s">
        <v>727</v>
      </c>
      <c r="H19418" s="69">
        <v>-0.42500000000000004</v>
      </c>
    </row>
    <row r="19419" spans="6:8">
      <c r="F19419" s="68" t="s">
        <v>663</v>
      </c>
      <c r="G19419" s="67" t="s">
        <v>727</v>
      </c>
      <c r="H19419" s="69">
        <v>111.91001518</v>
      </c>
    </row>
    <row r="19420" spans="6:8">
      <c r="F19420" s="68" t="s">
        <v>125</v>
      </c>
      <c r="G19420" s="67" t="s">
        <v>727</v>
      </c>
      <c r="H19420" s="69">
        <v>-0.42500000000000004</v>
      </c>
    </row>
    <row r="19421" spans="6:8">
      <c r="F19421" s="68" t="s">
        <v>126</v>
      </c>
      <c r="G19421" s="67" t="s">
        <v>727</v>
      </c>
      <c r="H19421" s="69">
        <v>-0.78</v>
      </c>
    </row>
    <row r="19422" spans="6:8">
      <c r="F19422" s="68" t="s">
        <v>127</v>
      </c>
      <c r="G19422" s="67" t="s">
        <v>727</v>
      </c>
      <c r="H19422" s="69">
        <v>-0.41000000000000003</v>
      </c>
    </row>
    <row r="19423" spans="6:8">
      <c r="F19423" s="68" t="s">
        <v>253</v>
      </c>
      <c r="G19423" s="67" t="s">
        <v>727</v>
      </c>
      <c r="H19423" s="69">
        <v>0.41857142857142859</v>
      </c>
    </row>
    <row r="19424" spans="6:8">
      <c r="F19424" s="68" t="s">
        <v>315</v>
      </c>
      <c r="G19424" s="67" t="s">
        <v>727</v>
      </c>
      <c r="H19424" s="69">
        <v>-0.19</v>
      </c>
    </row>
    <row r="19425" spans="6:8">
      <c r="F19425" s="68" t="s">
        <v>664</v>
      </c>
      <c r="G19425" s="67" t="s">
        <v>727</v>
      </c>
      <c r="H19425" s="69">
        <v>111.90982348</v>
      </c>
    </row>
    <row r="19426" spans="6:8">
      <c r="F19426" s="68" t="s">
        <v>128</v>
      </c>
      <c r="G19426" s="67" t="s">
        <v>727</v>
      </c>
      <c r="H19426" s="69">
        <v>-0.64500000000000002</v>
      </c>
    </row>
    <row r="19427" spans="6:8">
      <c r="F19427" s="68" t="s">
        <v>129</v>
      </c>
      <c r="G19427" s="67" t="s">
        <v>727</v>
      </c>
      <c r="H19427" s="69">
        <v>-0.7</v>
      </c>
    </row>
    <row r="19428" spans="6:8">
      <c r="F19428" s="68" t="s">
        <v>304</v>
      </c>
      <c r="G19428" s="67" t="s">
        <v>727</v>
      </c>
      <c r="H19428" s="69">
        <v>18.177083333333332</v>
      </c>
    </row>
    <row r="19429" spans="6:8">
      <c r="F19429" s="68" t="s">
        <v>254</v>
      </c>
      <c r="G19429" s="67" t="s">
        <v>727</v>
      </c>
      <c r="H19429" s="69">
        <v>0.57857142857142851</v>
      </c>
    </row>
    <row r="19430" spans="6:8">
      <c r="F19430" s="68" t="s">
        <v>421</v>
      </c>
      <c r="G19430" s="67" t="s">
        <v>727</v>
      </c>
      <c r="H19430" s="69">
        <v>2.415840355118748</v>
      </c>
    </row>
    <row r="19431" spans="6:8">
      <c r="F19431" s="68" t="s">
        <v>567</v>
      </c>
      <c r="G19431" s="67" t="s">
        <v>727</v>
      </c>
      <c r="H19431" s="69">
        <v>-0.84</v>
      </c>
    </row>
    <row r="19432" spans="6:8">
      <c r="F19432" s="68" t="s">
        <v>665</v>
      </c>
      <c r="G19432" s="67" t="s">
        <v>727</v>
      </c>
      <c r="H19432" s="69">
        <v>111.90979874</v>
      </c>
    </row>
    <row r="19433" spans="6:8">
      <c r="F19433" s="68" t="s">
        <v>130</v>
      </c>
      <c r="G19433" s="67" t="s">
        <v>727</v>
      </c>
      <c r="H19433" s="69">
        <v>-0.8899999999999999</v>
      </c>
    </row>
    <row r="19434" spans="6:8">
      <c r="F19434" s="68" t="s">
        <v>131</v>
      </c>
      <c r="G19434" s="67" t="s">
        <v>727</v>
      </c>
      <c r="H19434" s="69">
        <v>-0.77500000000000002</v>
      </c>
    </row>
    <row r="19435" spans="6:8">
      <c r="F19435" s="68" t="s">
        <v>303</v>
      </c>
      <c r="G19435" s="67" t="s">
        <v>727</v>
      </c>
      <c r="H19435" s="69">
        <v>18.677083333333332</v>
      </c>
    </row>
    <row r="19436" spans="6:8">
      <c r="F19436" s="68" t="s">
        <v>255</v>
      </c>
      <c r="G19436" s="67" t="s">
        <v>727</v>
      </c>
      <c r="H19436" s="69">
        <v>0.73142857142857132</v>
      </c>
    </row>
    <row r="19437" spans="6:8">
      <c r="F19437" s="68" t="s">
        <v>422</v>
      </c>
      <c r="G19437" s="67" t="s">
        <v>727</v>
      </c>
      <c r="H19437" s="69">
        <v>2.422430504937223</v>
      </c>
    </row>
    <row r="19438" spans="6:8">
      <c r="F19438" s="68" t="s">
        <v>568</v>
      </c>
      <c r="G19438" s="67" t="s">
        <v>727</v>
      </c>
      <c r="H19438" s="69">
        <v>-0.54</v>
      </c>
    </row>
    <row r="19439" spans="6:8">
      <c r="F19439" s="68" t="s">
        <v>666</v>
      </c>
      <c r="G19439" s="67" t="s">
        <v>727</v>
      </c>
      <c r="H19439" s="69">
        <v>111.90968774</v>
      </c>
    </row>
    <row r="19440" spans="6:8">
      <c r="F19440" s="68" t="s">
        <v>132</v>
      </c>
      <c r="G19440" s="67" t="s">
        <v>727</v>
      </c>
      <c r="H19440" s="69">
        <v>-0.94</v>
      </c>
    </row>
    <row r="19441" spans="6:8">
      <c r="F19441" s="68" t="s">
        <v>133</v>
      </c>
      <c r="G19441" s="67" t="s">
        <v>727</v>
      </c>
      <c r="H19441" s="69">
        <v>-0.61</v>
      </c>
    </row>
    <row r="19442" spans="6:8">
      <c r="F19442" s="68" t="s">
        <v>256</v>
      </c>
      <c r="G19442" s="67" t="s">
        <v>727</v>
      </c>
      <c r="H19442" s="69">
        <v>0.83857142857142863</v>
      </c>
    </row>
    <row r="19443" spans="6:8">
      <c r="F19443" s="68" t="s">
        <v>423</v>
      </c>
      <c r="G19443" s="67" t="s">
        <v>727</v>
      </c>
      <c r="H19443" s="69">
        <v>2.4191410963754656</v>
      </c>
    </row>
    <row r="19444" spans="6:8">
      <c r="F19444" s="68" t="s">
        <v>569</v>
      </c>
      <c r="G19444" s="67" t="s">
        <v>727</v>
      </c>
      <c r="H19444" s="69">
        <v>-0.19500000000000001</v>
      </c>
    </row>
    <row r="19445" spans="6:8">
      <c r="F19445" s="68" t="s">
        <v>667</v>
      </c>
      <c r="G19445" s="67" t="s">
        <v>727</v>
      </c>
      <c r="H19445" s="69">
        <v>111.91001463000001</v>
      </c>
    </row>
    <row r="19446" spans="6:8">
      <c r="F19446" s="68" t="s">
        <v>424</v>
      </c>
      <c r="G19446" s="67" t="s">
        <v>727</v>
      </c>
      <c r="H19446" s="69">
        <v>2.9746586404283182</v>
      </c>
    </row>
    <row r="19447" spans="6:8">
      <c r="F19447" s="68" t="s">
        <v>668</v>
      </c>
      <c r="G19447" s="67" t="s">
        <v>727</v>
      </c>
      <c r="H19447" s="69">
        <v>111.90971524</v>
      </c>
    </row>
    <row r="19448" spans="6:8">
      <c r="F19448" s="68" t="s">
        <v>134</v>
      </c>
      <c r="G19448" s="67" t="s">
        <v>727</v>
      </c>
      <c r="H19448" s="69">
        <v>-1.0350000000000001</v>
      </c>
    </row>
    <row r="19449" spans="6:8">
      <c r="F19449" s="68" t="s">
        <v>135</v>
      </c>
      <c r="G19449" s="67" t="s">
        <v>727</v>
      </c>
      <c r="H19449" s="69">
        <v>-0.54</v>
      </c>
    </row>
    <row r="19450" spans="6:8">
      <c r="F19450" s="68" t="s">
        <v>257</v>
      </c>
      <c r="G19450" s="67" t="s">
        <v>727</v>
      </c>
      <c r="H19450" s="69">
        <v>0.90333333333333332</v>
      </c>
    </row>
    <row r="19451" spans="6:8">
      <c r="F19451" s="68" t="s">
        <v>258</v>
      </c>
      <c r="G19451" s="67" t="s">
        <v>727</v>
      </c>
      <c r="H19451" s="69">
        <v>0.15</v>
      </c>
    </row>
    <row r="19452" spans="6:8">
      <c r="F19452" s="68" t="s">
        <v>425</v>
      </c>
      <c r="G19452" s="67" t="s">
        <v>727</v>
      </c>
      <c r="H19452" s="69">
        <v>2.9924429638050754</v>
      </c>
    </row>
    <row r="19453" spans="6:8">
      <c r="F19453" s="68" t="s">
        <v>669</v>
      </c>
      <c r="G19453" s="67" t="s">
        <v>727</v>
      </c>
      <c r="H19453" s="69">
        <v>111.91006642000001</v>
      </c>
    </row>
    <row r="19454" spans="6:8">
      <c r="F19454" s="68" t="s">
        <v>136</v>
      </c>
      <c r="G19454" s="67" t="s">
        <v>727</v>
      </c>
      <c r="H19454" s="69">
        <v>-0.92500000000000004</v>
      </c>
    </row>
    <row r="19455" spans="6:8">
      <c r="F19455" s="68" t="s">
        <v>137</v>
      </c>
      <c r="G19455" s="67" t="s">
        <v>727</v>
      </c>
      <c r="H19455" s="69">
        <v>-0.85000000000000009</v>
      </c>
    </row>
    <row r="19456" spans="6:8">
      <c r="F19456" s="68" t="s">
        <v>138</v>
      </c>
      <c r="G19456" s="67" t="s">
        <v>727</v>
      </c>
      <c r="H19456" s="69">
        <v>-0.70499999999999996</v>
      </c>
    </row>
    <row r="19457" spans="6:8">
      <c r="F19457" s="68" t="s">
        <v>259</v>
      </c>
      <c r="G19457" s="67" t="s">
        <v>727</v>
      </c>
      <c r="H19457" s="69">
        <v>0.15571428571428572</v>
      </c>
    </row>
    <row r="19458" spans="6:8">
      <c r="F19458" s="68" t="s">
        <v>259</v>
      </c>
      <c r="G19458" s="67" t="s">
        <v>728</v>
      </c>
      <c r="H19458" s="69">
        <v>0.15571428571428572</v>
      </c>
    </row>
    <row r="19459" spans="6:8">
      <c r="F19459" s="68" t="s">
        <v>138</v>
      </c>
      <c r="G19459" s="67" t="s">
        <v>728</v>
      </c>
      <c r="H19459" s="69">
        <v>-0.70499999999999996</v>
      </c>
    </row>
    <row r="19460" spans="6:8">
      <c r="F19460" s="68" t="s">
        <v>137</v>
      </c>
      <c r="G19460" s="67" t="s">
        <v>728</v>
      </c>
      <c r="H19460" s="69">
        <v>-0.85000000000000009</v>
      </c>
    </row>
    <row r="19461" spans="6:8">
      <c r="F19461" s="68" t="s">
        <v>136</v>
      </c>
      <c r="G19461" s="67" t="s">
        <v>728</v>
      </c>
      <c r="H19461" s="69">
        <v>-0.92500000000000004</v>
      </c>
    </row>
    <row r="19462" spans="6:8">
      <c r="F19462" s="68" t="s">
        <v>669</v>
      </c>
      <c r="G19462" s="67" t="s">
        <v>728</v>
      </c>
      <c r="H19462" s="69">
        <v>111.83514357</v>
      </c>
    </row>
    <row r="19463" spans="6:8">
      <c r="F19463" s="68" t="s">
        <v>425</v>
      </c>
      <c r="G19463" s="67" t="s">
        <v>728</v>
      </c>
      <c r="H19463" s="69">
        <v>3.0022376708892295</v>
      </c>
    </row>
    <row r="19464" spans="6:8">
      <c r="F19464" s="68" t="s">
        <v>258</v>
      </c>
      <c r="G19464" s="67" t="s">
        <v>728</v>
      </c>
      <c r="H19464" s="69">
        <v>0.15</v>
      </c>
    </row>
    <row r="19465" spans="6:8">
      <c r="F19465" s="68" t="s">
        <v>257</v>
      </c>
      <c r="G19465" s="67" t="s">
        <v>728</v>
      </c>
      <c r="H19465" s="69">
        <v>0.90333333333333332</v>
      </c>
    </row>
    <row r="19466" spans="6:8">
      <c r="F19466" s="68" t="s">
        <v>135</v>
      </c>
      <c r="G19466" s="67" t="s">
        <v>728</v>
      </c>
      <c r="H19466" s="69">
        <v>-0.54</v>
      </c>
    </row>
    <row r="19467" spans="6:8">
      <c r="F19467" s="68" t="s">
        <v>134</v>
      </c>
      <c r="G19467" s="67" t="s">
        <v>728</v>
      </c>
      <c r="H19467" s="69">
        <v>-1.0350000000000001</v>
      </c>
    </row>
    <row r="19468" spans="6:8">
      <c r="F19468" s="68" t="s">
        <v>668</v>
      </c>
      <c r="G19468" s="67" t="s">
        <v>728</v>
      </c>
      <c r="H19468" s="69">
        <v>111.83479425</v>
      </c>
    </row>
    <row r="19469" spans="6:8">
      <c r="F19469" s="68" t="s">
        <v>424</v>
      </c>
      <c r="G19469" s="67" t="s">
        <v>728</v>
      </c>
      <c r="H19469" s="69">
        <v>2.9889839421280762</v>
      </c>
    </row>
    <row r="19470" spans="6:8">
      <c r="F19470" s="68" t="s">
        <v>667</v>
      </c>
      <c r="G19470" s="67" t="s">
        <v>728</v>
      </c>
      <c r="H19470" s="69">
        <v>111.83509205999999</v>
      </c>
    </row>
    <row r="19471" spans="6:8">
      <c r="F19471" s="68" t="s">
        <v>569</v>
      </c>
      <c r="G19471" s="67" t="s">
        <v>728</v>
      </c>
      <c r="H19471" s="69">
        <v>-0.19500000000000001</v>
      </c>
    </row>
    <row r="19472" spans="6:8">
      <c r="F19472" s="68" t="s">
        <v>423</v>
      </c>
      <c r="G19472" s="67" t="s">
        <v>728</v>
      </c>
      <c r="H19472" s="69">
        <v>2.4269319355240793</v>
      </c>
    </row>
    <row r="19473" spans="6:8">
      <c r="F19473" s="68" t="s">
        <v>256</v>
      </c>
      <c r="G19473" s="67" t="s">
        <v>728</v>
      </c>
      <c r="H19473" s="69">
        <v>0.83857142857142863</v>
      </c>
    </row>
    <row r="19474" spans="6:8">
      <c r="F19474" s="68" t="s">
        <v>133</v>
      </c>
      <c r="G19474" s="67" t="s">
        <v>728</v>
      </c>
      <c r="H19474" s="69">
        <v>-0.61</v>
      </c>
    </row>
    <row r="19475" spans="6:8">
      <c r="F19475" s="68" t="s">
        <v>132</v>
      </c>
      <c r="G19475" s="67" t="s">
        <v>728</v>
      </c>
      <c r="H19475" s="69">
        <v>-0.94</v>
      </c>
    </row>
    <row r="19476" spans="6:8">
      <c r="F19476" s="68" t="s">
        <v>666</v>
      </c>
      <c r="G19476" s="67" t="s">
        <v>728</v>
      </c>
      <c r="H19476" s="69">
        <v>111.83476690000001</v>
      </c>
    </row>
    <row r="19477" spans="6:8">
      <c r="F19477" s="68" t="s">
        <v>568</v>
      </c>
      <c r="G19477" s="67" t="s">
        <v>728</v>
      </c>
      <c r="H19477" s="69">
        <v>-0.54</v>
      </c>
    </row>
    <row r="19478" spans="6:8">
      <c r="F19478" s="68" t="s">
        <v>422</v>
      </c>
      <c r="G19478" s="67" t="s">
        <v>728</v>
      </c>
      <c r="H19478" s="69">
        <v>2.4314178987271617</v>
      </c>
    </row>
    <row r="19479" spans="6:8">
      <c r="F19479" s="68" t="s">
        <v>255</v>
      </c>
      <c r="G19479" s="67" t="s">
        <v>728</v>
      </c>
      <c r="H19479" s="69">
        <v>0.73142857142857132</v>
      </c>
    </row>
    <row r="19480" spans="6:8">
      <c r="F19480" s="68" t="s">
        <v>303</v>
      </c>
      <c r="G19480" s="67" t="s">
        <v>728</v>
      </c>
      <c r="H19480" s="69">
        <v>18.604166666666668</v>
      </c>
    </row>
    <row r="19481" spans="6:8">
      <c r="F19481" s="68" t="s">
        <v>131</v>
      </c>
      <c r="G19481" s="67" t="s">
        <v>728</v>
      </c>
      <c r="H19481" s="69">
        <v>-0.77500000000000002</v>
      </c>
    </row>
    <row r="19482" spans="6:8">
      <c r="F19482" s="68" t="s">
        <v>130</v>
      </c>
      <c r="G19482" s="67" t="s">
        <v>728</v>
      </c>
      <c r="H19482" s="69">
        <v>-0.8899999999999999</v>
      </c>
    </row>
    <row r="19483" spans="6:8">
      <c r="F19483" s="68" t="s">
        <v>665</v>
      </c>
      <c r="G19483" s="67" t="s">
        <v>728</v>
      </c>
      <c r="H19483" s="69">
        <v>111.83487731</v>
      </c>
    </row>
    <row r="19484" spans="6:8">
      <c r="F19484" s="68" t="s">
        <v>567</v>
      </c>
      <c r="G19484" s="67" t="s">
        <v>728</v>
      </c>
      <c r="H19484" s="69">
        <v>-0.84</v>
      </c>
    </row>
    <row r="19485" spans="6:8">
      <c r="F19485" s="68" t="s">
        <v>421</v>
      </c>
      <c r="G19485" s="67" t="s">
        <v>728</v>
      </c>
      <c r="H19485" s="69">
        <v>2.4248031798018044</v>
      </c>
    </row>
    <row r="19486" spans="6:8">
      <c r="F19486" s="68" t="s">
        <v>254</v>
      </c>
      <c r="G19486" s="67" t="s">
        <v>728</v>
      </c>
      <c r="H19486" s="69">
        <v>0.57857142857142851</v>
      </c>
    </row>
    <row r="19487" spans="6:8">
      <c r="F19487" s="68" t="s">
        <v>304</v>
      </c>
      <c r="G19487" s="67" t="s">
        <v>728</v>
      </c>
      <c r="H19487" s="69">
        <v>18.135416666666668</v>
      </c>
    </row>
    <row r="19488" spans="6:8">
      <c r="F19488" s="68" t="s">
        <v>129</v>
      </c>
      <c r="G19488" s="67" t="s">
        <v>728</v>
      </c>
      <c r="H19488" s="69">
        <v>-0.7</v>
      </c>
    </row>
    <row r="19489" spans="6:8">
      <c r="F19489" s="68" t="s">
        <v>128</v>
      </c>
      <c r="G19489" s="67" t="s">
        <v>728</v>
      </c>
      <c r="H19489" s="69">
        <v>-0.64500000000000002</v>
      </c>
    </row>
    <row r="19490" spans="6:8">
      <c r="F19490" s="68" t="s">
        <v>664</v>
      </c>
      <c r="G19490" s="67" t="s">
        <v>728</v>
      </c>
      <c r="H19490" s="69">
        <v>111.83490191999999</v>
      </c>
    </row>
    <row r="19491" spans="6:8">
      <c r="F19491" s="68" t="s">
        <v>315</v>
      </c>
      <c r="G19491" s="67" t="s">
        <v>728</v>
      </c>
      <c r="H19491" s="69">
        <v>-0.19</v>
      </c>
    </row>
    <row r="19492" spans="6:8">
      <c r="F19492" s="68" t="s">
        <v>253</v>
      </c>
      <c r="G19492" s="67" t="s">
        <v>728</v>
      </c>
      <c r="H19492" s="69">
        <v>0.41857142857142859</v>
      </c>
    </row>
    <row r="19493" spans="6:8">
      <c r="F19493" s="68" t="s">
        <v>127</v>
      </c>
      <c r="G19493" s="67" t="s">
        <v>728</v>
      </c>
      <c r="H19493" s="69">
        <v>-0.41000000000000003</v>
      </c>
    </row>
    <row r="19494" spans="6:8">
      <c r="F19494" s="68" t="s">
        <v>126</v>
      </c>
      <c r="G19494" s="67" t="s">
        <v>728</v>
      </c>
      <c r="H19494" s="69">
        <v>-0.78</v>
      </c>
    </row>
    <row r="19495" spans="6:8">
      <c r="F19495" s="68" t="s">
        <v>125</v>
      </c>
      <c r="G19495" s="67" t="s">
        <v>728</v>
      </c>
      <c r="H19495" s="69">
        <v>-0.42500000000000004</v>
      </c>
    </row>
    <row r="19496" spans="6:8">
      <c r="F19496" s="68" t="s">
        <v>663</v>
      </c>
      <c r="G19496" s="67" t="s">
        <v>728</v>
      </c>
      <c r="H19496" s="69">
        <v>111.8350926</v>
      </c>
    </row>
    <row r="19497" spans="6:8">
      <c r="F19497" s="68" t="s">
        <v>314</v>
      </c>
      <c r="G19497" s="67" t="s">
        <v>728</v>
      </c>
      <c r="H19497" s="69">
        <v>-0.42500000000000004</v>
      </c>
    </row>
    <row r="19498" spans="6:8">
      <c r="F19498" s="68" t="s">
        <v>252</v>
      </c>
      <c r="G19498" s="67" t="s">
        <v>728</v>
      </c>
      <c r="H19498" s="69">
        <v>0.27571428571428569</v>
      </c>
    </row>
    <row r="19499" spans="6:8">
      <c r="F19499" s="68" t="s">
        <v>124</v>
      </c>
      <c r="G19499" s="67" t="s">
        <v>728</v>
      </c>
      <c r="H19499" s="69">
        <v>-0.505</v>
      </c>
    </row>
    <row r="19500" spans="6:8">
      <c r="F19500" s="68" t="s">
        <v>123</v>
      </c>
      <c r="G19500" s="67" t="s">
        <v>728</v>
      </c>
      <c r="H19500" s="69">
        <v>-0.91999999999999993</v>
      </c>
    </row>
    <row r="19501" spans="6:8">
      <c r="F19501" s="68" t="s">
        <v>122</v>
      </c>
      <c r="G19501" s="67" t="s">
        <v>728</v>
      </c>
      <c r="H19501" s="69">
        <v>-0.77500000000000002</v>
      </c>
    </row>
    <row r="19502" spans="6:8">
      <c r="F19502" s="68" t="s">
        <v>251</v>
      </c>
      <c r="G19502" s="67" t="s">
        <v>728</v>
      </c>
      <c r="H19502" s="69">
        <v>0.19714285714285715</v>
      </c>
    </row>
    <row r="19503" spans="6:8">
      <c r="F19503" s="68" t="s">
        <v>121</v>
      </c>
      <c r="G19503" s="67" t="s">
        <v>728</v>
      </c>
      <c r="H19503" s="69">
        <v>-0.61499999999999999</v>
      </c>
    </row>
    <row r="19504" spans="6:8">
      <c r="F19504" s="68" t="s">
        <v>120</v>
      </c>
      <c r="G19504" s="67" t="s">
        <v>728</v>
      </c>
      <c r="H19504" s="69">
        <v>-0.89500000000000002</v>
      </c>
    </row>
    <row r="19505" spans="6:8">
      <c r="F19505" s="68" t="s">
        <v>119</v>
      </c>
      <c r="G19505" s="67" t="s">
        <v>728</v>
      </c>
      <c r="H19505" s="69">
        <v>-0.75</v>
      </c>
    </row>
    <row r="19506" spans="6:8">
      <c r="F19506" s="68" t="s">
        <v>662</v>
      </c>
      <c r="G19506" s="67" t="s">
        <v>728</v>
      </c>
      <c r="H19506" s="69">
        <v>111.83454879</v>
      </c>
    </row>
    <row r="19507" spans="6:8">
      <c r="F19507" s="68" t="s">
        <v>420</v>
      </c>
      <c r="G19507" s="67" t="s">
        <v>728</v>
      </c>
      <c r="H19507" s="69">
        <v>3.2889456294412867</v>
      </c>
    </row>
    <row r="19508" spans="6:8">
      <c r="F19508" s="68" t="s">
        <v>420</v>
      </c>
      <c r="G19508" s="67" t="s">
        <v>729</v>
      </c>
      <c r="H19508" s="69">
        <v>3.3001731665241341</v>
      </c>
    </row>
    <row r="19509" spans="6:8">
      <c r="F19509" s="68" t="s">
        <v>662</v>
      </c>
      <c r="G19509" s="67" t="s">
        <v>729</v>
      </c>
      <c r="H19509" s="69">
        <v>111.80619498</v>
      </c>
    </row>
    <row r="19510" spans="6:8">
      <c r="F19510" s="68" t="s">
        <v>119</v>
      </c>
      <c r="G19510" s="67" t="s">
        <v>729</v>
      </c>
      <c r="H19510" s="69">
        <v>-0.75</v>
      </c>
    </row>
    <row r="19511" spans="6:8">
      <c r="F19511" s="68" t="s">
        <v>120</v>
      </c>
      <c r="G19511" s="67" t="s">
        <v>729</v>
      </c>
      <c r="H19511" s="69">
        <v>-0.89500000000000002</v>
      </c>
    </row>
    <row r="19512" spans="6:8">
      <c r="F19512" s="68" t="s">
        <v>121</v>
      </c>
      <c r="G19512" s="67" t="s">
        <v>729</v>
      </c>
      <c r="H19512" s="69">
        <v>-0.61499999999999999</v>
      </c>
    </row>
    <row r="19513" spans="6:8">
      <c r="F19513" s="68" t="s">
        <v>251</v>
      </c>
      <c r="G19513" s="67" t="s">
        <v>729</v>
      </c>
      <c r="H19513" s="69">
        <v>0.19714285714285715</v>
      </c>
    </row>
    <row r="19514" spans="6:8">
      <c r="F19514" s="68" t="s">
        <v>122</v>
      </c>
      <c r="G19514" s="67" t="s">
        <v>729</v>
      </c>
      <c r="H19514" s="69">
        <v>-0.77500000000000002</v>
      </c>
    </row>
    <row r="19515" spans="6:8">
      <c r="F19515" s="68" t="s">
        <v>123</v>
      </c>
      <c r="G19515" s="67" t="s">
        <v>729</v>
      </c>
      <c r="H19515" s="69">
        <v>-0.91999999999999993</v>
      </c>
    </row>
    <row r="19516" spans="6:8">
      <c r="F19516" s="68" t="s">
        <v>124</v>
      </c>
      <c r="G19516" s="67" t="s">
        <v>729</v>
      </c>
      <c r="H19516" s="69">
        <v>-0.505</v>
      </c>
    </row>
    <row r="19517" spans="6:8">
      <c r="F19517" s="68" t="s">
        <v>252</v>
      </c>
      <c r="G19517" s="67" t="s">
        <v>729</v>
      </c>
      <c r="H19517" s="69">
        <v>0.27571428571428569</v>
      </c>
    </row>
    <row r="19518" spans="6:8">
      <c r="F19518" s="68" t="s">
        <v>314</v>
      </c>
      <c r="G19518" s="67" t="s">
        <v>729</v>
      </c>
      <c r="H19518" s="69">
        <v>-0.42500000000000004</v>
      </c>
    </row>
    <row r="19519" spans="6:8">
      <c r="F19519" s="68" t="s">
        <v>663</v>
      </c>
      <c r="G19519" s="67" t="s">
        <v>729</v>
      </c>
      <c r="H19519" s="69">
        <v>111.80673806999999</v>
      </c>
    </row>
    <row r="19520" spans="6:8">
      <c r="F19520" s="68" t="s">
        <v>125</v>
      </c>
      <c r="G19520" s="67" t="s">
        <v>729</v>
      </c>
      <c r="H19520" s="69">
        <v>-0.42500000000000004</v>
      </c>
    </row>
    <row r="19521" spans="6:8">
      <c r="F19521" s="68" t="s">
        <v>126</v>
      </c>
      <c r="G19521" s="67" t="s">
        <v>729</v>
      </c>
      <c r="H19521" s="69">
        <v>-0.78</v>
      </c>
    </row>
    <row r="19522" spans="6:8">
      <c r="F19522" s="68" t="s">
        <v>127</v>
      </c>
      <c r="G19522" s="67" t="s">
        <v>729</v>
      </c>
      <c r="H19522" s="69">
        <v>-0.41000000000000003</v>
      </c>
    </row>
    <row r="19523" spans="6:8">
      <c r="F19523" s="68" t="s">
        <v>253</v>
      </c>
      <c r="G19523" s="67" t="s">
        <v>729</v>
      </c>
      <c r="H19523" s="69">
        <v>0.41857142857142859</v>
      </c>
    </row>
    <row r="19524" spans="6:8">
      <c r="F19524" s="68" t="s">
        <v>315</v>
      </c>
      <c r="G19524" s="67" t="s">
        <v>729</v>
      </c>
      <c r="H19524" s="69">
        <v>-0.19</v>
      </c>
    </row>
    <row r="19525" spans="6:8">
      <c r="F19525" s="68" t="s">
        <v>664</v>
      </c>
      <c r="G19525" s="67" t="s">
        <v>729</v>
      </c>
      <c r="H19525" s="69">
        <v>111.80654764000001</v>
      </c>
    </row>
    <row r="19526" spans="6:8">
      <c r="F19526" s="68" t="s">
        <v>128</v>
      </c>
      <c r="G19526" s="67" t="s">
        <v>729</v>
      </c>
      <c r="H19526" s="69">
        <v>-0.64500000000000002</v>
      </c>
    </row>
    <row r="19527" spans="6:8">
      <c r="F19527" s="68" t="s">
        <v>129</v>
      </c>
      <c r="G19527" s="67" t="s">
        <v>729</v>
      </c>
      <c r="H19527" s="69">
        <v>-0.7</v>
      </c>
    </row>
    <row r="19528" spans="6:8">
      <c r="F19528" s="68" t="s">
        <v>304</v>
      </c>
      <c r="G19528" s="67" t="s">
        <v>729</v>
      </c>
      <c r="H19528" s="69">
        <v>18.135416666666668</v>
      </c>
    </row>
    <row r="19529" spans="6:8">
      <c r="F19529" s="68" t="s">
        <v>254</v>
      </c>
      <c r="G19529" s="67" t="s">
        <v>729</v>
      </c>
      <c r="H19529" s="69">
        <v>0.57857142857142851</v>
      </c>
    </row>
    <row r="19530" spans="6:8">
      <c r="F19530" s="68" t="s">
        <v>421</v>
      </c>
      <c r="G19530" s="67" t="s">
        <v>729</v>
      </c>
      <c r="H19530" s="69">
        <v>2.4317866972108693</v>
      </c>
    </row>
    <row r="19531" spans="6:8">
      <c r="F19531" s="68" t="s">
        <v>567</v>
      </c>
      <c r="G19531" s="67" t="s">
        <v>729</v>
      </c>
      <c r="H19531" s="69">
        <v>-0.84</v>
      </c>
    </row>
    <row r="19532" spans="6:8">
      <c r="F19532" s="68" t="s">
        <v>665</v>
      </c>
      <c r="G19532" s="67" t="s">
        <v>729</v>
      </c>
      <c r="H19532" s="69">
        <v>111.80652306</v>
      </c>
    </row>
    <row r="19533" spans="6:8">
      <c r="F19533" s="68" t="s">
        <v>130</v>
      </c>
      <c r="G19533" s="67" t="s">
        <v>729</v>
      </c>
      <c r="H19533" s="69">
        <v>-0.8899999999999999</v>
      </c>
    </row>
    <row r="19534" spans="6:8">
      <c r="F19534" s="68" t="s">
        <v>131</v>
      </c>
      <c r="G19534" s="67" t="s">
        <v>729</v>
      </c>
      <c r="H19534" s="69">
        <v>-0.77500000000000002</v>
      </c>
    </row>
    <row r="19535" spans="6:8">
      <c r="F19535" s="68" t="s">
        <v>303</v>
      </c>
      <c r="G19535" s="67" t="s">
        <v>729</v>
      </c>
      <c r="H19535" s="69">
        <v>18.666666666666668</v>
      </c>
    </row>
    <row r="19536" spans="6:8">
      <c r="F19536" s="68" t="s">
        <v>255</v>
      </c>
      <c r="G19536" s="67" t="s">
        <v>729</v>
      </c>
      <c r="H19536" s="69">
        <v>0.73142857142857132</v>
      </c>
    </row>
    <row r="19537" spans="6:8">
      <c r="F19537" s="68" t="s">
        <v>422</v>
      </c>
      <c r="G19537" s="67" t="s">
        <v>729</v>
      </c>
      <c r="H19537" s="69">
        <v>2.4385866763816377</v>
      </c>
    </row>
    <row r="19538" spans="6:8">
      <c r="F19538" s="68" t="s">
        <v>568</v>
      </c>
      <c r="G19538" s="67" t="s">
        <v>729</v>
      </c>
      <c r="H19538" s="69">
        <v>-0.54</v>
      </c>
    </row>
    <row r="19539" spans="6:8">
      <c r="F19539" s="68" t="s">
        <v>666</v>
      </c>
      <c r="G19539" s="67" t="s">
        <v>729</v>
      </c>
      <c r="H19539" s="69">
        <v>111.8064128</v>
      </c>
    </row>
    <row r="19540" spans="6:8">
      <c r="F19540" s="68" t="s">
        <v>132</v>
      </c>
      <c r="G19540" s="67" t="s">
        <v>729</v>
      </c>
      <c r="H19540" s="69">
        <v>-0.94</v>
      </c>
    </row>
    <row r="19541" spans="6:8">
      <c r="F19541" s="68" t="s">
        <v>133</v>
      </c>
      <c r="G19541" s="67" t="s">
        <v>729</v>
      </c>
      <c r="H19541" s="69">
        <v>-0.61</v>
      </c>
    </row>
    <row r="19542" spans="6:8">
      <c r="F19542" s="68" t="s">
        <v>256</v>
      </c>
      <c r="G19542" s="67" t="s">
        <v>729</v>
      </c>
      <c r="H19542" s="69">
        <v>0.83857142857142863</v>
      </c>
    </row>
    <row r="19543" spans="6:8">
      <c r="F19543" s="68" t="s">
        <v>423</v>
      </c>
      <c r="G19543" s="67" t="s">
        <v>729</v>
      </c>
      <c r="H19543" s="69">
        <v>2.4344743580944517</v>
      </c>
    </row>
    <row r="19544" spans="6:8">
      <c r="F19544" s="68" t="s">
        <v>569</v>
      </c>
      <c r="G19544" s="67" t="s">
        <v>729</v>
      </c>
      <c r="H19544" s="69">
        <v>-0.19500000000000001</v>
      </c>
    </row>
    <row r="19545" spans="6:8">
      <c r="F19545" s="68" t="s">
        <v>667</v>
      </c>
      <c r="G19545" s="67" t="s">
        <v>729</v>
      </c>
      <c r="H19545" s="69">
        <v>111.80673753000001</v>
      </c>
    </row>
    <row r="19546" spans="6:8">
      <c r="F19546" s="68" t="s">
        <v>424</v>
      </c>
      <c r="G19546" s="67" t="s">
        <v>729</v>
      </c>
      <c r="H19546" s="69">
        <v>2.9940402342938821</v>
      </c>
    </row>
    <row r="19547" spans="6:8">
      <c r="F19547" s="68" t="s">
        <v>668</v>
      </c>
      <c r="G19547" s="67" t="s">
        <v>729</v>
      </c>
      <c r="H19547" s="69">
        <v>111.80644012</v>
      </c>
    </row>
    <row r="19548" spans="6:8">
      <c r="F19548" s="68" t="s">
        <v>134</v>
      </c>
      <c r="G19548" s="67" t="s">
        <v>729</v>
      </c>
      <c r="H19548" s="69">
        <v>-1.0350000000000001</v>
      </c>
    </row>
    <row r="19549" spans="6:8">
      <c r="F19549" s="68" t="s">
        <v>135</v>
      </c>
      <c r="G19549" s="67" t="s">
        <v>729</v>
      </c>
      <c r="H19549" s="69">
        <v>-0.54</v>
      </c>
    </row>
    <row r="19550" spans="6:8">
      <c r="F19550" s="68" t="s">
        <v>257</v>
      </c>
      <c r="G19550" s="67" t="s">
        <v>729</v>
      </c>
      <c r="H19550" s="69">
        <v>0.90333333333333332</v>
      </c>
    </row>
    <row r="19551" spans="6:8">
      <c r="F19551" s="68" t="s">
        <v>258</v>
      </c>
      <c r="G19551" s="67" t="s">
        <v>729</v>
      </c>
      <c r="H19551" s="69">
        <v>0.15</v>
      </c>
    </row>
    <row r="19552" spans="6:8">
      <c r="F19552" s="68" t="s">
        <v>425</v>
      </c>
      <c r="G19552" s="67" t="s">
        <v>729</v>
      </c>
      <c r="H19552" s="69">
        <v>3.0061967095346809</v>
      </c>
    </row>
    <row r="19553" spans="6:8">
      <c r="F19553" s="68" t="s">
        <v>669</v>
      </c>
      <c r="G19553" s="67" t="s">
        <v>729</v>
      </c>
      <c r="H19553" s="69">
        <v>111.80678897</v>
      </c>
    </row>
    <row r="19554" spans="6:8">
      <c r="F19554" s="68" t="s">
        <v>136</v>
      </c>
      <c r="G19554" s="67" t="s">
        <v>729</v>
      </c>
      <c r="H19554" s="69">
        <v>-0.92500000000000004</v>
      </c>
    </row>
    <row r="19555" spans="6:8">
      <c r="F19555" s="68" t="s">
        <v>137</v>
      </c>
      <c r="G19555" s="67" t="s">
        <v>729</v>
      </c>
      <c r="H19555" s="69">
        <v>-0.85000000000000009</v>
      </c>
    </row>
    <row r="19556" spans="6:8">
      <c r="F19556" s="68" t="s">
        <v>138</v>
      </c>
      <c r="G19556" s="67" t="s">
        <v>729</v>
      </c>
      <c r="H19556" s="69">
        <v>-0.70499999999999996</v>
      </c>
    </row>
    <row r="19557" spans="6:8">
      <c r="F19557" s="68" t="s">
        <v>259</v>
      </c>
      <c r="G19557" s="67" t="s">
        <v>729</v>
      </c>
      <c r="H19557" s="69">
        <v>0.15571428571428572</v>
      </c>
    </row>
    <row r="19558" spans="6:8">
      <c r="F19558" s="68" t="s">
        <v>259</v>
      </c>
      <c r="G19558" s="67" t="s">
        <v>730</v>
      </c>
      <c r="H19558" s="69">
        <v>0.15571428571428572</v>
      </c>
    </row>
    <row r="19559" spans="6:8">
      <c r="F19559" s="68" t="s">
        <v>138</v>
      </c>
      <c r="G19559" s="67" t="s">
        <v>730</v>
      </c>
      <c r="H19559" s="69">
        <v>-0.70499999999999996</v>
      </c>
    </row>
    <row r="19560" spans="6:8">
      <c r="F19560" s="68" t="s">
        <v>137</v>
      </c>
      <c r="G19560" s="67" t="s">
        <v>730</v>
      </c>
      <c r="H19560" s="69">
        <v>-0.85000000000000009</v>
      </c>
    </row>
    <row r="19561" spans="6:8">
      <c r="F19561" s="68" t="s">
        <v>136</v>
      </c>
      <c r="G19561" s="67" t="s">
        <v>730</v>
      </c>
      <c r="H19561" s="69">
        <v>-0.92500000000000004</v>
      </c>
    </row>
    <row r="19562" spans="6:8">
      <c r="F19562" s="68" t="s">
        <v>669</v>
      </c>
      <c r="G19562" s="67" t="s">
        <v>730</v>
      </c>
      <c r="H19562" s="69">
        <v>111.95695232999999</v>
      </c>
    </row>
    <row r="19563" spans="6:8">
      <c r="F19563" s="68" t="s">
        <v>425</v>
      </c>
      <c r="G19563" s="67" t="s">
        <v>730</v>
      </c>
      <c r="H19563" s="69">
        <v>2.9344195460843547</v>
      </c>
    </row>
    <row r="19564" spans="6:8">
      <c r="F19564" s="68" t="s">
        <v>258</v>
      </c>
      <c r="G19564" s="67" t="s">
        <v>730</v>
      </c>
      <c r="H19564" s="69">
        <v>0.15</v>
      </c>
    </row>
    <row r="19565" spans="6:8">
      <c r="F19565" s="68" t="s">
        <v>257</v>
      </c>
      <c r="G19565" s="67" t="s">
        <v>730</v>
      </c>
      <c r="H19565" s="69">
        <v>0.90499999999999992</v>
      </c>
    </row>
    <row r="19566" spans="6:8">
      <c r="F19566" s="68" t="s">
        <v>135</v>
      </c>
      <c r="G19566" s="67" t="s">
        <v>730</v>
      </c>
      <c r="H19566" s="69">
        <v>-0.54</v>
      </c>
    </row>
    <row r="19567" spans="6:8">
      <c r="F19567" s="68" t="s">
        <v>134</v>
      </c>
      <c r="G19567" s="67" t="s">
        <v>730</v>
      </c>
      <c r="H19567" s="69">
        <v>-1.0350000000000001</v>
      </c>
    </row>
    <row r="19568" spans="6:8">
      <c r="F19568" s="68" t="s">
        <v>668</v>
      </c>
      <c r="G19568" s="67" t="s">
        <v>730</v>
      </c>
      <c r="H19568" s="69">
        <v>111.95659860000001</v>
      </c>
    </row>
    <row r="19569" spans="6:8">
      <c r="F19569" s="68" t="s">
        <v>424</v>
      </c>
      <c r="G19569" s="67" t="s">
        <v>730</v>
      </c>
      <c r="H19569" s="69">
        <v>2.9255523264116956</v>
      </c>
    </row>
    <row r="19570" spans="6:8">
      <c r="F19570" s="68" t="s">
        <v>667</v>
      </c>
      <c r="G19570" s="67" t="s">
        <v>730</v>
      </c>
      <c r="H19570" s="69">
        <v>111.95690017</v>
      </c>
    </row>
    <row r="19571" spans="6:8">
      <c r="F19571" s="68" t="s">
        <v>569</v>
      </c>
      <c r="G19571" s="67" t="s">
        <v>730</v>
      </c>
      <c r="H19571" s="69">
        <v>-0.19500000000000001</v>
      </c>
    </row>
    <row r="19572" spans="6:8">
      <c r="F19572" s="68" t="s">
        <v>423</v>
      </c>
      <c r="G19572" s="67" t="s">
        <v>730</v>
      </c>
      <c r="H19572" s="69">
        <v>2.4100499214894544</v>
      </c>
    </row>
    <row r="19573" spans="6:8">
      <c r="F19573" s="68" t="s">
        <v>256</v>
      </c>
      <c r="G19573" s="67" t="s">
        <v>730</v>
      </c>
      <c r="H19573" s="69">
        <v>0.84</v>
      </c>
    </row>
    <row r="19574" spans="6:8">
      <c r="F19574" s="68" t="s">
        <v>133</v>
      </c>
      <c r="G19574" s="67" t="s">
        <v>730</v>
      </c>
      <c r="H19574" s="69">
        <v>-0.61</v>
      </c>
    </row>
    <row r="19575" spans="6:8">
      <c r="F19575" s="68" t="s">
        <v>132</v>
      </c>
      <c r="G19575" s="67" t="s">
        <v>730</v>
      </c>
      <c r="H19575" s="69">
        <v>-0.94</v>
      </c>
    </row>
    <row r="19576" spans="6:8">
      <c r="F19576" s="68" t="s">
        <v>666</v>
      </c>
      <c r="G19576" s="67" t="s">
        <v>730</v>
      </c>
      <c r="H19576" s="69">
        <v>111.9565709</v>
      </c>
    </row>
    <row r="19577" spans="6:8">
      <c r="F19577" s="68" t="s">
        <v>568</v>
      </c>
      <c r="G19577" s="67" t="s">
        <v>730</v>
      </c>
      <c r="H19577" s="69">
        <v>-0.54</v>
      </c>
    </row>
    <row r="19578" spans="6:8">
      <c r="F19578" s="68" t="s">
        <v>422</v>
      </c>
      <c r="G19578" s="67" t="s">
        <v>730</v>
      </c>
      <c r="H19578" s="69">
        <v>2.4104772980411138</v>
      </c>
    </row>
    <row r="19579" spans="6:8">
      <c r="F19579" s="68" t="s">
        <v>255</v>
      </c>
      <c r="G19579" s="67" t="s">
        <v>730</v>
      </c>
      <c r="H19579" s="69">
        <v>0.73714285714285721</v>
      </c>
    </row>
    <row r="19580" spans="6:8">
      <c r="F19580" s="68" t="s">
        <v>303</v>
      </c>
      <c r="G19580" s="67" t="s">
        <v>730</v>
      </c>
      <c r="H19580" s="69">
        <v>18.635416666666668</v>
      </c>
    </row>
    <row r="19581" spans="6:8">
      <c r="F19581" s="68" t="s">
        <v>131</v>
      </c>
      <c r="G19581" s="67" t="s">
        <v>730</v>
      </c>
      <c r="H19581" s="69">
        <v>-0.77500000000000002</v>
      </c>
    </row>
    <row r="19582" spans="6:8">
      <c r="F19582" s="68" t="s">
        <v>130</v>
      </c>
      <c r="G19582" s="67" t="s">
        <v>730</v>
      </c>
      <c r="H19582" s="69">
        <v>-0.8899999999999999</v>
      </c>
    </row>
    <row r="19583" spans="6:8">
      <c r="F19583" s="68" t="s">
        <v>665</v>
      </c>
      <c r="G19583" s="67" t="s">
        <v>730</v>
      </c>
      <c r="H19583" s="69">
        <v>111.9566827</v>
      </c>
    </row>
    <row r="19584" spans="6:8">
      <c r="F19584" s="68" t="s">
        <v>567</v>
      </c>
      <c r="G19584" s="67" t="s">
        <v>730</v>
      </c>
      <c r="H19584" s="69">
        <v>-0.84</v>
      </c>
    </row>
    <row r="19585" spans="6:8">
      <c r="F19585" s="68" t="s">
        <v>421</v>
      </c>
      <c r="G19585" s="67" t="s">
        <v>730</v>
      </c>
      <c r="H19585" s="69">
        <v>2.4036925534026476</v>
      </c>
    </row>
    <row r="19586" spans="6:8">
      <c r="F19586" s="68" t="s">
        <v>254</v>
      </c>
      <c r="G19586" s="67" t="s">
        <v>730</v>
      </c>
      <c r="H19586" s="69">
        <v>0.58714285714285708</v>
      </c>
    </row>
    <row r="19587" spans="6:8">
      <c r="F19587" s="68" t="s">
        <v>304</v>
      </c>
      <c r="G19587" s="67" t="s">
        <v>730</v>
      </c>
      <c r="H19587" s="69">
        <v>18.104166666666668</v>
      </c>
    </row>
    <row r="19588" spans="6:8">
      <c r="F19588" s="68" t="s">
        <v>129</v>
      </c>
      <c r="G19588" s="67" t="s">
        <v>730</v>
      </c>
      <c r="H19588" s="69">
        <v>-0.7</v>
      </c>
    </row>
    <row r="19589" spans="6:8">
      <c r="F19589" s="68" t="s">
        <v>128</v>
      </c>
      <c r="G19589" s="67" t="s">
        <v>730</v>
      </c>
      <c r="H19589" s="69">
        <v>-0.64500000000000002</v>
      </c>
    </row>
    <row r="19590" spans="6:8">
      <c r="F19590" s="68" t="s">
        <v>664</v>
      </c>
      <c r="G19590" s="67" t="s">
        <v>730</v>
      </c>
      <c r="H19590" s="69">
        <v>111.95670762</v>
      </c>
    </row>
    <row r="19591" spans="6:8">
      <c r="F19591" s="68" t="s">
        <v>315</v>
      </c>
      <c r="G19591" s="67" t="s">
        <v>730</v>
      </c>
      <c r="H19591" s="69">
        <v>-0.19</v>
      </c>
    </row>
    <row r="19592" spans="6:8">
      <c r="F19592" s="68" t="s">
        <v>253</v>
      </c>
      <c r="G19592" s="67" t="s">
        <v>730</v>
      </c>
      <c r="H19592" s="69">
        <v>0.43142857142857144</v>
      </c>
    </row>
    <row r="19593" spans="6:8">
      <c r="F19593" s="68" t="s">
        <v>127</v>
      </c>
      <c r="G19593" s="67" t="s">
        <v>730</v>
      </c>
      <c r="H19593" s="69">
        <v>-0.41000000000000003</v>
      </c>
    </row>
    <row r="19594" spans="6:8">
      <c r="F19594" s="68" t="s">
        <v>126</v>
      </c>
      <c r="G19594" s="67" t="s">
        <v>730</v>
      </c>
      <c r="H19594" s="69">
        <v>-0.78</v>
      </c>
    </row>
    <row r="19595" spans="6:8">
      <c r="F19595" s="68" t="s">
        <v>125</v>
      </c>
      <c r="G19595" s="67" t="s">
        <v>730</v>
      </c>
      <c r="H19595" s="69">
        <v>-0.42500000000000004</v>
      </c>
    </row>
    <row r="19596" spans="6:8">
      <c r="F19596" s="68" t="s">
        <v>663</v>
      </c>
      <c r="G19596" s="67" t="s">
        <v>730</v>
      </c>
      <c r="H19596" s="69">
        <v>111.95690071999999</v>
      </c>
    </row>
    <row r="19597" spans="6:8">
      <c r="F19597" s="68" t="s">
        <v>314</v>
      </c>
      <c r="G19597" s="67" t="s">
        <v>730</v>
      </c>
      <c r="H19597" s="69">
        <v>-0.42500000000000004</v>
      </c>
    </row>
    <row r="19598" spans="6:8">
      <c r="F19598" s="68" t="s">
        <v>252</v>
      </c>
      <c r="G19598" s="67" t="s">
        <v>730</v>
      </c>
      <c r="H19598" s="69">
        <v>0.27857142857142858</v>
      </c>
    </row>
    <row r="19599" spans="6:8">
      <c r="F19599" s="68" t="s">
        <v>124</v>
      </c>
      <c r="G19599" s="67" t="s">
        <v>730</v>
      </c>
      <c r="H19599" s="69">
        <v>-0.505</v>
      </c>
    </row>
    <row r="19600" spans="6:8">
      <c r="F19600" s="68" t="s">
        <v>123</v>
      </c>
      <c r="G19600" s="67" t="s">
        <v>730</v>
      </c>
      <c r="H19600" s="69">
        <v>-0.91999999999999993</v>
      </c>
    </row>
    <row r="19601" spans="6:8">
      <c r="F19601" s="68" t="s">
        <v>122</v>
      </c>
      <c r="G19601" s="67" t="s">
        <v>730</v>
      </c>
      <c r="H19601" s="69">
        <v>-0.77500000000000002</v>
      </c>
    </row>
    <row r="19602" spans="6:8">
      <c r="F19602" s="68" t="s">
        <v>251</v>
      </c>
      <c r="G19602" s="67" t="s">
        <v>730</v>
      </c>
      <c r="H19602" s="69">
        <v>0.19714285714285715</v>
      </c>
    </row>
    <row r="19603" spans="6:8">
      <c r="F19603" s="68" t="s">
        <v>121</v>
      </c>
      <c r="G19603" s="67" t="s">
        <v>730</v>
      </c>
      <c r="H19603" s="69">
        <v>-0.61499999999999999</v>
      </c>
    </row>
    <row r="19604" spans="6:8">
      <c r="F19604" s="68" t="s">
        <v>120</v>
      </c>
      <c r="G19604" s="67" t="s">
        <v>730</v>
      </c>
      <c r="H19604" s="69">
        <v>-0.89500000000000002</v>
      </c>
    </row>
    <row r="19605" spans="6:8">
      <c r="F19605" s="68" t="s">
        <v>119</v>
      </c>
      <c r="G19605" s="67" t="s">
        <v>730</v>
      </c>
      <c r="H19605" s="69">
        <v>-0.75</v>
      </c>
    </row>
    <row r="19606" spans="6:8">
      <c r="F19606" s="68" t="s">
        <v>662</v>
      </c>
      <c r="G19606" s="67" t="s">
        <v>730</v>
      </c>
      <c r="H19606" s="69">
        <v>111.95635003</v>
      </c>
    </row>
    <row r="19607" spans="6:8">
      <c r="F19607" s="68" t="s">
        <v>420</v>
      </c>
      <c r="G19607" s="67" t="s">
        <v>730</v>
      </c>
      <c r="H19607" s="69">
        <v>3.2564979130093707</v>
      </c>
    </row>
    <row r="19608" spans="6:8">
      <c r="F19608" s="68" t="s">
        <v>420</v>
      </c>
      <c r="G19608" s="67" t="s">
        <v>731</v>
      </c>
      <c r="H19608" s="69">
        <v>3.2397623305872258</v>
      </c>
    </row>
    <row r="19609" spans="6:8">
      <c r="F19609" s="68" t="s">
        <v>662</v>
      </c>
      <c r="G19609" s="67" t="s">
        <v>731</v>
      </c>
      <c r="H19609" s="69">
        <v>112.04980430000001</v>
      </c>
    </row>
    <row r="19610" spans="6:8">
      <c r="F19610" s="68" t="s">
        <v>119</v>
      </c>
      <c r="G19610" s="67" t="s">
        <v>731</v>
      </c>
      <c r="H19610" s="69">
        <v>-0.75</v>
      </c>
    </row>
    <row r="19611" spans="6:8">
      <c r="F19611" s="68" t="s">
        <v>120</v>
      </c>
      <c r="G19611" s="67" t="s">
        <v>731</v>
      </c>
      <c r="H19611" s="69">
        <v>-0.89500000000000002</v>
      </c>
    </row>
    <row r="19612" spans="6:8">
      <c r="F19612" s="68" t="s">
        <v>121</v>
      </c>
      <c r="G19612" s="67" t="s">
        <v>731</v>
      </c>
      <c r="H19612" s="69">
        <v>-0.61499999999999999</v>
      </c>
    </row>
    <row r="19613" spans="6:8">
      <c r="F19613" s="68" t="s">
        <v>251</v>
      </c>
      <c r="G19613" s="67" t="s">
        <v>731</v>
      </c>
      <c r="H19613" s="69">
        <v>0.19714285714285715</v>
      </c>
    </row>
    <row r="19614" spans="6:8">
      <c r="F19614" s="68" t="s">
        <v>122</v>
      </c>
      <c r="G19614" s="67" t="s">
        <v>731</v>
      </c>
      <c r="H19614" s="69">
        <v>-0.77500000000000002</v>
      </c>
    </row>
    <row r="19615" spans="6:8">
      <c r="F19615" s="68" t="s">
        <v>123</v>
      </c>
      <c r="G19615" s="67" t="s">
        <v>731</v>
      </c>
      <c r="H19615" s="69">
        <v>-0.91999999999999993</v>
      </c>
    </row>
    <row r="19616" spans="6:8">
      <c r="F19616" s="68" t="s">
        <v>124</v>
      </c>
      <c r="G19616" s="67" t="s">
        <v>731</v>
      </c>
      <c r="H19616" s="69">
        <v>-0.505</v>
      </c>
    </row>
    <row r="19617" spans="6:8">
      <c r="F19617" s="68" t="s">
        <v>252</v>
      </c>
      <c r="G19617" s="67" t="s">
        <v>731</v>
      </c>
      <c r="H19617" s="69">
        <v>0.27857142857142858</v>
      </c>
    </row>
    <row r="19618" spans="6:8">
      <c r="F19618" s="68" t="s">
        <v>314</v>
      </c>
      <c r="G19618" s="67" t="s">
        <v>731</v>
      </c>
      <c r="H19618" s="69">
        <v>-0.42500000000000004</v>
      </c>
    </row>
    <row r="19619" spans="6:8">
      <c r="F19619" s="68" t="s">
        <v>663</v>
      </c>
      <c r="G19619" s="67" t="s">
        <v>731</v>
      </c>
      <c r="H19619" s="69">
        <v>112.05036115999999</v>
      </c>
    </row>
    <row r="19620" spans="6:8">
      <c r="F19620" s="68" t="s">
        <v>125</v>
      </c>
      <c r="G19620" s="67" t="s">
        <v>731</v>
      </c>
      <c r="H19620" s="69">
        <v>-0.42500000000000004</v>
      </c>
    </row>
    <row r="19621" spans="6:8">
      <c r="F19621" s="68" t="s">
        <v>126</v>
      </c>
      <c r="G19621" s="67" t="s">
        <v>731</v>
      </c>
      <c r="H19621" s="69">
        <v>-0.78</v>
      </c>
    </row>
    <row r="19622" spans="6:8">
      <c r="F19622" s="68" t="s">
        <v>127</v>
      </c>
      <c r="G19622" s="67" t="s">
        <v>731</v>
      </c>
      <c r="H19622" s="69">
        <v>-0.41000000000000003</v>
      </c>
    </row>
    <row r="19623" spans="6:8">
      <c r="F19623" s="68" t="s">
        <v>253</v>
      </c>
      <c r="G19623" s="67" t="s">
        <v>731</v>
      </c>
      <c r="H19623" s="69">
        <v>0.43142857142857144</v>
      </c>
    </row>
    <row r="19624" spans="6:8">
      <c r="F19624" s="68" t="s">
        <v>315</v>
      </c>
      <c r="G19624" s="67" t="s">
        <v>731</v>
      </c>
      <c r="H19624" s="69">
        <v>-0.19</v>
      </c>
    </row>
    <row r="19625" spans="6:8">
      <c r="F19625" s="68" t="s">
        <v>664</v>
      </c>
      <c r="G19625" s="67" t="s">
        <v>731</v>
      </c>
      <c r="H19625" s="69">
        <v>112.0501659</v>
      </c>
    </row>
    <row r="19626" spans="6:8">
      <c r="F19626" s="68" t="s">
        <v>128</v>
      </c>
      <c r="G19626" s="67" t="s">
        <v>731</v>
      </c>
      <c r="H19626" s="69">
        <v>-0.64500000000000002</v>
      </c>
    </row>
    <row r="19627" spans="6:8">
      <c r="F19627" s="68" t="s">
        <v>129</v>
      </c>
      <c r="G19627" s="67" t="s">
        <v>731</v>
      </c>
      <c r="H19627" s="69">
        <v>-0.7</v>
      </c>
    </row>
    <row r="19628" spans="6:8">
      <c r="F19628" s="68" t="s">
        <v>304</v>
      </c>
      <c r="G19628" s="67" t="s">
        <v>731</v>
      </c>
      <c r="H19628" s="69">
        <v>18.020833333333332</v>
      </c>
    </row>
    <row r="19629" spans="6:8">
      <c r="F19629" s="68" t="s">
        <v>254</v>
      </c>
      <c r="G19629" s="67" t="s">
        <v>731</v>
      </c>
      <c r="H19629" s="69">
        <v>0.58714285714285708</v>
      </c>
    </row>
    <row r="19630" spans="6:8">
      <c r="F19630" s="68" t="s">
        <v>421</v>
      </c>
      <c r="G19630" s="67" t="s">
        <v>731</v>
      </c>
      <c r="H19630" s="69">
        <v>2.3697152144903644</v>
      </c>
    </row>
    <row r="19631" spans="6:8">
      <c r="F19631" s="68" t="s">
        <v>567</v>
      </c>
      <c r="G19631" s="67" t="s">
        <v>731</v>
      </c>
      <c r="H19631" s="69">
        <v>-0.84</v>
      </c>
    </row>
    <row r="19632" spans="6:8">
      <c r="F19632" s="68" t="s">
        <v>665</v>
      </c>
      <c r="G19632" s="67" t="s">
        <v>731</v>
      </c>
      <c r="H19632" s="69">
        <v>112.0501407</v>
      </c>
    </row>
    <row r="19633" spans="6:8">
      <c r="F19633" s="68" t="s">
        <v>130</v>
      </c>
      <c r="G19633" s="67" t="s">
        <v>731</v>
      </c>
      <c r="H19633" s="69">
        <v>-0.8899999999999999</v>
      </c>
    </row>
    <row r="19634" spans="6:8">
      <c r="F19634" s="68" t="s">
        <v>131</v>
      </c>
      <c r="G19634" s="67" t="s">
        <v>731</v>
      </c>
      <c r="H19634" s="69">
        <v>-0.77500000000000002</v>
      </c>
    </row>
    <row r="19635" spans="6:8">
      <c r="F19635" s="68" t="s">
        <v>303</v>
      </c>
      <c r="G19635" s="67" t="s">
        <v>731</v>
      </c>
      <c r="H19635" s="69">
        <v>18.5625</v>
      </c>
    </row>
    <row r="19636" spans="6:8">
      <c r="F19636" s="68" t="s">
        <v>255</v>
      </c>
      <c r="G19636" s="67" t="s">
        <v>731</v>
      </c>
      <c r="H19636" s="69">
        <v>0.73714285714285721</v>
      </c>
    </row>
    <row r="19637" spans="6:8">
      <c r="F19637" s="68" t="s">
        <v>422</v>
      </c>
      <c r="G19637" s="67" t="s">
        <v>731</v>
      </c>
      <c r="H19637" s="69">
        <v>2.3766218112927451</v>
      </c>
    </row>
    <row r="19638" spans="6:8">
      <c r="F19638" s="68" t="s">
        <v>568</v>
      </c>
      <c r="G19638" s="67" t="s">
        <v>731</v>
      </c>
      <c r="H19638" s="69">
        <v>-0.54</v>
      </c>
    </row>
    <row r="19639" spans="6:8">
      <c r="F19639" s="68" t="s">
        <v>666</v>
      </c>
      <c r="G19639" s="67" t="s">
        <v>731</v>
      </c>
      <c r="H19639" s="69">
        <v>112.05002764</v>
      </c>
    </row>
    <row r="19640" spans="6:8">
      <c r="F19640" s="68" t="s">
        <v>132</v>
      </c>
      <c r="G19640" s="67" t="s">
        <v>731</v>
      </c>
      <c r="H19640" s="69">
        <v>-0.94</v>
      </c>
    </row>
    <row r="19641" spans="6:8">
      <c r="F19641" s="68" t="s">
        <v>133</v>
      </c>
      <c r="G19641" s="67" t="s">
        <v>731</v>
      </c>
      <c r="H19641" s="69">
        <v>-0.61</v>
      </c>
    </row>
    <row r="19642" spans="6:8">
      <c r="F19642" s="68" t="s">
        <v>256</v>
      </c>
      <c r="G19642" s="67" t="s">
        <v>731</v>
      </c>
      <c r="H19642" s="69">
        <v>0.84</v>
      </c>
    </row>
    <row r="19643" spans="6:8">
      <c r="F19643" s="68" t="s">
        <v>423</v>
      </c>
      <c r="G19643" s="67" t="s">
        <v>731</v>
      </c>
      <c r="H19643" s="69">
        <v>2.3876711970080677</v>
      </c>
    </row>
    <row r="19644" spans="6:8">
      <c r="F19644" s="68" t="s">
        <v>569</v>
      </c>
      <c r="G19644" s="67" t="s">
        <v>731</v>
      </c>
      <c r="H19644" s="69">
        <v>-0.19500000000000001</v>
      </c>
    </row>
    <row r="19645" spans="6:8">
      <c r="F19645" s="68" t="s">
        <v>667</v>
      </c>
      <c r="G19645" s="67" t="s">
        <v>731</v>
      </c>
      <c r="H19645" s="69">
        <v>112.0503606</v>
      </c>
    </row>
    <row r="19646" spans="6:8">
      <c r="F19646" s="68" t="s">
        <v>424</v>
      </c>
      <c r="G19646" s="67" t="s">
        <v>731</v>
      </c>
      <c r="H19646" s="69">
        <v>2.908366091806025</v>
      </c>
    </row>
    <row r="19647" spans="6:8">
      <c r="F19647" s="68" t="s">
        <v>668</v>
      </c>
      <c r="G19647" s="67" t="s">
        <v>731</v>
      </c>
      <c r="H19647" s="69">
        <v>112.05005565</v>
      </c>
    </row>
    <row r="19648" spans="6:8">
      <c r="F19648" s="68" t="s">
        <v>134</v>
      </c>
      <c r="G19648" s="67" t="s">
        <v>731</v>
      </c>
      <c r="H19648" s="69">
        <v>-1.0350000000000001</v>
      </c>
    </row>
    <row r="19649" spans="6:8">
      <c r="F19649" s="68" t="s">
        <v>135</v>
      </c>
      <c r="G19649" s="67" t="s">
        <v>731</v>
      </c>
      <c r="H19649" s="69">
        <v>-0.54</v>
      </c>
    </row>
    <row r="19650" spans="6:8">
      <c r="F19650" s="68" t="s">
        <v>257</v>
      </c>
      <c r="G19650" s="67" t="s">
        <v>731</v>
      </c>
      <c r="H19650" s="69">
        <v>0.90499999999999992</v>
      </c>
    </row>
    <row r="19651" spans="6:8">
      <c r="F19651" s="68" t="s">
        <v>258</v>
      </c>
      <c r="G19651" s="67" t="s">
        <v>731</v>
      </c>
      <c r="H19651" s="69">
        <v>0.15</v>
      </c>
    </row>
    <row r="19652" spans="6:8">
      <c r="F19652" s="68" t="s">
        <v>425</v>
      </c>
      <c r="G19652" s="67" t="s">
        <v>731</v>
      </c>
      <c r="H19652" s="69">
        <v>2.9118767816562752</v>
      </c>
    </row>
    <row r="19653" spans="6:8">
      <c r="F19653" s="68" t="s">
        <v>669</v>
      </c>
      <c r="G19653" s="67" t="s">
        <v>731</v>
      </c>
      <c r="H19653" s="69">
        <v>112.05041335</v>
      </c>
    </row>
    <row r="19654" spans="6:8">
      <c r="F19654" s="68" t="s">
        <v>136</v>
      </c>
      <c r="G19654" s="67" t="s">
        <v>731</v>
      </c>
      <c r="H19654" s="69">
        <v>-0.92500000000000004</v>
      </c>
    </row>
    <row r="19655" spans="6:8">
      <c r="F19655" s="68" t="s">
        <v>137</v>
      </c>
      <c r="G19655" s="67" t="s">
        <v>731</v>
      </c>
      <c r="H19655" s="69">
        <v>-0.85000000000000009</v>
      </c>
    </row>
    <row r="19656" spans="6:8">
      <c r="F19656" s="68" t="s">
        <v>138</v>
      </c>
      <c r="G19656" s="67" t="s">
        <v>731</v>
      </c>
      <c r="H19656" s="69">
        <v>-0.70499999999999996</v>
      </c>
    </row>
    <row r="19657" spans="6:8">
      <c r="F19657" s="68" t="s">
        <v>259</v>
      </c>
      <c r="G19657" s="67" t="s">
        <v>731</v>
      </c>
      <c r="H19657" s="69">
        <v>0.15571428571428572</v>
      </c>
    </row>
    <row r="19658" spans="6:8">
      <c r="F19658" s="68" t="s">
        <v>259</v>
      </c>
      <c r="G19658" s="67" t="s">
        <v>732</v>
      </c>
      <c r="H19658" s="69">
        <v>0.15571428571428572</v>
      </c>
    </row>
    <row r="19659" spans="6:8">
      <c r="F19659" s="68" t="s">
        <v>138</v>
      </c>
      <c r="G19659" s="67" t="s">
        <v>732</v>
      </c>
      <c r="H19659" s="69">
        <v>-0.70499999999999996</v>
      </c>
    </row>
    <row r="19660" spans="6:8">
      <c r="F19660" s="68" t="s">
        <v>137</v>
      </c>
      <c r="G19660" s="67" t="s">
        <v>732</v>
      </c>
      <c r="H19660" s="69">
        <v>-0.85000000000000009</v>
      </c>
    </row>
    <row r="19661" spans="6:8">
      <c r="F19661" s="68" t="s">
        <v>136</v>
      </c>
      <c r="G19661" s="67" t="s">
        <v>732</v>
      </c>
      <c r="H19661" s="69">
        <v>-0.92500000000000004</v>
      </c>
    </row>
    <row r="19662" spans="6:8">
      <c r="F19662" s="68" t="s">
        <v>669</v>
      </c>
      <c r="G19662" s="67" t="s">
        <v>732</v>
      </c>
      <c r="H19662" s="69">
        <v>112.17729937999999</v>
      </c>
    </row>
    <row r="19663" spans="6:8">
      <c r="F19663" s="68" t="s">
        <v>425</v>
      </c>
      <c r="G19663" s="67" t="s">
        <v>732</v>
      </c>
      <c r="H19663" s="69">
        <v>2.8794392582453199</v>
      </c>
    </row>
    <row r="19664" spans="6:8">
      <c r="F19664" s="68" t="s">
        <v>258</v>
      </c>
      <c r="G19664" s="67" t="s">
        <v>732</v>
      </c>
      <c r="H19664" s="69">
        <v>0.15</v>
      </c>
    </row>
    <row r="19665" spans="6:8">
      <c r="F19665" s="68" t="s">
        <v>257</v>
      </c>
      <c r="G19665" s="67" t="s">
        <v>732</v>
      </c>
      <c r="H19665" s="69">
        <v>0.90499999999999992</v>
      </c>
    </row>
    <row r="19666" spans="6:8">
      <c r="F19666" s="68" t="s">
        <v>135</v>
      </c>
      <c r="G19666" s="67" t="s">
        <v>732</v>
      </c>
      <c r="H19666" s="69">
        <v>-0.54</v>
      </c>
    </row>
    <row r="19667" spans="6:8">
      <c r="F19667" s="68" t="s">
        <v>134</v>
      </c>
      <c r="G19667" s="67" t="s">
        <v>732</v>
      </c>
      <c r="H19667" s="69">
        <v>-1.0350000000000001</v>
      </c>
    </row>
    <row r="19668" spans="6:8">
      <c r="F19668" s="68" t="s">
        <v>668</v>
      </c>
      <c r="G19668" s="67" t="s">
        <v>732</v>
      </c>
      <c r="H19668" s="69">
        <v>112.17693749999999</v>
      </c>
    </row>
    <row r="19669" spans="6:8">
      <c r="F19669" s="68" t="s">
        <v>424</v>
      </c>
      <c r="G19669" s="67" t="s">
        <v>732</v>
      </c>
      <c r="H19669" s="69">
        <v>2.8781455841130121</v>
      </c>
    </row>
    <row r="19670" spans="6:8">
      <c r="F19670" s="68" t="s">
        <v>667</v>
      </c>
      <c r="G19670" s="67" t="s">
        <v>732</v>
      </c>
      <c r="H19670" s="69">
        <v>112.17724602</v>
      </c>
    </row>
    <row r="19671" spans="6:8">
      <c r="F19671" s="68" t="s">
        <v>569</v>
      </c>
      <c r="G19671" s="67" t="s">
        <v>732</v>
      </c>
      <c r="H19671" s="69">
        <v>-0.19500000000000001</v>
      </c>
    </row>
    <row r="19672" spans="6:8">
      <c r="F19672" s="68" t="s">
        <v>423</v>
      </c>
      <c r="G19672" s="67" t="s">
        <v>732</v>
      </c>
      <c r="H19672" s="69">
        <v>2.3668265013775169</v>
      </c>
    </row>
    <row r="19673" spans="6:8">
      <c r="F19673" s="68" t="s">
        <v>256</v>
      </c>
      <c r="G19673" s="67" t="s">
        <v>732</v>
      </c>
      <c r="H19673" s="69">
        <v>0.84</v>
      </c>
    </row>
    <row r="19674" spans="6:8">
      <c r="F19674" s="68" t="s">
        <v>133</v>
      </c>
      <c r="G19674" s="67" t="s">
        <v>732</v>
      </c>
      <c r="H19674" s="69">
        <v>-0.61</v>
      </c>
    </row>
    <row r="19675" spans="6:8">
      <c r="F19675" s="68" t="s">
        <v>132</v>
      </c>
      <c r="G19675" s="67" t="s">
        <v>732</v>
      </c>
      <c r="H19675" s="69">
        <v>-0.94</v>
      </c>
    </row>
    <row r="19676" spans="6:8">
      <c r="F19676" s="68" t="s">
        <v>666</v>
      </c>
      <c r="G19676" s="67" t="s">
        <v>732</v>
      </c>
      <c r="H19676" s="69">
        <v>112.17690917</v>
      </c>
    </row>
    <row r="19677" spans="6:8">
      <c r="F19677" s="68" t="s">
        <v>568</v>
      </c>
      <c r="G19677" s="67" t="s">
        <v>732</v>
      </c>
      <c r="H19677" s="69">
        <v>-0.54</v>
      </c>
    </row>
    <row r="19678" spans="6:8">
      <c r="F19678" s="68" t="s">
        <v>422</v>
      </c>
      <c r="G19678" s="67" t="s">
        <v>732</v>
      </c>
      <c r="H19678" s="69">
        <v>2.352224260523883</v>
      </c>
    </row>
    <row r="19679" spans="6:8">
      <c r="F19679" s="68" t="s">
        <v>255</v>
      </c>
      <c r="G19679" s="67" t="s">
        <v>732</v>
      </c>
      <c r="H19679" s="69">
        <v>0.73714285714285721</v>
      </c>
    </row>
    <row r="19680" spans="6:8">
      <c r="F19680" s="68" t="s">
        <v>303</v>
      </c>
      <c r="G19680" s="67" t="s">
        <v>732</v>
      </c>
      <c r="H19680" s="69">
        <v>18.510416666666668</v>
      </c>
    </row>
    <row r="19681" spans="6:8">
      <c r="F19681" s="68" t="s">
        <v>131</v>
      </c>
      <c r="G19681" s="67" t="s">
        <v>732</v>
      </c>
      <c r="H19681" s="69">
        <v>-0.77500000000000002</v>
      </c>
    </row>
    <row r="19682" spans="6:8">
      <c r="F19682" s="68" t="s">
        <v>130</v>
      </c>
      <c r="G19682" s="67" t="s">
        <v>732</v>
      </c>
      <c r="H19682" s="69">
        <v>-0.8899999999999999</v>
      </c>
    </row>
    <row r="19683" spans="6:8">
      <c r="F19683" s="68" t="s">
        <v>665</v>
      </c>
      <c r="G19683" s="67" t="s">
        <v>732</v>
      </c>
      <c r="H19683" s="69">
        <v>112.17702355</v>
      </c>
    </row>
    <row r="19684" spans="6:8">
      <c r="F19684" s="68" t="s">
        <v>567</v>
      </c>
      <c r="G19684" s="67" t="s">
        <v>732</v>
      </c>
      <c r="H19684" s="69">
        <v>-0.84</v>
      </c>
    </row>
    <row r="19685" spans="6:8">
      <c r="F19685" s="68" t="s">
        <v>421</v>
      </c>
      <c r="G19685" s="67" t="s">
        <v>732</v>
      </c>
      <c r="H19685" s="69">
        <v>2.3453441371822148</v>
      </c>
    </row>
    <row r="19686" spans="6:8">
      <c r="F19686" s="68" t="s">
        <v>254</v>
      </c>
      <c r="G19686" s="67" t="s">
        <v>732</v>
      </c>
      <c r="H19686" s="69">
        <v>0.58714285714285708</v>
      </c>
    </row>
    <row r="19687" spans="6:8">
      <c r="F19687" s="68" t="s">
        <v>304</v>
      </c>
      <c r="G19687" s="67" t="s">
        <v>732</v>
      </c>
      <c r="H19687" s="69">
        <v>17.989583333333332</v>
      </c>
    </row>
    <row r="19688" spans="6:8">
      <c r="F19688" s="68" t="s">
        <v>129</v>
      </c>
      <c r="G19688" s="67" t="s">
        <v>732</v>
      </c>
      <c r="H19688" s="69">
        <v>-0.7</v>
      </c>
    </row>
    <row r="19689" spans="6:8">
      <c r="F19689" s="68" t="s">
        <v>128</v>
      </c>
      <c r="G19689" s="67" t="s">
        <v>732</v>
      </c>
      <c r="H19689" s="69">
        <v>-0.64500000000000002</v>
      </c>
    </row>
    <row r="19690" spans="6:8">
      <c r="F19690" s="68" t="s">
        <v>664</v>
      </c>
      <c r="G19690" s="67" t="s">
        <v>732</v>
      </c>
      <c r="H19690" s="69">
        <v>112.17704904</v>
      </c>
    </row>
    <row r="19691" spans="6:8">
      <c r="F19691" s="68" t="s">
        <v>315</v>
      </c>
      <c r="G19691" s="67" t="s">
        <v>732</v>
      </c>
      <c r="H19691" s="69">
        <v>-0.19</v>
      </c>
    </row>
    <row r="19692" spans="6:8">
      <c r="F19692" s="68" t="s">
        <v>253</v>
      </c>
      <c r="G19692" s="67" t="s">
        <v>732</v>
      </c>
      <c r="H19692" s="69">
        <v>0.43142857142857144</v>
      </c>
    </row>
    <row r="19693" spans="6:8">
      <c r="F19693" s="68" t="s">
        <v>127</v>
      </c>
      <c r="G19693" s="67" t="s">
        <v>732</v>
      </c>
      <c r="H19693" s="69">
        <v>-0.41000000000000003</v>
      </c>
    </row>
    <row r="19694" spans="6:8">
      <c r="F19694" s="68" t="s">
        <v>126</v>
      </c>
      <c r="G19694" s="67" t="s">
        <v>732</v>
      </c>
      <c r="H19694" s="69">
        <v>-0.78</v>
      </c>
    </row>
    <row r="19695" spans="6:8">
      <c r="F19695" s="68" t="s">
        <v>125</v>
      </c>
      <c r="G19695" s="67" t="s">
        <v>732</v>
      </c>
      <c r="H19695" s="69">
        <v>-0.42500000000000004</v>
      </c>
    </row>
    <row r="19696" spans="6:8">
      <c r="F19696" s="68" t="s">
        <v>663</v>
      </c>
      <c r="G19696" s="67" t="s">
        <v>732</v>
      </c>
      <c r="H19696" s="69">
        <v>112.17724658</v>
      </c>
    </row>
    <row r="19697" spans="6:8">
      <c r="F19697" s="68" t="s">
        <v>314</v>
      </c>
      <c r="G19697" s="67" t="s">
        <v>732</v>
      </c>
      <c r="H19697" s="69">
        <v>-0.42500000000000004</v>
      </c>
    </row>
    <row r="19698" spans="6:8">
      <c r="F19698" s="68" t="s">
        <v>252</v>
      </c>
      <c r="G19698" s="67" t="s">
        <v>732</v>
      </c>
      <c r="H19698" s="69">
        <v>0.27857142857142858</v>
      </c>
    </row>
    <row r="19699" spans="6:8">
      <c r="F19699" s="68" t="s">
        <v>124</v>
      </c>
      <c r="G19699" s="67" t="s">
        <v>732</v>
      </c>
      <c r="H19699" s="69">
        <v>-0.505</v>
      </c>
    </row>
    <row r="19700" spans="6:8">
      <c r="F19700" s="68" t="s">
        <v>123</v>
      </c>
      <c r="G19700" s="67" t="s">
        <v>732</v>
      </c>
      <c r="H19700" s="69">
        <v>-0.91999999999999993</v>
      </c>
    </row>
    <row r="19701" spans="6:8">
      <c r="F19701" s="68" t="s">
        <v>122</v>
      </c>
      <c r="G19701" s="67" t="s">
        <v>732</v>
      </c>
      <c r="H19701" s="69">
        <v>-0.77500000000000002</v>
      </c>
    </row>
    <row r="19702" spans="6:8">
      <c r="F19702" s="68" t="s">
        <v>251</v>
      </c>
      <c r="G19702" s="67" t="s">
        <v>732</v>
      </c>
      <c r="H19702" s="69">
        <v>0.19714285714285715</v>
      </c>
    </row>
    <row r="19703" spans="6:8">
      <c r="F19703" s="68" t="s">
        <v>121</v>
      </c>
      <c r="G19703" s="67" t="s">
        <v>732</v>
      </c>
      <c r="H19703" s="69">
        <v>-0.61499999999999999</v>
      </c>
    </row>
    <row r="19704" spans="6:8">
      <c r="F19704" s="68" t="s">
        <v>120</v>
      </c>
      <c r="G19704" s="67" t="s">
        <v>732</v>
      </c>
      <c r="H19704" s="69">
        <v>-0.89500000000000002</v>
      </c>
    </row>
    <row r="19705" spans="6:8">
      <c r="F19705" s="68" t="s">
        <v>119</v>
      </c>
      <c r="G19705" s="67" t="s">
        <v>732</v>
      </c>
      <c r="H19705" s="69">
        <v>-0.75</v>
      </c>
    </row>
    <row r="19706" spans="6:8">
      <c r="F19706" s="68" t="s">
        <v>662</v>
      </c>
      <c r="G19706" s="67" t="s">
        <v>732</v>
      </c>
      <c r="H19706" s="69">
        <v>112.17668322</v>
      </c>
    </row>
    <row r="19707" spans="6:8">
      <c r="F19707" s="68" t="s">
        <v>420</v>
      </c>
      <c r="G19707" s="67" t="s">
        <v>732</v>
      </c>
      <c r="H19707" s="69">
        <v>3.2147148443632201</v>
      </c>
    </row>
    <row r="19708" spans="6:8">
      <c r="F19708" s="68" t="s">
        <v>420</v>
      </c>
      <c r="G19708" s="67" t="s">
        <v>733</v>
      </c>
      <c r="H19708" s="69">
        <v>3.24020380359058</v>
      </c>
    </row>
    <row r="19709" spans="6:8">
      <c r="F19709" s="68" t="s">
        <v>662</v>
      </c>
      <c r="G19709" s="67" t="s">
        <v>733</v>
      </c>
      <c r="H19709" s="69">
        <v>112.07071642</v>
      </c>
    </row>
    <row r="19710" spans="6:8">
      <c r="F19710" s="68" t="s">
        <v>119</v>
      </c>
      <c r="G19710" s="67" t="s">
        <v>733</v>
      </c>
      <c r="H19710" s="69">
        <v>-0.75</v>
      </c>
    </row>
    <row r="19711" spans="6:8">
      <c r="F19711" s="68" t="s">
        <v>120</v>
      </c>
      <c r="G19711" s="67" t="s">
        <v>733</v>
      </c>
      <c r="H19711" s="69">
        <v>-0.89500000000000002</v>
      </c>
    </row>
    <row r="19712" spans="6:8">
      <c r="F19712" s="68" t="s">
        <v>121</v>
      </c>
      <c r="G19712" s="67" t="s">
        <v>733</v>
      </c>
      <c r="H19712" s="69">
        <v>-0.61499999999999999</v>
      </c>
    </row>
    <row r="19713" spans="6:8">
      <c r="F19713" s="68" t="s">
        <v>251</v>
      </c>
      <c r="G19713" s="67" t="s">
        <v>733</v>
      </c>
      <c r="H19713" s="69">
        <v>0.19714285714285715</v>
      </c>
    </row>
    <row r="19714" spans="6:8">
      <c r="F19714" s="68" t="s">
        <v>122</v>
      </c>
      <c r="G19714" s="67" t="s">
        <v>733</v>
      </c>
      <c r="H19714" s="69">
        <v>-0.77500000000000002</v>
      </c>
    </row>
    <row r="19715" spans="6:8">
      <c r="F19715" s="68" t="s">
        <v>123</v>
      </c>
      <c r="G19715" s="67" t="s">
        <v>733</v>
      </c>
      <c r="H19715" s="69">
        <v>-0.91999999999999993</v>
      </c>
    </row>
    <row r="19716" spans="6:8">
      <c r="F19716" s="68" t="s">
        <v>124</v>
      </c>
      <c r="G19716" s="67" t="s">
        <v>733</v>
      </c>
      <c r="H19716" s="69">
        <v>-0.505</v>
      </c>
    </row>
    <row r="19717" spans="6:8">
      <c r="F19717" s="68" t="s">
        <v>252</v>
      </c>
      <c r="G19717" s="67" t="s">
        <v>733</v>
      </c>
      <c r="H19717" s="69">
        <v>0.27857142857142858</v>
      </c>
    </row>
    <row r="19718" spans="6:8">
      <c r="F19718" s="68" t="s">
        <v>314</v>
      </c>
      <c r="G19718" s="67" t="s">
        <v>733</v>
      </c>
      <c r="H19718" s="69">
        <v>-0.42500000000000004</v>
      </c>
    </row>
    <row r="19719" spans="6:8">
      <c r="F19719" s="68" t="s">
        <v>663</v>
      </c>
      <c r="G19719" s="67" t="s">
        <v>733</v>
      </c>
      <c r="H19719" s="69">
        <v>112.07127545</v>
      </c>
    </row>
    <row r="19720" spans="6:8">
      <c r="F19720" s="68" t="s">
        <v>125</v>
      </c>
      <c r="G19720" s="67" t="s">
        <v>733</v>
      </c>
      <c r="H19720" s="69">
        <v>-0.42500000000000004</v>
      </c>
    </row>
    <row r="19721" spans="6:8">
      <c r="F19721" s="68" t="s">
        <v>126</v>
      </c>
      <c r="G19721" s="67" t="s">
        <v>733</v>
      </c>
      <c r="H19721" s="69">
        <v>-0.78</v>
      </c>
    </row>
    <row r="19722" spans="6:8">
      <c r="F19722" s="68" t="s">
        <v>127</v>
      </c>
      <c r="G19722" s="67" t="s">
        <v>733</v>
      </c>
      <c r="H19722" s="69">
        <v>-0.41000000000000003</v>
      </c>
    </row>
    <row r="19723" spans="6:8">
      <c r="F19723" s="68" t="s">
        <v>253</v>
      </c>
      <c r="G19723" s="67" t="s">
        <v>733</v>
      </c>
      <c r="H19723" s="69">
        <v>0.43142857142857144</v>
      </c>
    </row>
    <row r="19724" spans="6:8">
      <c r="F19724" s="68" t="s">
        <v>315</v>
      </c>
      <c r="G19724" s="67" t="s">
        <v>733</v>
      </c>
      <c r="H19724" s="69">
        <v>-0.19</v>
      </c>
    </row>
    <row r="19725" spans="6:8">
      <c r="F19725" s="68" t="s">
        <v>664</v>
      </c>
      <c r="G19725" s="67" t="s">
        <v>733</v>
      </c>
      <c r="H19725" s="69">
        <v>112.07107943</v>
      </c>
    </row>
    <row r="19726" spans="6:8">
      <c r="F19726" s="68" t="s">
        <v>128</v>
      </c>
      <c r="G19726" s="67" t="s">
        <v>733</v>
      </c>
      <c r="H19726" s="69">
        <v>-0.64500000000000002</v>
      </c>
    </row>
    <row r="19727" spans="6:8">
      <c r="F19727" s="68" t="s">
        <v>129</v>
      </c>
      <c r="G19727" s="67" t="s">
        <v>733</v>
      </c>
      <c r="H19727" s="69">
        <v>-0.7</v>
      </c>
    </row>
    <row r="19728" spans="6:8">
      <c r="F19728" s="68" t="s">
        <v>304</v>
      </c>
      <c r="G19728" s="67" t="s">
        <v>733</v>
      </c>
      <c r="H19728" s="69">
        <v>18.104166666666668</v>
      </c>
    </row>
    <row r="19729" spans="6:8">
      <c r="F19729" s="68" t="s">
        <v>254</v>
      </c>
      <c r="G19729" s="67" t="s">
        <v>733</v>
      </c>
      <c r="H19729" s="69">
        <v>0.58714285714285708</v>
      </c>
    </row>
    <row r="19730" spans="6:8">
      <c r="F19730" s="68" t="s">
        <v>421</v>
      </c>
      <c r="G19730" s="67" t="s">
        <v>733</v>
      </c>
      <c r="H19730" s="69">
        <v>2.3774834330576589</v>
      </c>
    </row>
    <row r="19731" spans="6:8">
      <c r="F19731" s="68" t="s">
        <v>567</v>
      </c>
      <c r="G19731" s="67" t="s">
        <v>733</v>
      </c>
      <c r="H19731" s="69">
        <v>-0.84</v>
      </c>
    </row>
    <row r="19732" spans="6:8">
      <c r="F19732" s="68" t="s">
        <v>665</v>
      </c>
      <c r="G19732" s="67" t="s">
        <v>733</v>
      </c>
      <c r="H19732" s="69">
        <v>112.07105412999999</v>
      </c>
    </row>
    <row r="19733" spans="6:8">
      <c r="F19733" s="68" t="s">
        <v>130</v>
      </c>
      <c r="G19733" s="67" t="s">
        <v>733</v>
      </c>
      <c r="H19733" s="69">
        <v>-0.8899999999999999</v>
      </c>
    </row>
    <row r="19734" spans="6:8">
      <c r="F19734" s="68" t="s">
        <v>131</v>
      </c>
      <c r="G19734" s="67" t="s">
        <v>733</v>
      </c>
      <c r="H19734" s="69">
        <v>-0.77500000000000002</v>
      </c>
    </row>
    <row r="19735" spans="6:8">
      <c r="F19735" s="68" t="s">
        <v>303</v>
      </c>
      <c r="G19735" s="67" t="s">
        <v>733</v>
      </c>
      <c r="H19735" s="69">
        <v>18.510416666666668</v>
      </c>
    </row>
    <row r="19736" spans="6:8">
      <c r="F19736" s="68" t="s">
        <v>255</v>
      </c>
      <c r="G19736" s="67" t="s">
        <v>733</v>
      </c>
      <c r="H19736" s="69">
        <v>0.73714285714285721</v>
      </c>
    </row>
    <row r="19737" spans="6:8">
      <c r="F19737" s="68" t="s">
        <v>422</v>
      </c>
      <c r="G19737" s="67" t="s">
        <v>733</v>
      </c>
      <c r="H19737" s="69">
        <v>2.3843235100094784</v>
      </c>
    </row>
    <row r="19738" spans="6:8">
      <c r="F19738" s="68" t="s">
        <v>568</v>
      </c>
      <c r="G19738" s="67" t="s">
        <v>733</v>
      </c>
      <c r="H19738" s="69">
        <v>-0.54</v>
      </c>
    </row>
    <row r="19739" spans="6:8">
      <c r="F19739" s="68" t="s">
        <v>666</v>
      </c>
      <c r="G19739" s="67" t="s">
        <v>733</v>
      </c>
      <c r="H19739" s="69">
        <v>112.07094063</v>
      </c>
    </row>
    <row r="19740" spans="6:8">
      <c r="F19740" s="68" t="s">
        <v>132</v>
      </c>
      <c r="G19740" s="67" t="s">
        <v>733</v>
      </c>
      <c r="H19740" s="69">
        <v>-0.94</v>
      </c>
    </row>
    <row r="19741" spans="6:8">
      <c r="F19741" s="68" t="s">
        <v>133</v>
      </c>
      <c r="G19741" s="67" t="s">
        <v>733</v>
      </c>
      <c r="H19741" s="69">
        <v>-0.61</v>
      </c>
    </row>
    <row r="19742" spans="6:8">
      <c r="F19742" s="68" t="s">
        <v>256</v>
      </c>
      <c r="G19742" s="67" t="s">
        <v>733</v>
      </c>
      <c r="H19742" s="69">
        <v>0.84</v>
      </c>
    </row>
    <row r="19743" spans="6:8">
      <c r="F19743" s="68" t="s">
        <v>423</v>
      </c>
      <c r="G19743" s="67" t="s">
        <v>733</v>
      </c>
      <c r="H19743" s="69">
        <v>2.3901153296634448</v>
      </c>
    </row>
    <row r="19744" spans="6:8">
      <c r="F19744" s="68" t="s">
        <v>569</v>
      </c>
      <c r="G19744" s="67" t="s">
        <v>733</v>
      </c>
      <c r="H19744" s="69">
        <v>-0.19500000000000001</v>
      </c>
    </row>
    <row r="19745" spans="6:8">
      <c r="F19745" s="68" t="s">
        <v>667</v>
      </c>
      <c r="G19745" s="67" t="s">
        <v>733</v>
      </c>
      <c r="H19745" s="69">
        <v>112.07127489</v>
      </c>
    </row>
    <row r="19746" spans="6:8">
      <c r="F19746" s="68" t="s">
        <v>424</v>
      </c>
      <c r="G19746" s="67" t="s">
        <v>733</v>
      </c>
      <c r="H19746" s="69">
        <v>2.9140577483021346</v>
      </c>
    </row>
    <row r="19747" spans="6:8">
      <c r="F19747" s="68" t="s">
        <v>668</v>
      </c>
      <c r="G19747" s="67" t="s">
        <v>733</v>
      </c>
      <c r="H19747" s="69">
        <v>112.07096875000001</v>
      </c>
    </row>
    <row r="19748" spans="6:8">
      <c r="F19748" s="68" t="s">
        <v>134</v>
      </c>
      <c r="G19748" s="67" t="s">
        <v>733</v>
      </c>
      <c r="H19748" s="69">
        <v>-1.0350000000000001</v>
      </c>
    </row>
    <row r="19749" spans="6:8">
      <c r="F19749" s="68" t="s">
        <v>135</v>
      </c>
      <c r="G19749" s="67" t="s">
        <v>733</v>
      </c>
      <c r="H19749" s="69">
        <v>-0.54</v>
      </c>
    </row>
    <row r="19750" spans="6:8">
      <c r="F19750" s="68" t="s">
        <v>257</v>
      </c>
      <c r="G19750" s="67" t="s">
        <v>733</v>
      </c>
      <c r="H19750" s="69">
        <v>0.90499999999999992</v>
      </c>
    </row>
    <row r="19751" spans="6:8">
      <c r="F19751" s="68" t="s">
        <v>258</v>
      </c>
      <c r="G19751" s="67" t="s">
        <v>733</v>
      </c>
      <c r="H19751" s="69">
        <v>0.15</v>
      </c>
    </row>
    <row r="19752" spans="6:8">
      <c r="F19752" s="68" t="s">
        <v>425</v>
      </c>
      <c r="G19752" s="67" t="s">
        <v>733</v>
      </c>
      <c r="H19752" s="69">
        <v>2.914542923828467</v>
      </c>
    </row>
    <row r="19753" spans="6:8">
      <c r="F19753" s="68" t="s">
        <v>669</v>
      </c>
      <c r="G19753" s="67" t="s">
        <v>733</v>
      </c>
      <c r="H19753" s="69">
        <v>112.07132785</v>
      </c>
    </row>
    <row r="19754" spans="6:8">
      <c r="F19754" s="68" t="s">
        <v>136</v>
      </c>
      <c r="G19754" s="67" t="s">
        <v>733</v>
      </c>
      <c r="H19754" s="69">
        <v>-0.92500000000000004</v>
      </c>
    </row>
    <row r="19755" spans="6:8">
      <c r="F19755" s="68" t="s">
        <v>137</v>
      </c>
      <c r="G19755" s="67" t="s">
        <v>733</v>
      </c>
      <c r="H19755" s="69">
        <v>-0.85000000000000009</v>
      </c>
    </row>
    <row r="19756" spans="6:8">
      <c r="F19756" s="68" t="s">
        <v>138</v>
      </c>
      <c r="G19756" s="67" t="s">
        <v>733</v>
      </c>
      <c r="H19756" s="69">
        <v>-0.70499999999999996</v>
      </c>
    </row>
    <row r="19757" spans="6:8">
      <c r="F19757" s="68" t="s">
        <v>259</v>
      </c>
      <c r="G19757" s="67" t="s">
        <v>733</v>
      </c>
      <c r="H19757" s="69">
        <v>0.15571428571428572</v>
      </c>
    </row>
    <row r="19758" spans="6:8">
      <c r="F19758" s="68" t="s">
        <v>259</v>
      </c>
      <c r="G19758" s="67" t="s">
        <v>734</v>
      </c>
      <c r="H19758" s="69">
        <v>0.15</v>
      </c>
    </row>
    <row r="19759" spans="6:8">
      <c r="F19759" s="68" t="s">
        <v>138</v>
      </c>
      <c r="G19759" s="67" t="s">
        <v>734</v>
      </c>
      <c r="H19759" s="69">
        <v>-0.70499999999999996</v>
      </c>
    </row>
    <row r="19760" spans="6:8">
      <c r="F19760" s="68" t="s">
        <v>137</v>
      </c>
      <c r="G19760" s="67" t="s">
        <v>734</v>
      </c>
      <c r="H19760" s="69">
        <v>-0.85000000000000009</v>
      </c>
    </row>
    <row r="19761" spans="6:8">
      <c r="F19761" s="68" t="s">
        <v>136</v>
      </c>
      <c r="G19761" s="67" t="s">
        <v>734</v>
      </c>
      <c r="H19761" s="69">
        <v>-0.92500000000000004</v>
      </c>
    </row>
    <row r="19762" spans="6:8">
      <c r="F19762" s="68" t="s">
        <v>669</v>
      </c>
      <c r="G19762" s="67" t="s">
        <v>734</v>
      </c>
      <c r="H19762" s="69">
        <v>112.22926529999999</v>
      </c>
    </row>
    <row r="19763" spans="6:8">
      <c r="F19763" s="68" t="s">
        <v>425</v>
      </c>
      <c r="G19763" s="67" t="s">
        <v>734</v>
      </c>
      <c r="H19763" s="69">
        <v>2.8524745872133828</v>
      </c>
    </row>
    <row r="19764" spans="6:8">
      <c r="F19764" s="68" t="s">
        <v>258</v>
      </c>
      <c r="G19764" s="67" t="s">
        <v>734</v>
      </c>
      <c r="H19764" s="69">
        <v>0.15</v>
      </c>
    </row>
    <row r="19765" spans="6:8">
      <c r="F19765" s="68" t="s">
        <v>257</v>
      </c>
      <c r="G19765" s="67" t="s">
        <v>734</v>
      </c>
      <c r="H19765" s="69">
        <v>0.9</v>
      </c>
    </row>
    <row r="19766" spans="6:8">
      <c r="F19766" s="68" t="s">
        <v>135</v>
      </c>
      <c r="G19766" s="67" t="s">
        <v>734</v>
      </c>
      <c r="H19766" s="69">
        <v>-0.54</v>
      </c>
    </row>
    <row r="19767" spans="6:8">
      <c r="F19767" s="68" t="s">
        <v>134</v>
      </c>
      <c r="G19767" s="67" t="s">
        <v>734</v>
      </c>
      <c r="H19767" s="69">
        <v>-1.0350000000000001</v>
      </c>
    </row>
    <row r="19768" spans="6:8">
      <c r="F19768" s="68" t="s">
        <v>668</v>
      </c>
      <c r="G19768" s="67" t="s">
        <v>734</v>
      </c>
      <c r="H19768" s="69">
        <v>112.2289011</v>
      </c>
    </row>
    <row r="19769" spans="6:8">
      <c r="F19769" s="68" t="s">
        <v>424</v>
      </c>
      <c r="G19769" s="67" t="s">
        <v>734</v>
      </c>
      <c r="H19769" s="69">
        <v>2.859128675731526</v>
      </c>
    </row>
    <row r="19770" spans="6:8">
      <c r="F19770" s="68" t="s">
        <v>667</v>
      </c>
      <c r="G19770" s="67" t="s">
        <v>734</v>
      </c>
      <c r="H19770" s="69">
        <v>112.2292116</v>
      </c>
    </row>
    <row r="19771" spans="6:8">
      <c r="F19771" s="68" t="s">
        <v>569</v>
      </c>
      <c r="G19771" s="67" t="s">
        <v>734</v>
      </c>
      <c r="H19771" s="69">
        <v>-0.19500000000000001</v>
      </c>
    </row>
    <row r="19772" spans="6:8">
      <c r="F19772" s="68" t="s">
        <v>423</v>
      </c>
      <c r="G19772" s="67" t="s">
        <v>734</v>
      </c>
      <c r="H19772" s="69">
        <v>2.3632130115808003</v>
      </c>
    </row>
    <row r="19773" spans="6:8">
      <c r="F19773" s="68" t="s">
        <v>256</v>
      </c>
      <c r="G19773" s="67" t="s">
        <v>734</v>
      </c>
      <c r="H19773" s="69">
        <v>0.83</v>
      </c>
    </row>
    <row r="19774" spans="6:8">
      <c r="F19774" s="68" t="s">
        <v>133</v>
      </c>
      <c r="G19774" s="67" t="s">
        <v>734</v>
      </c>
      <c r="H19774" s="69">
        <v>-0.61</v>
      </c>
    </row>
    <row r="19775" spans="6:8">
      <c r="F19775" s="68" t="s">
        <v>132</v>
      </c>
      <c r="G19775" s="67" t="s">
        <v>734</v>
      </c>
      <c r="H19775" s="69">
        <v>-0.94</v>
      </c>
    </row>
    <row r="19776" spans="6:8">
      <c r="F19776" s="68" t="s">
        <v>666</v>
      </c>
      <c r="G19776" s="67" t="s">
        <v>734</v>
      </c>
      <c r="H19776" s="69">
        <v>112.22887256999999</v>
      </c>
    </row>
    <row r="19777" spans="6:8">
      <c r="F19777" s="68" t="s">
        <v>568</v>
      </c>
      <c r="G19777" s="67" t="s">
        <v>734</v>
      </c>
      <c r="H19777" s="69">
        <v>-0.54</v>
      </c>
    </row>
    <row r="19778" spans="6:8">
      <c r="F19778" s="68" t="s">
        <v>422</v>
      </c>
      <c r="G19778" s="67" t="s">
        <v>734</v>
      </c>
      <c r="H19778" s="69">
        <v>2.1823915201027777</v>
      </c>
    </row>
    <row r="19779" spans="6:8">
      <c r="F19779" s="68" t="s">
        <v>255</v>
      </c>
      <c r="G19779" s="67" t="s">
        <v>734</v>
      </c>
      <c r="H19779" s="69">
        <v>0.73</v>
      </c>
    </row>
    <row r="19780" spans="6:8">
      <c r="F19780" s="68" t="s">
        <v>303</v>
      </c>
      <c r="G19780" s="67" t="s">
        <v>734</v>
      </c>
      <c r="H19780" s="69">
        <v>18.489583333333332</v>
      </c>
    </row>
    <row r="19781" spans="6:8">
      <c r="F19781" s="68" t="s">
        <v>131</v>
      </c>
      <c r="G19781" s="67" t="s">
        <v>734</v>
      </c>
      <c r="H19781" s="69">
        <v>-0.77500000000000002</v>
      </c>
    </row>
    <row r="19782" spans="6:8">
      <c r="F19782" s="68" t="s">
        <v>130</v>
      </c>
      <c r="G19782" s="67" t="s">
        <v>734</v>
      </c>
      <c r="H19782" s="69">
        <v>-0.8899999999999999</v>
      </c>
    </row>
    <row r="19783" spans="6:8">
      <c r="F19783" s="68" t="s">
        <v>665</v>
      </c>
      <c r="G19783" s="67" t="s">
        <v>734</v>
      </c>
      <c r="H19783" s="69">
        <v>112.22898769</v>
      </c>
    </row>
    <row r="19784" spans="6:8">
      <c r="F19784" s="68" t="s">
        <v>567</v>
      </c>
      <c r="G19784" s="67" t="s">
        <v>734</v>
      </c>
      <c r="H19784" s="69">
        <v>-0.84</v>
      </c>
    </row>
    <row r="19785" spans="6:8">
      <c r="F19785" s="68" t="s">
        <v>421</v>
      </c>
      <c r="G19785" s="67" t="s">
        <v>734</v>
      </c>
      <c r="H19785" s="69">
        <v>2.1767165354035445</v>
      </c>
    </row>
    <row r="19786" spans="6:8">
      <c r="F19786" s="68" t="s">
        <v>254</v>
      </c>
      <c r="G19786" s="67" t="s">
        <v>734</v>
      </c>
      <c r="H19786" s="69">
        <v>0.57999999999999996</v>
      </c>
    </row>
    <row r="19787" spans="6:8">
      <c r="F19787" s="68" t="s">
        <v>304</v>
      </c>
      <c r="G19787" s="67" t="s">
        <v>734</v>
      </c>
      <c r="H19787" s="69">
        <v>18.0625</v>
      </c>
    </row>
    <row r="19788" spans="6:8">
      <c r="F19788" s="68" t="s">
        <v>129</v>
      </c>
      <c r="G19788" s="67" t="s">
        <v>734</v>
      </c>
      <c r="H19788" s="69">
        <v>-0.7</v>
      </c>
    </row>
    <row r="19789" spans="6:8">
      <c r="F19789" s="68" t="s">
        <v>128</v>
      </c>
      <c r="G19789" s="67" t="s">
        <v>734</v>
      </c>
      <c r="H19789" s="69">
        <v>-0.64500000000000002</v>
      </c>
    </row>
    <row r="19790" spans="6:8">
      <c r="F19790" s="68" t="s">
        <v>664</v>
      </c>
      <c r="G19790" s="67" t="s">
        <v>734</v>
      </c>
      <c r="H19790" s="69">
        <v>112.22901335</v>
      </c>
    </row>
    <row r="19791" spans="6:8">
      <c r="F19791" s="68" t="s">
        <v>315</v>
      </c>
      <c r="G19791" s="67" t="s">
        <v>734</v>
      </c>
      <c r="H19791" s="69">
        <v>-0.19</v>
      </c>
    </row>
    <row r="19792" spans="6:8">
      <c r="F19792" s="68" t="s">
        <v>253</v>
      </c>
      <c r="G19792" s="67" t="s">
        <v>734</v>
      </c>
      <c r="H19792" s="69">
        <v>0.42</v>
      </c>
    </row>
    <row r="19793" spans="6:8">
      <c r="F19793" s="68" t="s">
        <v>127</v>
      </c>
      <c r="G19793" s="67" t="s">
        <v>734</v>
      </c>
      <c r="H19793" s="69">
        <v>-0.41000000000000003</v>
      </c>
    </row>
    <row r="19794" spans="6:8">
      <c r="F19794" s="68" t="s">
        <v>126</v>
      </c>
      <c r="G19794" s="67" t="s">
        <v>734</v>
      </c>
      <c r="H19794" s="69">
        <v>-0.78</v>
      </c>
    </row>
    <row r="19795" spans="6:8">
      <c r="F19795" s="68" t="s">
        <v>125</v>
      </c>
      <c r="G19795" s="67" t="s">
        <v>734</v>
      </c>
      <c r="H19795" s="69">
        <v>-0.42500000000000004</v>
      </c>
    </row>
    <row r="19796" spans="6:8">
      <c r="F19796" s="68" t="s">
        <v>663</v>
      </c>
      <c r="G19796" s="67" t="s">
        <v>734</v>
      </c>
      <c r="H19796" s="69">
        <v>112.22921216</v>
      </c>
    </row>
    <row r="19797" spans="6:8">
      <c r="F19797" s="68" t="s">
        <v>314</v>
      </c>
      <c r="G19797" s="67" t="s">
        <v>734</v>
      </c>
      <c r="H19797" s="69">
        <v>-0.42500000000000004</v>
      </c>
    </row>
    <row r="19798" spans="6:8">
      <c r="F19798" s="68" t="s">
        <v>252</v>
      </c>
      <c r="G19798" s="67" t="s">
        <v>734</v>
      </c>
      <c r="H19798" s="69">
        <v>0.27</v>
      </c>
    </row>
    <row r="19799" spans="6:8">
      <c r="F19799" s="68" t="s">
        <v>124</v>
      </c>
      <c r="G19799" s="67" t="s">
        <v>734</v>
      </c>
      <c r="H19799" s="69">
        <v>-0.505</v>
      </c>
    </row>
    <row r="19800" spans="6:8">
      <c r="F19800" s="68" t="s">
        <v>123</v>
      </c>
      <c r="G19800" s="67" t="s">
        <v>734</v>
      </c>
      <c r="H19800" s="69">
        <v>-0.91999999999999993</v>
      </c>
    </row>
    <row r="19801" spans="6:8">
      <c r="F19801" s="68" t="s">
        <v>122</v>
      </c>
      <c r="G19801" s="67" t="s">
        <v>734</v>
      </c>
      <c r="H19801" s="69">
        <v>-0.77500000000000002</v>
      </c>
    </row>
    <row r="19802" spans="6:8">
      <c r="F19802" s="68" t="s">
        <v>251</v>
      </c>
      <c r="G19802" s="67" t="s">
        <v>734</v>
      </c>
      <c r="H19802" s="69">
        <v>0.19</v>
      </c>
    </row>
    <row r="19803" spans="6:8">
      <c r="F19803" s="68" t="s">
        <v>121</v>
      </c>
      <c r="G19803" s="67" t="s">
        <v>734</v>
      </c>
      <c r="H19803" s="69">
        <v>-0.61499999999999999</v>
      </c>
    </row>
    <row r="19804" spans="6:8">
      <c r="F19804" s="68" t="s">
        <v>120</v>
      </c>
      <c r="G19804" s="67" t="s">
        <v>734</v>
      </c>
      <c r="H19804" s="69">
        <v>-0.89500000000000002</v>
      </c>
    </row>
    <row r="19805" spans="6:8">
      <c r="F19805" s="68" t="s">
        <v>119</v>
      </c>
      <c r="G19805" s="67" t="s">
        <v>734</v>
      </c>
      <c r="H19805" s="69">
        <v>-0.75</v>
      </c>
    </row>
    <row r="19806" spans="6:8">
      <c r="F19806" s="68" t="s">
        <v>662</v>
      </c>
      <c r="G19806" s="67" t="s">
        <v>734</v>
      </c>
      <c r="H19806" s="69">
        <v>112.22864516999999</v>
      </c>
    </row>
    <row r="19807" spans="6:8">
      <c r="F19807" s="68" t="s">
        <v>420</v>
      </c>
      <c r="G19807" s="67" t="s">
        <v>734</v>
      </c>
      <c r="H19807" s="69">
        <v>3.1966747335492318</v>
      </c>
    </row>
    <row r="19808" spans="6:8">
      <c r="F19808" s="68" t="s">
        <v>420</v>
      </c>
      <c r="G19808" s="67" t="s">
        <v>735</v>
      </c>
      <c r="H19808" s="69">
        <v>3.2151684865917574</v>
      </c>
    </row>
    <row r="19809" spans="6:8">
      <c r="F19809" s="68" t="s">
        <v>662</v>
      </c>
      <c r="G19809" s="67" t="s">
        <v>735</v>
      </c>
      <c r="H19809" s="69">
        <v>112.25462677</v>
      </c>
    </row>
    <row r="19810" spans="6:8">
      <c r="F19810" s="68" t="s">
        <v>119</v>
      </c>
      <c r="G19810" s="67" t="s">
        <v>735</v>
      </c>
      <c r="H19810" s="69">
        <v>-0.75</v>
      </c>
    </row>
    <row r="19811" spans="6:8">
      <c r="F19811" s="68" t="s">
        <v>120</v>
      </c>
      <c r="G19811" s="67" t="s">
        <v>735</v>
      </c>
      <c r="H19811" s="69">
        <v>-0.89500000000000002</v>
      </c>
    </row>
    <row r="19812" spans="6:8">
      <c r="F19812" s="68" t="s">
        <v>121</v>
      </c>
      <c r="G19812" s="67" t="s">
        <v>735</v>
      </c>
      <c r="H19812" s="69">
        <v>-0.61499999999999999</v>
      </c>
    </row>
    <row r="19813" spans="6:8">
      <c r="F19813" s="68" t="s">
        <v>251</v>
      </c>
      <c r="G19813" s="67" t="s">
        <v>735</v>
      </c>
      <c r="H19813" s="69">
        <v>0.19</v>
      </c>
    </row>
    <row r="19814" spans="6:8">
      <c r="F19814" s="68" t="s">
        <v>122</v>
      </c>
      <c r="G19814" s="67" t="s">
        <v>735</v>
      </c>
      <c r="H19814" s="69">
        <v>-0.77500000000000002</v>
      </c>
    </row>
    <row r="19815" spans="6:8">
      <c r="F19815" s="68" t="s">
        <v>123</v>
      </c>
      <c r="G19815" s="67" t="s">
        <v>735</v>
      </c>
      <c r="H19815" s="69">
        <v>-0.91999999999999993</v>
      </c>
    </row>
    <row r="19816" spans="6:8">
      <c r="F19816" s="68" t="s">
        <v>124</v>
      </c>
      <c r="G19816" s="67" t="s">
        <v>735</v>
      </c>
      <c r="H19816" s="69">
        <v>-0.505</v>
      </c>
    </row>
    <row r="19817" spans="6:8">
      <c r="F19817" s="68" t="s">
        <v>252</v>
      </c>
      <c r="G19817" s="67" t="s">
        <v>735</v>
      </c>
      <c r="H19817" s="69">
        <v>0.27</v>
      </c>
    </row>
    <row r="19818" spans="6:8">
      <c r="F19818" s="68" t="s">
        <v>314</v>
      </c>
      <c r="G19818" s="67" t="s">
        <v>735</v>
      </c>
      <c r="H19818" s="69">
        <v>-0.42500000000000004</v>
      </c>
    </row>
    <row r="19819" spans="6:8">
      <c r="F19819" s="68" t="s">
        <v>663</v>
      </c>
      <c r="G19819" s="67" t="s">
        <v>735</v>
      </c>
      <c r="H19819" s="69">
        <v>112.25519557</v>
      </c>
    </row>
    <row r="19820" spans="6:8">
      <c r="F19820" s="68" t="s">
        <v>125</v>
      </c>
      <c r="G19820" s="67" t="s">
        <v>735</v>
      </c>
      <c r="H19820" s="69">
        <v>-0.42500000000000004</v>
      </c>
    </row>
    <row r="19821" spans="6:8">
      <c r="F19821" s="68" t="s">
        <v>126</v>
      </c>
      <c r="G19821" s="67" t="s">
        <v>735</v>
      </c>
      <c r="H19821" s="69">
        <v>-0.78</v>
      </c>
    </row>
    <row r="19822" spans="6:8">
      <c r="F19822" s="68" t="s">
        <v>127</v>
      </c>
      <c r="G19822" s="67" t="s">
        <v>735</v>
      </c>
      <c r="H19822" s="69">
        <v>-0.41000000000000003</v>
      </c>
    </row>
    <row r="19823" spans="6:8">
      <c r="F19823" s="68" t="s">
        <v>253</v>
      </c>
      <c r="G19823" s="67" t="s">
        <v>735</v>
      </c>
      <c r="H19823" s="69">
        <v>0.42</v>
      </c>
    </row>
    <row r="19824" spans="6:8">
      <c r="F19824" s="68" t="s">
        <v>315</v>
      </c>
      <c r="G19824" s="67" t="s">
        <v>735</v>
      </c>
      <c r="H19824" s="69">
        <v>-0.19</v>
      </c>
    </row>
    <row r="19825" spans="6:8">
      <c r="F19825" s="68" t="s">
        <v>664</v>
      </c>
      <c r="G19825" s="67" t="s">
        <v>735</v>
      </c>
      <c r="H19825" s="69">
        <v>112.25499612</v>
      </c>
    </row>
    <row r="19826" spans="6:8">
      <c r="F19826" s="68" t="s">
        <v>128</v>
      </c>
      <c r="G19826" s="67" t="s">
        <v>735</v>
      </c>
      <c r="H19826" s="69">
        <v>-0.64500000000000002</v>
      </c>
    </row>
    <row r="19827" spans="6:8">
      <c r="F19827" s="68" t="s">
        <v>129</v>
      </c>
      <c r="G19827" s="67" t="s">
        <v>735</v>
      </c>
      <c r="H19827" s="69">
        <v>-0.7</v>
      </c>
    </row>
    <row r="19828" spans="6:8">
      <c r="F19828" s="68" t="s">
        <v>304</v>
      </c>
      <c r="G19828" s="67" t="s">
        <v>735</v>
      </c>
      <c r="H19828" s="69">
        <v>18.0625</v>
      </c>
    </row>
    <row r="19829" spans="6:8">
      <c r="F19829" s="68" t="s">
        <v>254</v>
      </c>
      <c r="G19829" s="67" t="s">
        <v>735</v>
      </c>
      <c r="H19829" s="69">
        <v>0.57999999999999996</v>
      </c>
    </row>
    <row r="19830" spans="6:8">
      <c r="F19830" s="68" t="s">
        <v>421</v>
      </c>
      <c r="G19830" s="67" t="s">
        <v>735</v>
      </c>
      <c r="H19830" s="69">
        <v>2.1981405539960086</v>
      </c>
    </row>
    <row r="19831" spans="6:8">
      <c r="F19831" s="68" t="s">
        <v>567</v>
      </c>
      <c r="G19831" s="67" t="s">
        <v>735</v>
      </c>
      <c r="H19831" s="69">
        <v>-0.84</v>
      </c>
    </row>
    <row r="19832" spans="6:8">
      <c r="F19832" s="68" t="s">
        <v>665</v>
      </c>
      <c r="G19832" s="67" t="s">
        <v>735</v>
      </c>
      <c r="H19832" s="69">
        <v>112.25497038</v>
      </c>
    </row>
    <row r="19833" spans="6:8">
      <c r="F19833" s="68" t="s">
        <v>130</v>
      </c>
      <c r="G19833" s="67" t="s">
        <v>735</v>
      </c>
      <c r="H19833" s="69">
        <v>-0.8899999999999999</v>
      </c>
    </row>
    <row r="19834" spans="6:8">
      <c r="F19834" s="68" t="s">
        <v>131</v>
      </c>
      <c r="G19834" s="67" t="s">
        <v>735</v>
      </c>
      <c r="H19834" s="69">
        <v>-0.77500000000000002</v>
      </c>
    </row>
    <row r="19835" spans="6:8">
      <c r="F19835" s="68" t="s">
        <v>303</v>
      </c>
      <c r="G19835" s="67" t="s">
        <v>735</v>
      </c>
      <c r="H19835" s="69">
        <v>18.489583333333332</v>
      </c>
    </row>
    <row r="19836" spans="6:8">
      <c r="F19836" s="68" t="s">
        <v>255</v>
      </c>
      <c r="G19836" s="67" t="s">
        <v>735</v>
      </c>
      <c r="H19836" s="69">
        <v>0.73</v>
      </c>
    </row>
    <row r="19837" spans="6:8">
      <c r="F19837" s="68" t="s">
        <v>422</v>
      </c>
      <c r="G19837" s="67" t="s">
        <v>735</v>
      </c>
      <c r="H19837" s="69">
        <v>2.2039053091983174</v>
      </c>
    </row>
    <row r="19838" spans="6:8">
      <c r="F19838" s="68" t="s">
        <v>568</v>
      </c>
      <c r="G19838" s="67" t="s">
        <v>735</v>
      </c>
      <c r="H19838" s="69">
        <v>-0.54</v>
      </c>
    </row>
    <row r="19839" spans="6:8">
      <c r="F19839" s="68" t="s">
        <v>666</v>
      </c>
      <c r="G19839" s="67" t="s">
        <v>735</v>
      </c>
      <c r="H19839" s="69">
        <v>112.2548549</v>
      </c>
    </row>
    <row r="19840" spans="6:8">
      <c r="F19840" s="68" t="s">
        <v>132</v>
      </c>
      <c r="G19840" s="67" t="s">
        <v>735</v>
      </c>
      <c r="H19840" s="69">
        <v>-0.94</v>
      </c>
    </row>
    <row r="19841" spans="6:8">
      <c r="F19841" s="68" t="s">
        <v>133</v>
      </c>
      <c r="G19841" s="67" t="s">
        <v>735</v>
      </c>
      <c r="H19841" s="69">
        <v>-0.61</v>
      </c>
    </row>
    <row r="19842" spans="6:8">
      <c r="F19842" s="68" t="s">
        <v>256</v>
      </c>
      <c r="G19842" s="67" t="s">
        <v>735</v>
      </c>
      <c r="H19842" s="69">
        <v>0.83</v>
      </c>
    </row>
    <row r="19843" spans="6:8">
      <c r="F19843" s="68" t="s">
        <v>423</v>
      </c>
      <c r="G19843" s="67" t="s">
        <v>735</v>
      </c>
      <c r="H19843" s="69">
        <v>2.3882358405376891</v>
      </c>
    </row>
    <row r="19844" spans="6:8">
      <c r="F19844" s="68" t="s">
        <v>569</v>
      </c>
      <c r="G19844" s="67" t="s">
        <v>735</v>
      </c>
      <c r="H19844" s="69">
        <v>-0.19500000000000001</v>
      </c>
    </row>
    <row r="19845" spans="6:8">
      <c r="F19845" s="68" t="s">
        <v>667</v>
      </c>
      <c r="G19845" s="67" t="s">
        <v>735</v>
      </c>
      <c r="H19845" s="69">
        <v>112.255195</v>
      </c>
    </row>
    <row r="19846" spans="6:8">
      <c r="F19846" s="68" t="s">
        <v>424</v>
      </c>
      <c r="G19846" s="67" t="s">
        <v>735</v>
      </c>
      <c r="H19846" s="69">
        <v>2.8919425534346122</v>
      </c>
    </row>
    <row r="19847" spans="6:8">
      <c r="F19847" s="68" t="s">
        <v>668</v>
      </c>
      <c r="G19847" s="67" t="s">
        <v>735</v>
      </c>
      <c r="H19847" s="69">
        <v>112.25488351</v>
      </c>
    </row>
    <row r="19848" spans="6:8">
      <c r="F19848" s="68" t="s">
        <v>134</v>
      </c>
      <c r="G19848" s="67" t="s">
        <v>735</v>
      </c>
      <c r="H19848" s="69">
        <v>-1.0350000000000001</v>
      </c>
    </row>
    <row r="19849" spans="6:8">
      <c r="F19849" s="68" t="s">
        <v>135</v>
      </c>
      <c r="G19849" s="67" t="s">
        <v>735</v>
      </c>
      <c r="H19849" s="69">
        <v>-0.54</v>
      </c>
    </row>
    <row r="19850" spans="6:8">
      <c r="F19850" s="68" t="s">
        <v>257</v>
      </c>
      <c r="G19850" s="67" t="s">
        <v>735</v>
      </c>
      <c r="H19850" s="69">
        <v>0.9</v>
      </c>
    </row>
    <row r="19851" spans="6:8">
      <c r="F19851" s="68" t="s">
        <v>258</v>
      </c>
      <c r="G19851" s="67" t="s">
        <v>735</v>
      </c>
      <c r="H19851" s="69">
        <v>0.15</v>
      </c>
    </row>
    <row r="19852" spans="6:8">
      <c r="F19852" s="68" t="s">
        <v>425</v>
      </c>
      <c r="G19852" s="67" t="s">
        <v>735</v>
      </c>
      <c r="H19852" s="69">
        <v>2.8847314181006389</v>
      </c>
    </row>
    <row r="19853" spans="6:8">
      <c r="F19853" s="68" t="s">
        <v>669</v>
      </c>
      <c r="G19853" s="67" t="s">
        <v>735</v>
      </c>
      <c r="H19853" s="69">
        <v>112.25524888</v>
      </c>
    </row>
    <row r="19854" spans="6:8">
      <c r="F19854" s="68" t="s">
        <v>136</v>
      </c>
      <c r="G19854" s="67" t="s">
        <v>735</v>
      </c>
      <c r="H19854" s="69">
        <v>-0.92500000000000004</v>
      </c>
    </row>
    <row r="19855" spans="6:8">
      <c r="F19855" s="68" t="s">
        <v>137</v>
      </c>
      <c r="G19855" s="67" t="s">
        <v>735</v>
      </c>
      <c r="H19855" s="69">
        <v>-0.85000000000000009</v>
      </c>
    </row>
    <row r="19856" spans="6:8">
      <c r="F19856" s="68" t="s">
        <v>138</v>
      </c>
      <c r="G19856" s="67" t="s">
        <v>735</v>
      </c>
      <c r="H19856" s="69">
        <v>-0.70499999999999996</v>
      </c>
    </row>
    <row r="19857" spans="6:8">
      <c r="F19857" s="68" t="s">
        <v>259</v>
      </c>
      <c r="G19857" s="67" t="s">
        <v>735</v>
      </c>
      <c r="H19857" s="69">
        <v>0.15</v>
      </c>
    </row>
    <row r="19858" spans="6:8">
      <c r="F19858" s="68" t="s">
        <v>259</v>
      </c>
      <c r="G19858" s="67" t="s">
        <v>736</v>
      </c>
      <c r="H19858" s="69">
        <v>0.15142857142857144</v>
      </c>
    </row>
    <row r="19859" spans="6:8">
      <c r="F19859" s="68" t="s">
        <v>138</v>
      </c>
      <c r="G19859" s="67" t="s">
        <v>736</v>
      </c>
      <c r="H19859" s="69">
        <v>-0.70499999999999996</v>
      </c>
    </row>
    <row r="19860" spans="6:8">
      <c r="F19860" s="68" t="s">
        <v>137</v>
      </c>
      <c r="G19860" s="67" t="s">
        <v>736</v>
      </c>
      <c r="H19860" s="69">
        <v>-0.85000000000000009</v>
      </c>
    </row>
    <row r="19861" spans="6:8">
      <c r="F19861" s="68" t="s">
        <v>136</v>
      </c>
      <c r="G19861" s="67" t="s">
        <v>736</v>
      </c>
      <c r="H19861" s="69">
        <v>-0.92500000000000004</v>
      </c>
    </row>
    <row r="19862" spans="6:8">
      <c r="F19862" s="68" t="s">
        <v>669</v>
      </c>
      <c r="G19862" s="67" t="s">
        <v>736</v>
      </c>
      <c r="H19862" s="69">
        <v>112.33320605</v>
      </c>
    </row>
    <row r="19863" spans="6:8">
      <c r="F19863" s="68" t="s">
        <v>425</v>
      </c>
      <c r="G19863" s="67" t="s">
        <v>736</v>
      </c>
      <c r="H19863" s="69">
        <v>2.8494554201136335</v>
      </c>
    </row>
    <row r="19864" spans="6:8">
      <c r="F19864" s="68" t="s">
        <v>258</v>
      </c>
      <c r="G19864" s="67" t="s">
        <v>736</v>
      </c>
      <c r="H19864" s="69">
        <v>0.15</v>
      </c>
    </row>
    <row r="19865" spans="6:8">
      <c r="F19865" s="68" t="s">
        <v>257</v>
      </c>
      <c r="G19865" s="67" t="s">
        <v>736</v>
      </c>
      <c r="H19865" s="69">
        <v>0.89500000000000002</v>
      </c>
    </row>
    <row r="19866" spans="6:8">
      <c r="F19866" s="68" t="s">
        <v>135</v>
      </c>
      <c r="G19866" s="67" t="s">
        <v>736</v>
      </c>
      <c r="H19866" s="69">
        <v>-0.54</v>
      </c>
    </row>
    <row r="19867" spans="6:8">
      <c r="F19867" s="68" t="s">
        <v>134</v>
      </c>
      <c r="G19867" s="67" t="s">
        <v>736</v>
      </c>
      <c r="H19867" s="69">
        <v>-1.0350000000000001</v>
      </c>
    </row>
    <row r="19868" spans="6:8">
      <c r="F19868" s="68" t="s">
        <v>668</v>
      </c>
      <c r="G19868" s="67" t="s">
        <v>736</v>
      </c>
      <c r="H19868" s="69">
        <v>112.33283719000001</v>
      </c>
    </row>
    <row r="19869" spans="6:8">
      <c r="F19869" s="68" t="s">
        <v>424</v>
      </c>
      <c r="G19869" s="67" t="s">
        <v>736</v>
      </c>
      <c r="H19869" s="69">
        <v>2.8594072725624198</v>
      </c>
    </row>
    <row r="19870" spans="6:8">
      <c r="F19870" s="68" t="s">
        <v>667</v>
      </c>
      <c r="G19870" s="67" t="s">
        <v>736</v>
      </c>
      <c r="H19870" s="69">
        <v>112.33315166</v>
      </c>
    </row>
    <row r="19871" spans="6:8">
      <c r="F19871" s="68" t="s">
        <v>569</v>
      </c>
      <c r="G19871" s="67" t="s">
        <v>736</v>
      </c>
      <c r="H19871" s="69">
        <v>-0.19500000000000001</v>
      </c>
    </row>
    <row r="19872" spans="6:8">
      <c r="F19872" s="68" t="s">
        <v>423</v>
      </c>
      <c r="G19872" s="67" t="s">
        <v>736</v>
      </c>
      <c r="H19872" s="69">
        <v>2.3839667365230799</v>
      </c>
    </row>
    <row r="19873" spans="6:8">
      <c r="F19873" s="68" t="s">
        <v>256</v>
      </c>
      <c r="G19873" s="67" t="s">
        <v>736</v>
      </c>
      <c r="H19873" s="69">
        <v>0.83</v>
      </c>
    </row>
    <row r="19874" spans="6:8">
      <c r="F19874" s="68" t="s">
        <v>133</v>
      </c>
      <c r="G19874" s="67" t="s">
        <v>736</v>
      </c>
      <c r="H19874" s="69">
        <v>-0.61</v>
      </c>
    </row>
    <row r="19875" spans="6:8">
      <c r="F19875" s="68" t="s">
        <v>132</v>
      </c>
      <c r="G19875" s="67" t="s">
        <v>736</v>
      </c>
      <c r="H19875" s="69">
        <v>-0.94</v>
      </c>
    </row>
    <row r="19876" spans="6:8">
      <c r="F19876" s="68" t="s">
        <v>666</v>
      </c>
      <c r="G19876" s="67" t="s">
        <v>736</v>
      </c>
      <c r="H19876" s="69">
        <v>112.3328083</v>
      </c>
    </row>
    <row r="19877" spans="6:8">
      <c r="F19877" s="68" t="s">
        <v>568</v>
      </c>
      <c r="G19877" s="67" t="s">
        <v>736</v>
      </c>
      <c r="H19877" s="69">
        <v>-0.54</v>
      </c>
    </row>
    <row r="19878" spans="6:8">
      <c r="F19878" s="68" t="s">
        <v>422</v>
      </c>
      <c r="G19878" s="67" t="s">
        <v>736</v>
      </c>
      <c r="H19878" s="69">
        <v>2.2038053935439894</v>
      </c>
    </row>
    <row r="19879" spans="6:8">
      <c r="F19879" s="68" t="s">
        <v>255</v>
      </c>
      <c r="G19879" s="67" t="s">
        <v>736</v>
      </c>
      <c r="H19879" s="69">
        <v>0.72285714285714264</v>
      </c>
    </row>
    <row r="19880" spans="6:8">
      <c r="F19880" s="68" t="s">
        <v>303</v>
      </c>
      <c r="G19880" s="67" t="s">
        <v>736</v>
      </c>
      <c r="H19880" s="69">
        <v>18.520833333333332</v>
      </c>
    </row>
    <row r="19881" spans="6:8">
      <c r="F19881" s="68" t="s">
        <v>131</v>
      </c>
      <c r="G19881" s="67" t="s">
        <v>736</v>
      </c>
      <c r="H19881" s="69">
        <v>-0.77500000000000002</v>
      </c>
    </row>
    <row r="19882" spans="6:8">
      <c r="F19882" s="68" t="s">
        <v>130</v>
      </c>
      <c r="G19882" s="67" t="s">
        <v>736</v>
      </c>
      <c r="H19882" s="69">
        <v>-0.8899999999999999</v>
      </c>
    </row>
    <row r="19883" spans="6:8">
      <c r="F19883" s="68" t="s">
        <v>665</v>
      </c>
      <c r="G19883" s="67" t="s">
        <v>736</v>
      </c>
      <c r="H19883" s="69">
        <v>112.33292489</v>
      </c>
    </row>
    <row r="19884" spans="6:8">
      <c r="F19884" s="68" t="s">
        <v>567</v>
      </c>
      <c r="G19884" s="67" t="s">
        <v>736</v>
      </c>
      <c r="H19884" s="69">
        <v>-0.84</v>
      </c>
    </row>
    <row r="19885" spans="6:8">
      <c r="F19885" s="68" t="s">
        <v>421</v>
      </c>
      <c r="G19885" s="67" t="s">
        <v>736</v>
      </c>
      <c r="H19885" s="69">
        <v>2.1981076595453342</v>
      </c>
    </row>
    <row r="19886" spans="6:8">
      <c r="F19886" s="68" t="s">
        <v>254</v>
      </c>
      <c r="G19886" s="67" t="s">
        <v>736</v>
      </c>
      <c r="H19886" s="69">
        <v>0.57571428571428573</v>
      </c>
    </row>
    <row r="19887" spans="6:8">
      <c r="F19887" s="68" t="s">
        <v>304</v>
      </c>
      <c r="G19887" s="67" t="s">
        <v>736</v>
      </c>
      <c r="H19887" s="69">
        <v>18.072916666666668</v>
      </c>
    </row>
    <row r="19888" spans="6:8">
      <c r="F19888" s="68" t="s">
        <v>129</v>
      </c>
      <c r="G19888" s="67" t="s">
        <v>736</v>
      </c>
      <c r="H19888" s="69">
        <v>-0.7</v>
      </c>
    </row>
    <row r="19889" spans="6:8">
      <c r="F19889" s="68" t="s">
        <v>128</v>
      </c>
      <c r="G19889" s="67" t="s">
        <v>736</v>
      </c>
      <c r="H19889" s="69">
        <v>-0.64500000000000002</v>
      </c>
    </row>
    <row r="19890" spans="6:8">
      <c r="F19890" s="68" t="s">
        <v>664</v>
      </c>
      <c r="G19890" s="67" t="s">
        <v>736</v>
      </c>
      <c r="H19890" s="69">
        <v>112.33295088</v>
      </c>
    </row>
    <row r="19891" spans="6:8">
      <c r="F19891" s="68" t="s">
        <v>315</v>
      </c>
      <c r="G19891" s="67" t="s">
        <v>736</v>
      </c>
      <c r="H19891" s="69">
        <v>-0.19</v>
      </c>
    </row>
    <row r="19892" spans="6:8">
      <c r="F19892" s="68" t="s">
        <v>253</v>
      </c>
      <c r="G19892" s="67" t="s">
        <v>736</v>
      </c>
      <c r="H19892" s="69">
        <v>0.41857142857142854</v>
      </c>
    </row>
    <row r="19893" spans="6:8">
      <c r="F19893" s="68" t="s">
        <v>127</v>
      </c>
      <c r="G19893" s="67" t="s">
        <v>736</v>
      </c>
      <c r="H19893" s="69">
        <v>-0.41000000000000003</v>
      </c>
    </row>
    <row r="19894" spans="6:8">
      <c r="F19894" s="68" t="s">
        <v>126</v>
      </c>
      <c r="G19894" s="67" t="s">
        <v>736</v>
      </c>
      <c r="H19894" s="69">
        <v>-0.78</v>
      </c>
    </row>
    <row r="19895" spans="6:8">
      <c r="F19895" s="68" t="s">
        <v>125</v>
      </c>
      <c r="G19895" s="67" t="s">
        <v>736</v>
      </c>
      <c r="H19895" s="69">
        <v>-0.42500000000000004</v>
      </c>
    </row>
    <row r="19896" spans="6:8">
      <c r="F19896" s="68" t="s">
        <v>663</v>
      </c>
      <c r="G19896" s="67" t="s">
        <v>736</v>
      </c>
      <c r="H19896" s="69">
        <v>112.33315223</v>
      </c>
    </row>
    <row r="19897" spans="6:8">
      <c r="F19897" s="68" t="s">
        <v>314</v>
      </c>
      <c r="G19897" s="67" t="s">
        <v>736</v>
      </c>
      <c r="H19897" s="69">
        <v>-0.42500000000000004</v>
      </c>
    </row>
    <row r="19898" spans="6:8">
      <c r="F19898" s="68" t="s">
        <v>252</v>
      </c>
      <c r="G19898" s="67" t="s">
        <v>736</v>
      </c>
      <c r="H19898" s="69">
        <v>0.27</v>
      </c>
    </row>
    <row r="19899" spans="6:8">
      <c r="F19899" s="68" t="s">
        <v>124</v>
      </c>
      <c r="G19899" s="67" t="s">
        <v>736</v>
      </c>
      <c r="H19899" s="69">
        <v>-0.505</v>
      </c>
    </row>
    <row r="19900" spans="6:8">
      <c r="F19900" s="68" t="s">
        <v>123</v>
      </c>
      <c r="G19900" s="67" t="s">
        <v>736</v>
      </c>
      <c r="H19900" s="69">
        <v>-0.91999999999999993</v>
      </c>
    </row>
    <row r="19901" spans="6:8">
      <c r="F19901" s="68" t="s">
        <v>122</v>
      </c>
      <c r="G19901" s="67" t="s">
        <v>736</v>
      </c>
      <c r="H19901" s="69">
        <v>-0.77500000000000002</v>
      </c>
    </row>
    <row r="19902" spans="6:8">
      <c r="F19902" s="68" t="s">
        <v>251</v>
      </c>
      <c r="G19902" s="67" t="s">
        <v>736</v>
      </c>
      <c r="H19902" s="69">
        <v>0.18857142857142858</v>
      </c>
    </row>
    <row r="19903" spans="6:8">
      <c r="F19903" s="68" t="s">
        <v>121</v>
      </c>
      <c r="G19903" s="67" t="s">
        <v>736</v>
      </c>
      <c r="H19903" s="69">
        <v>-0.61499999999999999</v>
      </c>
    </row>
    <row r="19904" spans="6:8">
      <c r="F19904" s="68" t="s">
        <v>120</v>
      </c>
      <c r="G19904" s="67" t="s">
        <v>736</v>
      </c>
      <c r="H19904" s="69">
        <v>-0.89500000000000002</v>
      </c>
    </row>
    <row r="19905" spans="6:8">
      <c r="F19905" s="68" t="s">
        <v>119</v>
      </c>
      <c r="G19905" s="67" t="s">
        <v>736</v>
      </c>
      <c r="H19905" s="69">
        <v>-0.75</v>
      </c>
    </row>
    <row r="19906" spans="6:8">
      <c r="F19906" s="68" t="s">
        <v>662</v>
      </c>
      <c r="G19906" s="67" t="s">
        <v>736</v>
      </c>
      <c r="H19906" s="69">
        <v>112.33257799</v>
      </c>
    </row>
    <row r="19907" spans="6:8">
      <c r="F19907" s="68" t="s">
        <v>420</v>
      </c>
      <c r="G19907" s="67" t="s">
        <v>736</v>
      </c>
      <c r="H19907" s="69">
        <v>3.1926835363021766</v>
      </c>
    </row>
    <row r="19908" spans="6:8">
      <c r="F19908" s="68" t="s">
        <v>420</v>
      </c>
      <c r="G19908" s="67" t="s">
        <v>737</v>
      </c>
      <c r="H19908" s="69">
        <v>3.2078957125058594</v>
      </c>
    </row>
    <row r="19909" spans="6:8">
      <c r="F19909" s="68" t="s">
        <v>662</v>
      </c>
      <c r="G19909" s="67" t="s">
        <v>737</v>
      </c>
      <c r="H19909" s="69">
        <v>112.350801</v>
      </c>
    </row>
    <row r="19910" spans="6:8">
      <c r="F19910" s="68" t="s">
        <v>119</v>
      </c>
      <c r="G19910" s="67" t="s">
        <v>737</v>
      </c>
      <c r="H19910" s="69">
        <v>-0.75</v>
      </c>
    </row>
    <row r="19911" spans="6:8">
      <c r="F19911" s="68" t="s">
        <v>120</v>
      </c>
      <c r="G19911" s="67" t="s">
        <v>737</v>
      </c>
      <c r="H19911" s="69">
        <v>-0.89500000000000002</v>
      </c>
    </row>
    <row r="19912" spans="6:8">
      <c r="F19912" s="68" t="s">
        <v>121</v>
      </c>
      <c r="G19912" s="67" t="s">
        <v>737</v>
      </c>
      <c r="H19912" s="69">
        <v>-0.61499999999999999</v>
      </c>
    </row>
    <row r="19913" spans="6:8">
      <c r="F19913" s="68" t="s">
        <v>251</v>
      </c>
      <c r="G19913" s="67" t="s">
        <v>737</v>
      </c>
      <c r="H19913" s="69">
        <v>0.18857142857142858</v>
      </c>
    </row>
    <row r="19914" spans="6:8">
      <c r="F19914" s="68" t="s">
        <v>122</v>
      </c>
      <c r="G19914" s="67" t="s">
        <v>737</v>
      </c>
      <c r="H19914" s="69">
        <v>-0.77500000000000002</v>
      </c>
    </row>
    <row r="19915" spans="6:8">
      <c r="F19915" s="68" t="s">
        <v>123</v>
      </c>
      <c r="G19915" s="67" t="s">
        <v>737</v>
      </c>
      <c r="H19915" s="69">
        <v>-0.91999999999999993</v>
      </c>
    </row>
    <row r="19916" spans="6:8">
      <c r="F19916" s="68" t="s">
        <v>124</v>
      </c>
      <c r="G19916" s="67" t="s">
        <v>737</v>
      </c>
      <c r="H19916" s="69">
        <v>-0.505</v>
      </c>
    </row>
    <row r="19917" spans="6:8">
      <c r="F19917" s="68" t="s">
        <v>252</v>
      </c>
      <c r="G19917" s="67" t="s">
        <v>737</v>
      </c>
      <c r="H19917" s="69">
        <v>0.27</v>
      </c>
    </row>
    <row r="19918" spans="6:8">
      <c r="F19918" s="68" t="s">
        <v>314</v>
      </c>
      <c r="G19918" s="67" t="s">
        <v>737</v>
      </c>
      <c r="H19918" s="69">
        <v>-0.42500000000000004</v>
      </c>
    </row>
    <row r="19919" spans="6:8">
      <c r="F19919" s="68" t="s">
        <v>663</v>
      </c>
      <c r="G19919" s="67" t="s">
        <v>737</v>
      </c>
      <c r="H19919" s="69">
        <v>112.35137669</v>
      </c>
    </row>
    <row r="19920" spans="6:8">
      <c r="F19920" s="68" t="s">
        <v>125</v>
      </c>
      <c r="G19920" s="67" t="s">
        <v>737</v>
      </c>
      <c r="H19920" s="69">
        <v>-0.42500000000000004</v>
      </c>
    </row>
    <row r="19921" spans="6:8">
      <c r="F19921" s="68" t="s">
        <v>126</v>
      </c>
      <c r="G19921" s="67" t="s">
        <v>737</v>
      </c>
      <c r="H19921" s="69">
        <v>-0.78</v>
      </c>
    </row>
    <row r="19922" spans="6:8">
      <c r="F19922" s="68" t="s">
        <v>127</v>
      </c>
      <c r="G19922" s="67" t="s">
        <v>737</v>
      </c>
      <c r="H19922" s="69">
        <v>-0.41000000000000003</v>
      </c>
    </row>
    <row r="19923" spans="6:8">
      <c r="F19923" s="68" t="s">
        <v>253</v>
      </c>
      <c r="G19923" s="67" t="s">
        <v>737</v>
      </c>
      <c r="H19923" s="69">
        <v>0.41857142857142854</v>
      </c>
    </row>
    <row r="19924" spans="6:8">
      <c r="F19924" s="68" t="s">
        <v>315</v>
      </c>
      <c r="G19924" s="67" t="s">
        <v>737</v>
      </c>
      <c r="H19924" s="69">
        <v>-0.19</v>
      </c>
    </row>
    <row r="19925" spans="6:8">
      <c r="F19925" s="68" t="s">
        <v>664</v>
      </c>
      <c r="G19925" s="67" t="s">
        <v>737</v>
      </c>
      <c r="H19925" s="69">
        <v>112.35117483000001</v>
      </c>
    </row>
    <row r="19926" spans="6:8">
      <c r="F19926" s="68" t="s">
        <v>128</v>
      </c>
      <c r="G19926" s="67" t="s">
        <v>737</v>
      </c>
      <c r="H19926" s="69">
        <v>-0.64500000000000002</v>
      </c>
    </row>
    <row r="19927" spans="6:8">
      <c r="F19927" s="68" t="s">
        <v>129</v>
      </c>
      <c r="G19927" s="67" t="s">
        <v>737</v>
      </c>
      <c r="H19927" s="69">
        <v>-0.7</v>
      </c>
    </row>
    <row r="19928" spans="6:8">
      <c r="F19928" s="68" t="s">
        <v>304</v>
      </c>
      <c r="G19928" s="67" t="s">
        <v>737</v>
      </c>
      <c r="H19928" s="69">
        <v>18.083333333333332</v>
      </c>
    </row>
    <row r="19929" spans="6:8">
      <c r="F19929" s="68" t="s">
        <v>254</v>
      </c>
      <c r="G19929" s="67" t="s">
        <v>737</v>
      </c>
      <c r="H19929" s="69">
        <v>0.57571428571428573</v>
      </c>
    </row>
    <row r="19930" spans="6:8">
      <c r="F19930" s="68" t="s">
        <v>421</v>
      </c>
      <c r="G19930" s="67" t="s">
        <v>737</v>
      </c>
      <c r="H19930" s="69">
        <v>2.2107070882130042</v>
      </c>
    </row>
    <row r="19931" spans="6:8">
      <c r="F19931" s="68" t="s">
        <v>567</v>
      </c>
      <c r="G19931" s="67" t="s">
        <v>737</v>
      </c>
      <c r="H19931" s="69">
        <v>-0.84</v>
      </c>
    </row>
    <row r="19932" spans="6:8">
      <c r="F19932" s="68" t="s">
        <v>665</v>
      </c>
      <c r="G19932" s="67" t="s">
        <v>737</v>
      </c>
      <c r="H19932" s="69">
        <v>112.35114878</v>
      </c>
    </row>
    <row r="19933" spans="6:8">
      <c r="F19933" s="68" t="s">
        <v>130</v>
      </c>
      <c r="G19933" s="67" t="s">
        <v>737</v>
      </c>
      <c r="H19933" s="69">
        <v>-0.8899999999999999</v>
      </c>
    </row>
    <row r="19934" spans="6:8">
      <c r="F19934" s="68" t="s">
        <v>131</v>
      </c>
      <c r="G19934" s="67" t="s">
        <v>737</v>
      </c>
      <c r="H19934" s="69">
        <v>-0.77500000000000002</v>
      </c>
    </row>
    <row r="19935" spans="6:8">
      <c r="F19935" s="68" t="s">
        <v>303</v>
      </c>
      <c r="G19935" s="67" t="s">
        <v>737</v>
      </c>
      <c r="H19935" s="69">
        <v>18.53125</v>
      </c>
    </row>
    <row r="19936" spans="6:8">
      <c r="F19936" s="68" t="s">
        <v>255</v>
      </c>
      <c r="G19936" s="67" t="s">
        <v>737</v>
      </c>
      <c r="H19936" s="69">
        <v>0.72285714285714264</v>
      </c>
    </row>
    <row r="19937" spans="6:8">
      <c r="F19937" s="68" t="s">
        <v>422</v>
      </c>
      <c r="G19937" s="67" t="s">
        <v>737</v>
      </c>
      <c r="H19937" s="69">
        <v>2.2163881567255572</v>
      </c>
    </row>
    <row r="19938" spans="6:8">
      <c r="F19938" s="68" t="s">
        <v>568</v>
      </c>
      <c r="G19938" s="67" t="s">
        <v>737</v>
      </c>
      <c r="H19938" s="69">
        <v>-0.54</v>
      </c>
    </row>
    <row r="19939" spans="6:8">
      <c r="F19939" s="68" t="s">
        <v>666</v>
      </c>
      <c r="G19939" s="67" t="s">
        <v>737</v>
      </c>
      <c r="H19939" s="69">
        <v>112.35103189</v>
      </c>
    </row>
    <row r="19940" spans="6:8">
      <c r="F19940" s="68" t="s">
        <v>132</v>
      </c>
      <c r="G19940" s="67" t="s">
        <v>737</v>
      </c>
      <c r="H19940" s="69">
        <v>-0.94</v>
      </c>
    </row>
    <row r="19941" spans="6:8">
      <c r="F19941" s="68" t="s">
        <v>133</v>
      </c>
      <c r="G19941" s="67" t="s">
        <v>737</v>
      </c>
      <c r="H19941" s="69">
        <v>-0.61</v>
      </c>
    </row>
    <row r="19942" spans="6:8">
      <c r="F19942" s="68" t="s">
        <v>256</v>
      </c>
      <c r="G19942" s="67" t="s">
        <v>737</v>
      </c>
      <c r="H19942" s="69">
        <v>0.83</v>
      </c>
    </row>
    <row r="19943" spans="6:8">
      <c r="F19943" s="68" t="s">
        <v>423</v>
      </c>
      <c r="G19943" s="67" t="s">
        <v>737</v>
      </c>
      <c r="H19943" s="69">
        <v>2.3963197520914026</v>
      </c>
    </row>
    <row r="19944" spans="6:8">
      <c r="F19944" s="68" t="s">
        <v>569</v>
      </c>
      <c r="G19944" s="67" t="s">
        <v>737</v>
      </c>
      <c r="H19944" s="69">
        <v>-0.19500000000000001</v>
      </c>
    </row>
    <row r="19945" spans="6:8">
      <c r="F19945" s="68" t="s">
        <v>667</v>
      </c>
      <c r="G19945" s="67" t="s">
        <v>737</v>
      </c>
      <c r="H19945" s="69">
        <v>112.35137612</v>
      </c>
    </row>
    <row r="19946" spans="6:8">
      <c r="F19946" s="68" t="s">
        <v>424</v>
      </c>
      <c r="G19946" s="67" t="s">
        <v>737</v>
      </c>
      <c r="H19946" s="69">
        <v>2.8814807164967426</v>
      </c>
    </row>
    <row r="19947" spans="6:8">
      <c r="F19947" s="68" t="s">
        <v>668</v>
      </c>
      <c r="G19947" s="67" t="s">
        <v>737</v>
      </c>
      <c r="H19947" s="69">
        <v>112.35106085</v>
      </c>
    </row>
    <row r="19948" spans="6:8">
      <c r="F19948" s="68" t="s">
        <v>134</v>
      </c>
      <c r="G19948" s="67" t="s">
        <v>737</v>
      </c>
      <c r="H19948" s="69">
        <v>-1.0350000000000001</v>
      </c>
    </row>
    <row r="19949" spans="6:8">
      <c r="F19949" s="68" t="s">
        <v>135</v>
      </c>
      <c r="G19949" s="67" t="s">
        <v>737</v>
      </c>
      <c r="H19949" s="69">
        <v>-0.54</v>
      </c>
    </row>
    <row r="19950" spans="6:8">
      <c r="F19950" s="68" t="s">
        <v>257</v>
      </c>
      <c r="G19950" s="67" t="s">
        <v>737</v>
      </c>
      <c r="H19950" s="69">
        <v>0.89500000000000002</v>
      </c>
    </row>
    <row r="19951" spans="6:8">
      <c r="F19951" s="68" t="s">
        <v>258</v>
      </c>
      <c r="G19951" s="67" t="s">
        <v>737</v>
      </c>
      <c r="H19951" s="69">
        <v>0.15</v>
      </c>
    </row>
    <row r="19952" spans="6:8">
      <c r="F19952" s="68" t="s">
        <v>425</v>
      </c>
      <c r="G19952" s="67" t="s">
        <v>737</v>
      </c>
      <c r="H19952" s="69">
        <v>2.8705201496062038</v>
      </c>
    </row>
    <row r="19953" spans="6:8">
      <c r="F19953" s="68" t="s">
        <v>669</v>
      </c>
      <c r="G19953" s="67" t="s">
        <v>737</v>
      </c>
      <c r="H19953" s="69">
        <v>112.35143065</v>
      </c>
    </row>
    <row r="19954" spans="6:8">
      <c r="F19954" s="68" t="s">
        <v>136</v>
      </c>
      <c r="G19954" s="67" t="s">
        <v>737</v>
      </c>
      <c r="H19954" s="69">
        <v>-0.92500000000000004</v>
      </c>
    </row>
    <row r="19955" spans="6:8">
      <c r="F19955" s="68" t="s">
        <v>137</v>
      </c>
      <c r="G19955" s="67" t="s">
        <v>737</v>
      </c>
      <c r="H19955" s="69">
        <v>-0.85000000000000009</v>
      </c>
    </row>
    <row r="19956" spans="6:8">
      <c r="F19956" s="68" t="s">
        <v>138</v>
      </c>
      <c r="G19956" s="67" t="s">
        <v>737</v>
      </c>
      <c r="H19956" s="69">
        <v>-0.70499999999999996</v>
      </c>
    </row>
    <row r="19957" spans="6:8">
      <c r="F19957" s="68" t="s">
        <v>259</v>
      </c>
      <c r="G19957" s="67" t="s">
        <v>737</v>
      </c>
      <c r="H19957" s="69">
        <v>0.15142857142857144</v>
      </c>
    </row>
    <row r="19958" spans="6:8">
      <c r="F19958" s="68" t="s">
        <v>259</v>
      </c>
      <c r="G19958" s="67" t="s">
        <v>738</v>
      </c>
      <c r="H19958" s="69">
        <v>0.15142857142857144</v>
      </c>
    </row>
    <row r="19959" spans="6:8">
      <c r="F19959" s="68" t="s">
        <v>138</v>
      </c>
      <c r="G19959" s="67" t="s">
        <v>738</v>
      </c>
      <c r="H19959" s="69">
        <v>-0.70499999999999996</v>
      </c>
    </row>
    <row r="19960" spans="6:8">
      <c r="F19960" s="68" t="s">
        <v>137</v>
      </c>
      <c r="G19960" s="67" t="s">
        <v>738</v>
      </c>
      <c r="H19960" s="69">
        <v>-0.85000000000000009</v>
      </c>
    </row>
    <row r="19961" spans="6:8">
      <c r="F19961" s="68" t="s">
        <v>136</v>
      </c>
      <c r="G19961" s="67" t="s">
        <v>738</v>
      </c>
      <c r="H19961" s="69">
        <v>-0.92500000000000004</v>
      </c>
    </row>
    <row r="19962" spans="6:8">
      <c r="F19962" s="68" t="s">
        <v>669</v>
      </c>
      <c r="G19962" s="67" t="s">
        <v>738</v>
      </c>
      <c r="H19962" s="69">
        <v>112.72922581</v>
      </c>
    </row>
    <row r="19963" spans="6:8">
      <c r="F19963" s="68" t="s">
        <v>425</v>
      </c>
      <c r="G19963" s="67" t="s">
        <v>738</v>
      </c>
      <c r="H19963" s="69">
        <v>2.7411050056365571</v>
      </c>
    </row>
    <row r="19964" spans="6:8">
      <c r="F19964" s="68" t="s">
        <v>258</v>
      </c>
      <c r="G19964" s="67" t="s">
        <v>738</v>
      </c>
      <c r="H19964" s="69">
        <v>0.15</v>
      </c>
    </row>
    <row r="19965" spans="6:8">
      <c r="F19965" s="68" t="s">
        <v>257</v>
      </c>
      <c r="G19965" s="67" t="s">
        <v>738</v>
      </c>
      <c r="H19965" s="69">
        <v>0.89500000000000002</v>
      </c>
    </row>
    <row r="19966" spans="6:8">
      <c r="F19966" s="68" t="s">
        <v>135</v>
      </c>
      <c r="G19966" s="67" t="s">
        <v>738</v>
      </c>
      <c r="H19966" s="69">
        <v>-0.54</v>
      </c>
    </row>
    <row r="19967" spans="6:8">
      <c r="F19967" s="68" t="s">
        <v>134</v>
      </c>
      <c r="G19967" s="67" t="s">
        <v>738</v>
      </c>
      <c r="H19967" s="69">
        <v>-1.0350000000000001</v>
      </c>
    </row>
    <row r="19968" spans="6:8">
      <c r="F19968" s="68" t="s">
        <v>668</v>
      </c>
      <c r="G19968" s="67" t="s">
        <v>738</v>
      </c>
      <c r="H19968" s="69">
        <v>112.72922581</v>
      </c>
    </row>
    <row r="19969" spans="6:8">
      <c r="F19969" s="68" t="s">
        <v>424</v>
      </c>
      <c r="G19969" s="67" t="s">
        <v>738</v>
      </c>
      <c r="H19969" s="69">
        <v>2.7581941249585018</v>
      </c>
    </row>
    <row r="19970" spans="6:8">
      <c r="F19970" s="68" t="s">
        <v>667</v>
      </c>
      <c r="G19970" s="67" t="s">
        <v>738</v>
      </c>
      <c r="H19970" s="69">
        <v>112.72922581</v>
      </c>
    </row>
    <row r="19971" spans="6:8">
      <c r="F19971" s="68" t="s">
        <v>569</v>
      </c>
      <c r="G19971" s="67" t="s">
        <v>738</v>
      </c>
      <c r="H19971" s="69">
        <v>-0.19500000000000001</v>
      </c>
    </row>
    <row r="19972" spans="6:8">
      <c r="F19972" s="68" t="s">
        <v>423</v>
      </c>
      <c r="G19972" s="67" t="s">
        <v>738</v>
      </c>
      <c r="H19972" s="69">
        <v>2.3195606083420639</v>
      </c>
    </row>
    <row r="19973" spans="6:8">
      <c r="F19973" s="68" t="s">
        <v>256</v>
      </c>
      <c r="G19973" s="67" t="s">
        <v>738</v>
      </c>
      <c r="H19973" s="69">
        <v>0.83</v>
      </c>
    </row>
    <row r="19974" spans="6:8">
      <c r="F19974" s="68" t="s">
        <v>133</v>
      </c>
      <c r="G19974" s="67" t="s">
        <v>738</v>
      </c>
      <c r="H19974" s="69">
        <v>-0.61</v>
      </c>
    </row>
    <row r="19975" spans="6:8">
      <c r="F19975" s="68" t="s">
        <v>132</v>
      </c>
      <c r="G19975" s="67" t="s">
        <v>738</v>
      </c>
      <c r="H19975" s="69">
        <v>-0.94</v>
      </c>
    </row>
    <row r="19976" spans="6:8">
      <c r="F19976" s="68" t="s">
        <v>666</v>
      </c>
      <c r="G19976" s="67" t="s">
        <v>738</v>
      </c>
      <c r="H19976" s="69">
        <v>112.72922581</v>
      </c>
    </row>
    <row r="19977" spans="6:8">
      <c r="F19977" s="68" t="s">
        <v>568</v>
      </c>
      <c r="G19977" s="67" t="s">
        <v>738</v>
      </c>
      <c r="H19977" s="69">
        <v>-0.54</v>
      </c>
    </row>
    <row r="19978" spans="6:8">
      <c r="F19978" s="68" t="s">
        <v>422</v>
      </c>
      <c r="G19978" s="67" t="s">
        <v>738</v>
      </c>
      <c r="H19978" s="69">
        <v>2.1318678121515777</v>
      </c>
    </row>
    <row r="19979" spans="6:8">
      <c r="F19979" s="68" t="s">
        <v>255</v>
      </c>
      <c r="G19979" s="67" t="s">
        <v>738</v>
      </c>
      <c r="H19979" s="69">
        <v>0.72285714285714264</v>
      </c>
    </row>
    <row r="19980" spans="6:8">
      <c r="F19980" s="68" t="s">
        <v>303</v>
      </c>
      <c r="G19980" s="67" t="s">
        <v>738</v>
      </c>
      <c r="H19980" s="69">
        <v>18.395833333333332</v>
      </c>
    </row>
    <row r="19981" spans="6:8">
      <c r="F19981" s="68" t="s">
        <v>131</v>
      </c>
      <c r="G19981" s="67" t="s">
        <v>738</v>
      </c>
      <c r="H19981" s="69">
        <v>-0.77500000000000002</v>
      </c>
    </row>
    <row r="19982" spans="6:8">
      <c r="F19982" s="68" t="s">
        <v>130</v>
      </c>
      <c r="G19982" s="67" t="s">
        <v>738</v>
      </c>
      <c r="H19982" s="69">
        <v>-0.8899999999999999</v>
      </c>
    </row>
    <row r="19983" spans="6:8">
      <c r="F19983" s="68" t="s">
        <v>665</v>
      </c>
      <c r="G19983" s="67" t="s">
        <v>738</v>
      </c>
      <c r="H19983" s="69">
        <v>112.72922581</v>
      </c>
    </row>
    <row r="19984" spans="6:8">
      <c r="F19984" s="68" t="s">
        <v>567</v>
      </c>
      <c r="G19984" s="67" t="s">
        <v>738</v>
      </c>
      <c r="H19984" s="69">
        <v>-0.84</v>
      </c>
    </row>
    <row r="19985" spans="6:8">
      <c r="F19985" s="68" t="s">
        <v>421</v>
      </c>
      <c r="G19985" s="67" t="s">
        <v>738</v>
      </c>
      <c r="H19985" s="69">
        <v>2.1262759282018262</v>
      </c>
    </row>
    <row r="19986" spans="6:8">
      <c r="F19986" s="68" t="s">
        <v>254</v>
      </c>
      <c r="G19986" s="67" t="s">
        <v>738</v>
      </c>
      <c r="H19986" s="69">
        <v>0.57571428571428573</v>
      </c>
    </row>
    <row r="19987" spans="6:8">
      <c r="F19987" s="68" t="s">
        <v>304</v>
      </c>
      <c r="G19987" s="67" t="s">
        <v>738</v>
      </c>
      <c r="H19987" s="69">
        <v>17.958333333333332</v>
      </c>
    </row>
    <row r="19988" spans="6:8">
      <c r="F19988" s="68" t="s">
        <v>129</v>
      </c>
      <c r="G19988" s="67" t="s">
        <v>738</v>
      </c>
      <c r="H19988" s="69">
        <v>-0.7</v>
      </c>
    </row>
    <row r="19989" spans="6:8">
      <c r="F19989" s="68" t="s">
        <v>128</v>
      </c>
      <c r="G19989" s="67" t="s">
        <v>738</v>
      </c>
      <c r="H19989" s="69">
        <v>-0.64500000000000002</v>
      </c>
    </row>
    <row r="19990" spans="6:8">
      <c r="F19990" s="68" t="s">
        <v>664</v>
      </c>
      <c r="G19990" s="67" t="s">
        <v>738</v>
      </c>
      <c r="H19990" s="69">
        <v>112.72922581</v>
      </c>
    </row>
    <row r="19991" spans="6:8">
      <c r="F19991" s="68" t="s">
        <v>315</v>
      </c>
      <c r="G19991" s="67" t="s">
        <v>738</v>
      </c>
      <c r="H19991" s="69">
        <v>-0.19</v>
      </c>
    </row>
    <row r="19992" spans="6:8">
      <c r="F19992" s="68" t="s">
        <v>253</v>
      </c>
      <c r="G19992" s="67" t="s">
        <v>738</v>
      </c>
      <c r="H19992" s="69">
        <v>0.41857142857142854</v>
      </c>
    </row>
    <row r="19993" spans="6:8">
      <c r="F19993" s="68" t="s">
        <v>127</v>
      </c>
      <c r="G19993" s="67" t="s">
        <v>738</v>
      </c>
      <c r="H19993" s="69">
        <v>-0.41000000000000003</v>
      </c>
    </row>
    <row r="19994" spans="6:8">
      <c r="F19994" s="68" t="s">
        <v>126</v>
      </c>
      <c r="G19994" s="67" t="s">
        <v>738</v>
      </c>
      <c r="H19994" s="69">
        <v>-0.78</v>
      </c>
    </row>
    <row r="19995" spans="6:8">
      <c r="F19995" s="68" t="s">
        <v>125</v>
      </c>
      <c r="G19995" s="67" t="s">
        <v>738</v>
      </c>
      <c r="H19995" s="69">
        <v>-0.42500000000000004</v>
      </c>
    </row>
    <row r="19996" spans="6:8">
      <c r="F19996" s="68" t="s">
        <v>663</v>
      </c>
      <c r="G19996" s="67" t="s">
        <v>738</v>
      </c>
      <c r="H19996" s="69">
        <v>112.72922581</v>
      </c>
    </row>
    <row r="19997" spans="6:8">
      <c r="F19997" s="68" t="s">
        <v>314</v>
      </c>
      <c r="G19997" s="67" t="s">
        <v>738</v>
      </c>
      <c r="H19997" s="69">
        <v>-0.42500000000000004</v>
      </c>
    </row>
    <row r="19998" spans="6:8">
      <c r="F19998" s="68" t="s">
        <v>252</v>
      </c>
      <c r="G19998" s="67" t="s">
        <v>738</v>
      </c>
      <c r="H19998" s="69">
        <v>0.27</v>
      </c>
    </row>
    <row r="19999" spans="6:8">
      <c r="F19999" s="68" t="s">
        <v>124</v>
      </c>
      <c r="G19999" s="67" t="s">
        <v>738</v>
      </c>
      <c r="H19999" s="69">
        <v>-0.505</v>
      </c>
    </row>
    <row r="20000" spans="6:8">
      <c r="F20000" s="68" t="s">
        <v>123</v>
      </c>
      <c r="G20000" s="67" t="s">
        <v>738</v>
      </c>
      <c r="H20000" s="69">
        <v>-0.91999999999999993</v>
      </c>
    </row>
    <row r="20001" spans="6:8">
      <c r="F20001" s="68" t="s">
        <v>122</v>
      </c>
      <c r="G20001" s="67" t="s">
        <v>738</v>
      </c>
      <c r="H20001" s="69">
        <v>-0.77500000000000002</v>
      </c>
    </row>
    <row r="20002" spans="6:8">
      <c r="F20002" s="68" t="s">
        <v>251</v>
      </c>
      <c r="G20002" s="67" t="s">
        <v>738</v>
      </c>
      <c r="H20002" s="69">
        <v>0.18857142857142858</v>
      </c>
    </row>
    <row r="20003" spans="6:8">
      <c r="F20003" s="68" t="s">
        <v>121</v>
      </c>
      <c r="G20003" s="67" t="s">
        <v>738</v>
      </c>
      <c r="H20003" s="69">
        <v>-0.61499999999999999</v>
      </c>
    </row>
    <row r="20004" spans="6:8">
      <c r="F20004" s="68" t="s">
        <v>120</v>
      </c>
      <c r="G20004" s="67" t="s">
        <v>738</v>
      </c>
      <c r="H20004" s="69">
        <v>-0.89500000000000002</v>
      </c>
    </row>
    <row r="20005" spans="6:8">
      <c r="F20005" s="68" t="s">
        <v>119</v>
      </c>
      <c r="G20005" s="67" t="s">
        <v>738</v>
      </c>
      <c r="H20005" s="69">
        <v>-0.75</v>
      </c>
    </row>
    <row r="20006" spans="6:8">
      <c r="F20006" s="68" t="s">
        <v>662</v>
      </c>
      <c r="G20006" s="67" t="s">
        <v>738</v>
      </c>
      <c r="H20006" s="69">
        <v>112.72922581</v>
      </c>
    </row>
    <row r="20007" spans="6:8">
      <c r="F20007" s="68" t="s">
        <v>420</v>
      </c>
      <c r="G20007" s="67" t="s">
        <v>738</v>
      </c>
      <c r="H20007" s="69">
        <v>3.1187867017573812</v>
      </c>
    </row>
    <row r="20008" spans="6:8">
      <c r="F20008" s="68" t="s">
        <v>420</v>
      </c>
      <c r="G20008" s="67" t="s">
        <v>739</v>
      </c>
      <c r="H20008" s="69">
        <v>3.1361016857996749</v>
      </c>
    </row>
    <row r="20009" spans="6:8">
      <c r="F20009" s="68" t="s">
        <v>662</v>
      </c>
      <c r="G20009" s="67" t="s">
        <v>739</v>
      </c>
      <c r="H20009" s="69">
        <v>112.59141485000001</v>
      </c>
    </row>
    <row r="20010" spans="6:8">
      <c r="F20010" s="68" t="s">
        <v>119</v>
      </c>
      <c r="G20010" s="67" t="s">
        <v>739</v>
      </c>
      <c r="H20010" s="69">
        <v>-0.75</v>
      </c>
    </row>
    <row r="20011" spans="6:8">
      <c r="F20011" s="68" t="s">
        <v>120</v>
      </c>
      <c r="G20011" s="67" t="s">
        <v>739</v>
      </c>
      <c r="H20011" s="69">
        <v>-0.89500000000000002</v>
      </c>
    </row>
    <row r="20012" spans="6:8">
      <c r="F20012" s="68" t="s">
        <v>121</v>
      </c>
      <c r="G20012" s="67" t="s">
        <v>739</v>
      </c>
      <c r="H20012" s="69">
        <v>-0.61499999999999999</v>
      </c>
    </row>
    <row r="20013" spans="6:8">
      <c r="F20013" s="68" t="s">
        <v>251</v>
      </c>
      <c r="G20013" s="67" t="s">
        <v>739</v>
      </c>
      <c r="H20013" s="69">
        <v>0.1842857142857143</v>
      </c>
    </row>
    <row r="20014" spans="6:8">
      <c r="F20014" s="68" t="s">
        <v>122</v>
      </c>
      <c r="G20014" s="67" t="s">
        <v>739</v>
      </c>
      <c r="H20014" s="69">
        <v>-0.77500000000000002</v>
      </c>
    </row>
    <row r="20015" spans="6:8">
      <c r="F20015" s="68" t="s">
        <v>123</v>
      </c>
      <c r="G20015" s="67" t="s">
        <v>739</v>
      </c>
      <c r="H20015" s="69">
        <v>-0.91999999999999993</v>
      </c>
    </row>
    <row r="20016" spans="6:8">
      <c r="F20016" s="68" t="s">
        <v>124</v>
      </c>
      <c r="G20016" s="67" t="s">
        <v>739</v>
      </c>
      <c r="H20016" s="69">
        <v>-0.505</v>
      </c>
    </row>
    <row r="20017" spans="6:8">
      <c r="F20017" s="68" t="s">
        <v>252</v>
      </c>
      <c r="G20017" s="67" t="s">
        <v>739</v>
      </c>
      <c r="H20017" s="69">
        <v>0.26142857142857145</v>
      </c>
    </row>
    <row r="20018" spans="6:8">
      <c r="F20018" s="68" t="s">
        <v>314</v>
      </c>
      <c r="G20018" s="67" t="s">
        <v>739</v>
      </c>
      <c r="H20018" s="69">
        <v>-0.42500000000000004</v>
      </c>
    </row>
    <row r="20019" spans="6:8">
      <c r="F20019" s="68" t="s">
        <v>663</v>
      </c>
      <c r="G20019" s="67" t="s">
        <v>739</v>
      </c>
      <c r="H20019" s="69">
        <v>112.59141485000001</v>
      </c>
    </row>
    <row r="20020" spans="6:8">
      <c r="F20020" s="68" t="s">
        <v>125</v>
      </c>
      <c r="G20020" s="67" t="s">
        <v>739</v>
      </c>
      <c r="H20020" s="69">
        <v>-0.42500000000000004</v>
      </c>
    </row>
    <row r="20021" spans="6:8">
      <c r="F20021" s="68" t="s">
        <v>126</v>
      </c>
      <c r="G20021" s="67" t="s">
        <v>739</v>
      </c>
      <c r="H20021" s="69">
        <v>-0.78</v>
      </c>
    </row>
    <row r="20022" spans="6:8">
      <c r="F20022" s="68" t="s">
        <v>127</v>
      </c>
      <c r="G20022" s="67" t="s">
        <v>739</v>
      </c>
      <c r="H20022" s="69">
        <v>-0.41000000000000003</v>
      </c>
    </row>
    <row r="20023" spans="6:8">
      <c r="F20023" s="68" t="s">
        <v>253</v>
      </c>
      <c r="G20023" s="67" t="s">
        <v>739</v>
      </c>
      <c r="H20023" s="69">
        <v>0.39999999999999997</v>
      </c>
    </row>
    <row r="20024" spans="6:8">
      <c r="F20024" s="68" t="s">
        <v>315</v>
      </c>
      <c r="G20024" s="67" t="s">
        <v>739</v>
      </c>
      <c r="H20024" s="69">
        <v>-0.19</v>
      </c>
    </row>
    <row r="20025" spans="6:8">
      <c r="F20025" s="68" t="s">
        <v>664</v>
      </c>
      <c r="G20025" s="67" t="s">
        <v>739</v>
      </c>
      <c r="H20025" s="69">
        <v>112.59141485000001</v>
      </c>
    </row>
    <row r="20026" spans="6:8">
      <c r="F20026" s="68" t="s">
        <v>128</v>
      </c>
      <c r="G20026" s="67" t="s">
        <v>739</v>
      </c>
      <c r="H20026" s="69">
        <v>-0.64500000000000002</v>
      </c>
    </row>
    <row r="20027" spans="6:8">
      <c r="F20027" s="68" t="s">
        <v>129</v>
      </c>
      <c r="G20027" s="67" t="s">
        <v>739</v>
      </c>
      <c r="H20027" s="69">
        <v>-0.7</v>
      </c>
    </row>
    <row r="20028" spans="6:8">
      <c r="F20028" s="68" t="s">
        <v>304</v>
      </c>
      <c r="G20028" s="67" t="s">
        <v>739</v>
      </c>
      <c r="H20028" s="69">
        <v>17.979166666666668</v>
      </c>
    </row>
    <row r="20029" spans="6:8">
      <c r="F20029" s="68" t="s">
        <v>254</v>
      </c>
      <c r="G20029" s="67" t="s">
        <v>739</v>
      </c>
      <c r="H20029" s="69">
        <v>0.55571428571428572</v>
      </c>
    </row>
    <row r="20030" spans="6:8">
      <c r="F20030" s="68" t="s">
        <v>421</v>
      </c>
      <c r="G20030" s="67" t="s">
        <v>739</v>
      </c>
      <c r="H20030" s="69">
        <v>2.1356461822808814</v>
      </c>
    </row>
    <row r="20031" spans="6:8">
      <c r="F20031" s="68" t="s">
        <v>567</v>
      </c>
      <c r="G20031" s="67" t="s">
        <v>739</v>
      </c>
      <c r="H20031" s="69">
        <v>-0.84</v>
      </c>
    </row>
    <row r="20032" spans="6:8">
      <c r="F20032" s="68" t="s">
        <v>665</v>
      </c>
      <c r="G20032" s="67" t="s">
        <v>739</v>
      </c>
      <c r="H20032" s="69">
        <v>112.59141485000001</v>
      </c>
    </row>
    <row r="20033" spans="6:8">
      <c r="F20033" s="68" t="s">
        <v>130</v>
      </c>
      <c r="G20033" s="67" t="s">
        <v>739</v>
      </c>
      <c r="H20033" s="69">
        <v>-0.8899999999999999</v>
      </c>
    </row>
    <row r="20034" spans="6:8">
      <c r="F20034" s="68" t="s">
        <v>131</v>
      </c>
      <c r="G20034" s="67" t="s">
        <v>739</v>
      </c>
      <c r="H20034" s="69">
        <v>-0.77500000000000002</v>
      </c>
    </row>
    <row r="20035" spans="6:8">
      <c r="F20035" s="68" t="s">
        <v>303</v>
      </c>
      <c r="G20035" s="67" t="s">
        <v>739</v>
      </c>
      <c r="H20035" s="69">
        <v>18.416666666666668</v>
      </c>
    </row>
    <row r="20036" spans="6:8">
      <c r="F20036" s="68" t="s">
        <v>255</v>
      </c>
      <c r="G20036" s="67" t="s">
        <v>739</v>
      </c>
      <c r="H20036" s="69">
        <v>0.70571428571428574</v>
      </c>
    </row>
    <row r="20037" spans="6:8">
      <c r="F20037" s="68" t="s">
        <v>422</v>
      </c>
      <c r="G20037" s="67" t="s">
        <v>739</v>
      </c>
      <c r="H20037" s="69">
        <v>2.1412299222158371</v>
      </c>
    </row>
    <row r="20038" spans="6:8">
      <c r="F20038" s="68" t="s">
        <v>568</v>
      </c>
      <c r="G20038" s="67" t="s">
        <v>739</v>
      </c>
      <c r="H20038" s="69">
        <v>-0.54</v>
      </c>
    </row>
    <row r="20039" spans="6:8">
      <c r="F20039" s="68" t="s">
        <v>666</v>
      </c>
      <c r="G20039" s="67" t="s">
        <v>739</v>
      </c>
      <c r="H20039" s="69">
        <v>112.59141485000001</v>
      </c>
    </row>
    <row r="20040" spans="6:8">
      <c r="F20040" s="68" t="s">
        <v>132</v>
      </c>
      <c r="G20040" s="67" t="s">
        <v>739</v>
      </c>
      <c r="H20040" s="69">
        <v>-0.94</v>
      </c>
    </row>
    <row r="20041" spans="6:8">
      <c r="F20041" s="68" t="s">
        <v>133</v>
      </c>
      <c r="G20041" s="67" t="s">
        <v>739</v>
      </c>
      <c r="H20041" s="69">
        <v>-0.61</v>
      </c>
    </row>
    <row r="20042" spans="6:8">
      <c r="F20042" s="68" t="s">
        <v>256</v>
      </c>
      <c r="G20042" s="67" t="s">
        <v>739</v>
      </c>
      <c r="H20042" s="69">
        <v>0.81428571428571428</v>
      </c>
    </row>
    <row r="20043" spans="6:8">
      <c r="F20043" s="68" t="s">
        <v>423</v>
      </c>
      <c r="G20043" s="67" t="s">
        <v>739</v>
      </c>
      <c r="H20043" s="69">
        <v>2.3254119731354717</v>
      </c>
    </row>
    <row r="20044" spans="6:8">
      <c r="F20044" s="68" t="s">
        <v>569</v>
      </c>
      <c r="G20044" s="67" t="s">
        <v>739</v>
      </c>
      <c r="H20044" s="69">
        <v>-0.19500000000000001</v>
      </c>
    </row>
    <row r="20045" spans="6:8">
      <c r="F20045" s="68" t="s">
        <v>667</v>
      </c>
      <c r="G20045" s="67" t="s">
        <v>739</v>
      </c>
      <c r="H20045" s="69">
        <v>112.59141485000001</v>
      </c>
    </row>
    <row r="20046" spans="6:8">
      <c r="F20046" s="68" t="s">
        <v>424</v>
      </c>
      <c r="G20046" s="67" t="s">
        <v>739</v>
      </c>
      <c r="H20046" s="69">
        <v>2.7860900185590065</v>
      </c>
    </row>
    <row r="20047" spans="6:8">
      <c r="F20047" s="68" t="s">
        <v>668</v>
      </c>
      <c r="G20047" s="67" t="s">
        <v>739</v>
      </c>
      <c r="H20047" s="69">
        <v>112.59141485000001</v>
      </c>
    </row>
    <row r="20048" spans="6:8">
      <c r="F20048" s="68" t="s">
        <v>134</v>
      </c>
      <c r="G20048" s="67" t="s">
        <v>739</v>
      </c>
      <c r="H20048" s="69">
        <v>-1.0350000000000001</v>
      </c>
    </row>
    <row r="20049" spans="6:8">
      <c r="F20049" s="68" t="s">
        <v>135</v>
      </c>
      <c r="G20049" s="67" t="s">
        <v>739</v>
      </c>
      <c r="H20049" s="69">
        <v>-0.54</v>
      </c>
    </row>
    <row r="20050" spans="6:8">
      <c r="F20050" s="68" t="s">
        <v>257</v>
      </c>
      <c r="G20050" s="67" t="s">
        <v>739</v>
      </c>
      <c r="H20050" s="69">
        <v>0.87666666666666659</v>
      </c>
    </row>
    <row r="20051" spans="6:8">
      <c r="F20051" s="68" t="s">
        <v>258</v>
      </c>
      <c r="G20051" s="67" t="s">
        <v>739</v>
      </c>
      <c r="H20051" s="69">
        <v>0.15</v>
      </c>
    </row>
    <row r="20052" spans="6:8">
      <c r="F20052" s="68" t="s">
        <v>425</v>
      </c>
      <c r="G20052" s="67" t="s">
        <v>739</v>
      </c>
      <c r="H20052" s="69">
        <v>2.7685175969727638</v>
      </c>
    </row>
    <row r="20053" spans="6:8">
      <c r="F20053" s="68" t="s">
        <v>669</v>
      </c>
      <c r="G20053" s="67" t="s">
        <v>739</v>
      </c>
      <c r="H20053" s="69">
        <v>112.59141485000001</v>
      </c>
    </row>
    <row r="20054" spans="6:8">
      <c r="F20054" s="68" t="s">
        <v>136</v>
      </c>
      <c r="G20054" s="67" t="s">
        <v>739</v>
      </c>
      <c r="H20054" s="69">
        <v>-0.92500000000000004</v>
      </c>
    </row>
    <row r="20055" spans="6:8">
      <c r="F20055" s="68" t="s">
        <v>137</v>
      </c>
      <c r="G20055" s="67" t="s">
        <v>739</v>
      </c>
      <c r="H20055" s="69">
        <v>-0.85000000000000009</v>
      </c>
    </row>
    <row r="20056" spans="6:8">
      <c r="F20056" s="68" t="s">
        <v>138</v>
      </c>
      <c r="G20056" s="67" t="s">
        <v>739</v>
      </c>
      <c r="H20056" s="69">
        <v>-0.70499999999999996</v>
      </c>
    </row>
    <row r="20057" spans="6:8">
      <c r="F20057" s="68" t="s">
        <v>259</v>
      </c>
      <c r="G20057" s="67" t="s">
        <v>739</v>
      </c>
      <c r="H20057" s="69">
        <v>0.15</v>
      </c>
    </row>
    <row r="20058" spans="6:8">
      <c r="F20058" s="68" t="s">
        <v>259</v>
      </c>
      <c r="G20058" s="67" t="s">
        <v>740</v>
      </c>
      <c r="H20058" s="69">
        <v>0.15</v>
      </c>
    </row>
    <row r="20059" spans="6:8">
      <c r="F20059" s="68" t="s">
        <v>138</v>
      </c>
      <c r="G20059" s="67" t="s">
        <v>740</v>
      </c>
      <c r="H20059" s="69">
        <v>-0.70499999999999996</v>
      </c>
    </row>
    <row r="20060" spans="6:8">
      <c r="F20060" s="68" t="s">
        <v>137</v>
      </c>
      <c r="G20060" s="67" t="s">
        <v>740</v>
      </c>
      <c r="H20060" s="69">
        <v>-0.85000000000000009</v>
      </c>
    </row>
    <row r="20061" spans="6:8">
      <c r="F20061" s="68" t="s">
        <v>136</v>
      </c>
      <c r="G20061" s="67" t="s">
        <v>740</v>
      </c>
      <c r="H20061" s="69">
        <v>-0.92500000000000004</v>
      </c>
    </row>
    <row r="20062" spans="6:8">
      <c r="F20062" s="68" t="s">
        <v>669</v>
      </c>
      <c r="G20062" s="67" t="s">
        <v>740</v>
      </c>
      <c r="H20062" s="69">
        <v>112.53171842</v>
      </c>
    </row>
    <row r="20063" spans="6:8">
      <c r="F20063" s="68" t="s">
        <v>425</v>
      </c>
      <c r="G20063" s="67" t="s">
        <v>740</v>
      </c>
      <c r="H20063" s="69">
        <v>2.7737863632448345</v>
      </c>
    </row>
    <row r="20064" spans="6:8">
      <c r="F20064" s="68" t="s">
        <v>258</v>
      </c>
      <c r="G20064" s="67" t="s">
        <v>740</v>
      </c>
      <c r="H20064" s="69">
        <v>0.15</v>
      </c>
    </row>
    <row r="20065" spans="6:8">
      <c r="F20065" s="68" t="s">
        <v>257</v>
      </c>
      <c r="G20065" s="67" t="s">
        <v>740</v>
      </c>
      <c r="H20065" s="69">
        <v>0.87666666666666659</v>
      </c>
    </row>
    <row r="20066" spans="6:8">
      <c r="F20066" s="68" t="s">
        <v>135</v>
      </c>
      <c r="G20066" s="67" t="s">
        <v>740</v>
      </c>
      <c r="H20066" s="69">
        <v>-0.54</v>
      </c>
    </row>
    <row r="20067" spans="6:8">
      <c r="F20067" s="68" t="s">
        <v>134</v>
      </c>
      <c r="G20067" s="67" t="s">
        <v>740</v>
      </c>
      <c r="H20067" s="69">
        <v>-1.0350000000000001</v>
      </c>
    </row>
    <row r="20068" spans="6:8">
      <c r="F20068" s="68" t="s">
        <v>668</v>
      </c>
      <c r="G20068" s="67" t="s">
        <v>740</v>
      </c>
      <c r="H20068" s="69">
        <v>112.53171842</v>
      </c>
    </row>
    <row r="20069" spans="6:8">
      <c r="F20069" s="68" t="s">
        <v>424</v>
      </c>
      <c r="G20069" s="67" t="s">
        <v>740</v>
      </c>
      <c r="H20069" s="69">
        <v>2.7927580088234816</v>
      </c>
    </row>
    <row r="20070" spans="6:8">
      <c r="F20070" s="68" t="s">
        <v>667</v>
      </c>
      <c r="G20070" s="67" t="s">
        <v>740</v>
      </c>
      <c r="H20070" s="69">
        <v>112.53171842</v>
      </c>
    </row>
    <row r="20071" spans="6:8">
      <c r="F20071" s="68" t="s">
        <v>569</v>
      </c>
      <c r="G20071" s="67" t="s">
        <v>740</v>
      </c>
      <c r="H20071" s="69">
        <v>-0.19500000000000001</v>
      </c>
    </row>
    <row r="20072" spans="6:8">
      <c r="F20072" s="68" t="s">
        <v>423</v>
      </c>
      <c r="G20072" s="67" t="s">
        <v>740</v>
      </c>
      <c r="H20072" s="69">
        <v>2.3383164830243164</v>
      </c>
    </row>
    <row r="20073" spans="6:8">
      <c r="F20073" s="68" t="s">
        <v>256</v>
      </c>
      <c r="G20073" s="67" t="s">
        <v>740</v>
      </c>
      <c r="H20073" s="69">
        <v>0.81428571428571428</v>
      </c>
    </row>
    <row r="20074" spans="6:8">
      <c r="F20074" s="68" t="s">
        <v>133</v>
      </c>
      <c r="G20074" s="67" t="s">
        <v>740</v>
      </c>
      <c r="H20074" s="69">
        <v>-0.61</v>
      </c>
    </row>
    <row r="20075" spans="6:8">
      <c r="F20075" s="68" t="s">
        <v>132</v>
      </c>
      <c r="G20075" s="67" t="s">
        <v>740</v>
      </c>
      <c r="H20075" s="69">
        <v>-0.94</v>
      </c>
    </row>
    <row r="20076" spans="6:8">
      <c r="F20076" s="68" t="s">
        <v>666</v>
      </c>
      <c r="G20076" s="67" t="s">
        <v>740</v>
      </c>
      <c r="H20076" s="69">
        <v>112.53171842</v>
      </c>
    </row>
    <row r="20077" spans="6:8">
      <c r="F20077" s="68" t="s">
        <v>568</v>
      </c>
      <c r="G20077" s="67" t="s">
        <v>740</v>
      </c>
      <c r="H20077" s="69">
        <v>-0.54</v>
      </c>
    </row>
    <row r="20078" spans="6:8">
      <c r="F20078" s="68" t="s">
        <v>422</v>
      </c>
      <c r="G20078" s="67" t="s">
        <v>740</v>
      </c>
      <c r="H20078" s="69">
        <v>2.1485263635577123</v>
      </c>
    </row>
    <row r="20079" spans="6:8">
      <c r="F20079" s="68" t="s">
        <v>255</v>
      </c>
      <c r="G20079" s="67" t="s">
        <v>740</v>
      </c>
      <c r="H20079" s="69">
        <v>0.70571428571428574</v>
      </c>
    </row>
    <row r="20080" spans="6:8">
      <c r="F20080" s="68" t="s">
        <v>303</v>
      </c>
      <c r="G20080" s="67" t="s">
        <v>740</v>
      </c>
      <c r="H20080" s="69">
        <v>18.4375</v>
      </c>
    </row>
    <row r="20081" spans="6:8">
      <c r="F20081" s="68" t="s">
        <v>131</v>
      </c>
      <c r="G20081" s="67" t="s">
        <v>740</v>
      </c>
      <c r="H20081" s="69">
        <v>-0.77500000000000002</v>
      </c>
    </row>
    <row r="20082" spans="6:8">
      <c r="F20082" s="68" t="s">
        <v>130</v>
      </c>
      <c r="G20082" s="67" t="s">
        <v>740</v>
      </c>
      <c r="H20082" s="69">
        <v>-0.8899999999999999</v>
      </c>
    </row>
    <row r="20083" spans="6:8">
      <c r="F20083" s="68" t="s">
        <v>665</v>
      </c>
      <c r="G20083" s="67" t="s">
        <v>740</v>
      </c>
      <c r="H20083" s="69">
        <v>112.53171842</v>
      </c>
    </row>
    <row r="20084" spans="6:8">
      <c r="F20084" s="68" t="s">
        <v>567</v>
      </c>
      <c r="G20084" s="67" t="s">
        <v>740</v>
      </c>
      <c r="H20084" s="69">
        <v>-0.84</v>
      </c>
    </row>
    <row r="20085" spans="6:8">
      <c r="F20085" s="68" t="s">
        <v>421</v>
      </c>
      <c r="G20085" s="67" t="s">
        <v>740</v>
      </c>
      <c r="H20085" s="69">
        <v>2.1428572793760203</v>
      </c>
    </row>
    <row r="20086" spans="6:8">
      <c r="F20086" s="68" t="s">
        <v>254</v>
      </c>
      <c r="G20086" s="67" t="s">
        <v>740</v>
      </c>
      <c r="H20086" s="69">
        <v>0.55571428571428572</v>
      </c>
    </row>
    <row r="20087" spans="6:8">
      <c r="F20087" s="68" t="s">
        <v>304</v>
      </c>
      <c r="G20087" s="67" t="s">
        <v>740</v>
      </c>
      <c r="H20087" s="69">
        <v>18.010416666666668</v>
      </c>
    </row>
    <row r="20088" spans="6:8">
      <c r="F20088" s="68" t="s">
        <v>129</v>
      </c>
      <c r="G20088" s="67" t="s">
        <v>740</v>
      </c>
      <c r="H20088" s="69">
        <v>-0.7</v>
      </c>
    </row>
    <row r="20089" spans="6:8">
      <c r="F20089" s="68" t="s">
        <v>128</v>
      </c>
      <c r="G20089" s="67" t="s">
        <v>740</v>
      </c>
      <c r="H20089" s="69">
        <v>-0.64500000000000002</v>
      </c>
    </row>
    <row r="20090" spans="6:8">
      <c r="F20090" s="68" t="s">
        <v>664</v>
      </c>
      <c r="G20090" s="67" t="s">
        <v>740</v>
      </c>
      <c r="H20090" s="69">
        <v>112.53171842</v>
      </c>
    </row>
    <row r="20091" spans="6:8">
      <c r="F20091" s="68" t="s">
        <v>315</v>
      </c>
      <c r="G20091" s="67" t="s">
        <v>740</v>
      </c>
      <c r="H20091" s="69">
        <v>-0.19</v>
      </c>
    </row>
    <row r="20092" spans="6:8">
      <c r="F20092" s="68" t="s">
        <v>253</v>
      </c>
      <c r="G20092" s="67" t="s">
        <v>740</v>
      </c>
      <c r="H20092" s="69">
        <v>0.39999999999999997</v>
      </c>
    </row>
    <row r="20093" spans="6:8">
      <c r="F20093" s="68" t="s">
        <v>127</v>
      </c>
      <c r="G20093" s="67" t="s">
        <v>740</v>
      </c>
      <c r="H20093" s="69">
        <v>-0.41000000000000003</v>
      </c>
    </row>
    <row r="20094" spans="6:8">
      <c r="F20094" s="68" t="s">
        <v>126</v>
      </c>
      <c r="G20094" s="67" t="s">
        <v>740</v>
      </c>
      <c r="H20094" s="69">
        <v>-0.78</v>
      </c>
    </row>
    <row r="20095" spans="6:8">
      <c r="F20095" s="68" t="s">
        <v>125</v>
      </c>
      <c r="G20095" s="67" t="s">
        <v>740</v>
      </c>
      <c r="H20095" s="69">
        <v>-0.42500000000000004</v>
      </c>
    </row>
    <row r="20096" spans="6:8">
      <c r="F20096" s="68" t="s">
        <v>663</v>
      </c>
      <c r="G20096" s="67" t="s">
        <v>740</v>
      </c>
      <c r="H20096" s="69">
        <v>112.53171842</v>
      </c>
    </row>
    <row r="20097" spans="6:8">
      <c r="F20097" s="68" t="s">
        <v>314</v>
      </c>
      <c r="G20097" s="67" t="s">
        <v>740</v>
      </c>
      <c r="H20097" s="69">
        <v>-0.42500000000000004</v>
      </c>
    </row>
    <row r="20098" spans="6:8">
      <c r="F20098" s="68" t="s">
        <v>252</v>
      </c>
      <c r="G20098" s="67" t="s">
        <v>740</v>
      </c>
      <c r="H20098" s="69">
        <v>0.26142857142857145</v>
      </c>
    </row>
    <row r="20099" spans="6:8">
      <c r="F20099" s="68" t="s">
        <v>124</v>
      </c>
      <c r="G20099" s="67" t="s">
        <v>740</v>
      </c>
      <c r="H20099" s="69">
        <v>-0.505</v>
      </c>
    </row>
    <row r="20100" spans="6:8">
      <c r="F20100" s="68" t="s">
        <v>123</v>
      </c>
      <c r="G20100" s="67" t="s">
        <v>740</v>
      </c>
      <c r="H20100" s="69">
        <v>-0.91999999999999993</v>
      </c>
    </row>
    <row r="20101" spans="6:8">
      <c r="F20101" s="68" t="s">
        <v>122</v>
      </c>
      <c r="G20101" s="67" t="s">
        <v>740</v>
      </c>
      <c r="H20101" s="69">
        <v>-0.77500000000000002</v>
      </c>
    </row>
    <row r="20102" spans="6:8">
      <c r="F20102" s="68" t="s">
        <v>251</v>
      </c>
      <c r="G20102" s="67" t="s">
        <v>740</v>
      </c>
      <c r="H20102" s="69">
        <v>0.1842857142857143</v>
      </c>
    </row>
    <row r="20103" spans="6:8">
      <c r="F20103" s="68" t="s">
        <v>121</v>
      </c>
      <c r="G20103" s="67" t="s">
        <v>740</v>
      </c>
      <c r="H20103" s="69">
        <v>-0.61499999999999999</v>
      </c>
    </row>
    <row r="20104" spans="6:8">
      <c r="F20104" s="68" t="s">
        <v>120</v>
      </c>
      <c r="G20104" s="67" t="s">
        <v>740</v>
      </c>
      <c r="H20104" s="69">
        <v>-0.89500000000000002</v>
      </c>
    </row>
    <row r="20105" spans="6:8">
      <c r="F20105" s="68" t="s">
        <v>119</v>
      </c>
      <c r="G20105" s="67" t="s">
        <v>740</v>
      </c>
      <c r="H20105" s="69">
        <v>-0.75</v>
      </c>
    </row>
    <row r="20106" spans="6:8">
      <c r="F20106" s="68" t="s">
        <v>662</v>
      </c>
      <c r="G20106" s="67" t="s">
        <v>740</v>
      </c>
      <c r="H20106" s="69">
        <v>112.53171842</v>
      </c>
    </row>
    <row r="20107" spans="6:8">
      <c r="F20107" s="68" t="s">
        <v>420</v>
      </c>
      <c r="G20107" s="67" t="s">
        <v>740</v>
      </c>
      <c r="H20107" s="69">
        <v>3.1408024553375213</v>
      </c>
    </row>
    <row r="20108" spans="6:8">
      <c r="F20108" s="68" t="s">
        <v>420</v>
      </c>
      <c r="G20108" s="67" t="s">
        <v>741</v>
      </c>
      <c r="H20108" s="69">
        <v>3.1229781964000836</v>
      </c>
    </row>
    <row r="20109" spans="6:8">
      <c r="F20109" s="68" t="s">
        <v>662</v>
      </c>
      <c r="G20109" s="67" t="s">
        <v>741</v>
      </c>
      <c r="H20109" s="69">
        <v>112.5869812</v>
      </c>
    </row>
    <row r="20110" spans="6:8">
      <c r="F20110" s="68" t="s">
        <v>119</v>
      </c>
      <c r="G20110" s="67" t="s">
        <v>741</v>
      </c>
      <c r="H20110" s="69">
        <v>-0.75</v>
      </c>
    </row>
    <row r="20111" spans="6:8">
      <c r="F20111" s="68" t="s">
        <v>120</v>
      </c>
      <c r="G20111" s="67" t="s">
        <v>741</v>
      </c>
      <c r="H20111" s="69">
        <v>-0.89500000000000002</v>
      </c>
    </row>
    <row r="20112" spans="6:8">
      <c r="F20112" s="68" t="s">
        <v>121</v>
      </c>
      <c r="G20112" s="67" t="s">
        <v>741</v>
      </c>
      <c r="H20112" s="69">
        <v>-0.61499999999999999</v>
      </c>
    </row>
    <row r="20113" spans="6:8">
      <c r="F20113" s="68" t="s">
        <v>251</v>
      </c>
      <c r="G20113" s="67" t="s">
        <v>741</v>
      </c>
      <c r="H20113" s="69">
        <v>0.1842857142857143</v>
      </c>
    </row>
    <row r="20114" spans="6:8">
      <c r="F20114" s="68" t="s">
        <v>122</v>
      </c>
      <c r="G20114" s="67" t="s">
        <v>741</v>
      </c>
      <c r="H20114" s="69">
        <v>-0.77500000000000002</v>
      </c>
    </row>
    <row r="20115" spans="6:8">
      <c r="F20115" s="68" t="s">
        <v>123</v>
      </c>
      <c r="G20115" s="67" t="s">
        <v>741</v>
      </c>
      <c r="H20115" s="69">
        <v>-0.91999999999999993</v>
      </c>
    </row>
    <row r="20116" spans="6:8">
      <c r="F20116" s="68" t="s">
        <v>124</v>
      </c>
      <c r="G20116" s="67" t="s">
        <v>741</v>
      </c>
      <c r="H20116" s="69">
        <v>-0.505</v>
      </c>
    </row>
    <row r="20117" spans="6:8">
      <c r="F20117" s="68" t="s">
        <v>252</v>
      </c>
      <c r="G20117" s="67" t="s">
        <v>741</v>
      </c>
      <c r="H20117" s="69">
        <v>0.26142857142857145</v>
      </c>
    </row>
    <row r="20118" spans="6:8">
      <c r="F20118" s="68" t="s">
        <v>314</v>
      </c>
      <c r="G20118" s="67" t="s">
        <v>741</v>
      </c>
      <c r="H20118" s="69">
        <v>-0.42500000000000004</v>
      </c>
    </row>
    <row r="20119" spans="6:8">
      <c r="F20119" s="68" t="s">
        <v>663</v>
      </c>
      <c r="G20119" s="67" t="s">
        <v>741</v>
      </c>
      <c r="H20119" s="69">
        <v>112.5869812</v>
      </c>
    </row>
    <row r="20120" spans="6:8">
      <c r="F20120" s="68" t="s">
        <v>125</v>
      </c>
      <c r="G20120" s="67" t="s">
        <v>741</v>
      </c>
      <c r="H20120" s="69">
        <v>-0.42500000000000004</v>
      </c>
    </row>
    <row r="20121" spans="6:8">
      <c r="F20121" s="68" t="s">
        <v>126</v>
      </c>
      <c r="G20121" s="67" t="s">
        <v>741</v>
      </c>
      <c r="H20121" s="69">
        <v>-0.78</v>
      </c>
    </row>
    <row r="20122" spans="6:8">
      <c r="F20122" s="68" t="s">
        <v>127</v>
      </c>
      <c r="G20122" s="67" t="s">
        <v>741</v>
      </c>
      <c r="H20122" s="69">
        <v>-0.41000000000000003</v>
      </c>
    </row>
    <row r="20123" spans="6:8">
      <c r="F20123" s="68" t="s">
        <v>253</v>
      </c>
      <c r="G20123" s="67" t="s">
        <v>741</v>
      </c>
      <c r="H20123" s="69">
        <v>0.39999999999999997</v>
      </c>
    </row>
    <row r="20124" spans="6:8">
      <c r="F20124" s="68" t="s">
        <v>315</v>
      </c>
      <c r="G20124" s="67" t="s">
        <v>741</v>
      </c>
      <c r="H20124" s="69">
        <v>-0.19</v>
      </c>
    </row>
    <row r="20125" spans="6:8">
      <c r="F20125" s="68" t="s">
        <v>664</v>
      </c>
      <c r="G20125" s="67" t="s">
        <v>741</v>
      </c>
      <c r="H20125" s="69">
        <v>112.5869812</v>
      </c>
    </row>
    <row r="20126" spans="6:8">
      <c r="F20126" s="68" t="s">
        <v>128</v>
      </c>
      <c r="G20126" s="67" t="s">
        <v>741</v>
      </c>
      <c r="H20126" s="69">
        <v>-0.64500000000000002</v>
      </c>
    </row>
    <row r="20127" spans="6:8">
      <c r="F20127" s="68" t="s">
        <v>129</v>
      </c>
      <c r="G20127" s="67" t="s">
        <v>741</v>
      </c>
      <c r="H20127" s="69">
        <v>-0.7</v>
      </c>
    </row>
    <row r="20128" spans="6:8">
      <c r="F20128" s="68" t="s">
        <v>304</v>
      </c>
      <c r="G20128" s="67" t="s">
        <v>741</v>
      </c>
      <c r="H20128" s="69">
        <v>17.979166666666668</v>
      </c>
    </row>
    <row r="20129" spans="6:8">
      <c r="F20129" s="68" t="s">
        <v>254</v>
      </c>
      <c r="G20129" s="67" t="s">
        <v>741</v>
      </c>
      <c r="H20129" s="69">
        <v>0.55714285714285716</v>
      </c>
    </row>
    <row r="20130" spans="6:8">
      <c r="F20130" s="68" t="s">
        <v>421</v>
      </c>
      <c r="G20130" s="67" t="s">
        <v>741</v>
      </c>
      <c r="H20130" s="69">
        <v>2.1233864188014095</v>
      </c>
    </row>
    <row r="20131" spans="6:8">
      <c r="F20131" s="68" t="s">
        <v>567</v>
      </c>
      <c r="G20131" s="67" t="s">
        <v>741</v>
      </c>
      <c r="H20131" s="69">
        <v>-0.84</v>
      </c>
    </row>
    <row r="20132" spans="6:8">
      <c r="F20132" s="68" t="s">
        <v>665</v>
      </c>
      <c r="G20132" s="67" t="s">
        <v>741</v>
      </c>
      <c r="H20132" s="69">
        <v>112.5869812</v>
      </c>
    </row>
    <row r="20133" spans="6:8">
      <c r="F20133" s="68" t="s">
        <v>130</v>
      </c>
      <c r="G20133" s="67" t="s">
        <v>741</v>
      </c>
      <c r="H20133" s="69">
        <v>-0.8899999999999999</v>
      </c>
    </row>
    <row r="20134" spans="6:8">
      <c r="F20134" s="68" t="s">
        <v>131</v>
      </c>
      <c r="G20134" s="67" t="s">
        <v>741</v>
      </c>
      <c r="H20134" s="69">
        <v>-0.77500000000000002</v>
      </c>
    </row>
    <row r="20135" spans="6:8">
      <c r="F20135" s="68" t="s">
        <v>303</v>
      </c>
      <c r="G20135" s="67" t="s">
        <v>741</v>
      </c>
      <c r="H20135" s="69">
        <v>18.34375</v>
      </c>
    </row>
    <row r="20136" spans="6:8">
      <c r="F20136" s="68" t="s">
        <v>255</v>
      </c>
      <c r="G20136" s="67" t="s">
        <v>741</v>
      </c>
      <c r="H20136" s="69">
        <v>0.70571428571428574</v>
      </c>
    </row>
    <row r="20137" spans="6:8">
      <c r="F20137" s="68" t="s">
        <v>422</v>
      </c>
      <c r="G20137" s="67" t="s">
        <v>741</v>
      </c>
      <c r="H20137" s="69">
        <v>2.1290372537453806</v>
      </c>
    </row>
    <row r="20138" spans="6:8">
      <c r="F20138" s="68" t="s">
        <v>568</v>
      </c>
      <c r="G20138" s="67" t="s">
        <v>741</v>
      </c>
      <c r="H20138" s="69">
        <v>-0.54</v>
      </c>
    </row>
    <row r="20139" spans="6:8">
      <c r="F20139" s="68" t="s">
        <v>666</v>
      </c>
      <c r="G20139" s="67" t="s">
        <v>741</v>
      </c>
      <c r="H20139" s="69">
        <v>112.5869812</v>
      </c>
    </row>
    <row r="20140" spans="6:8">
      <c r="F20140" s="68" t="s">
        <v>132</v>
      </c>
      <c r="G20140" s="67" t="s">
        <v>741</v>
      </c>
      <c r="H20140" s="69">
        <v>-0.94</v>
      </c>
    </row>
    <row r="20141" spans="6:8">
      <c r="F20141" s="68" t="s">
        <v>133</v>
      </c>
      <c r="G20141" s="67" t="s">
        <v>741</v>
      </c>
      <c r="H20141" s="69">
        <v>-0.61</v>
      </c>
    </row>
    <row r="20142" spans="6:8">
      <c r="F20142" s="68" t="s">
        <v>256</v>
      </c>
      <c r="G20142" s="67" t="s">
        <v>741</v>
      </c>
      <c r="H20142" s="69">
        <v>0.81571428571428573</v>
      </c>
    </row>
    <row r="20143" spans="6:8">
      <c r="F20143" s="68" t="s">
        <v>423</v>
      </c>
      <c r="G20143" s="67" t="s">
        <v>741</v>
      </c>
      <c r="H20143" s="69">
        <v>2.3198430700199335</v>
      </c>
    </row>
    <row r="20144" spans="6:8">
      <c r="F20144" s="68" t="s">
        <v>569</v>
      </c>
      <c r="G20144" s="67" t="s">
        <v>741</v>
      </c>
      <c r="H20144" s="69">
        <v>-0.19500000000000001</v>
      </c>
    </row>
    <row r="20145" spans="6:8">
      <c r="F20145" s="68" t="s">
        <v>667</v>
      </c>
      <c r="G20145" s="67" t="s">
        <v>741</v>
      </c>
      <c r="H20145" s="69">
        <v>112.5869812</v>
      </c>
    </row>
    <row r="20146" spans="6:8">
      <c r="F20146" s="68" t="s">
        <v>424</v>
      </c>
      <c r="G20146" s="67" t="s">
        <v>741</v>
      </c>
      <c r="H20146" s="69">
        <v>2.7738960005215585</v>
      </c>
    </row>
    <row r="20147" spans="6:8">
      <c r="F20147" s="68" t="s">
        <v>668</v>
      </c>
      <c r="G20147" s="67" t="s">
        <v>741</v>
      </c>
      <c r="H20147" s="69">
        <v>112.5869812</v>
      </c>
    </row>
    <row r="20148" spans="6:8">
      <c r="F20148" s="68" t="s">
        <v>134</v>
      </c>
      <c r="G20148" s="67" t="s">
        <v>741</v>
      </c>
      <c r="H20148" s="69">
        <v>-1.0350000000000001</v>
      </c>
    </row>
    <row r="20149" spans="6:8">
      <c r="F20149" s="68" t="s">
        <v>135</v>
      </c>
      <c r="G20149" s="67" t="s">
        <v>741</v>
      </c>
      <c r="H20149" s="69">
        <v>-0.54</v>
      </c>
    </row>
    <row r="20150" spans="6:8">
      <c r="F20150" s="68" t="s">
        <v>257</v>
      </c>
      <c r="G20150" s="67" t="s">
        <v>741</v>
      </c>
      <c r="H20150" s="69">
        <v>0.87833333333333341</v>
      </c>
    </row>
    <row r="20151" spans="6:8">
      <c r="F20151" s="68" t="s">
        <v>258</v>
      </c>
      <c r="G20151" s="67" t="s">
        <v>741</v>
      </c>
      <c r="H20151" s="69">
        <v>0.15</v>
      </c>
    </row>
    <row r="20152" spans="6:8">
      <c r="F20152" s="68" t="s">
        <v>425</v>
      </c>
      <c r="G20152" s="67" t="s">
        <v>741</v>
      </c>
      <c r="H20152" s="69">
        <v>2.751412368583539</v>
      </c>
    </row>
    <row r="20153" spans="6:8">
      <c r="F20153" s="68" t="s">
        <v>669</v>
      </c>
      <c r="G20153" s="67" t="s">
        <v>741</v>
      </c>
      <c r="H20153" s="69">
        <v>112.5869812</v>
      </c>
    </row>
    <row r="20154" spans="6:8">
      <c r="F20154" s="68" t="s">
        <v>136</v>
      </c>
      <c r="G20154" s="67" t="s">
        <v>741</v>
      </c>
      <c r="H20154" s="69">
        <v>-0.92500000000000004</v>
      </c>
    </row>
    <row r="20155" spans="6:8">
      <c r="F20155" s="68" t="s">
        <v>137</v>
      </c>
      <c r="G20155" s="67" t="s">
        <v>741</v>
      </c>
      <c r="H20155" s="69">
        <v>-0.85000000000000009</v>
      </c>
    </row>
    <row r="20156" spans="6:8">
      <c r="F20156" s="68" t="s">
        <v>138</v>
      </c>
      <c r="G20156" s="67" t="s">
        <v>741</v>
      </c>
      <c r="H20156" s="69">
        <v>-0.70499999999999996</v>
      </c>
    </row>
    <row r="20157" spans="6:8">
      <c r="F20157" s="68" t="s">
        <v>259</v>
      </c>
      <c r="G20157" s="67" t="s">
        <v>741</v>
      </c>
      <c r="H20157" s="69">
        <v>0.15</v>
      </c>
    </row>
    <row r="20158" spans="6:8">
      <c r="F20158" s="68" t="s">
        <v>259</v>
      </c>
      <c r="G20158" s="67" t="s">
        <v>742</v>
      </c>
      <c r="H20158" s="69">
        <v>0.15</v>
      </c>
    </row>
    <row r="20159" spans="6:8">
      <c r="F20159" s="68" t="s">
        <v>138</v>
      </c>
      <c r="G20159" s="67" t="s">
        <v>742</v>
      </c>
      <c r="H20159" s="69">
        <v>-0.70499999999999996</v>
      </c>
    </row>
    <row r="20160" spans="6:8">
      <c r="F20160" s="68" t="s">
        <v>137</v>
      </c>
      <c r="G20160" s="67" t="s">
        <v>742</v>
      </c>
      <c r="H20160" s="69">
        <v>-0.85000000000000009</v>
      </c>
    </row>
    <row r="20161" spans="6:8">
      <c r="F20161" s="68" t="s">
        <v>136</v>
      </c>
      <c r="G20161" s="67" t="s">
        <v>742</v>
      </c>
      <c r="H20161" s="69">
        <v>-0.92500000000000004</v>
      </c>
    </row>
    <row r="20162" spans="6:8">
      <c r="F20162" s="68" t="s">
        <v>669</v>
      </c>
      <c r="G20162" s="67" t="s">
        <v>742</v>
      </c>
      <c r="H20162" s="69">
        <v>111.6445298</v>
      </c>
    </row>
    <row r="20163" spans="6:8">
      <c r="F20163" s="68" t="s">
        <v>425</v>
      </c>
      <c r="G20163" s="67" t="s">
        <v>742</v>
      </c>
      <c r="H20163" s="69">
        <v>2.6826292908942673</v>
      </c>
    </row>
    <row r="20164" spans="6:8">
      <c r="F20164" s="68" t="s">
        <v>258</v>
      </c>
      <c r="G20164" s="67" t="s">
        <v>742</v>
      </c>
      <c r="H20164" s="69">
        <v>0.15</v>
      </c>
    </row>
    <row r="20165" spans="6:8">
      <c r="F20165" s="68" t="s">
        <v>257</v>
      </c>
      <c r="G20165" s="67" t="s">
        <v>742</v>
      </c>
      <c r="H20165" s="69">
        <v>0.87833333333333341</v>
      </c>
    </row>
    <row r="20166" spans="6:8">
      <c r="F20166" s="68" t="s">
        <v>135</v>
      </c>
      <c r="G20166" s="67" t="s">
        <v>742</v>
      </c>
      <c r="H20166" s="69">
        <v>-0.54</v>
      </c>
    </row>
    <row r="20167" spans="6:8">
      <c r="F20167" s="68" t="s">
        <v>134</v>
      </c>
      <c r="G20167" s="67" t="s">
        <v>742</v>
      </c>
      <c r="H20167" s="69">
        <v>-1.0350000000000001</v>
      </c>
    </row>
    <row r="20168" spans="6:8">
      <c r="F20168" s="68" t="s">
        <v>668</v>
      </c>
      <c r="G20168" s="67" t="s">
        <v>742</v>
      </c>
      <c r="H20168" s="69">
        <v>111.6445298</v>
      </c>
    </row>
    <row r="20169" spans="6:8">
      <c r="F20169" s="68" t="s">
        <v>424</v>
      </c>
      <c r="G20169" s="67" t="s">
        <v>742</v>
      </c>
      <c r="H20169" s="69">
        <v>2.711922574817871</v>
      </c>
    </row>
    <row r="20170" spans="6:8">
      <c r="F20170" s="68" t="s">
        <v>667</v>
      </c>
      <c r="G20170" s="67" t="s">
        <v>742</v>
      </c>
      <c r="H20170" s="69">
        <v>111.6445298</v>
      </c>
    </row>
    <row r="20171" spans="6:8">
      <c r="F20171" s="68" t="s">
        <v>569</v>
      </c>
      <c r="G20171" s="67" t="s">
        <v>742</v>
      </c>
      <c r="H20171" s="69">
        <v>-0.19500000000000001</v>
      </c>
    </row>
    <row r="20172" spans="6:8">
      <c r="F20172" s="68" t="s">
        <v>423</v>
      </c>
      <c r="G20172" s="67" t="s">
        <v>742</v>
      </c>
      <c r="H20172" s="69">
        <v>2.2751978403857898</v>
      </c>
    </row>
    <row r="20173" spans="6:8">
      <c r="F20173" s="68" t="s">
        <v>256</v>
      </c>
      <c r="G20173" s="67" t="s">
        <v>742</v>
      </c>
      <c r="H20173" s="69">
        <v>0.81571428571428573</v>
      </c>
    </row>
    <row r="20174" spans="6:8">
      <c r="F20174" s="68" t="s">
        <v>133</v>
      </c>
      <c r="G20174" s="67" t="s">
        <v>742</v>
      </c>
      <c r="H20174" s="69">
        <v>-0.61</v>
      </c>
    </row>
    <row r="20175" spans="6:8">
      <c r="F20175" s="68" t="s">
        <v>132</v>
      </c>
      <c r="G20175" s="67" t="s">
        <v>742</v>
      </c>
      <c r="H20175" s="69">
        <v>-0.94</v>
      </c>
    </row>
    <row r="20176" spans="6:8">
      <c r="F20176" s="68" t="s">
        <v>666</v>
      </c>
      <c r="G20176" s="67" t="s">
        <v>742</v>
      </c>
      <c r="H20176" s="69">
        <v>111.6445298</v>
      </c>
    </row>
    <row r="20177" spans="6:8">
      <c r="F20177" s="68" t="s">
        <v>568</v>
      </c>
      <c r="G20177" s="67" t="s">
        <v>742</v>
      </c>
      <c r="H20177" s="69">
        <v>-0.54</v>
      </c>
    </row>
    <row r="20178" spans="6:8">
      <c r="F20178" s="68" t="s">
        <v>422</v>
      </c>
      <c r="G20178" s="67" t="s">
        <v>742</v>
      </c>
      <c r="H20178" s="69">
        <v>2.0826145969127907</v>
      </c>
    </row>
    <row r="20179" spans="6:8">
      <c r="F20179" s="68" t="s">
        <v>255</v>
      </c>
      <c r="G20179" s="67" t="s">
        <v>742</v>
      </c>
      <c r="H20179" s="69">
        <v>0.70571428571428574</v>
      </c>
    </row>
    <row r="20180" spans="6:8">
      <c r="F20180" s="68" t="s">
        <v>303</v>
      </c>
      <c r="G20180" s="67" t="s">
        <v>742</v>
      </c>
      <c r="H20180" s="69">
        <v>18.145833333333332</v>
      </c>
    </row>
    <row r="20181" spans="6:8">
      <c r="F20181" s="68" t="s">
        <v>131</v>
      </c>
      <c r="G20181" s="67" t="s">
        <v>742</v>
      </c>
      <c r="H20181" s="69">
        <v>-0.77500000000000002</v>
      </c>
    </row>
    <row r="20182" spans="6:8">
      <c r="F20182" s="68" t="s">
        <v>130</v>
      </c>
      <c r="G20182" s="67" t="s">
        <v>742</v>
      </c>
      <c r="H20182" s="69">
        <v>-0.8899999999999999</v>
      </c>
    </row>
    <row r="20183" spans="6:8">
      <c r="F20183" s="68" t="s">
        <v>665</v>
      </c>
      <c r="G20183" s="67" t="s">
        <v>742</v>
      </c>
      <c r="H20183" s="69">
        <v>111.6445298</v>
      </c>
    </row>
    <row r="20184" spans="6:8">
      <c r="F20184" s="68" t="s">
        <v>567</v>
      </c>
      <c r="G20184" s="67" t="s">
        <v>742</v>
      </c>
      <c r="H20184" s="69">
        <v>-0.84</v>
      </c>
    </row>
    <row r="20185" spans="6:8">
      <c r="F20185" s="68" t="s">
        <v>421</v>
      </c>
      <c r="G20185" s="67" t="s">
        <v>742</v>
      </c>
      <c r="H20185" s="69">
        <v>2.0770544436883753</v>
      </c>
    </row>
    <row r="20186" spans="6:8">
      <c r="F20186" s="68" t="s">
        <v>254</v>
      </c>
      <c r="G20186" s="67" t="s">
        <v>742</v>
      </c>
      <c r="H20186" s="69">
        <v>0.55714285714285716</v>
      </c>
    </row>
    <row r="20187" spans="6:8">
      <c r="F20187" s="68" t="s">
        <v>304</v>
      </c>
      <c r="G20187" s="67" t="s">
        <v>742</v>
      </c>
      <c r="H20187" s="69">
        <v>17.875</v>
      </c>
    </row>
    <row r="20188" spans="6:8">
      <c r="F20188" s="68" t="s">
        <v>129</v>
      </c>
      <c r="G20188" s="67" t="s">
        <v>742</v>
      </c>
      <c r="H20188" s="69">
        <v>-0.7</v>
      </c>
    </row>
    <row r="20189" spans="6:8">
      <c r="F20189" s="68" t="s">
        <v>128</v>
      </c>
      <c r="G20189" s="67" t="s">
        <v>742</v>
      </c>
      <c r="H20189" s="69">
        <v>-0.64500000000000002</v>
      </c>
    </row>
    <row r="20190" spans="6:8">
      <c r="F20190" s="68" t="s">
        <v>664</v>
      </c>
      <c r="G20190" s="67" t="s">
        <v>742</v>
      </c>
      <c r="H20190" s="69">
        <v>111.6445298</v>
      </c>
    </row>
    <row r="20191" spans="6:8">
      <c r="F20191" s="68" t="s">
        <v>315</v>
      </c>
      <c r="G20191" s="67" t="s">
        <v>742</v>
      </c>
      <c r="H20191" s="69">
        <v>-0.19</v>
      </c>
    </row>
    <row r="20192" spans="6:8">
      <c r="F20192" s="68" t="s">
        <v>253</v>
      </c>
      <c r="G20192" s="67" t="s">
        <v>742</v>
      </c>
      <c r="H20192" s="69">
        <v>0.39999999999999997</v>
      </c>
    </row>
    <row r="20193" spans="6:8">
      <c r="F20193" s="68" t="s">
        <v>127</v>
      </c>
      <c r="G20193" s="67" t="s">
        <v>742</v>
      </c>
      <c r="H20193" s="69">
        <v>-0.41000000000000003</v>
      </c>
    </row>
    <row r="20194" spans="6:8">
      <c r="F20194" s="68" t="s">
        <v>126</v>
      </c>
      <c r="G20194" s="67" t="s">
        <v>742</v>
      </c>
      <c r="H20194" s="69">
        <v>-0.78</v>
      </c>
    </row>
    <row r="20195" spans="6:8">
      <c r="F20195" s="68" t="s">
        <v>125</v>
      </c>
      <c r="G20195" s="67" t="s">
        <v>742</v>
      </c>
      <c r="H20195" s="69">
        <v>-0.42500000000000004</v>
      </c>
    </row>
    <row r="20196" spans="6:8">
      <c r="F20196" s="68" t="s">
        <v>663</v>
      </c>
      <c r="G20196" s="67" t="s">
        <v>742</v>
      </c>
      <c r="H20196" s="69">
        <v>111.6445298</v>
      </c>
    </row>
    <row r="20197" spans="6:8">
      <c r="F20197" s="68" t="s">
        <v>314</v>
      </c>
      <c r="G20197" s="67" t="s">
        <v>742</v>
      </c>
      <c r="H20197" s="69">
        <v>-0.42500000000000004</v>
      </c>
    </row>
    <row r="20198" spans="6:8">
      <c r="F20198" s="68" t="s">
        <v>252</v>
      </c>
      <c r="G20198" s="67" t="s">
        <v>742</v>
      </c>
      <c r="H20198" s="69">
        <v>0.26142857142857145</v>
      </c>
    </row>
    <row r="20199" spans="6:8">
      <c r="F20199" s="68" t="s">
        <v>124</v>
      </c>
      <c r="G20199" s="67" t="s">
        <v>742</v>
      </c>
      <c r="H20199" s="69">
        <v>-0.505</v>
      </c>
    </row>
    <row r="20200" spans="6:8">
      <c r="F20200" s="68" t="s">
        <v>123</v>
      </c>
      <c r="G20200" s="67" t="s">
        <v>742</v>
      </c>
      <c r="H20200" s="69">
        <v>-0.91999999999999993</v>
      </c>
    </row>
    <row r="20201" spans="6:8">
      <c r="F20201" s="68" t="s">
        <v>122</v>
      </c>
      <c r="G20201" s="67" t="s">
        <v>742</v>
      </c>
      <c r="H20201" s="69">
        <v>-0.77500000000000002</v>
      </c>
    </row>
    <row r="20202" spans="6:8">
      <c r="F20202" s="68" t="s">
        <v>251</v>
      </c>
      <c r="G20202" s="67" t="s">
        <v>742</v>
      </c>
      <c r="H20202" s="69">
        <v>0.1842857142857143</v>
      </c>
    </row>
    <row r="20203" spans="6:8">
      <c r="F20203" s="68" t="s">
        <v>121</v>
      </c>
      <c r="G20203" s="67" t="s">
        <v>742</v>
      </c>
      <c r="H20203" s="69">
        <v>-0.61499999999999999</v>
      </c>
    </row>
    <row r="20204" spans="6:8">
      <c r="F20204" s="68" t="s">
        <v>120</v>
      </c>
      <c r="G20204" s="67" t="s">
        <v>742</v>
      </c>
      <c r="H20204" s="69">
        <v>-0.89500000000000002</v>
      </c>
    </row>
    <row r="20205" spans="6:8">
      <c r="F20205" s="68" t="s">
        <v>119</v>
      </c>
      <c r="G20205" s="67" t="s">
        <v>742</v>
      </c>
      <c r="H20205" s="69">
        <v>-0.75</v>
      </c>
    </row>
    <row r="20206" spans="6:8">
      <c r="F20206" s="68" t="s">
        <v>662</v>
      </c>
      <c r="G20206" s="67" t="s">
        <v>742</v>
      </c>
      <c r="H20206" s="69">
        <v>111.6445298</v>
      </c>
    </row>
    <row r="20207" spans="6:8">
      <c r="F20207" s="68" t="s">
        <v>420</v>
      </c>
      <c r="G20207" s="67" t="s">
        <v>742</v>
      </c>
      <c r="H20207" s="69">
        <v>3.0571656675314252</v>
      </c>
    </row>
    <row r="20208" spans="6:8">
      <c r="F20208" s="68" t="s">
        <v>420</v>
      </c>
      <c r="G20208" s="67" t="s">
        <v>743</v>
      </c>
      <c r="H20208" s="69">
        <v>3.0050263824266121</v>
      </c>
    </row>
    <row r="20209" spans="6:8">
      <c r="F20209" s="68" t="s">
        <v>662</v>
      </c>
      <c r="G20209" s="67" t="s">
        <v>743</v>
      </c>
      <c r="H20209" s="69">
        <v>111.63950678</v>
      </c>
    </row>
    <row r="20210" spans="6:8">
      <c r="F20210" s="68" t="s">
        <v>119</v>
      </c>
      <c r="G20210" s="67" t="s">
        <v>743</v>
      </c>
      <c r="H20210" s="69">
        <v>-0.75</v>
      </c>
    </row>
    <row r="20211" spans="6:8">
      <c r="F20211" s="68" t="s">
        <v>120</v>
      </c>
      <c r="G20211" s="67" t="s">
        <v>743</v>
      </c>
      <c r="H20211" s="69">
        <v>-0.89500000000000002</v>
      </c>
    </row>
    <row r="20212" spans="6:8">
      <c r="F20212" s="68" t="s">
        <v>121</v>
      </c>
      <c r="G20212" s="67" t="s">
        <v>743</v>
      </c>
      <c r="H20212" s="69">
        <v>-0.61499999999999999</v>
      </c>
    </row>
    <row r="20213" spans="6:8">
      <c r="F20213" s="68" t="s">
        <v>251</v>
      </c>
      <c r="G20213" s="67" t="s">
        <v>743</v>
      </c>
      <c r="H20213" s="69">
        <v>0.18142857142857144</v>
      </c>
    </row>
    <row r="20214" spans="6:8">
      <c r="F20214" s="68" t="s">
        <v>122</v>
      </c>
      <c r="G20214" s="67" t="s">
        <v>743</v>
      </c>
      <c r="H20214" s="69">
        <v>-0.77500000000000002</v>
      </c>
    </row>
    <row r="20215" spans="6:8">
      <c r="F20215" s="68" t="s">
        <v>123</v>
      </c>
      <c r="G20215" s="67" t="s">
        <v>743</v>
      </c>
      <c r="H20215" s="69">
        <v>-0.91999999999999993</v>
      </c>
    </row>
    <row r="20216" spans="6:8">
      <c r="F20216" s="68" t="s">
        <v>124</v>
      </c>
      <c r="G20216" s="67" t="s">
        <v>743</v>
      </c>
      <c r="H20216" s="69">
        <v>-0.505</v>
      </c>
    </row>
    <row r="20217" spans="6:8">
      <c r="F20217" s="68" t="s">
        <v>252</v>
      </c>
      <c r="G20217" s="67" t="s">
        <v>743</v>
      </c>
      <c r="H20217" s="69">
        <v>0.25428571428571428</v>
      </c>
    </row>
    <row r="20218" spans="6:8">
      <c r="F20218" s="68" t="s">
        <v>314</v>
      </c>
      <c r="G20218" s="67" t="s">
        <v>743</v>
      </c>
      <c r="H20218" s="69">
        <v>-0.42500000000000004</v>
      </c>
    </row>
    <row r="20219" spans="6:8">
      <c r="F20219" s="68" t="s">
        <v>663</v>
      </c>
      <c r="G20219" s="67" t="s">
        <v>743</v>
      </c>
      <c r="H20219" s="69">
        <v>111.63950678</v>
      </c>
    </row>
    <row r="20220" spans="6:8">
      <c r="F20220" s="68" t="s">
        <v>125</v>
      </c>
      <c r="G20220" s="67" t="s">
        <v>743</v>
      </c>
      <c r="H20220" s="69">
        <v>-0.42500000000000004</v>
      </c>
    </row>
    <row r="20221" spans="6:8">
      <c r="F20221" s="68" t="s">
        <v>126</v>
      </c>
      <c r="G20221" s="67" t="s">
        <v>743</v>
      </c>
      <c r="H20221" s="69">
        <v>-0.78</v>
      </c>
    </row>
    <row r="20222" spans="6:8">
      <c r="F20222" s="68" t="s">
        <v>127</v>
      </c>
      <c r="G20222" s="67" t="s">
        <v>743</v>
      </c>
      <c r="H20222" s="69">
        <v>-0.41000000000000003</v>
      </c>
    </row>
    <row r="20223" spans="6:8">
      <c r="F20223" s="68" t="s">
        <v>253</v>
      </c>
      <c r="G20223" s="67" t="s">
        <v>743</v>
      </c>
      <c r="H20223" s="69">
        <v>0.38714285714285707</v>
      </c>
    </row>
    <row r="20224" spans="6:8">
      <c r="F20224" s="68" t="s">
        <v>315</v>
      </c>
      <c r="G20224" s="67" t="s">
        <v>743</v>
      </c>
      <c r="H20224" s="69">
        <v>-0.19</v>
      </c>
    </row>
    <row r="20225" spans="6:8">
      <c r="F20225" s="68" t="s">
        <v>664</v>
      </c>
      <c r="G20225" s="67" t="s">
        <v>743</v>
      </c>
      <c r="H20225" s="69">
        <v>111.63950678</v>
      </c>
    </row>
    <row r="20226" spans="6:8">
      <c r="F20226" s="68" t="s">
        <v>128</v>
      </c>
      <c r="G20226" s="67" t="s">
        <v>743</v>
      </c>
      <c r="H20226" s="69">
        <v>-0.64500000000000002</v>
      </c>
    </row>
    <row r="20227" spans="6:8">
      <c r="F20227" s="68" t="s">
        <v>129</v>
      </c>
      <c r="G20227" s="67" t="s">
        <v>743</v>
      </c>
      <c r="H20227" s="69">
        <v>-0.7</v>
      </c>
    </row>
    <row r="20228" spans="6:8">
      <c r="F20228" s="68" t="s">
        <v>304</v>
      </c>
      <c r="G20228" s="67" t="s">
        <v>743</v>
      </c>
      <c r="H20228" s="69">
        <v>17.833333333333332</v>
      </c>
    </row>
    <row r="20229" spans="6:8">
      <c r="F20229" s="68" t="s">
        <v>254</v>
      </c>
      <c r="G20229" s="67" t="s">
        <v>743</v>
      </c>
      <c r="H20229" s="69">
        <v>0.54428571428571426</v>
      </c>
    </row>
    <row r="20230" spans="6:8">
      <c r="F20230" s="68" t="s">
        <v>421</v>
      </c>
      <c r="G20230" s="67" t="s">
        <v>743</v>
      </c>
      <c r="H20230" s="69">
        <v>2.0262988896825096</v>
      </c>
    </row>
    <row r="20231" spans="6:8">
      <c r="F20231" s="68" t="s">
        <v>567</v>
      </c>
      <c r="G20231" s="67" t="s">
        <v>743</v>
      </c>
      <c r="H20231" s="69">
        <v>-0.84</v>
      </c>
    </row>
    <row r="20232" spans="6:8">
      <c r="F20232" s="68" t="s">
        <v>665</v>
      </c>
      <c r="G20232" s="67" t="s">
        <v>743</v>
      </c>
      <c r="H20232" s="69">
        <v>111.63950678</v>
      </c>
    </row>
    <row r="20233" spans="6:8">
      <c r="F20233" s="68" t="s">
        <v>130</v>
      </c>
      <c r="G20233" s="67" t="s">
        <v>743</v>
      </c>
      <c r="H20233" s="69">
        <v>-0.8899999999999999</v>
      </c>
    </row>
    <row r="20234" spans="6:8">
      <c r="F20234" s="68" t="s">
        <v>131</v>
      </c>
      <c r="G20234" s="67" t="s">
        <v>743</v>
      </c>
      <c r="H20234" s="69">
        <v>-0.77500000000000002</v>
      </c>
    </row>
    <row r="20235" spans="6:8">
      <c r="F20235" s="68" t="s">
        <v>303</v>
      </c>
      <c r="G20235" s="67" t="s">
        <v>743</v>
      </c>
      <c r="H20235" s="69">
        <v>18.114583333333332</v>
      </c>
    </row>
    <row r="20236" spans="6:8">
      <c r="F20236" s="68" t="s">
        <v>255</v>
      </c>
      <c r="G20236" s="67" t="s">
        <v>743</v>
      </c>
      <c r="H20236" s="69">
        <v>0.69428571428571417</v>
      </c>
    </row>
    <row r="20237" spans="6:8">
      <c r="F20237" s="68" t="s">
        <v>422</v>
      </c>
      <c r="G20237" s="67" t="s">
        <v>743</v>
      </c>
      <c r="H20237" s="69">
        <v>2.0317156428931948</v>
      </c>
    </row>
    <row r="20238" spans="6:8">
      <c r="F20238" s="68" t="s">
        <v>568</v>
      </c>
      <c r="G20238" s="67" t="s">
        <v>743</v>
      </c>
      <c r="H20238" s="69">
        <v>-0.54</v>
      </c>
    </row>
    <row r="20239" spans="6:8">
      <c r="F20239" s="68" t="s">
        <v>666</v>
      </c>
      <c r="G20239" s="67" t="s">
        <v>743</v>
      </c>
      <c r="H20239" s="69">
        <v>111.63950678</v>
      </c>
    </row>
    <row r="20240" spans="6:8">
      <c r="F20240" s="68" t="s">
        <v>132</v>
      </c>
      <c r="G20240" s="67" t="s">
        <v>743</v>
      </c>
      <c r="H20240" s="69">
        <v>-0.94</v>
      </c>
    </row>
    <row r="20241" spans="6:8">
      <c r="F20241" s="68" t="s">
        <v>133</v>
      </c>
      <c r="G20241" s="67" t="s">
        <v>743</v>
      </c>
      <c r="H20241" s="69">
        <v>-0.61</v>
      </c>
    </row>
    <row r="20242" spans="6:8">
      <c r="F20242" s="68" t="s">
        <v>256</v>
      </c>
      <c r="G20242" s="67" t="s">
        <v>743</v>
      </c>
      <c r="H20242" s="69">
        <v>0.80142857142857149</v>
      </c>
    </row>
    <row r="20243" spans="6:8">
      <c r="F20243" s="68" t="s">
        <v>423</v>
      </c>
      <c r="G20243" s="67" t="s">
        <v>743</v>
      </c>
      <c r="H20243" s="69">
        <v>2.2119222808720806</v>
      </c>
    </row>
    <row r="20244" spans="6:8">
      <c r="F20244" s="68" t="s">
        <v>569</v>
      </c>
      <c r="G20244" s="67" t="s">
        <v>743</v>
      </c>
      <c r="H20244" s="69">
        <v>-0.19500000000000001</v>
      </c>
    </row>
    <row r="20245" spans="6:8">
      <c r="F20245" s="68" t="s">
        <v>667</v>
      </c>
      <c r="G20245" s="67" t="s">
        <v>743</v>
      </c>
      <c r="H20245" s="69">
        <v>111.63950678</v>
      </c>
    </row>
    <row r="20246" spans="6:8">
      <c r="F20246" s="68" t="s">
        <v>424</v>
      </c>
      <c r="G20246" s="67" t="s">
        <v>743</v>
      </c>
      <c r="H20246" s="69">
        <v>2.6404793179601427</v>
      </c>
    </row>
    <row r="20247" spans="6:8">
      <c r="F20247" s="68" t="s">
        <v>668</v>
      </c>
      <c r="G20247" s="67" t="s">
        <v>743</v>
      </c>
      <c r="H20247" s="69">
        <v>111.63950678</v>
      </c>
    </row>
    <row r="20248" spans="6:8">
      <c r="F20248" s="68" t="s">
        <v>134</v>
      </c>
      <c r="G20248" s="67" t="s">
        <v>743</v>
      </c>
      <c r="H20248" s="69">
        <v>-1.0350000000000001</v>
      </c>
    </row>
    <row r="20249" spans="6:8">
      <c r="F20249" s="68" t="s">
        <v>135</v>
      </c>
      <c r="G20249" s="67" t="s">
        <v>743</v>
      </c>
      <c r="H20249" s="69">
        <v>-0.54</v>
      </c>
    </row>
    <row r="20250" spans="6:8">
      <c r="F20250" s="68" t="s">
        <v>257</v>
      </c>
      <c r="G20250" s="67" t="s">
        <v>743</v>
      </c>
      <c r="H20250" s="69">
        <v>0.8666666666666667</v>
      </c>
    </row>
    <row r="20251" spans="6:8">
      <c r="F20251" s="68" t="s">
        <v>258</v>
      </c>
      <c r="G20251" s="67" t="s">
        <v>743</v>
      </c>
      <c r="H20251" s="69">
        <v>0.15</v>
      </c>
    </row>
    <row r="20252" spans="6:8">
      <c r="F20252" s="68" t="s">
        <v>425</v>
      </c>
      <c r="G20252" s="67" t="s">
        <v>743</v>
      </c>
      <c r="H20252" s="69">
        <v>2.6544037051919656</v>
      </c>
    </row>
    <row r="20253" spans="6:8">
      <c r="F20253" s="68" t="s">
        <v>669</v>
      </c>
      <c r="G20253" s="67" t="s">
        <v>743</v>
      </c>
      <c r="H20253" s="69">
        <v>111.63950678</v>
      </c>
    </row>
    <row r="20254" spans="6:8">
      <c r="F20254" s="68" t="s">
        <v>136</v>
      </c>
      <c r="G20254" s="67" t="s">
        <v>743</v>
      </c>
      <c r="H20254" s="69">
        <v>-0.92500000000000004</v>
      </c>
    </row>
    <row r="20255" spans="6:8">
      <c r="F20255" s="68" t="s">
        <v>137</v>
      </c>
      <c r="G20255" s="67" t="s">
        <v>743</v>
      </c>
      <c r="H20255" s="69">
        <v>-0.85000000000000009</v>
      </c>
    </row>
    <row r="20256" spans="6:8">
      <c r="F20256" s="68" t="s">
        <v>138</v>
      </c>
      <c r="G20256" s="67" t="s">
        <v>743</v>
      </c>
      <c r="H20256" s="69">
        <v>-0.70499999999999996</v>
      </c>
    </row>
    <row r="20257" spans="6:8">
      <c r="F20257" s="68" t="s">
        <v>259</v>
      </c>
      <c r="G20257" s="67" t="s">
        <v>743</v>
      </c>
      <c r="H20257" s="69">
        <v>0.14714285714285716</v>
      </c>
    </row>
    <row r="20258" spans="6:8">
      <c r="F20258" s="68" t="s">
        <v>259</v>
      </c>
      <c r="G20258" s="67" t="s">
        <v>744</v>
      </c>
      <c r="H20258" s="69">
        <v>0.14714285714285716</v>
      </c>
    </row>
    <row r="20259" spans="6:8">
      <c r="F20259" s="68" t="s">
        <v>138</v>
      </c>
      <c r="G20259" s="67" t="s">
        <v>744</v>
      </c>
      <c r="H20259" s="69">
        <v>-0.72499999999999998</v>
      </c>
    </row>
    <row r="20260" spans="6:8">
      <c r="F20260" s="68" t="s">
        <v>137</v>
      </c>
      <c r="G20260" s="67" t="s">
        <v>744</v>
      </c>
      <c r="H20260" s="69">
        <v>-0.68500000000000005</v>
      </c>
    </row>
    <row r="20261" spans="6:8">
      <c r="F20261" s="68" t="s">
        <v>136</v>
      </c>
      <c r="G20261" s="67" t="s">
        <v>744</v>
      </c>
      <c r="H20261" s="69">
        <v>-0.90500000000000003</v>
      </c>
    </row>
    <row r="20262" spans="6:8">
      <c r="F20262" s="68" t="s">
        <v>669</v>
      </c>
      <c r="G20262" s="67" t="s">
        <v>744</v>
      </c>
      <c r="H20262" s="69">
        <v>111.52120827</v>
      </c>
    </row>
    <row r="20263" spans="6:8">
      <c r="F20263" s="68" t="s">
        <v>425</v>
      </c>
      <c r="G20263" s="67" t="s">
        <v>744</v>
      </c>
      <c r="H20263" s="69">
        <v>2.680587665172629</v>
      </c>
    </row>
    <row r="20264" spans="6:8">
      <c r="F20264" s="68" t="s">
        <v>258</v>
      </c>
      <c r="G20264" s="67" t="s">
        <v>744</v>
      </c>
      <c r="H20264" s="69">
        <v>0.15</v>
      </c>
    </row>
    <row r="20265" spans="6:8">
      <c r="F20265" s="68" t="s">
        <v>257</v>
      </c>
      <c r="G20265" s="67" t="s">
        <v>744</v>
      </c>
      <c r="H20265" s="69">
        <v>0.85500000000000009</v>
      </c>
    </row>
    <row r="20266" spans="6:8">
      <c r="F20266" s="68" t="s">
        <v>135</v>
      </c>
      <c r="G20266" s="67" t="s">
        <v>744</v>
      </c>
      <c r="H20266" s="69">
        <v>-0.78</v>
      </c>
    </row>
    <row r="20267" spans="6:8">
      <c r="F20267" s="68" t="s">
        <v>134</v>
      </c>
      <c r="G20267" s="67" t="s">
        <v>744</v>
      </c>
      <c r="H20267" s="69">
        <v>-0.92500000000000004</v>
      </c>
    </row>
    <row r="20268" spans="6:8">
      <c r="F20268" s="68" t="s">
        <v>668</v>
      </c>
      <c r="G20268" s="67" t="s">
        <v>744</v>
      </c>
      <c r="H20268" s="69">
        <v>111.52120827</v>
      </c>
    </row>
    <row r="20269" spans="6:8">
      <c r="F20269" s="68" t="s">
        <v>424</v>
      </c>
      <c r="G20269" s="67" t="s">
        <v>744</v>
      </c>
      <c r="H20269" s="69">
        <v>2.6694237024313949</v>
      </c>
    </row>
    <row r="20270" spans="6:8">
      <c r="F20270" s="68" t="s">
        <v>667</v>
      </c>
      <c r="G20270" s="67" t="s">
        <v>744</v>
      </c>
      <c r="H20270" s="69">
        <v>111.52120827</v>
      </c>
    </row>
    <row r="20271" spans="6:8">
      <c r="F20271" s="68" t="s">
        <v>569</v>
      </c>
      <c r="G20271" s="67" t="s">
        <v>744</v>
      </c>
      <c r="H20271" s="69">
        <v>-0.22</v>
      </c>
    </row>
    <row r="20272" spans="6:8">
      <c r="F20272" s="68" t="s">
        <v>423</v>
      </c>
      <c r="G20272" s="67" t="s">
        <v>744</v>
      </c>
      <c r="H20272" s="69">
        <v>2.2251004088197579</v>
      </c>
    </row>
    <row r="20273" spans="6:8">
      <c r="F20273" s="68" t="s">
        <v>256</v>
      </c>
      <c r="G20273" s="67" t="s">
        <v>744</v>
      </c>
      <c r="H20273" s="69">
        <v>0.79142857142857148</v>
      </c>
    </row>
    <row r="20274" spans="6:8">
      <c r="F20274" s="68" t="s">
        <v>133</v>
      </c>
      <c r="G20274" s="67" t="s">
        <v>744</v>
      </c>
      <c r="H20274" s="69">
        <v>-0.62</v>
      </c>
    </row>
    <row r="20275" spans="6:8">
      <c r="F20275" s="68" t="s">
        <v>132</v>
      </c>
      <c r="G20275" s="67" t="s">
        <v>744</v>
      </c>
      <c r="H20275" s="69">
        <v>-0.97499999999999998</v>
      </c>
    </row>
    <row r="20276" spans="6:8">
      <c r="F20276" s="68" t="s">
        <v>666</v>
      </c>
      <c r="G20276" s="67" t="s">
        <v>744</v>
      </c>
      <c r="H20276" s="69">
        <v>111.52120827</v>
      </c>
    </row>
    <row r="20277" spans="6:8">
      <c r="F20277" s="68" t="s">
        <v>568</v>
      </c>
      <c r="G20277" s="67" t="s">
        <v>744</v>
      </c>
      <c r="H20277" s="69">
        <v>-0.48000000000000004</v>
      </c>
    </row>
    <row r="20278" spans="6:8">
      <c r="F20278" s="68" t="s">
        <v>422</v>
      </c>
      <c r="G20278" s="67" t="s">
        <v>744</v>
      </c>
      <c r="H20278" s="69">
        <v>2.0345381028321619</v>
      </c>
    </row>
    <row r="20279" spans="6:8">
      <c r="F20279" s="68" t="s">
        <v>255</v>
      </c>
      <c r="G20279" s="67" t="s">
        <v>744</v>
      </c>
      <c r="H20279" s="69">
        <v>0.68571428571428572</v>
      </c>
    </row>
    <row r="20280" spans="6:8">
      <c r="F20280" s="68" t="s">
        <v>303</v>
      </c>
      <c r="G20280" s="67" t="s">
        <v>744</v>
      </c>
      <c r="H20280" s="69">
        <v>18.135416666666668</v>
      </c>
    </row>
    <row r="20281" spans="6:8">
      <c r="F20281" s="68" t="s">
        <v>131</v>
      </c>
      <c r="G20281" s="67" t="s">
        <v>744</v>
      </c>
      <c r="H20281" s="69">
        <v>-0.59499999999999997</v>
      </c>
    </row>
    <row r="20282" spans="6:8">
      <c r="F20282" s="68" t="s">
        <v>130</v>
      </c>
      <c r="G20282" s="67" t="s">
        <v>744</v>
      </c>
      <c r="H20282" s="69">
        <v>-1.0449999999999999</v>
      </c>
    </row>
    <row r="20283" spans="6:8">
      <c r="F20283" s="68" t="s">
        <v>665</v>
      </c>
      <c r="G20283" s="67" t="s">
        <v>744</v>
      </c>
      <c r="H20283" s="69">
        <v>111.52120827</v>
      </c>
    </row>
    <row r="20284" spans="6:8">
      <c r="F20284" s="68" t="s">
        <v>567</v>
      </c>
      <c r="G20284" s="67" t="s">
        <v>744</v>
      </c>
      <c r="H20284" s="69">
        <v>-0.97500000000000009</v>
      </c>
    </row>
    <row r="20285" spans="6:8">
      <c r="F20285" s="68" t="s">
        <v>421</v>
      </c>
      <c r="G20285" s="67" t="s">
        <v>744</v>
      </c>
      <c r="H20285" s="69">
        <v>2.0290422712023304</v>
      </c>
    </row>
    <row r="20286" spans="6:8">
      <c r="F20286" s="68" t="s">
        <v>254</v>
      </c>
      <c r="G20286" s="67" t="s">
        <v>744</v>
      </c>
      <c r="H20286" s="69">
        <v>0.53857142857142848</v>
      </c>
    </row>
    <row r="20287" spans="6:8">
      <c r="F20287" s="68" t="s">
        <v>304</v>
      </c>
      <c r="G20287" s="67" t="s">
        <v>744</v>
      </c>
      <c r="H20287" s="69">
        <v>17.84375</v>
      </c>
    </row>
    <row r="20288" spans="6:8">
      <c r="F20288" s="68" t="s">
        <v>129</v>
      </c>
      <c r="G20288" s="67" t="s">
        <v>744</v>
      </c>
      <c r="H20288" s="69">
        <v>-0.72</v>
      </c>
    </row>
    <row r="20289" spans="6:8">
      <c r="F20289" s="68" t="s">
        <v>128</v>
      </c>
      <c r="G20289" s="67" t="s">
        <v>744</v>
      </c>
      <c r="H20289" s="69">
        <v>-0.92500000000000004</v>
      </c>
    </row>
    <row r="20290" spans="6:8">
      <c r="F20290" s="68" t="s">
        <v>664</v>
      </c>
      <c r="G20290" s="67" t="s">
        <v>744</v>
      </c>
      <c r="H20290" s="69">
        <v>111.52120827</v>
      </c>
    </row>
    <row r="20291" spans="6:8">
      <c r="F20291" s="68" t="s">
        <v>315</v>
      </c>
      <c r="G20291" s="67" t="s">
        <v>744</v>
      </c>
      <c r="H20291" s="69">
        <v>-0.22</v>
      </c>
    </row>
    <row r="20292" spans="6:8">
      <c r="F20292" s="68" t="s">
        <v>253</v>
      </c>
      <c r="G20292" s="67" t="s">
        <v>744</v>
      </c>
      <c r="H20292" s="69">
        <v>0.38285714285714284</v>
      </c>
    </row>
    <row r="20293" spans="6:8">
      <c r="F20293" s="68" t="s">
        <v>127</v>
      </c>
      <c r="G20293" s="67" t="s">
        <v>744</v>
      </c>
      <c r="H20293" s="69">
        <v>-0.44000000000000006</v>
      </c>
    </row>
    <row r="20294" spans="6:8">
      <c r="F20294" s="68" t="s">
        <v>126</v>
      </c>
      <c r="G20294" s="67" t="s">
        <v>744</v>
      </c>
      <c r="H20294" s="69">
        <v>-0.96500000000000008</v>
      </c>
    </row>
    <row r="20295" spans="6:8">
      <c r="F20295" s="68" t="s">
        <v>125</v>
      </c>
      <c r="G20295" s="67" t="s">
        <v>744</v>
      </c>
      <c r="H20295" s="69">
        <v>-0.56000000000000005</v>
      </c>
    </row>
    <row r="20296" spans="6:8">
      <c r="F20296" s="68" t="s">
        <v>663</v>
      </c>
      <c r="G20296" s="67" t="s">
        <v>744</v>
      </c>
      <c r="H20296" s="69">
        <v>111.52120827</v>
      </c>
    </row>
    <row r="20297" spans="6:8">
      <c r="F20297" s="68" t="s">
        <v>314</v>
      </c>
      <c r="G20297" s="67" t="s">
        <v>744</v>
      </c>
      <c r="H20297" s="69">
        <v>-0.49</v>
      </c>
    </row>
    <row r="20298" spans="6:8">
      <c r="F20298" s="68" t="s">
        <v>252</v>
      </c>
      <c r="G20298" s="67" t="s">
        <v>744</v>
      </c>
      <c r="H20298" s="69">
        <v>0.25142857142857145</v>
      </c>
    </row>
    <row r="20299" spans="6:8">
      <c r="F20299" s="68" t="s">
        <v>124</v>
      </c>
      <c r="G20299" s="67" t="s">
        <v>744</v>
      </c>
      <c r="H20299" s="69">
        <v>-0.54500000000000004</v>
      </c>
    </row>
    <row r="20300" spans="6:8">
      <c r="F20300" s="68" t="s">
        <v>123</v>
      </c>
      <c r="G20300" s="67" t="s">
        <v>744</v>
      </c>
      <c r="H20300" s="69">
        <v>-0.98</v>
      </c>
    </row>
    <row r="20301" spans="6:8">
      <c r="F20301" s="68" t="s">
        <v>122</v>
      </c>
      <c r="G20301" s="67" t="s">
        <v>744</v>
      </c>
      <c r="H20301" s="69">
        <v>-0.81499999999999995</v>
      </c>
    </row>
    <row r="20302" spans="6:8">
      <c r="F20302" s="68" t="s">
        <v>251</v>
      </c>
      <c r="G20302" s="67" t="s">
        <v>744</v>
      </c>
      <c r="H20302" s="69">
        <v>0.17857142857142858</v>
      </c>
    </row>
    <row r="20303" spans="6:8">
      <c r="F20303" s="68" t="s">
        <v>121</v>
      </c>
      <c r="G20303" s="67" t="s">
        <v>744</v>
      </c>
      <c r="H20303" s="69">
        <v>-0.63</v>
      </c>
    </row>
    <row r="20304" spans="6:8">
      <c r="F20304" s="68" t="s">
        <v>120</v>
      </c>
      <c r="G20304" s="67" t="s">
        <v>744</v>
      </c>
      <c r="H20304" s="69">
        <v>-0.82000000000000006</v>
      </c>
    </row>
    <row r="20305" spans="6:8">
      <c r="F20305" s="68" t="s">
        <v>119</v>
      </c>
      <c r="G20305" s="67" t="s">
        <v>744</v>
      </c>
      <c r="H20305" s="69">
        <v>-0.84499999999999997</v>
      </c>
    </row>
    <row r="20306" spans="6:8">
      <c r="F20306" s="68" t="s">
        <v>662</v>
      </c>
      <c r="G20306" s="67" t="s">
        <v>744</v>
      </c>
      <c r="H20306" s="69">
        <v>111.52120827</v>
      </c>
    </row>
    <row r="20307" spans="6:8">
      <c r="F20307" s="68" t="s">
        <v>420</v>
      </c>
      <c r="G20307" s="67" t="s">
        <v>744</v>
      </c>
      <c r="H20307" s="69">
        <v>3.0068457244024849</v>
      </c>
    </row>
    <row r="20308" spans="6:8">
      <c r="F20308" s="68" t="s">
        <v>420</v>
      </c>
      <c r="G20308" s="67" t="s">
        <v>745</v>
      </c>
      <c r="H20308" s="69">
        <v>3.003462203155749</v>
      </c>
    </row>
    <row r="20309" spans="6:8">
      <c r="F20309" s="68" t="s">
        <v>662</v>
      </c>
      <c r="G20309" s="67" t="s">
        <v>745</v>
      </c>
      <c r="H20309" s="69">
        <v>112.72993568</v>
      </c>
    </row>
    <row r="20310" spans="6:8">
      <c r="F20310" s="68" t="s">
        <v>119</v>
      </c>
      <c r="G20310" s="67" t="s">
        <v>745</v>
      </c>
      <c r="H20310" s="69">
        <v>-0.84499999999999997</v>
      </c>
    </row>
    <row r="20311" spans="6:8">
      <c r="F20311" s="68" t="s">
        <v>120</v>
      </c>
      <c r="G20311" s="67" t="s">
        <v>745</v>
      </c>
      <c r="H20311" s="69">
        <v>-0.82000000000000006</v>
      </c>
    </row>
    <row r="20312" spans="6:8">
      <c r="F20312" s="68" t="s">
        <v>121</v>
      </c>
      <c r="G20312" s="67" t="s">
        <v>745</v>
      </c>
      <c r="H20312" s="69">
        <v>-0.63</v>
      </c>
    </row>
    <row r="20313" spans="6:8">
      <c r="F20313" s="68" t="s">
        <v>251</v>
      </c>
      <c r="G20313" s="67" t="s">
        <v>745</v>
      </c>
      <c r="H20313" s="69">
        <v>0.17857142857142858</v>
      </c>
    </row>
    <row r="20314" spans="6:8">
      <c r="F20314" s="68" t="s">
        <v>122</v>
      </c>
      <c r="G20314" s="67" t="s">
        <v>745</v>
      </c>
      <c r="H20314" s="69">
        <v>-0.81499999999999995</v>
      </c>
    </row>
    <row r="20315" spans="6:8">
      <c r="F20315" s="68" t="s">
        <v>123</v>
      </c>
      <c r="G20315" s="67" t="s">
        <v>745</v>
      </c>
      <c r="H20315" s="69">
        <v>-0.98</v>
      </c>
    </row>
    <row r="20316" spans="6:8">
      <c r="F20316" s="68" t="s">
        <v>124</v>
      </c>
      <c r="G20316" s="67" t="s">
        <v>745</v>
      </c>
      <c r="H20316" s="69">
        <v>-0.54500000000000004</v>
      </c>
    </row>
    <row r="20317" spans="6:8">
      <c r="F20317" s="68" t="s">
        <v>252</v>
      </c>
      <c r="G20317" s="67" t="s">
        <v>745</v>
      </c>
      <c r="H20317" s="69">
        <v>0.25142857142857145</v>
      </c>
    </row>
    <row r="20318" spans="6:8">
      <c r="F20318" s="68" t="s">
        <v>314</v>
      </c>
      <c r="G20318" s="67" t="s">
        <v>745</v>
      </c>
      <c r="H20318" s="69">
        <v>-0.49</v>
      </c>
    </row>
    <row r="20319" spans="6:8">
      <c r="F20319" s="68" t="s">
        <v>663</v>
      </c>
      <c r="G20319" s="67" t="s">
        <v>745</v>
      </c>
      <c r="H20319" s="69">
        <v>112.73051913</v>
      </c>
    </row>
    <row r="20320" spans="6:8">
      <c r="F20320" s="68" t="s">
        <v>125</v>
      </c>
      <c r="G20320" s="67" t="s">
        <v>745</v>
      </c>
      <c r="H20320" s="69">
        <v>-0.56000000000000005</v>
      </c>
    </row>
    <row r="20321" spans="6:8">
      <c r="F20321" s="68" t="s">
        <v>126</v>
      </c>
      <c r="G20321" s="67" t="s">
        <v>745</v>
      </c>
      <c r="H20321" s="69">
        <v>-0.96500000000000008</v>
      </c>
    </row>
    <row r="20322" spans="6:8">
      <c r="F20322" s="68" t="s">
        <v>127</v>
      </c>
      <c r="G20322" s="67" t="s">
        <v>745</v>
      </c>
      <c r="H20322" s="69">
        <v>-0.44000000000000006</v>
      </c>
    </row>
    <row r="20323" spans="6:8">
      <c r="F20323" s="68" t="s">
        <v>253</v>
      </c>
      <c r="G20323" s="67" t="s">
        <v>745</v>
      </c>
      <c r="H20323" s="69">
        <v>0.38285714285714284</v>
      </c>
    </row>
    <row r="20324" spans="6:8">
      <c r="F20324" s="68" t="s">
        <v>315</v>
      </c>
      <c r="G20324" s="67" t="s">
        <v>745</v>
      </c>
      <c r="H20324" s="69">
        <v>-0.22</v>
      </c>
    </row>
    <row r="20325" spans="6:8">
      <c r="F20325" s="68" t="s">
        <v>664</v>
      </c>
      <c r="G20325" s="67" t="s">
        <v>745</v>
      </c>
      <c r="H20325" s="69">
        <v>112.73034152</v>
      </c>
    </row>
    <row r="20326" spans="6:8">
      <c r="F20326" s="68" t="s">
        <v>128</v>
      </c>
      <c r="G20326" s="67" t="s">
        <v>745</v>
      </c>
      <c r="H20326" s="69">
        <v>-0.92500000000000004</v>
      </c>
    </row>
    <row r="20327" spans="6:8">
      <c r="F20327" s="68" t="s">
        <v>129</v>
      </c>
      <c r="G20327" s="67" t="s">
        <v>745</v>
      </c>
      <c r="H20327" s="69">
        <v>-0.72</v>
      </c>
    </row>
    <row r="20328" spans="6:8">
      <c r="F20328" s="68" t="s">
        <v>304</v>
      </c>
      <c r="G20328" s="67" t="s">
        <v>745</v>
      </c>
      <c r="H20328" s="69">
        <v>17.885416666666668</v>
      </c>
    </row>
    <row r="20329" spans="6:8">
      <c r="F20329" s="68" t="s">
        <v>254</v>
      </c>
      <c r="G20329" s="67" t="s">
        <v>745</v>
      </c>
      <c r="H20329" s="69">
        <v>0.53857142857142848</v>
      </c>
    </row>
    <row r="20330" spans="6:8">
      <c r="F20330" s="68" t="s">
        <v>421</v>
      </c>
      <c r="G20330" s="67" t="s">
        <v>745</v>
      </c>
      <c r="H20330" s="69">
        <v>2.0332524547098441</v>
      </c>
    </row>
    <row r="20331" spans="6:8">
      <c r="F20331" s="68" t="s">
        <v>567</v>
      </c>
      <c r="G20331" s="67" t="s">
        <v>745</v>
      </c>
      <c r="H20331" s="69">
        <v>-0.97500000000000009</v>
      </c>
    </row>
    <row r="20332" spans="6:8">
      <c r="F20332" s="68" t="s">
        <v>665</v>
      </c>
      <c r="G20332" s="67" t="s">
        <v>745</v>
      </c>
      <c r="H20332" s="69">
        <v>112.73028883000001</v>
      </c>
    </row>
    <row r="20333" spans="6:8">
      <c r="F20333" s="68" t="s">
        <v>130</v>
      </c>
      <c r="G20333" s="67" t="s">
        <v>745</v>
      </c>
      <c r="H20333" s="69">
        <v>-1.0449999999999999</v>
      </c>
    </row>
    <row r="20334" spans="6:8">
      <c r="F20334" s="68" t="s">
        <v>131</v>
      </c>
      <c r="G20334" s="67" t="s">
        <v>745</v>
      </c>
      <c r="H20334" s="69">
        <v>-0.59499999999999997</v>
      </c>
    </row>
    <row r="20335" spans="6:8">
      <c r="F20335" s="68" t="s">
        <v>303</v>
      </c>
      <c r="G20335" s="67" t="s">
        <v>745</v>
      </c>
      <c r="H20335" s="69">
        <v>18.177083333333332</v>
      </c>
    </row>
    <row r="20336" spans="6:8">
      <c r="F20336" s="68" t="s">
        <v>255</v>
      </c>
      <c r="G20336" s="67" t="s">
        <v>745</v>
      </c>
      <c r="H20336" s="69">
        <v>0.68571428571428572</v>
      </c>
    </row>
    <row r="20337" spans="6:8">
      <c r="F20337" s="68" t="s">
        <v>422</v>
      </c>
      <c r="G20337" s="67" t="s">
        <v>745</v>
      </c>
      <c r="H20337" s="69">
        <v>2.0387994128129083</v>
      </c>
    </row>
    <row r="20338" spans="6:8">
      <c r="F20338" s="68" t="s">
        <v>568</v>
      </c>
      <c r="G20338" s="67" t="s">
        <v>745</v>
      </c>
      <c r="H20338" s="69">
        <v>-0.48000000000000004</v>
      </c>
    </row>
    <row r="20339" spans="6:8">
      <c r="F20339" s="68" t="s">
        <v>666</v>
      </c>
      <c r="G20339" s="67" t="s">
        <v>745</v>
      </c>
      <c r="H20339" s="69">
        <v>112.73008521</v>
      </c>
    </row>
    <row r="20340" spans="6:8">
      <c r="F20340" s="68" t="s">
        <v>132</v>
      </c>
      <c r="G20340" s="67" t="s">
        <v>745</v>
      </c>
      <c r="H20340" s="69">
        <v>-0.97499999999999998</v>
      </c>
    </row>
    <row r="20341" spans="6:8">
      <c r="F20341" s="68" t="s">
        <v>133</v>
      </c>
      <c r="G20341" s="67" t="s">
        <v>745</v>
      </c>
      <c r="H20341" s="69">
        <v>-0.62</v>
      </c>
    </row>
    <row r="20342" spans="6:8">
      <c r="F20342" s="68" t="s">
        <v>256</v>
      </c>
      <c r="G20342" s="67" t="s">
        <v>745</v>
      </c>
      <c r="H20342" s="69">
        <v>0.79142857142857148</v>
      </c>
    </row>
    <row r="20343" spans="6:8">
      <c r="F20343" s="68" t="s">
        <v>423</v>
      </c>
      <c r="G20343" s="67" t="s">
        <v>745</v>
      </c>
      <c r="H20343" s="69">
        <v>2.2294399174125346</v>
      </c>
    </row>
    <row r="20344" spans="6:8">
      <c r="F20344" s="68" t="s">
        <v>569</v>
      </c>
      <c r="G20344" s="67" t="s">
        <v>745</v>
      </c>
      <c r="H20344" s="69">
        <v>-0.22</v>
      </c>
    </row>
    <row r="20345" spans="6:8">
      <c r="F20345" s="68" t="s">
        <v>667</v>
      </c>
      <c r="G20345" s="67" t="s">
        <v>745</v>
      </c>
      <c r="H20345" s="69">
        <v>112.73051816</v>
      </c>
    </row>
    <row r="20346" spans="6:8">
      <c r="F20346" s="68" t="s">
        <v>424</v>
      </c>
      <c r="G20346" s="67" t="s">
        <v>745</v>
      </c>
      <c r="H20346" s="69">
        <v>2.6603100168754779</v>
      </c>
    </row>
    <row r="20347" spans="6:8">
      <c r="F20347" s="68" t="s">
        <v>668</v>
      </c>
      <c r="G20347" s="67" t="s">
        <v>745</v>
      </c>
      <c r="H20347" s="69">
        <v>112.73019748</v>
      </c>
    </row>
    <row r="20348" spans="6:8">
      <c r="F20348" s="68" t="s">
        <v>134</v>
      </c>
      <c r="G20348" s="67" t="s">
        <v>745</v>
      </c>
      <c r="H20348" s="69">
        <v>-0.92500000000000004</v>
      </c>
    </row>
    <row r="20349" spans="6:8">
      <c r="F20349" s="68" t="s">
        <v>135</v>
      </c>
      <c r="G20349" s="67" t="s">
        <v>745</v>
      </c>
      <c r="H20349" s="69">
        <v>-0.78</v>
      </c>
    </row>
    <row r="20350" spans="6:8">
      <c r="F20350" s="68" t="s">
        <v>257</v>
      </c>
      <c r="G20350" s="67" t="s">
        <v>745</v>
      </c>
      <c r="H20350" s="69">
        <v>0.85500000000000009</v>
      </c>
    </row>
    <row r="20351" spans="6:8">
      <c r="F20351" s="68" t="s">
        <v>258</v>
      </c>
      <c r="G20351" s="67" t="s">
        <v>745</v>
      </c>
      <c r="H20351" s="69">
        <v>0.15</v>
      </c>
    </row>
    <row r="20352" spans="6:8">
      <c r="F20352" s="68" t="s">
        <v>425</v>
      </c>
      <c r="G20352" s="67" t="s">
        <v>745</v>
      </c>
      <c r="H20352" s="69">
        <v>2.6659817355172866</v>
      </c>
    </row>
    <row r="20353" spans="6:8">
      <c r="F20353" s="68" t="s">
        <v>669</v>
      </c>
      <c r="G20353" s="67" t="s">
        <v>745</v>
      </c>
      <c r="H20353" s="69">
        <v>112.73057412</v>
      </c>
    </row>
    <row r="20354" spans="6:8">
      <c r="F20354" s="68" t="s">
        <v>136</v>
      </c>
      <c r="G20354" s="67" t="s">
        <v>745</v>
      </c>
      <c r="H20354" s="69">
        <v>-0.90500000000000003</v>
      </c>
    </row>
    <row r="20355" spans="6:8">
      <c r="F20355" s="68" t="s">
        <v>137</v>
      </c>
      <c r="G20355" s="67" t="s">
        <v>745</v>
      </c>
      <c r="H20355" s="69">
        <v>-0.68500000000000005</v>
      </c>
    </row>
    <row r="20356" spans="6:8">
      <c r="F20356" s="68" t="s">
        <v>138</v>
      </c>
      <c r="G20356" s="67" t="s">
        <v>745</v>
      </c>
      <c r="H20356" s="69">
        <v>-0.72499999999999998</v>
      </c>
    </row>
    <row r="20357" spans="6:8">
      <c r="F20357" s="68" t="s">
        <v>259</v>
      </c>
      <c r="G20357" s="67" t="s">
        <v>745</v>
      </c>
      <c r="H20357" s="69">
        <v>0.14714285714285716</v>
      </c>
    </row>
    <row r="20358" spans="6:8">
      <c r="F20358" s="68" t="s">
        <v>259</v>
      </c>
      <c r="G20358" s="67" t="s">
        <v>746</v>
      </c>
      <c r="H20358" s="69">
        <v>0.13799999999999998</v>
      </c>
    </row>
    <row r="20359" spans="6:8">
      <c r="F20359" s="68" t="s">
        <v>138</v>
      </c>
      <c r="G20359" s="67" t="s">
        <v>746</v>
      </c>
      <c r="H20359" s="69">
        <v>-0.75</v>
      </c>
    </row>
    <row r="20360" spans="6:8">
      <c r="F20360" s="68" t="s">
        <v>137</v>
      </c>
      <c r="G20360" s="67" t="s">
        <v>746</v>
      </c>
      <c r="H20360" s="69">
        <v>-0.70500000000000007</v>
      </c>
    </row>
    <row r="20361" spans="6:8">
      <c r="F20361" s="68" t="s">
        <v>136</v>
      </c>
      <c r="G20361" s="67" t="s">
        <v>746</v>
      </c>
      <c r="H20361" s="69">
        <v>-0.94</v>
      </c>
    </row>
    <row r="20362" spans="6:8">
      <c r="F20362" s="68" t="s">
        <v>669</v>
      </c>
      <c r="G20362" s="67" t="s">
        <v>746</v>
      </c>
      <c r="H20362" s="69">
        <v>112.7305741</v>
      </c>
    </row>
    <row r="20363" spans="6:8">
      <c r="F20363" s="68" t="s">
        <v>425</v>
      </c>
      <c r="G20363" s="67" t="s">
        <v>746</v>
      </c>
      <c r="H20363" s="69">
        <v>2.7084841532711845</v>
      </c>
    </row>
    <row r="20364" spans="6:8">
      <c r="F20364" s="68" t="s">
        <v>258</v>
      </c>
      <c r="G20364" s="67" t="s">
        <v>746</v>
      </c>
      <c r="H20364" s="69">
        <v>0.15</v>
      </c>
    </row>
    <row r="20365" spans="6:8">
      <c r="F20365" s="68" t="s">
        <v>257</v>
      </c>
      <c r="G20365" s="67" t="s">
        <v>746</v>
      </c>
      <c r="H20365" s="69">
        <v>0.85250000000000004</v>
      </c>
    </row>
    <row r="20366" spans="6:8">
      <c r="F20366" s="68" t="s">
        <v>135</v>
      </c>
      <c r="G20366" s="67" t="s">
        <v>746</v>
      </c>
      <c r="H20366" s="69">
        <v>-0.79</v>
      </c>
    </row>
    <row r="20367" spans="6:8">
      <c r="F20367" s="68" t="s">
        <v>134</v>
      </c>
      <c r="G20367" s="67" t="s">
        <v>746</v>
      </c>
      <c r="H20367" s="69">
        <v>-0.95500000000000007</v>
      </c>
    </row>
    <row r="20368" spans="6:8">
      <c r="F20368" s="68" t="s">
        <v>668</v>
      </c>
      <c r="G20368" s="67" t="s">
        <v>746</v>
      </c>
      <c r="H20368" s="69">
        <v>112.7301975</v>
      </c>
    </row>
    <row r="20369" spans="6:8">
      <c r="F20369" s="68" t="s">
        <v>424</v>
      </c>
      <c r="G20369" s="67" t="s">
        <v>746</v>
      </c>
      <c r="H20369" s="69">
        <v>2.6952782309926704</v>
      </c>
    </row>
    <row r="20370" spans="6:8">
      <c r="F20370" s="68" t="s">
        <v>667</v>
      </c>
      <c r="G20370" s="67" t="s">
        <v>746</v>
      </c>
      <c r="H20370" s="69">
        <v>112.73051820000001</v>
      </c>
    </row>
    <row r="20371" spans="6:8">
      <c r="F20371" s="68" t="s">
        <v>569</v>
      </c>
      <c r="G20371" s="67" t="s">
        <v>746</v>
      </c>
      <c r="H20371" s="69">
        <v>-0.23499999999999999</v>
      </c>
    </row>
    <row r="20372" spans="6:8">
      <c r="F20372" s="68" t="s">
        <v>423</v>
      </c>
      <c r="G20372" s="67" t="s">
        <v>746</v>
      </c>
      <c r="H20372" s="69">
        <v>2.137728991035992</v>
      </c>
    </row>
    <row r="20373" spans="6:8">
      <c r="F20373" s="68" t="s">
        <v>256</v>
      </c>
      <c r="G20373" s="67" t="s">
        <v>746</v>
      </c>
      <c r="H20373" s="69">
        <v>0.78200000000000003</v>
      </c>
    </row>
    <row r="20374" spans="6:8">
      <c r="F20374" s="68" t="s">
        <v>133</v>
      </c>
      <c r="G20374" s="67" t="s">
        <v>746</v>
      </c>
      <c r="H20374" s="69">
        <v>-0.625</v>
      </c>
    </row>
    <row r="20375" spans="6:8">
      <c r="F20375" s="68" t="s">
        <v>132</v>
      </c>
      <c r="G20375" s="67" t="s">
        <v>746</v>
      </c>
      <c r="H20375" s="69">
        <v>-1</v>
      </c>
    </row>
    <row r="20376" spans="6:8">
      <c r="F20376" s="68" t="s">
        <v>666</v>
      </c>
      <c r="G20376" s="67" t="s">
        <v>746</v>
      </c>
      <c r="H20376" s="69">
        <v>112.7300852</v>
      </c>
    </row>
    <row r="20377" spans="6:8">
      <c r="F20377" s="68" t="s">
        <v>568</v>
      </c>
      <c r="G20377" s="67" t="s">
        <v>746</v>
      </c>
      <c r="H20377" s="69">
        <v>-0.57000000000000006</v>
      </c>
    </row>
    <row r="20378" spans="6:8">
      <c r="F20378" s="68" t="s">
        <v>422</v>
      </c>
      <c r="G20378" s="67" t="s">
        <v>746</v>
      </c>
      <c r="H20378" s="69">
        <v>1.9171733183683148</v>
      </c>
    </row>
    <row r="20379" spans="6:8">
      <c r="F20379" s="68" t="s">
        <v>255</v>
      </c>
      <c r="G20379" s="67" t="s">
        <v>746</v>
      </c>
      <c r="H20379" s="69">
        <v>0.67400000000000015</v>
      </c>
    </row>
    <row r="20380" spans="6:8">
      <c r="F20380" s="68" t="s">
        <v>303</v>
      </c>
      <c r="G20380" s="67" t="s">
        <v>746</v>
      </c>
      <c r="H20380" s="69">
        <v>18.291666666666668</v>
      </c>
    </row>
    <row r="20381" spans="6:8">
      <c r="F20381" s="68" t="s">
        <v>131</v>
      </c>
      <c r="G20381" s="67" t="s">
        <v>746</v>
      </c>
      <c r="H20381" s="69">
        <v>-0.57000000000000006</v>
      </c>
    </row>
    <row r="20382" spans="6:8">
      <c r="F20382" s="68" t="s">
        <v>130</v>
      </c>
      <c r="G20382" s="67" t="s">
        <v>746</v>
      </c>
      <c r="H20382" s="69">
        <v>-1.07</v>
      </c>
    </row>
    <row r="20383" spans="6:8">
      <c r="F20383" s="68" t="s">
        <v>665</v>
      </c>
      <c r="G20383" s="67" t="s">
        <v>746</v>
      </c>
      <c r="H20383" s="69">
        <v>112.7302888</v>
      </c>
    </row>
    <row r="20384" spans="6:8">
      <c r="F20384" s="68" t="s">
        <v>567</v>
      </c>
      <c r="G20384" s="67" t="s">
        <v>746</v>
      </c>
      <c r="H20384" s="69">
        <v>-1.0350000000000001</v>
      </c>
    </row>
    <row r="20385" spans="6:8">
      <c r="F20385" s="68" t="s">
        <v>421</v>
      </c>
      <c r="G20385" s="67" t="s">
        <v>746</v>
      </c>
      <c r="H20385" s="69">
        <v>1.911630336360215</v>
      </c>
    </row>
    <row r="20386" spans="6:8">
      <c r="F20386" s="68" t="s">
        <v>254</v>
      </c>
      <c r="G20386" s="67" t="s">
        <v>746</v>
      </c>
      <c r="H20386" s="69">
        <v>0.51800000000000002</v>
      </c>
    </row>
    <row r="20387" spans="6:8">
      <c r="F20387" s="68" t="s">
        <v>304</v>
      </c>
      <c r="G20387" s="67" t="s">
        <v>746</v>
      </c>
      <c r="H20387" s="69">
        <v>17.96875</v>
      </c>
    </row>
    <row r="20388" spans="6:8">
      <c r="F20388" s="68" t="s">
        <v>129</v>
      </c>
      <c r="G20388" s="67" t="s">
        <v>746</v>
      </c>
      <c r="H20388" s="69">
        <v>-0.73499999999999999</v>
      </c>
    </row>
    <row r="20389" spans="6:8">
      <c r="F20389" s="68" t="s">
        <v>128</v>
      </c>
      <c r="G20389" s="67" t="s">
        <v>746</v>
      </c>
      <c r="H20389" s="69">
        <v>-0.94500000000000006</v>
      </c>
    </row>
    <row r="20390" spans="6:8">
      <c r="F20390" s="68" t="s">
        <v>664</v>
      </c>
      <c r="G20390" s="67" t="s">
        <v>746</v>
      </c>
      <c r="H20390" s="69">
        <v>112.73034149999999</v>
      </c>
    </row>
    <row r="20391" spans="6:8">
      <c r="F20391" s="68" t="s">
        <v>315</v>
      </c>
      <c r="G20391" s="67" t="s">
        <v>746</v>
      </c>
      <c r="H20391" s="69">
        <v>-0.24</v>
      </c>
    </row>
    <row r="20392" spans="6:8">
      <c r="F20392" s="68" t="s">
        <v>253</v>
      </c>
      <c r="G20392" s="67" t="s">
        <v>746</v>
      </c>
      <c r="H20392" s="69">
        <v>0.36</v>
      </c>
    </row>
    <row r="20393" spans="6:8">
      <c r="F20393" s="68" t="s">
        <v>127</v>
      </c>
      <c r="G20393" s="67" t="s">
        <v>746</v>
      </c>
      <c r="H20393" s="69">
        <v>-0.45499999999999996</v>
      </c>
    </row>
    <row r="20394" spans="6:8">
      <c r="F20394" s="68" t="s">
        <v>126</v>
      </c>
      <c r="G20394" s="67" t="s">
        <v>746</v>
      </c>
      <c r="H20394" s="69">
        <v>-0.9850000000000001</v>
      </c>
    </row>
    <row r="20395" spans="6:8">
      <c r="F20395" s="68" t="s">
        <v>125</v>
      </c>
      <c r="G20395" s="67" t="s">
        <v>746</v>
      </c>
      <c r="H20395" s="69">
        <v>-0.64</v>
      </c>
    </row>
    <row r="20396" spans="6:8">
      <c r="F20396" s="68" t="s">
        <v>663</v>
      </c>
      <c r="G20396" s="67" t="s">
        <v>746</v>
      </c>
      <c r="H20396" s="69">
        <v>112.7305191</v>
      </c>
    </row>
    <row r="20397" spans="6:8">
      <c r="F20397" s="68" t="s">
        <v>314</v>
      </c>
      <c r="G20397" s="67" t="s">
        <v>746</v>
      </c>
      <c r="H20397" s="69">
        <v>-0.57000000000000006</v>
      </c>
    </row>
    <row r="20398" spans="6:8">
      <c r="F20398" s="68" t="s">
        <v>252</v>
      </c>
      <c r="G20398" s="67" t="s">
        <v>746</v>
      </c>
      <c r="H20398" s="69">
        <v>0.21800000000000003</v>
      </c>
    </row>
    <row r="20399" spans="6:8">
      <c r="F20399" s="68" t="s">
        <v>124</v>
      </c>
      <c r="G20399" s="67" t="s">
        <v>746</v>
      </c>
      <c r="H20399" s="69">
        <v>-0.57000000000000006</v>
      </c>
    </row>
    <row r="20400" spans="6:8">
      <c r="F20400" s="68" t="s">
        <v>123</v>
      </c>
      <c r="G20400" s="67" t="s">
        <v>746</v>
      </c>
      <c r="H20400" s="69">
        <v>-1.0049999999999999</v>
      </c>
    </row>
    <row r="20401" spans="6:8">
      <c r="F20401" s="68" t="s">
        <v>122</v>
      </c>
      <c r="G20401" s="67" t="s">
        <v>746</v>
      </c>
      <c r="H20401" s="69">
        <v>-0.85</v>
      </c>
    </row>
    <row r="20402" spans="6:8">
      <c r="F20402" s="68" t="s">
        <v>251</v>
      </c>
      <c r="G20402" s="67" t="s">
        <v>746</v>
      </c>
      <c r="H20402" s="69">
        <v>0.16</v>
      </c>
    </row>
    <row r="20403" spans="6:8">
      <c r="F20403" s="68" t="s">
        <v>121</v>
      </c>
      <c r="G20403" s="67" t="s">
        <v>746</v>
      </c>
      <c r="H20403" s="69">
        <v>-0.65500000000000003</v>
      </c>
    </row>
    <row r="20404" spans="6:8">
      <c r="F20404" s="68" t="s">
        <v>120</v>
      </c>
      <c r="G20404" s="67" t="s">
        <v>746</v>
      </c>
      <c r="H20404" s="69">
        <v>-0.84499999999999997</v>
      </c>
    </row>
    <row r="20405" spans="6:8">
      <c r="F20405" s="68" t="s">
        <v>119</v>
      </c>
      <c r="G20405" s="67" t="s">
        <v>746</v>
      </c>
      <c r="H20405" s="69">
        <v>-0.88500000000000001</v>
      </c>
    </row>
    <row r="20406" spans="6:8">
      <c r="F20406" s="68" t="s">
        <v>662</v>
      </c>
      <c r="G20406" s="67" t="s">
        <v>746</v>
      </c>
      <c r="H20406" s="69">
        <v>112.7299357</v>
      </c>
    </row>
    <row r="20407" spans="6:8">
      <c r="F20407" s="68" t="s">
        <v>420</v>
      </c>
      <c r="G20407" s="67" t="s">
        <v>746</v>
      </c>
      <c r="H20407" s="69">
        <v>2.9156735260487565</v>
      </c>
    </row>
    <row r="20408" spans="6:8">
      <c r="F20408" s="68" t="s">
        <v>420</v>
      </c>
      <c r="G20408" s="67" t="s">
        <v>747</v>
      </c>
      <c r="H20408" s="69">
        <v>2.8012763487796022</v>
      </c>
    </row>
    <row r="20409" spans="6:8">
      <c r="F20409" s="68" t="s">
        <v>662</v>
      </c>
      <c r="G20409" s="67" t="s">
        <v>747</v>
      </c>
      <c r="H20409" s="69">
        <v>112.7299357</v>
      </c>
    </row>
    <row r="20410" spans="6:8">
      <c r="F20410" s="68" t="s">
        <v>119</v>
      </c>
      <c r="G20410" s="67" t="s">
        <v>747</v>
      </c>
      <c r="H20410" s="69">
        <v>-0.90999999999999992</v>
      </c>
    </row>
    <row r="20411" spans="6:8">
      <c r="F20411" s="68" t="s">
        <v>120</v>
      </c>
      <c r="G20411" s="67" t="s">
        <v>747</v>
      </c>
      <c r="H20411" s="69">
        <v>-0.86499999999999999</v>
      </c>
    </row>
    <row r="20412" spans="6:8">
      <c r="F20412" s="68" t="s">
        <v>121</v>
      </c>
      <c r="G20412" s="67" t="s">
        <v>747</v>
      </c>
      <c r="H20412" s="69">
        <v>-0.65500000000000003</v>
      </c>
    </row>
    <row r="20413" spans="6:8">
      <c r="F20413" s="68" t="s">
        <v>251</v>
      </c>
      <c r="G20413" s="67" t="s">
        <v>747</v>
      </c>
      <c r="H20413" s="69">
        <v>0.17</v>
      </c>
    </row>
    <row r="20414" spans="6:8">
      <c r="F20414" s="68" t="s">
        <v>122</v>
      </c>
      <c r="G20414" s="67" t="s">
        <v>747</v>
      </c>
      <c r="H20414" s="69">
        <v>-0.875</v>
      </c>
    </row>
    <row r="20415" spans="6:8">
      <c r="F20415" s="68" t="s">
        <v>123</v>
      </c>
      <c r="G20415" s="67" t="s">
        <v>747</v>
      </c>
      <c r="H20415" s="69">
        <v>-1.0350000000000001</v>
      </c>
    </row>
    <row r="20416" spans="6:8">
      <c r="F20416" s="68" t="s">
        <v>124</v>
      </c>
      <c r="G20416" s="67" t="s">
        <v>747</v>
      </c>
      <c r="H20416" s="69">
        <v>-0.57000000000000006</v>
      </c>
    </row>
    <row r="20417" spans="6:8">
      <c r="F20417" s="68" t="s">
        <v>252</v>
      </c>
      <c r="G20417" s="67" t="s">
        <v>747</v>
      </c>
      <c r="H20417" s="69">
        <v>0.2183333333333333</v>
      </c>
    </row>
    <row r="20418" spans="6:8">
      <c r="F20418" s="68" t="s">
        <v>314</v>
      </c>
      <c r="G20418" s="67" t="s">
        <v>747</v>
      </c>
      <c r="H20418" s="69">
        <v>-0.59000000000000008</v>
      </c>
    </row>
    <row r="20419" spans="6:8">
      <c r="F20419" s="68" t="s">
        <v>663</v>
      </c>
      <c r="G20419" s="67" t="s">
        <v>747</v>
      </c>
      <c r="H20419" s="69">
        <v>112.7305191</v>
      </c>
    </row>
    <row r="20420" spans="6:8">
      <c r="F20420" s="68" t="s">
        <v>125</v>
      </c>
      <c r="G20420" s="67" t="s">
        <v>747</v>
      </c>
      <c r="H20420" s="69">
        <v>-0.65500000000000003</v>
      </c>
    </row>
    <row r="20421" spans="6:8">
      <c r="F20421" s="68" t="s">
        <v>126</v>
      </c>
      <c r="G20421" s="67" t="s">
        <v>747</v>
      </c>
      <c r="H20421" s="69">
        <v>-1.01</v>
      </c>
    </row>
    <row r="20422" spans="6:8">
      <c r="F20422" s="68" t="s">
        <v>127</v>
      </c>
      <c r="G20422" s="67" t="s">
        <v>747</v>
      </c>
      <c r="H20422" s="69">
        <v>-0.46499999999999997</v>
      </c>
    </row>
    <row r="20423" spans="6:8">
      <c r="F20423" s="68" t="s">
        <v>253</v>
      </c>
      <c r="G20423" s="67" t="s">
        <v>747</v>
      </c>
      <c r="H20423" s="69">
        <v>0.35000000000000003</v>
      </c>
    </row>
    <row r="20424" spans="6:8">
      <c r="F20424" s="68" t="s">
        <v>315</v>
      </c>
      <c r="G20424" s="67" t="s">
        <v>747</v>
      </c>
      <c r="H20424" s="69">
        <v>-0.27</v>
      </c>
    </row>
    <row r="20425" spans="6:8">
      <c r="F20425" s="68" t="s">
        <v>664</v>
      </c>
      <c r="G20425" s="67" t="s">
        <v>747</v>
      </c>
      <c r="H20425" s="69">
        <v>112.73034149999999</v>
      </c>
    </row>
    <row r="20426" spans="6:8">
      <c r="F20426" s="68" t="s">
        <v>128</v>
      </c>
      <c r="G20426" s="67" t="s">
        <v>747</v>
      </c>
      <c r="H20426" s="69">
        <v>-0.97</v>
      </c>
    </row>
    <row r="20427" spans="6:8">
      <c r="F20427" s="68" t="s">
        <v>129</v>
      </c>
      <c r="G20427" s="67" t="s">
        <v>747</v>
      </c>
      <c r="H20427" s="69">
        <v>-0.755</v>
      </c>
    </row>
    <row r="20428" spans="6:8">
      <c r="F20428" s="68" t="s">
        <v>304</v>
      </c>
      <c r="G20428" s="67" t="s">
        <v>747</v>
      </c>
      <c r="H20428" s="69">
        <v>17.666666666666668</v>
      </c>
    </row>
    <row r="20429" spans="6:8">
      <c r="F20429" s="68" t="s">
        <v>254</v>
      </c>
      <c r="G20429" s="67" t="s">
        <v>747</v>
      </c>
      <c r="H20429" s="69">
        <v>0.49499999999999994</v>
      </c>
    </row>
    <row r="20430" spans="6:8">
      <c r="F20430" s="68" t="s">
        <v>421</v>
      </c>
      <c r="G20430" s="67" t="s">
        <v>747</v>
      </c>
      <c r="H20430" s="69">
        <v>1.7707053830381181</v>
      </c>
    </row>
    <row r="20431" spans="6:8">
      <c r="F20431" s="68" t="s">
        <v>567</v>
      </c>
      <c r="G20431" s="67" t="s">
        <v>747</v>
      </c>
      <c r="H20431" s="69">
        <v>-1.0649999999999999</v>
      </c>
    </row>
    <row r="20432" spans="6:8">
      <c r="F20432" s="68" t="s">
        <v>665</v>
      </c>
      <c r="G20432" s="67" t="s">
        <v>747</v>
      </c>
      <c r="H20432" s="69">
        <v>112.7302888</v>
      </c>
    </row>
    <row r="20433" spans="6:8">
      <c r="F20433" s="68" t="s">
        <v>130</v>
      </c>
      <c r="G20433" s="67" t="s">
        <v>747</v>
      </c>
      <c r="H20433" s="69">
        <v>-1.1000000000000001</v>
      </c>
    </row>
    <row r="20434" spans="6:8">
      <c r="F20434" s="68" t="s">
        <v>131</v>
      </c>
      <c r="G20434" s="67" t="s">
        <v>747</v>
      </c>
      <c r="H20434" s="69">
        <v>-0.58499999999999996</v>
      </c>
    </row>
    <row r="20435" spans="6:8">
      <c r="F20435" s="68" t="s">
        <v>303</v>
      </c>
      <c r="G20435" s="67" t="s">
        <v>747</v>
      </c>
      <c r="H20435" s="69">
        <v>17.9375</v>
      </c>
    </row>
    <row r="20436" spans="6:8">
      <c r="F20436" s="68" t="s">
        <v>255</v>
      </c>
      <c r="G20436" s="67" t="s">
        <v>747</v>
      </c>
      <c r="H20436" s="69">
        <v>0.65333333333333343</v>
      </c>
    </row>
    <row r="20437" spans="6:8">
      <c r="F20437" s="68" t="s">
        <v>422</v>
      </c>
      <c r="G20437" s="67" t="s">
        <v>747</v>
      </c>
      <c r="H20437" s="69">
        <v>1.7761170647812019</v>
      </c>
    </row>
    <row r="20438" spans="6:8">
      <c r="F20438" s="68" t="s">
        <v>568</v>
      </c>
      <c r="G20438" s="67" t="s">
        <v>747</v>
      </c>
      <c r="H20438" s="69">
        <v>-0.58499999999999996</v>
      </c>
    </row>
    <row r="20439" spans="6:8">
      <c r="F20439" s="68" t="s">
        <v>666</v>
      </c>
      <c r="G20439" s="67" t="s">
        <v>747</v>
      </c>
      <c r="H20439" s="69">
        <v>112.7300852</v>
      </c>
    </row>
    <row r="20440" spans="6:8">
      <c r="F20440" s="68" t="s">
        <v>132</v>
      </c>
      <c r="G20440" s="67" t="s">
        <v>747</v>
      </c>
      <c r="H20440" s="69">
        <v>-1.0249999999999999</v>
      </c>
    </row>
    <row r="20441" spans="6:8">
      <c r="F20441" s="68" t="s">
        <v>133</v>
      </c>
      <c r="G20441" s="67" t="s">
        <v>747</v>
      </c>
      <c r="H20441" s="69">
        <v>-0.64500000000000002</v>
      </c>
    </row>
    <row r="20442" spans="6:8">
      <c r="F20442" s="68" t="s">
        <v>256</v>
      </c>
      <c r="G20442" s="67" t="s">
        <v>747</v>
      </c>
      <c r="H20442" s="69">
        <v>0.76333333333333331</v>
      </c>
    </row>
    <row r="20443" spans="6:8">
      <c r="F20443" s="68" t="s">
        <v>423</v>
      </c>
      <c r="G20443" s="67" t="s">
        <v>747</v>
      </c>
      <c r="H20443" s="69">
        <v>2.0356123274726468</v>
      </c>
    </row>
    <row r="20444" spans="6:8">
      <c r="F20444" s="68" t="s">
        <v>569</v>
      </c>
      <c r="G20444" s="67" t="s">
        <v>747</v>
      </c>
      <c r="H20444" s="69">
        <v>-0.26500000000000001</v>
      </c>
    </row>
    <row r="20445" spans="6:8">
      <c r="F20445" s="68" t="s">
        <v>667</v>
      </c>
      <c r="G20445" s="67" t="s">
        <v>747</v>
      </c>
      <c r="H20445" s="69">
        <v>112.73051820000001</v>
      </c>
    </row>
    <row r="20446" spans="6:8">
      <c r="F20446" s="68" t="s">
        <v>424</v>
      </c>
      <c r="G20446" s="67" t="s">
        <v>747</v>
      </c>
      <c r="H20446" s="69">
        <v>2.5887320933168922</v>
      </c>
    </row>
    <row r="20447" spans="6:8">
      <c r="F20447" s="68" t="s">
        <v>668</v>
      </c>
      <c r="G20447" s="67" t="s">
        <v>747</v>
      </c>
      <c r="H20447" s="69">
        <v>112.7301975</v>
      </c>
    </row>
    <row r="20448" spans="6:8">
      <c r="F20448" s="68" t="s">
        <v>134</v>
      </c>
      <c r="G20448" s="67" t="s">
        <v>747</v>
      </c>
      <c r="H20448" s="69">
        <v>-0.98</v>
      </c>
    </row>
    <row r="20449" spans="6:8">
      <c r="F20449" s="68" t="s">
        <v>135</v>
      </c>
      <c r="G20449" s="67" t="s">
        <v>747</v>
      </c>
      <c r="H20449" s="69">
        <v>-0.82000000000000006</v>
      </c>
    </row>
    <row r="20450" spans="6:8">
      <c r="F20450" s="68" t="s">
        <v>257</v>
      </c>
      <c r="G20450" s="67" t="s">
        <v>747</v>
      </c>
      <c r="H20450" s="69">
        <v>0.82800000000000007</v>
      </c>
    </row>
    <row r="20451" spans="6:8">
      <c r="F20451" s="68" t="s">
        <v>258</v>
      </c>
      <c r="G20451" s="67" t="s">
        <v>747</v>
      </c>
      <c r="H20451" s="69">
        <v>0.15</v>
      </c>
    </row>
    <row r="20452" spans="6:8">
      <c r="F20452" s="68" t="s">
        <v>425</v>
      </c>
      <c r="G20452" s="67" t="s">
        <v>747</v>
      </c>
      <c r="H20452" s="69">
        <v>2.6023590912341188</v>
      </c>
    </row>
    <row r="20453" spans="6:8">
      <c r="F20453" s="68" t="s">
        <v>669</v>
      </c>
      <c r="G20453" s="67" t="s">
        <v>747</v>
      </c>
      <c r="H20453" s="69">
        <v>112.7305741</v>
      </c>
    </row>
    <row r="20454" spans="6:8">
      <c r="F20454" s="68" t="s">
        <v>136</v>
      </c>
      <c r="G20454" s="67" t="s">
        <v>747</v>
      </c>
      <c r="H20454" s="69">
        <v>-0.97</v>
      </c>
    </row>
    <row r="20455" spans="6:8">
      <c r="F20455" s="68" t="s">
        <v>137</v>
      </c>
      <c r="G20455" s="67" t="s">
        <v>747</v>
      </c>
      <c r="H20455" s="69">
        <v>-0.72500000000000009</v>
      </c>
    </row>
    <row r="20456" spans="6:8">
      <c r="F20456" s="68" t="s">
        <v>138</v>
      </c>
      <c r="G20456" s="67" t="s">
        <v>747</v>
      </c>
      <c r="H20456" s="69">
        <v>-0.75</v>
      </c>
    </row>
    <row r="20457" spans="6:8">
      <c r="F20457" s="68" t="s">
        <v>259</v>
      </c>
      <c r="G20457" s="67" t="s">
        <v>747</v>
      </c>
      <c r="H20457" s="69">
        <v>0.14499999999999999</v>
      </c>
    </row>
    <row r="20458" spans="6:8">
      <c r="F20458" s="68" t="s">
        <v>259</v>
      </c>
      <c r="G20458" s="67" t="s">
        <v>748</v>
      </c>
      <c r="H20458" s="69">
        <v>0.13999999999999999</v>
      </c>
    </row>
    <row r="20459" spans="6:8">
      <c r="F20459" s="68" t="s">
        <v>138</v>
      </c>
      <c r="G20459" s="67" t="s">
        <v>748</v>
      </c>
      <c r="H20459" s="69">
        <v>-0.77499999999999991</v>
      </c>
    </row>
    <row r="20460" spans="6:8">
      <c r="F20460" s="68" t="s">
        <v>137</v>
      </c>
      <c r="G20460" s="67" t="s">
        <v>748</v>
      </c>
      <c r="H20460" s="69">
        <v>-0.73</v>
      </c>
    </row>
    <row r="20461" spans="6:8">
      <c r="F20461" s="68" t="s">
        <v>136</v>
      </c>
      <c r="G20461" s="67" t="s">
        <v>748</v>
      </c>
      <c r="H20461" s="69">
        <v>-1.0350000000000001</v>
      </c>
    </row>
    <row r="20462" spans="6:8">
      <c r="F20462" s="68" t="s">
        <v>669</v>
      </c>
      <c r="G20462" s="67" t="s">
        <v>748</v>
      </c>
      <c r="H20462" s="69">
        <v>112.7305741</v>
      </c>
    </row>
    <row r="20463" spans="6:8">
      <c r="F20463" s="68" t="s">
        <v>425</v>
      </c>
      <c r="G20463" s="67" t="s">
        <v>748</v>
      </c>
      <c r="H20463" s="69">
        <v>2.6844178214601389</v>
      </c>
    </row>
    <row r="20464" spans="6:8">
      <c r="F20464" s="68" t="s">
        <v>258</v>
      </c>
      <c r="G20464" s="67" t="s">
        <v>748</v>
      </c>
      <c r="H20464" s="69">
        <v>0.15</v>
      </c>
    </row>
    <row r="20465" spans="6:8">
      <c r="F20465" s="68" t="s">
        <v>257</v>
      </c>
      <c r="G20465" s="67" t="s">
        <v>748</v>
      </c>
      <c r="H20465" s="69">
        <v>0.81199999999999994</v>
      </c>
    </row>
    <row r="20466" spans="6:8">
      <c r="F20466" s="68" t="s">
        <v>135</v>
      </c>
      <c r="G20466" s="67" t="s">
        <v>748</v>
      </c>
      <c r="H20466" s="69">
        <v>-0.86499999999999999</v>
      </c>
    </row>
    <row r="20467" spans="6:8">
      <c r="F20467" s="68" t="s">
        <v>134</v>
      </c>
      <c r="G20467" s="67" t="s">
        <v>748</v>
      </c>
      <c r="H20467" s="69">
        <v>-1.01</v>
      </c>
    </row>
    <row r="20468" spans="6:8">
      <c r="F20468" s="68" t="s">
        <v>668</v>
      </c>
      <c r="G20468" s="67" t="s">
        <v>748</v>
      </c>
      <c r="H20468" s="69">
        <v>112.7301975</v>
      </c>
    </row>
    <row r="20469" spans="6:8">
      <c r="F20469" s="68" t="s">
        <v>424</v>
      </c>
      <c r="G20469" s="67" t="s">
        <v>748</v>
      </c>
      <c r="H20469" s="69">
        <v>2.6732234109167141</v>
      </c>
    </row>
    <row r="20470" spans="6:8">
      <c r="F20470" s="68" t="s">
        <v>667</v>
      </c>
      <c r="G20470" s="67" t="s">
        <v>748</v>
      </c>
      <c r="H20470" s="69">
        <v>112.73051820000001</v>
      </c>
    </row>
    <row r="20471" spans="6:8">
      <c r="F20471" s="68" t="s">
        <v>569</v>
      </c>
      <c r="G20471" s="67" t="s">
        <v>748</v>
      </c>
      <c r="H20471" s="69">
        <v>-0.30500000000000005</v>
      </c>
    </row>
    <row r="20472" spans="6:8">
      <c r="F20472" s="68" t="s">
        <v>423</v>
      </c>
      <c r="G20472" s="67" t="s">
        <v>748</v>
      </c>
      <c r="H20472" s="69">
        <v>2.0887533638688449</v>
      </c>
    </row>
    <row r="20473" spans="6:8">
      <c r="F20473" s="68" t="s">
        <v>256</v>
      </c>
      <c r="G20473" s="67" t="s">
        <v>748</v>
      </c>
      <c r="H20473" s="69">
        <v>0.7466666666666667</v>
      </c>
    </row>
    <row r="20474" spans="6:8">
      <c r="F20474" s="68" t="s">
        <v>133</v>
      </c>
      <c r="G20474" s="67" t="s">
        <v>748</v>
      </c>
      <c r="H20474" s="69">
        <v>-0.69500000000000006</v>
      </c>
    </row>
    <row r="20475" spans="6:8">
      <c r="F20475" s="68" t="s">
        <v>132</v>
      </c>
      <c r="G20475" s="67" t="s">
        <v>748</v>
      </c>
      <c r="H20475" s="69">
        <v>-1.06</v>
      </c>
    </row>
    <row r="20476" spans="6:8">
      <c r="F20476" s="68" t="s">
        <v>666</v>
      </c>
      <c r="G20476" s="67" t="s">
        <v>748</v>
      </c>
      <c r="H20476" s="69">
        <v>112.7300852</v>
      </c>
    </row>
    <row r="20477" spans="6:8">
      <c r="F20477" s="68" t="s">
        <v>568</v>
      </c>
      <c r="G20477" s="67" t="s">
        <v>748</v>
      </c>
      <c r="H20477" s="69">
        <v>-0.64999999999999991</v>
      </c>
    </row>
    <row r="20478" spans="6:8">
      <c r="F20478" s="68" t="s">
        <v>422</v>
      </c>
      <c r="G20478" s="67" t="s">
        <v>748</v>
      </c>
      <c r="H20478" s="69">
        <v>1.8580330382129695</v>
      </c>
    </row>
    <row r="20479" spans="6:8">
      <c r="F20479" s="68" t="s">
        <v>255</v>
      </c>
      <c r="G20479" s="67" t="s">
        <v>748</v>
      </c>
      <c r="H20479" s="69">
        <v>0.62333333333333341</v>
      </c>
    </row>
    <row r="20480" spans="6:8">
      <c r="F20480" s="68" t="s">
        <v>303</v>
      </c>
      <c r="G20480" s="67" t="s">
        <v>748</v>
      </c>
      <c r="H20480" s="69">
        <v>17.822916666666668</v>
      </c>
    </row>
    <row r="20481" spans="6:8">
      <c r="F20481" s="68" t="s">
        <v>131</v>
      </c>
      <c r="G20481" s="67" t="s">
        <v>748</v>
      </c>
      <c r="H20481" s="69">
        <v>-0.63500000000000001</v>
      </c>
    </row>
    <row r="20482" spans="6:8">
      <c r="F20482" s="68" t="s">
        <v>130</v>
      </c>
      <c r="G20482" s="67" t="s">
        <v>748</v>
      </c>
      <c r="H20482" s="69">
        <v>-1.1349999999999998</v>
      </c>
    </row>
    <row r="20483" spans="6:8">
      <c r="F20483" s="68" t="s">
        <v>665</v>
      </c>
      <c r="G20483" s="67" t="s">
        <v>748</v>
      </c>
      <c r="H20483" s="69">
        <v>112.7302888</v>
      </c>
    </row>
    <row r="20484" spans="6:8">
      <c r="F20484" s="68" t="s">
        <v>567</v>
      </c>
      <c r="G20484" s="67" t="s">
        <v>748</v>
      </c>
      <c r="H20484" s="69">
        <v>-1.1299999999999999</v>
      </c>
    </row>
    <row r="20485" spans="6:8">
      <c r="F20485" s="68" t="s">
        <v>421</v>
      </c>
      <c r="G20485" s="67" t="s">
        <v>748</v>
      </c>
      <c r="H20485" s="69">
        <v>1.8525783909743243</v>
      </c>
    </row>
    <row r="20486" spans="6:8">
      <c r="F20486" s="68" t="s">
        <v>254</v>
      </c>
      <c r="G20486" s="67" t="s">
        <v>748</v>
      </c>
      <c r="H20486" s="69">
        <v>0.46833333333333327</v>
      </c>
    </row>
    <row r="20487" spans="6:8">
      <c r="F20487" s="68" t="s">
        <v>304</v>
      </c>
      <c r="G20487" s="67" t="s">
        <v>748</v>
      </c>
      <c r="H20487" s="69">
        <v>17.59375</v>
      </c>
    </row>
    <row r="20488" spans="6:8">
      <c r="F20488" s="68" t="s">
        <v>129</v>
      </c>
      <c r="G20488" s="67" t="s">
        <v>748</v>
      </c>
      <c r="H20488" s="69">
        <v>-0.77500000000000002</v>
      </c>
    </row>
    <row r="20489" spans="6:8">
      <c r="F20489" s="68" t="s">
        <v>128</v>
      </c>
      <c r="G20489" s="67" t="s">
        <v>748</v>
      </c>
      <c r="H20489" s="69">
        <v>-0.97</v>
      </c>
    </row>
    <row r="20490" spans="6:8">
      <c r="F20490" s="68" t="s">
        <v>664</v>
      </c>
      <c r="G20490" s="67" t="s">
        <v>748</v>
      </c>
      <c r="H20490" s="69">
        <v>112.73034149999999</v>
      </c>
    </row>
    <row r="20491" spans="6:8">
      <c r="F20491" s="68" t="s">
        <v>315</v>
      </c>
      <c r="G20491" s="67" t="s">
        <v>748</v>
      </c>
      <c r="H20491" s="69">
        <v>-0.31</v>
      </c>
    </row>
    <row r="20492" spans="6:8">
      <c r="F20492" s="68" t="s">
        <v>253</v>
      </c>
      <c r="G20492" s="67" t="s">
        <v>748</v>
      </c>
      <c r="H20492" s="69">
        <v>0.33666666666666667</v>
      </c>
    </row>
    <row r="20493" spans="6:8">
      <c r="F20493" s="68" t="s">
        <v>127</v>
      </c>
      <c r="G20493" s="67" t="s">
        <v>748</v>
      </c>
      <c r="H20493" s="69">
        <v>-0.49</v>
      </c>
    </row>
    <row r="20494" spans="6:8">
      <c r="F20494" s="68" t="s">
        <v>126</v>
      </c>
      <c r="G20494" s="67" t="s">
        <v>748</v>
      </c>
      <c r="H20494" s="69">
        <v>-1.0150000000000001</v>
      </c>
    </row>
    <row r="20495" spans="6:8">
      <c r="F20495" s="68" t="s">
        <v>125</v>
      </c>
      <c r="G20495" s="67" t="s">
        <v>748</v>
      </c>
      <c r="H20495" s="69">
        <v>-0.71</v>
      </c>
    </row>
    <row r="20496" spans="6:8">
      <c r="F20496" s="68" t="s">
        <v>663</v>
      </c>
      <c r="G20496" s="67" t="s">
        <v>748</v>
      </c>
      <c r="H20496" s="69">
        <v>112.7305191</v>
      </c>
    </row>
    <row r="20497" spans="6:8">
      <c r="F20497" s="68" t="s">
        <v>314</v>
      </c>
      <c r="G20497" s="67" t="s">
        <v>748</v>
      </c>
      <c r="H20497" s="69">
        <v>-0.64500000000000002</v>
      </c>
    </row>
    <row r="20498" spans="6:8">
      <c r="F20498" s="68" t="s">
        <v>252</v>
      </c>
      <c r="G20498" s="67" t="s">
        <v>748</v>
      </c>
      <c r="H20498" s="69">
        <v>0.20833333333333334</v>
      </c>
    </row>
    <row r="20499" spans="6:8">
      <c r="F20499" s="68" t="s">
        <v>124</v>
      </c>
      <c r="G20499" s="67" t="s">
        <v>748</v>
      </c>
      <c r="H20499" s="69">
        <v>-0.59499999999999997</v>
      </c>
    </row>
    <row r="20500" spans="6:8">
      <c r="F20500" s="68" t="s">
        <v>123</v>
      </c>
      <c r="G20500" s="67" t="s">
        <v>748</v>
      </c>
      <c r="H20500" s="69">
        <v>-1.04</v>
      </c>
    </row>
    <row r="20501" spans="6:8">
      <c r="F20501" s="68" t="s">
        <v>122</v>
      </c>
      <c r="G20501" s="67" t="s">
        <v>748</v>
      </c>
      <c r="H20501" s="69">
        <v>-0.94500000000000006</v>
      </c>
    </row>
    <row r="20502" spans="6:8">
      <c r="F20502" s="68" t="s">
        <v>251</v>
      </c>
      <c r="G20502" s="67" t="s">
        <v>748</v>
      </c>
      <c r="H20502" s="69">
        <v>0.16</v>
      </c>
    </row>
    <row r="20503" spans="6:8">
      <c r="F20503" s="68" t="s">
        <v>121</v>
      </c>
      <c r="G20503" s="67" t="s">
        <v>748</v>
      </c>
      <c r="H20503" s="69">
        <v>-0.67999999999999994</v>
      </c>
    </row>
    <row r="20504" spans="6:8">
      <c r="F20504" s="68" t="s">
        <v>120</v>
      </c>
      <c r="G20504" s="67" t="s">
        <v>748</v>
      </c>
      <c r="H20504" s="69">
        <v>-0.875</v>
      </c>
    </row>
    <row r="20505" spans="6:8">
      <c r="F20505" s="68" t="s">
        <v>119</v>
      </c>
      <c r="G20505" s="67" t="s">
        <v>748</v>
      </c>
      <c r="H20505" s="69">
        <v>-0.9850000000000001</v>
      </c>
    </row>
    <row r="20506" spans="6:8">
      <c r="F20506" s="68" t="s">
        <v>662</v>
      </c>
      <c r="G20506" s="67" t="s">
        <v>748</v>
      </c>
      <c r="H20506" s="69">
        <v>112.7299357</v>
      </c>
    </row>
    <row r="20507" spans="6:8">
      <c r="F20507" s="68" t="s">
        <v>420</v>
      </c>
      <c r="G20507" s="67" t="s">
        <v>748</v>
      </c>
      <c r="H20507" s="69">
        <v>2.8899769666201891</v>
      </c>
    </row>
    <row r="20508" spans="6:8">
      <c r="F20508" s="68" t="s">
        <v>420</v>
      </c>
      <c r="G20508" s="67" t="s">
        <v>749</v>
      </c>
      <c r="H20508" s="69">
        <v>2.9089681552965985</v>
      </c>
    </row>
    <row r="20509" spans="6:8">
      <c r="F20509" s="68" t="s">
        <v>662</v>
      </c>
      <c r="G20509" s="67" t="s">
        <v>749</v>
      </c>
      <c r="H20509" s="69">
        <v>112.7299357</v>
      </c>
    </row>
    <row r="20510" spans="6:8">
      <c r="F20510" s="68" t="s">
        <v>119</v>
      </c>
      <c r="G20510" s="67" t="s">
        <v>749</v>
      </c>
      <c r="H20510" s="69">
        <v>-0.9850000000000001</v>
      </c>
    </row>
    <row r="20511" spans="6:8">
      <c r="F20511" s="68" t="s">
        <v>120</v>
      </c>
      <c r="G20511" s="67" t="s">
        <v>749</v>
      </c>
      <c r="H20511" s="69">
        <v>-0.875</v>
      </c>
    </row>
    <row r="20512" spans="6:8">
      <c r="F20512" s="68" t="s">
        <v>121</v>
      </c>
      <c r="G20512" s="67" t="s">
        <v>749</v>
      </c>
      <c r="H20512" s="69">
        <v>-0.67999999999999994</v>
      </c>
    </row>
    <row r="20513" spans="6:8">
      <c r="F20513" s="68" t="s">
        <v>251</v>
      </c>
      <c r="G20513" s="67" t="s">
        <v>749</v>
      </c>
      <c r="H20513" s="69">
        <v>0.16</v>
      </c>
    </row>
    <row r="20514" spans="6:8">
      <c r="F20514" s="68" t="s">
        <v>122</v>
      </c>
      <c r="G20514" s="67" t="s">
        <v>749</v>
      </c>
      <c r="H20514" s="69">
        <v>-0.94500000000000006</v>
      </c>
    </row>
    <row r="20515" spans="6:8">
      <c r="F20515" s="68" t="s">
        <v>123</v>
      </c>
      <c r="G20515" s="67" t="s">
        <v>749</v>
      </c>
      <c r="H20515" s="69">
        <v>-1.04</v>
      </c>
    </row>
    <row r="20516" spans="6:8">
      <c r="F20516" s="68" t="s">
        <v>124</v>
      </c>
      <c r="G20516" s="67" t="s">
        <v>749</v>
      </c>
      <c r="H20516" s="69">
        <v>-0.59499999999999997</v>
      </c>
    </row>
    <row r="20517" spans="6:8">
      <c r="F20517" s="68" t="s">
        <v>252</v>
      </c>
      <c r="G20517" s="67" t="s">
        <v>749</v>
      </c>
      <c r="H20517" s="69">
        <v>0.20833333333333334</v>
      </c>
    </row>
    <row r="20518" spans="6:8">
      <c r="F20518" s="68" t="s">
        <v>314</v>
      </c>
      <c r="G20518" s="67" t="s">
        <v>749</v>
      </c>
      <c r="H20518" s="69">
        <v>-0.64500000000000002</v>
      </c>
    </row>
    <row r="20519" spans="6:8">
      <c r="F20519" s="68" t="s">
        <v>663</v>
      </c>
      <c r="G20519" s="67" t="s">
        <v>749</v>
      </c>
      <c r="H20519" s="69">
        <v>112.7305191</v>
      </c>
    </row>
    <row r="20520" spans="6:8">
      <c r="F20520" s="68" t="s">
        <v>125</v>
      </c>
      <c r="G20520" s="67" t="s">
        <v>749</v>
      </c>
      <c r="H20520" s="69">
        <v>-0.71</v>
      </c>
    </row>
    <row r="20521" spans="6:8">
      <c r="F20521" s="68" t="s">
        <v>126</v>
      </c>
      <c r="G20521" s="67" t="s">
        <v>749</v>
      </c>
      <c r="H20521" s="69">
        <v>-1.0150000000000001</v>
      </c>
    </row>
    <row r="20522" spans="6:8">
      <c r="F20522" s="68" t="s">
        <v>127</v>
      </c>
      <c r="G20522" s="67" t="s">
        <v>749</v>
      </c>
      <c r="H20522" s="69">
        <v>-0.49</v>
      </c>
    </row>
    <row r="20523" spans="6:8">
      <c r="F20523" s="68" t="s">
        <v>253</v>
      </c>
      <c r="G20523" s="67" t="s">
        <v>749</v>
      </c>
      <c r="H20523" s="69">
        <v>0.33666666666666667</v>
      </c>
    </row>
    <row r="20524" spans="6:8">
      <c r="F20524" s="68" t="s">
        <v>315</v>
      </c>
      <c r="G20524" s="67" t="s">
        <v>749</v>
      </c>
      <c r="H20524" s="69">
        <v>-0.31</v>
      </c>
    </row>
    <row r="20525" spans="6:8">
      <c r="F20525" s="68" t="s">
        <v>664</v>
      </c>
      <c r="G20525" s="67" t="s">
        <v>749</v>
      </c>
      <c r="H20525" s="69">
        <v>112.73034149999999</v>
      </c>
    </row>
    <row r="20526" spans="6:8">
      <c r="F20526" s="68" t="s">
        <v>128</v>
      </c>
      <c r="G20526" s="67" t="s">
        <v>749</v>
      </c>
      <c r="H20526" s="69">
        <v>-0.97</v>
      </c>
    </row>
    <row r="20527" spans="6:8">
      <c r="F20527" s="68" t="s">
        <v>129</v>
      </c>
      <c r="G20527" s="67" t="s">
        <v>749</v>
      </c>
      <c r="H20527" s="69">
        <v>-0.77500000000000002</v>
      </c>
    </row>
    <row r="20528" spans="6:8">
      <c r="F20528" s="68" t="s">
        <v>304</v>
      </c>
      <c r="G20528" s="67" t="s">
        <v>749</v>
      </c>
      <c r="H20528" s="69">
        <v>17.645833333333332</v>
      </c>
    </row>
    <row r="20529" spans="6:8">
      <c r="F20529" s="68" t="s">
        <v>254</v>
      </c>
      <c r="G20529" s="67" t="s">
        <v>749</v>
      </c>
      <c r="H20529" s="69">
        <v>0.46833333333333327</v>
      </c>
    </row>
    <row r="20530" spans="6:8">
      <c r="F20530" s="68" t="s">
        <v>421</v>
      </c>
      <c r="G20530" s="67" t="s">
        <v>749</v>
      </c>
      <c r="H20530" s="69">
        <v>1.8647181459855666</v>
      </c>
    </row>
    <row r="20531" spans="6:8">
      <c r="F20531" s="68" t="s">
        <v>567</v>
      </c>
      <c r="G20531" s="67" t="s">
        <v>749</v>
      </c>
      <c r="H20531" s="69">
        <v>-1.1299999999999999</v>
      </c>
    </row>
    <row r="20532" spans="6:8">
      <c r="F20532" s="68" t="s">
        <v>665</v>
      </c>
      <c r="G20532" s="67" t="s">
        <v>749</v>
      </c>
      <c r="H20532" s="69">
        <v>112.7302888</v>
      </c>
    </row>
    <row r="20533" spans="6:8">
      <c r="F20533" s="68" t="s">
        <v>130</v>
      </c>
      <c r="G20533" s="67" t="s">
        <v>749</v>
      </c>
      <c r="H20533" s="69">
        <v>-1.1349999999999998</v>
      </c>
    </row>
    <row r="20534" spans="6:8">
      <c r="F20534" s="68" t="s">
        <v>131</v>
      </c>
      <c r="G20534" s="67" t="s">
        <v>749</v>
      </c>
      <c r="H20534" s="69">
        <v>-0.63500000000000001</v>
      </c>
    </row>
    <row r="20535" spans="6:8">
      <c r="F20535" s="68" t="s">
        <v>303</v>
      </c>
      <c r="G20535" s="67" t="s">
        <v>749</v>
      </c>
      <c r="H20535" s="69">
        <v>17.854166666666668</v>
      </c>
    </row>
    <row r="20536" spans="6:8">
      <c r="F20536" s="68" t="s">
        <v>255</v>
      </c>
      <c r="G20536" s="67" t="s">
        <v>749</v>
      </c>
      <c r="H20536" s="69">
        <v>0.62333333333333341</v>
      </c>
    </row>
    <row r="20537" spans="6:8">
      <c r="F20537" s="68" t="s">
        <v>422</v>
      </c>
      <c r="G20537" s="67" t="s">
        <v>749</v>
      </c>
      <c r="H20537" s="69">
        <v>1.8701346335365798</v>
      </c>
    </row>
    <row r="20538" spans="6:8">
      <c r="F20538" s="68" t="s">
        <v>568</v>
      </c>
      <c r="G20538" s="67" t="s">
        <v>749</v>
      </c>
      <c r="H20538" s="69">
        <v>-0.64999999999999991</v>
      </c>
    </row>
    <row r="20539" spans="6:8">
      <c r="F20539" s="68" t="s">
        <v>666</v>
      </c>
      <c r="G20539" s="67" t="s">
        <v>749</v>
      </c>
      <c r="H20539" s="69">
        <v>112.7300852</v>
      </c>
    </row>
    <row r="20540" spans="6:8">
      <c r="F20540" s="68" t="s">
        <v>132</v>
      </c>
      <c r="G20540" s="67" t="s">
        <v>749</v>
      </c>
      <c r="H20540" s="69">
        <v>-1.06</v>
      </c>
    </row>
    <row r="20541" spans="6:8">
      <c r="F20541" s="68" t="s">
        <v>133</v>
      </c>
      <c r="G20541" s="67" t="s">
        <v>749</v>
      </c>
      <c r="H20541" s="69">
        <v>-0.69500000000000006</v>
      </c>
    </row>
    <row r="20542" spans="6:8">
      <c r="F20542" s="68" t="s">
        <v>256</v>
      </c>
      <c r="G20542" s="67" t="s">
        <v>749</v>
      </c>
      <c r="H20542" s="69">
        <v>0.7466666666666667</v>
      </c>
    </row>
    <row r="20543" spans="6:8">
      <c r="F20543" s="68" t="s">
        <v>423</v>
      </c>
      <c r="G20543" s="67" t="s">
        <v>749</v>
      </c>
      <c r="H20543" s="69">
        <v>2.0980776409863289</v>
      </c>
    </row>
    <row r="20544" spans="6:8">
      <c r="F20544" s="68" t="s">
        <v>569</v>
      </c>
      <c r="G20544" s="67" t="s">
        <v>749</v>
      </c>
      <c r="H20544" s="69">
        <v>-0.30500000000000005</v>
      </c>
    </row>
    <row r="20545" spans="6:8">
      <c r="F20545" s="68" t="s">
        <v>667</v>
      </c>
      <c r="G20545" s="67" t="s">
        <v>749</v>
      </c>
      <c r="H20545" s="69">
        <v>112.73051820000001</v>
      </c>
    </row>
    <row r="20546" spans="6:8">
      <c r="F20546" s="68" t="s">
        <v>424</v>
      </c>
      <c r="G20546" s="67" t="s">
        <v>749</v>
      </c>
      <c r="H20546" s="69">
        <v>2.6919564697637899</v>
      </c>
    </row>
    <row r="20547" spans="6:8">
      <c r="F20547" s="68" t="s">
        <v>668</v>
      </c>
      <c r="G20547" s="67" t="s">
        <v>749</v>
      </c>
      <c r="H20547" s="69">
        <v>112.7301975</v>
      </c>
    </row>
    <row r="20548" spans="6:8">
      <c r="F20548" s="68" t="s">
        <v>134</v>
      </c>
      <c r="G20548" s="67" t="s">
        <v>749</v>
      </c>
      <c r="H20548" s="69">
        <v>-1.01</v>
      </c>
    </row>
    <row r="20549" spans="6:8">
      <c r="F20549" s="68" t="s">
        <v>135</v>
      </c>
      <c r="G20549" s="67" t="s">
        <v>749</v>
      </c>
      <c r="H20549" s="69">
        <v>-0.86499999999999999</v>
      </c>
    </row>
    <row r="20550" spans="6:8">
      <c r="F20550" s="68" t="s">
        <v>257</v>
      </c>
      <c r="G20550" s="67" t="s">
        <v>749</v>
      </c>
      <c r="H20550" s="69">
        <v>0.81199999999999994</v>
      </c>
    </row>
    <row r="20551" spans="6:8">
      <c r="F20551" s="68" t="s">
        <v>258</v>
      </c>
      <c r="G20551" s="67" t="s">
        <v>749</v>
      </c>
      <c r="H20551" s="69">
        <v>0.15</v>
      </c>
    </row>
    <row r="20552" spans="6:8">
      <c r="F20552" s="68" t="s">
        <v>425</v>
      </c>
      <c r="G20552" s="67" t="s">
        <v>749</v>
      </c>
      <c r="H20552" s="69">
        <v>2.7011947138571468</v>
      </c>
    </row>
    <row r="20553" spans="6:8">
      <c r="F20553" s="68" t="s">
        <v>669</v>
      </c>
      <c r="G20553" s="67" t="s">
        <v>749</v>
      </c>
      <c r="H20553" s="69">
        <v>112.7305741</v>
      </c>
    </row>
    <row r="20554" spans="6:8">
      <c r="F20554" s="68" t="s">
        <v>136</v>
      </c>
      <c r="G20554" s="67" t="s">
        <v>749</v>
      </c>
      <c r="H20554" s="69">
        <v>-1.0350000000000001</v>
      </c>
    </row>
    <row r="20555" spans="6:8">
      <c r="F20555" s="68" t="s">
        <v>137</v>
      </c>
      <c r="G20555" s="67" t="s">
        <v>749</v>
      </c>
      <c r="H20555" s="69">
        <v>-0.73</v>
      </c>
    </row>
    <row r="20556" spans="6:8">
      <c r="F20556" s="68" t="s">
        <v>138</v>
      </c>
      <c r="G20556" s="67" t="s">
        <v>749</v>
      </c>
      <c r="H20556" s="69">
        <v>-0.77499999999999991</v>
      </c>
    </row>
    <row r="20557" spans="6:8">
      <c r="F20557" s="68" t="s">
        <v>259</v>
      </c>
      <c r="G20557" s="67" t="s">
        <v>749</v>
      </c>
      <c r="H20557" s="69">
        <v>0.13999999999999999</v>
      </c>
    </row>
    <row r="20558" spans="6:8">
      <c r="F20558" s="68" t="s">
        <v>669</v>
      </c>
      <c r="G20558" s="67" t="s">
        <v>750</v>
      </c>
      <c r="H20558" s="69">
        <v>112.7305741</v>
      </c>
    </row>
    <row r="20559" spans="6:8">
      <c r="F20559" s="68" t="s">
        <v>668</v>
      </c>
      <c r="G20559" s="67" t="s">
        <v>750</v>
      </c>
      <c r="H20559" s="69">
        <v>112.7301975</v>
      </c>
    </row>
    <row r="20560" spans="6:8">
      <c r="F20560" s="68" t="s">
        <v>667</v>
      </c>
      <c r="G20560" s="67" t="s">
        <v>750</v>
      </c>
      <c r="H20560" s="69">
        <v>112.73051820000001</v>
      </c>
    </row>
    <row r="20561" spans="6:8">
      <c r="F20561" s="68" t="s">
        <v>666</v>
      </c>
      <c r="G20561" s="67" t="s">
        <v>750</v>
      </c>
      <c r="H20561" s="69">
        <v>112.7300852</v>
      </c>
    </row>
    <row r="20562" spans="6:8">
      <c r="F20562" s="68" t="s">
        <v>665</v>
      </c>
      <c r="G20562" s="67" t="s">
        <v>750</v>
      </c>
      <c r="H20562" s="69">
        <v>112.7302888</v>
      </c>
    </row>
    <row r="20563" spans="6:8">
      <c r="F20563" s="68" t="s">
        <v>664</v>
      </c>
      <c r="G20563" s="67" t="s">
        <v>750</v>
      </c>
      <c r="H20563" s="69">
        <v>112.73034149999999</v>
      </c>
    </row>
    <row r="20564" spans="6:8">
      <c r="F20564" s="68" t="s">
        <v>663</v>
      </c>
      <c r="G20564" s="67" t="s">
        <v>750</v>
      </c>
      <c r="H20564" s="69">
        <v>112.7305191</v>
      </c>
    </row>
    <row r="20565" spans="6:8">
      <c r="F20565" s="68" t="s">
        <v>662</v>
      </c>
      <c r="G20565" s="67" t="s">
        <v>750</v>
      </c>
      <c r="H20565" s="69">
        <v>112.7299357</v>
      </c>
    </row>
    <row r="20566" spans="6:8">
      <c r="F20566" s="68" t="s">
        <v>662</v>
      </c>
      <c r="G20566" s="67" t="s">
        <v>751</v>
      </c>
      <c r="H20566" s="69">
        <v>112.7299357</v>
      </c>
    </row>
    <row r="20567" spans="6:8">
      <c r="F20567" s="68" t="s">
        <v>663</v>
      </c>
      <c r="G20567" s="67" t="s">
        <v>751</v>
      </c>
      <c r="H20567" s="69">
        <v>112.7305191</v>
      </c>
    </row>
    <row r="20568" spans="6:8">
      <c r="F20568" s="68" t="s">
        <v>664</v>
      </c>
      <c r="G20568" s="67" t="s">
        <v>751</v>
      </c>
      <c r="H20568" s="69">
        <v>112.73034149999999</v>
      </c>
    </row>
    <row r="20569" spans="6:8">
      <c r="F20569" s="68" t="s">
        <v>665</v>
      </c>
      <c r="G20569" s="67" t="s">
        <v>751</v>
      </c>
      <c r="H20569" s="69">
        <v>112.7302888</v>
      </c>
    </row>
    <row r="20570" spans="6:8">
      <c r="F20570" s="68" t="s">
        <v>666</v>
      </c>
      <c r="G20570" s="67" t="s">
        <v>751</v>
      </c>
      <c r="H20570" s="69">
        <v>112.7300852</v>
      </c>
    </row>
    <row r="20571" spans="6:8">
      <c r="F20571" s="68" t="s">
        <v>667</v>
      </c>
      <c r="G20571" s="67" t="s">
        <v>751</v>
      </c>
      <c r="H20571" s="69">
        <v>112.73051820000001</v>
      </c>
    </row>
    <row r="20572" spans="6:8">
      <c r="F20572" s="68" t="s">
        <v>668</v>
      </c>
      <c r="G20572" s="67" t="s">
        <v>751</v>
      </c>
      <c r="H20572" s="69">
        <v>112.7301975</v>
      </c>
    </row>
    <row r="20573" spans="6:8">
      <c r="F20573" s="68" t="s">
        <v>669</v>
      </c>
      <c r="G20573" s="67" t="s">
        <v>751</v>
      </c>
      <c r="H20573" s="69">
        <v>112.7305741</v>
      </c>
    </row>
    <row r="20574" spans="6:8">
      <c r="F20574" s="68" t="s">
        <v>669</v>
      </c>
      <c r="G20574" s="67" t="s">
        <v>752</v>
      </c>
      <c r="H20574" s="69">
        <v>112.7305741</v>
      </c>
    </row>
    <row r="20575" spans="6:8">
      <c r="F20575" s="68" t="s">
        <v>425</v>
      </c>
      <c r="G20575" s="67" t="s">
        <v>752</v>
      </c>
      <c r="H20575" s="69">
        <v>2.657438248106736</v>
      </c>
    </row>
    <row r="20576" spans="6:8">
      <c r="F20576" s="68" t="s">
        <v>259</v>
      </c>
      <c r="G20576" s="67" t="s">
        <v>752</v>
      </c>
      <c r="H20576" s="69">
        <v>0.13499999999999998</v>
      </c>
    </row>
    <row r="20577" spans="6:8">
      <c r="F20577" s="68" t="s">
        <v>138</v>
      </c>
      <c r="G20577" s="67" t="s">
        <v>752</v>
      </c>
      <c r="H20577" s="69">
        <v>-0.76</v>
      </c>
    </row>
    <row r="20578" spans="6:8">
      <c r="F20578" s="68" t="s">
        <v>137</v>
      </c>
      <c r="G20578" s="67" t="s">
        <v>752</v>
      </c>
      <c r="H20578" s="69">
        <v>-0.70500000000000007</v>
      </c>
    </row>
    <row r="20579" spans="6:8">
      <c r="F20579" s="68" t="s">
        <v>136</v>
      </c>
      <c r="G20579" s="67" t="s">
        <v>752</v>
      </c>
      <c r="H20579" s="69">
        <v>-1.085</v>
      </c>
    </row>
    <row r="20580" spans="6:8">
      <c r="F20580" s="68" t="s">
        <v>668</v>
      </c>
      <c r="G20580" s="67" t="s">
        <v>752</v>
      </c>
      <c r="H20580" s="69">
        <v>112.7301975</v>
      </c>
    </row>
    <row r="20581" spans="6:8">
      <c r="F20581" s="68" t="s">
        <v>424</v>
      </c>
      <c r="G20581" s="67" t="s">
        <v>752</v>
      </c>
      <c r="H20581" s="69">
        <v>2.6529007424742179</v>
      </c>
    </row>
    <row r="20582" spans="6:8">
      <c r="F20582" s="68" t="s">
        <v>258</v>
      </c>
      <c r="G20582" s="67" t="s">
        <v>752</v>
      </c>
      <c r="H20582" s="69">
        <v>0.15</v>
      </c>
    </row>
    <row r="20583" spans="6:8">
      <c r="F20583" s="68" t="s">
        <v>257</v>
      </c>
      <c r="G20583" s="67" t="s">
        <v>752</v>
      </c>
      <c r="H20583" s="69">
        <v>0.82200000000000006</v>
      </c>
    </row>
    <row r="20584" spans="6:8">
      <c r="F20584" s="68" t="s">
        <v>135</v>
      </c>
      <c r="G20584" s="67" t="s">
        <v>752</v>
      </c>
      <c r="H20584" s="69">
        <v>-0.86</v>
      </c>
    </row>
    <row r="20585" spans="6:8">
      <c r="F20585" s="68" t="s">
        <v>134</v>
      </c>
      <c r="G20585" s="67" t="s">
        <v>752</v>
      </c>
      <c r="H20585" s="69">
        <v>-0.99</v>
      </c>
    </row>
    <row r="20586" spans="6:8">
      <c r="F20586" s="68" t="s">
        <v>667</v>
      </c>
      <c r="G20586" s="67" t="s">
        <v>752</v>
      </c>
      <c r="H20586" s="69">
        <v>112.73051820000001</v>
      </c>
    </row>
    <row r="20587" spans="6:8">
      <c r="F20587" s="68" t="s">
        <v>569</v>
      </c>
      <c r="G20587" s="67" t="s">
        <v>752</v>
      </c>
      <c r="H20587" s="69">
        <v>-0.32999999999999996</v>
      </c>
    </row>
    <row r="20588" spans="6:8">
      <c r="F20588" s="68" t="s">
        <v>423</v>
      </c>
      <c r="G20588" s="67" t="s">
        <v>752</v>
      </c>
      <c r="H20588" s="69">
        <v>2.0606496548905451</v>
      </c>
    </row>
    <row r="20589" spans="6:8">
      <c r="F20589" s="68" t="s">
        <v>256</v>
      </c>
      <c r="G20589" s="67" t="s">
        <v>752</v>
      </c>
      <c r="H20589" s="69">
        <v>0.7599999999999999</v>
      </c>
    </row>
    <row r="20590" spans="6:8">
      <c r="F20590" s="68" t="s">
        <v>133</v>
      </c>
      <c r="G20590" s="67" t="s">
        <v>752</v>
      </c>
      <c r="H20590" s="69">
        <v>-0.69</v>
      </c>
    </row>
    <row r="20591" spans="6:8">
      <c r="F20591" s="68" t="s">
        <v>132</v>
      </c>
      <c r="G20591" s="67" t="s">
        <v>752</v>
      </c>
      <c r="H20591" s="69">
        <v>-1.0350000000000001</v>
      </c>
    </row>
    <row r="20592" spans="6:8">
      <c r="F20592" s="68" t="s">
        <v>666</v>
      </c>
      <c r="G20592" s="67" t="s">
        <v>752</v>
      </c>
      <c r="H20592" s="69">
        <v>112.7300852</v>
      </c>
    </row>
    <row r="20593" spans="6:8">
      <c r="F20593" s="68" t="s">
        <v>568</v>
      </c>
      <c r="G20593" s="67" t="s">
        <v>752</v>
      </c>
      <c r="H20593" s="69">
        <v>-0.64999999999999991</v>
      </c>
    </row>
    <row r="20594" spans="6:8">
      <c r="F20594" s="68" t="s">
        <v>422</v>
      </c>
      <c r="G20594" s="67" t="s">
        <v>752</v>
      </c>
      <c r="H20594" s="69">
        <v>1.8271388436341685</v>
      </c>
    </row>
    <row r="20595" spans="6:8">
      <c r="F20595" s="68" t="s">
        <v>255</v>
      </c>
      <c r="G20595" s="67" t="s">
        <v>752</v>
      </c>
      <c r="H20595" s="69">
        <v>0.64499999999999991</v>
      </c>
    </row>
    <row r="20596" spans="6:8">
      <c r="F20596" s="68" t="s">
        <v>303</v>
      </c>
      <c r="G20596" s="67" t="s">
        <v>752</v>
      </c>
      <c r="H20596" s="69">
        <v>17.854166666666668</v>
      </c>
    </row>
    <row r="20597" spans="6:8">
      <c r="F20597" s="68" t="s">
        <v>131</v>
      </c>
      <c r="G20597" s="67" t="s">
        <v>752</v>
      </c>
      <c r="H20597" s="69">
        <v>-0.625</v>
      </c>
    </row>
    <row r="20598" spans="6:8">
      <c r="F20598" s="68" t="s">
        <v>130</v>
      </c>
      <c r="G20598" s="67" t="s">
        <v>752</v>
      </c>
      <c r="H20598" s="69">
        <v>-1.1100000000000001</v>
      </c>
    </row>
    <row r="20599" spans="6:8">
      <c r="F20599" s="68" t="s">
        <v>665</v>
      </c>
      <c r="G20599" s="67" t="s">
        <v>752</v>
      </c>
      <c r="H20599" s="69">
        <v>112.7302888</v>
      </c>
    </row>
    <row r="20600" spans="6:8">
      <c r="F20600" s="68" t="s">
        <v>567</v>
      </c>
      <c r="G20600" s="67" t="s">
        <v>752</v>
      </c>
      <c r="H20600" s="69">
        <v>-1.135</v>
      </c>
    </row>
    <row r="20601" spans="6:8">
      <c r="F20601" s="68" t="s">
        <v>421</v>
      </c>
      <c r="G20601" s="67" t="s">
        <v>752</v>
      </c>
      <c r="H20601" s="69">
        <v>1.8217676565438712</v>
      </c>
    </row>
    <row r="20602" spans="6:8">
      <c r="F20602" s="68" t="s">
        <v>254</v>
      </c>
      <c r="G20602" s="67" t="s">
        <v>752</v>
      </c>
      <c r="H20602" s="69">
        <v>0.48166666666666663</v>
      </c>
    </row>
    <row r="20603" spans="6:8">
      <c r="F20603" s="68" t="s">
        <v>304</v>
      </c>
      <c r="G20603" s="67" t="s">
        <v>752</v>
      </c>
      <c r="H20603" s="69">
        <v>17.635416666666668</v>
      </c>
    </row>
    <row r="20604" spans="6:8">
      <c r="F20604" s="68" t="s">
        <v>129</v>
      </c>
      <c r="G20604" s="67" t="s">
        <v>752</v>
      </c>
      <c r="H20604" s="69">
        <v>-0.755</v>
      </c>
    </row>
    <row r="20605" spans="6:8">
      <c r="F20605" s="68" t="s">
        <v>128</v>
      </c>
      <c r="G20605" s="67" t="s">
        <v>752</v>
      </c>
      <c r="H20605" s="69">
        <v>-0.94</v>
      </c>
    </row>
    <row r="20606" spans="6:8">
      <c r="F20606" s="68" t="s">
        <v>664</v>
      </c>
      <c r="G20606" s="67" t="s">
        <v>752</v>
      </c>
      <c r="H20606" s="69">
        <v>112.73034149999999</v>
      </c>
    </row>
    <row r="20607" spans="6:8">
      <c r="F20607" s="68" t="s">
        <v>315</v>
      </c>
      <c r="G20607" s="67" t="s">
        <v>752</v>
      </c>
      <c r="H20607" s="69">
        <v>-0.33499999999999996</v>
      </c>
    </row>
    <row r="20608" spans="6:8">
      <c r="F20608" s="68" t="s">
        <v>253</v>
      </c>
      <c r="G20608" s="67" t="s">
        <v>752</v>
      </c>
      <c r="H20608" s="69">
        <v>0.34166666666666662</v>
      </c>
    </row>
    <row r="20609" spans="6:8">
      <c r="F20609" s="68" t="s">
        <v>127</v>
      </c>
      <c r="G20609" s="67" t="s">
        <v>752</v>
      </c>
      <c r="H20609" s="69">
        <v>-0.49</v>
      </c>
    </row>
    <row r="20610" spans="6:8">
      <c r="F20610" s="68" t="s">
        <v>126</v>
      </c>
      <c r="G20610" s="67" t="s">
        <v>752</v>
      </c>
      <c r="H20610" s="69">
        <v>-0.99</v>
      </c>
    </row>
    <row r="20611" spans="6:8">
      <c r="F20611" s="68" t="s">
        <v>125</v>
      </c>
      <c r="G20611" s="67" t="s">
        <v>752</v>
      </c>
      <c r="H20611" s="69">
        <v>-0.71499999999999997</v>
      </c>
    </row>
    <row r="20612" spans="6:8">
      <c r="F20612" s="68" t="s">
        <v>663</v>
      </c>
      <c r="G20612" s="67" t="s">
        <v>752</v>
      </c>
      <c r="H20612" s="69">
        <v>112.7305191</v>
      </c>
    </row>
    <row r="20613" spans="6:8">
      <c r="F20613" s="68" t="s">
        <v>314</v>
      </c>
      <c r="G20613" s="67" t="s">
        <v>752</v>
      </c>
      <c r="H20613" s="69">
        <v>-0.64500000000000002</v>
      </c>
    </row>
    <row r="20614" spans="6:8">
      <c r="F20614" s="68" t="s">
        <v>252</v>
      </c>
      <c r="G20614" s="67" t="s">
        <v>752</v>
      </c>
      <c r="H20614" s="69">
        <v>0.21499999999999997</v>
      </c>
    </row>
    <row r="20615" spans="6:8">
      <c r="F20615" s="68" t="s">
        <v>124</v>
      </c>
      <c r="G20615" s="67" t="s">
        <v>752</v>
      </c>
      <c r="H20615" s="69">
        <v>-0.59499999999999997</v>
      </c>
    </row>
    <row r="20616" spans="6:8">
      <c r="F20616" s="68" t="s">
        <v>123</v>
      </c>
      <c r="G20616" s="67" t="s">
        <v>752</v>
      </c>
      <c r="H20616" s="69">
        <v>-1.01</v>
      </c>
    </row>
    <row r="20617" spans="6:8">
      <c r="F20617" s="68" t="s">
        <v>122</v>
      </c>
      <c r="G20617" s="67" t="s">
        <v>752</v>
      </c>
      <c r="H20617" s="69">
        <v>-0.95500000000000007</v>
      </c>
    </row>
    <row r="20618" spans="6:8">
      <c r="F20618" s="68" t="s">
        <v>662</v>
      </c>
      <c r="G20618" s="67" t="s">
        <v>752</v>
      </c>
      <c r="H20618" s="69">
        <v>112.7299357</v>
      </c>
    </row>
    <row r="20619" spans="6:8">
      <c r="F20619" s="68" t="s">
        <v>420</v>
      </c>
      <c r="G20619" s="67" t="s">
        <v>752</v>
      </c>
      <c r="H20619" s="69">
        <v>2.8822827662599249</v>
      </c>
    </row>
    <row r="20620" spans="6:8">
      <c r="F20620" s="68" t="s">
        <v>251</v>
      </c>
      <c r="G20620" s="67" t="s">
        <v>752</v>
      </c>
      <c r="H20620" s="69">
        <v>0.16500000000000001</v>
      </c>
    </row>
    <row r="20621" spans="6:8">
      <c r="F20621" s="68" t="s">
        <v>121</v>
      </c>
      <c r="G20621" s="67" t="s">
        <v>752</v>
      </c>
      <c r="H20621" s="69">
        <v>-0.67999999999999994</v>
      </c>
    </row>
    <row r="20622" spans="6:8">
      <c r="F20622" s="68" t="s">
        <v>120</v>
      </c>
      <c r="G20622" s="67" t="s">
        <v>752</v>
      </c>
      <c r="H20622" s="69">
        <v>-0.85</v>
      </c>
    </row>
    <row r="20623" spans="6:8">
      <c r="F20623" s="68" t="s">
        <v>119</v>
      </c>
      <c r="G20623" s="67" t="s">
        <v>752</v>
      </c>
      <c r="H20623" s="69">
        <v>-0.99500000000000011</v>
      </c>
    </row>
    <row r="20624" spans="6:8">
      <c r="F20624" s="68" t="s">
        <v>119</v>
      </c>
      <c r="G20624" s="67" t="s">
        <v>753</v>
      </c>
      <c r="H20624" s="69">
        <v>-0.99500000000000011</v>
      </c>
    </row>
    <row r="20625" spans="6:8">
      <c r="F20625" s="68" t="s">
        <v>120</v>
      </c>
      <c r="G20625" s="67" t="s">
        <v>753</v>
      </c>
      <c r="H20625" s="69">
        <v>-0.85</v>
      </c>
    </row>
    <row r="20626" spans="6:8">
      <c r="F20626" s="68" t="s">
        <v>121</v>
      </c>
      <c r="G20626" s="67" t="s">
        <v>753</v>
      </c>
      <c r="H20626" s="69">
        <v>-0.67999999999999994</v>
      </c>
    </row>
    <row r="20627" spans="6:8">
      <c r="F20627" s="68" t="s">
        <v>251</v>
      </c>
      <c r="G20627" s="67" t="s">
        <v>753</v>
      </c>
      <c r="H20627" s="69">
        <v>0.16500000000000001</v>
      </c>
    </row>
    <row r="20628" spans="6:8">
      <c r="F20628" s="68" t="s">
        <v>420</v>
      </c>
      <c r="G20628" s="67" t="s">
        <v>753</v>
      </c>
      <c r="H20628" s="69">
        <v>2.90260596221672</v>
      </c>
    </row>
    <row r="20629" spans="6:8">
      <c r="F20629" s="68" t="s">
        <v>662</v>
      </c>
      <c r="G20629" s="67" t="s">
        <v>753</v>
      </c>
      <c r="H20629" s="69">
        <v>112.7299357</v>
      </c>
    </row>
    <row r="20630" spans="6:8">
      <c r="F20630" s="68" t="s">
        <v>122</v>
      </c>
      <c r="G20630" s="67" t="s">
        <v>753</v>
      </c>
      <c r="H20630" s="69">
        <v>-0.95500000000000007</v>
      </c>
    </row>
    <row r="20631" spans="6:8">
      <c r="F20631" s="68" t="s">
        <v>123</v>
      </c>
      <c r="G20631" s="67" t="s">
        <v>753</v>
      </c>
      <c r="H20631" s="69">
        <v>-1.01</v>
      </c>
    </row>
    <row r="20632" spans="6:8">
      <c r="F20632" s="68" t="s">
        <v>124</v>
      </c>
      <c r="G20632" s="67" t="s">
        <v>753</v>
      </c>
      <c r="H20632" s="69">
        <v>-0.59499999999999997</v>
      </c>
    </row>
    <row r="20633" spans="6:8">
      <c r="F20633" s="68" t="s">
        <v>252</v>
      </c>
      <c r="G20633" s="67" t="s">
        <v>753</v>
      </c>
      <c r="H20633" s="69">
        <v>0.21499999999999997</v>
      </c>
    </row>
    <row r="20634" spans="6:8">
      <c r="F20634" s="68" t="s">
        <v>314</v>
      </c>
      <c r="G20634" s="67" t="s">
        <v>753</v>
      </c>
      <c r="H20634" s="69">
        <v>-0.64500000000000002</v>
      </c>
    </row>
    <row r="20635" spans="6:8">
      <c r="F20635" s="68" t="s">
        <v>663</v>
      </c>
      <c r="G20635" s="67" t="s">
        <v>753</v>
      </c>
      <c r="H20635" s="69">
        <v>112.7305191</v>
      </c>
    </row>
    <row r="20636" spans="6:8">
      <c r="F20636" s="68" t="s">
        <v>125</v>
      </c>
      <c r="G20636" s="67" t="s">
        <v>753</v>
      </c>
      <c r="H20636" s="69">
        <v>-0.71499999999999997</v>
      </c>
    </row>
    <row r="20637" spans="6:8">
      <c r="F20637" s="68" t="s">
        <v>126</v>
      </c>
      <c r="G20637" s="67" t="s">
        <v>753</v>
      </c>
      <c r="H20637" s="69">
        <v>-0.99</v>
      </c>
    </row>
    <row r="20638" spans="6:8">
      <c r="F20638" s="68" t="s">
        <v>127</v>
      </c>
      <c r="G20638" s="67" t="s">
        <v>753</v>
      </c>
      <c r="H20638" s="69">
        <v>-0.49</v>
      </c>
    </row>
    <row r="20639" spans="6:8">
      <c r="F20639" s="68" t="s">
        <v>253</v>
      </c>
      <c r="G20639" s="67" t="s">
        <v>753</v>
      </c>
      <c r="H20639" s="69">
        <v>0.34166666666666662</v>
      </c>
    </row>
    <row r="20640" spans="6:8">
      <c r="F20640" s="68" t="s">
        <v>315</v>
      </c>
      <c r="G20640" s="67" t="s">
        <v>753</v>
      </c>
      <c r="H20640" s="69">
        <v>-0.33499999999999996</v>
      </c>
    </row>
    <row r="20641" spans="6:8">
      <c r="F20641" s="68" t="s">
        <v>664</v>
      </c>
      <c r="G20641" s="67" t="s">
        <v>753</v>
      </c>
      <c r="H20641" s="69">
        <v>112.73034149999999</v>
      </c>
    </row>
    <row r="20642" spans="6:8">
      <c r="F20642" s="68" t="s">
        <v>128</v>
      </c>
      <c r="G20642" s="67" t="s">
        <v>753</v>
      </c>
      <c r="H20642" s="69">
        <v>-0.94</v>
      </c>
    </row>
    <row r="20643" spans="6:8">
      <c r="F20643" s="68" t="s">
        <v>129</v>
      </c>
      <c r="G20643" s="67" t="s">
        <v>753</v>
      </c>
      <c r="H20643" s="69">
        <v>-0.755</v>
      </c>
    </row>
    <row r="20644" spans="6:8">
      <c r="F20644" s="68" t="s">
        <v>304</v>
      </c>
      <c r="G20644" s="67" t="s">
        <v>753</v>
      </c>
      <c r="H20644" s="69">
        <v>17.625</v>
      </c>
    </row>
    <row r="20645" spans="6:8">
      <c r="F20645" s="68" t="s">
        <v>254</v>
      </c>
      <c r="G20645" s="67" t="s">
        <v>753</v>
      </c>
      <c r="H20645" s="69">
        <v>0.48166666666666663</v>
      </c>
    </row>
    <row r="20646" spans="6:8">
      <c r="F20646" s="68" t="s">
        <v>421</v>
      </c>
      <c r="G20646" s="67" t="s">
        <v>753</v>
      </c>
      <c r="H20646" s="69">
        <v>1.8185595676305955</v>
      </c>
    </row>
    <row r="20647" spans="6:8">
      <c r="F20647" s="68" t="s">
        <v>567</v>
      </c>
      <c r="G20647" s="67" t="s">
        <v>753</v>
      </c>
      <c r="H20647" s="69">
        <v>-1.135</v>
      </c>
    </row>
    <row r="20648" spans="6:8">
      <c r="F20648" s="68" t="s">
        <v>665</v>
      </c>
      <c r="G20648" s="67" t="s">
        <v>753</v>
      </c>
      <c r="H20648" s="69">
        <v>112.7302888</v>
      </c>
    </row>
    <row r="20649" spans="6:8">
      <c r="F20649" s="68" t="s">
        <v>130</v>
      </c>
      <c r="G20649" s="67" t="s">
        <v>753</v>
      </c>
      <c r="H20649" s="69">
        <v>-1.1100000000000001</v>
      </c>
    </row>
    <row r="20650" spans="6:8">
      <c r="F20650" s="68" t="s">
        <v>131</v>
      </c>
      <c r="G20650" s="67" t="s">
        <v>753</v>
      </c>
      <c r="H20650" s="69">
        <v>-0.625</v>
      </c>
    </row>
    <row r="20651" spans="6:8">
      <c r="F20651" s="68" t="s">
        <v>303</v>
      </c>
      <c r="G20651" s="67" t="s">
        <v>753</v>
      </c>
      <c r="H20651" s="69">
        <v>17.84375</v>
      </c>
    </row>
    <row r="20652" spans="6:8">
      <c r="F20652" s="68" t="s">
        <v>255</v>
      </c>
      <c r="G20652" s="67" t="s">
        <v>753</v>
      </c>
      <c r="H20652" s="69">
        <v>0.64499999999999991</v>
      </c>
    </row>
    <row r="20653" spans="6:8">
      <c r="F20653" s="68" t="s">
        <v>422</v>
      </c>
      <c r="G20653" s="67" t="s">
        <v>753</v>
      </c>
      <c r="H20653" s="69">
        <v>1.8239723610442571</v>
      </c>
    </row>
    <row r="20654" spans="6:8">
      <c r="F20654" s="68" t="s">
        <v>568</v>
      </c>
      <c r="G20654" s="67" t="s">
        <v>753</v>
      </c>
      <c r="H20654" s="69">
        <v>-0.64999999999999991</v>
      </c>
    </row>
    <row r="20655" spans="6:8">
      <c r="F20655" s="68" t="s">
        <v>666</v>
      </c>
      <c r="G20655" s="67" t="s">
        <v>753</v>
      </c>
      <c r="H20655" s="69">
        <v>112.7300852</v>
      </c>
    </row>
    <row r="20656" spans="6:8">
      <c r="F20656" s="68" t="s">
        <v>132</v>
      </c>
      <c r="G20656" s="67" t="s">
        <v>753</v>
      </c>
      <c r="H20656" s="69">
        <v>-1.0350000000000001</v>
      </c>
    </row>
    <row r="20657" spans="6:8">
      <c r="F20657" s="68" t="s">
        <v>133</v>
      </c>
      <c r="G20657" s="67" t="s">
        <v>753</v>
      </c>
      <c r="H20657" s="69">
        <v>-0.69</v>
      </c>
    </row>
    <row r="20658" spans="6:8">
      <c r="F20658" s="68" t="s">
        <v>256</v>
      </c>
      <c r="G20658" s="67" t="s">
        <v>753</v>
      </c>
      <c r="H20658" s="69">
        <v>0.7599999999999999</v>
      </c>
    </row>
    <row r="20659" spans="6:8">
      <c r="F20659" s="68" t="s">
        <v>423</v>
      </c>
      <c r="G20659" s="67" t="s">
        <v>753</v>
      </c>
      <c r="H20659" s="69">
        <v>2.0783937580917122</v>
      </c>
    </row>
    <row r="20660" spans="6:8">
      <c r="F20660" s="68" t="s">
        <v>569</v>
      </c>
      <c r="G20660" s="67" t="s">
        <v>753</v>
      </c>
      <c r="H20660" s="69">
        <v>-0.32999999999999996</v>
      </c>
    </row>
    <row r="20661" spans="6:8">
      <c r="F20661" s="68" t="s">
        <v>667</v>
      </c>
      <c r="G20661" s="67" t="s">
        <v>753</v>
      </c>
      <c r="H20661" s="69">
        <v>112.73051820000001</v>
      </c>
    </row>
    <row r="20662" spans="6:8">
      <c r="F20662" s="68" t="s">
        <v>134</v>
      </c>
      <c r="G20662" s="67" t="s">
        <v>753</v>
      </c>
      <c r="H20662" s="69">
        <v>-0.99</v>
      </c>
    </row>
    <row r="20663" spans="6:8">
      <c r="F20663" s="68" t="s">
        <v>135</v>
      </c>
      <c r="G20663" s="67" t="s">
        <v>753</v>
      </c>
      <c r="H20663" s="69">
        <v>-0.86</v>
      </c>
    </row>
    <row r="20664" spans="6:8">
      <c r="F20664" s="68" t="s">
        <v>257</v>
      </c>
      <c r="G20664" s="67" t="s">
        <v>753</v>
      </c>
      <c r="H20664" s="69">
        <v>0.82200000000000006</v>
      </c>
    </row>
    <row r="20665" spans="6:8">
      <c r="F20665" s="68" t="s">
        <v>258</v>
      </c>
      <c r="G20665" s="67" t="s">
        <v>753</v>
      </c>
      <c r="H20665" s="69">
        <v>0.15</v>
      </c>
    </row>
    <row r="20666" spans="6:8">
      <c r="F20666" s="68" t="s">
        <v>424</v>
      </c>
      <c r="G20666" s="67" t="s">
        <v>753</v>
      </c>
      <c r="H20666" s="69">
        <v>2.6769300702355281</v>
      </c>
    </row>
    <row r="20667" spans="6:8">
      <c r="F20667" s="68" t="s">
        <v>668</v>
      </c>
      <c r="G20667" s="67" t="s">
        <v>753</v>
      </c>
      <c r="H20667" s="69">
        <v>112.7301975</v>
      </c>
    </row>
    <row r="20668" spans="6:8">
      <c r="F20668" s="68" t="s">
        <v>136</v>
      </c>
      <c r="G20668" s="67" t="s">
        <v>753</v>
      </c>
      <c r="H20668" s="69">
        <v>-1.085</v>
      </c>
    </row>
    <row r="20669" spans="6:8">
      <c r="F20669" s="68" t="s">
        <v>137</v>
      </c>
      <c r="G20669" s="67" t="s">
        <v>753</v>
      </c>
      <c r="H20669" s="69">
        <v>-0.70500000000000007</v>
      </c>
    </row>
    <row r="20670" spans="6:8">
      <c r="F20670" s="68" t="s">
        <v>138</v>
      </c>
      <c r="G20670" s="67" t="s">
        <v>753</v>
      </c>
      <c r="H20670" s="69">
        <v>-0.76</v>
      </c>
    </row>
    <row r="20671" spans="6:8">
      <c r="F20671" s="68" t="s">
        <v>259</v>
      </c>
      <c r="G20671" s="67" t="s">
        <v>753</v>
      </c>
      <c r="H20671" s="69">
        <v>0.13499999999999998</v>
      </c>
    </row>
    <row r="20672" spans="6:8">
      <c r="F20672" s="68" t="s">
        <v>425</v>
      </c>
      <c r="G20672" s="67" t="s">
        <v>753</v>
      </c>
      <c r="H20672" s="69">
        <v>2.6795002312446581</v>
      </c>
    </row>
    <row r="20673" spans="6:8">
      <c r="F20673" s="68" t="s">
        <v>669</v>
      </c>
      <c r="G20673" s="67" t="s">
        <v>753</v>
      </c>
      <c r="H20673" s="69">
        <v>112.7305741</v>
      </c>
    </row>
    <row r="20674" spans="6:8">
      <c r="F20674" s="68" t="s">
        <v>669</v>
      </c>
      <c r="G20674" s="67" t="s">
        <v>754</v>
      </c>
      <c r="H20674" s="69">
        <v>112.7305741</v>
      </c>
    </row>
    <row r="20675" spans="6:8">
      <c r="F20675" s="68" t="s">
        <v>425</v>
      </c>
      <c r="G20675" s="67" t="s">
        <v>754</v>
      </c>
      <c r="H20675" s="69">
        <v>2.6901940716761441</v>
      </c>
    </row>
    <row r="20676" spans="6:8">
      <c r="F20676" s="68" t="s">
        <v>259</v>
      </c>
      <c r="G20676" s="67" t="s">
        <v>754</v>
      </c>
      <c r="H20676" s="69">
        <v>0.13499999999999998</v>
      </c>
    </row>
    <row r="20677" spans="6:8">
      <c r="F20677" s="68" t="s">
        <v>138</v>
      </c>
      <c r="G20677" s="67" t="s">
        <v>754</v>
      </c>
      <c r="H20677" s="69">
        <v>-0.76</v>
      </c>
    </row>
    <row r="20678" spans="6:8">
      <c r="F20678" s="68" t="s">
        <v>137</v>
      </c>
      <c r="G20678" s="67" t="s">
        <v>754</v>
      </c>
      <c r="H20678" s="69">
        <v>-0.70500000000000007</v>
      </c>
    </row>
    <row r="20679" spans="6:8">
      <c r="F20679" s="68" t="s">
        <v>136</v>
      </c>
      <c r="G20679" s="67" t="s">
        <v>754</v>
      </c>
      <c r="H20679" s="69">
        <v>-1.085</v>
      </c>
    </row>
    <row r="20680" spans="6:8">
      <c r="F20680" s="68" t="s">
        <v>668</v>
      </c>
      <c r="G20680" s="67" t="s">
        <v>754</v>
      </c>
      <c r="H20680" s="69">
        <v>112.7301975</v>
      </c>
    </row>
    <row r="20681" spans="6:8">
      <c r="F20681" s="68" t="s">
        <v>424</v>
      </c>
      <c r="G20681" s="67" t="s">
        <v>754</v>
      </c>
      <c r="H20681" s="69">
        <v>2.6891757218801438</v>
      </c>
    </row>
    <row r="20682" spans="6:8">
      <c r="F20682" s="68" t="s">
        <v>258</v>
      </c>
      <c r="G20682" s="67" t="s">
        <v>754</v>
      </c>
      <c r="H20682" s="69">
        <v>0.15</v>
      </c>
    </row>
    <row r="20683" spans="6:8">
      <c r="F20683" s="68" t="s">
        <v>257</v>
      </c>
      <c r="G20683" s="67" t="s">
        <v>754</v>
      </c>
      <c r="H20683" s="69">
        <v>0.82200000000000006</v>
      </c>
    </row>
    <row r="20684" spans="6:8">
      <c r="F20684" s="68" t="s">
        <v>135</v>
      </c>
      <c r="G20684" s="67" t="s">
        <v>754</v>
      </c>
      <c r="H20684" s="69">
        <v>-0.86</v>
      </c>
    </row>
    <row r="20685" spans="6:8">
      <c r="F20685" s="68" t="s">
        <v>134</v>
      </c>
      <c r="G20685" s="67" t="s">
        <v>754</v>
      </c>
      <c r="H20685" s="69">
        <v>-0.99</v>
      </c>
    </row>
    <row r="20686" spans="6:8">
      <c r="F20686" s="68" t="s">
        <v>667</v>
      </c>
      <c r="G20686" s="67" t="s">
        <v>754</v>
      </c>
      <c r="H20686" s="69">
        <v>112.73051820000001</v>
      </c>
    </row>
    <row r="20687" spans="6:8">
      <c r="F20687" s="68" t="s">
        <v>569</v>
      </c>
      <c r="G20687" s="67" t="s">
        <v>754</v>
      </c>
      <c r="H20687" s="69">
        <v>-0.32999999999999996</v>
      </c>
    </row>
    <row r="20688" spans="6:8">
      <c r="F20688" s="68" t="s">
        <v>423</v>
      </c>
      <c r="G20688" s="67" t="s">
        <v>754</v>
      </c>
      <c r="H20688" s="69">
        <v>2.0921873978839045</v>
      </c>
    </row>
    <row r="20689" spans="6:8">
      <c r="F20689" s="68" t="s">
        <v>256</v>
      </c>
      <c r="G20689" s="67" t="s">
        <v>754</v>
      </c>
      <c r="H20689" s="69">
        <v>0.7599999999999999</v>
      </c>
    </row>
    <row r="20690" spans="6:8">
      <c r="F20690" s="68" t="s">
        <v>133</v>
      </c>
      <c r="G20690" s="67" t="s">
        <v>754</v>
      </c>
      <c r="H20690" s="69">
        <v>-0.69</v>
      </c>
    </row>
    <row r="20691" spans="6:8">
      <c r="F20691" s="68" t="s">
        <v>132</v>
      </c>
      <c r="G20691" s="67" t="s">
        <v>754</v>
      </c>
      <c r="H20691" s="69">
        <v>-1.0350000000000001</v>
      </c>
    </row>
    <row r="20692" spans="6:8">
      <c r="F20692" s="68" t="s">
        <v>666</v>
      </c>
      <c r="G20692" s="67" t="s">
        <v>754</v>
      </c>
      <c r="H20692" s="69">
        <v>112.7300852</v>
      </c>
    </row>
    <row r="20693" spans="6:8">
      <c r="F20693" s="68" t="s">
        <v>568</v>
      </c>
      <c r="G20693" s="67" t="s">
        <v>754</v>
      </c>
      <c r="H20693" s="69">
        <v>-0.64999999999999991</v>
      </c>
    </row>
    <row r="20694" spans="6:8">
      <c r="F20694" s="68" t="s">
        <v>422</v>
      </c>
      <c r="G20694" s="67" t="s">
        <v>754</v>
      </c>
      <c r="H20694" s="69">
        <v>1.8343182193561347</v>
      </c>
    </row>
    <row r="20695" spans="6:8">
      <c r="F20695" s="68" t="s">
        <v>255</v>
      </c>
      <c r="G20695" s="67" t="s">
        <v>754</v>
      </c>
      <c r="H20695" s="69">
        <v>0.64499999999999991</v>
      </c>
    </row>
    <row r="20696" spans="6:8">
      <c r="F20696" s="68" t="s">
        <v>303</v>
      </c>
      <c r="G20696" s="67" t="s">
        <v>754</v>
      </c>
      <c r="H20696" s="69">
        <v>17.802083333333332</v>
      </c>
    </row>
    <row r="20697" spans="6:8">
      <c r="F20697" s="68" t="s">
        <v>131</v>
      </c>
      <c r="G20697" s="67" t="s">
        <v>754</v>
      </c>
      <c r="H20697" s="69">
        <v>-0.625</v>
      </c>
    </row>
    <row r="20698" spans="6:8">
      <c r="F20698" s="68" t="s">
        <v>130</v>
      </c>
      <c r="G20698" s="67" t="s">
        <v>754</v>
      </c>
      <c r="H20698" s="69">
        <v>-1.1100000000000001</v>
      </c>
    </row>
    <row r="20699" spans="6:8">
      <c r="F20699" s="68" t="s">
        <v>665</v>
      </c>
      <c r="G20699" s="67" t="s">
        <v>754</v>
      </c>
      <c r="H20699" s="69">
        <v>112.7302888</v>
      </c>
    </row>
    <row r="20700" spans="6:8">
      <c r="F20700" s="68" t="s">
        <v>567</v>
      </c>
      <c r="G20700" s="67" t="s">
        <v>754</v>
      </c>
      <c r="H20700" s="69">
        <v>-1.135</v>
      </c>
    </row>
    <row r="20701" spans="6:8">
      <c r="F20701" s="68" t="s">
        <v>421</v>
      </c>
      <c r="G20701" s="67" t="s">
        <v>754</v>
      </c>
      <c r="H20701" s="69">
        <v>1.828822380449191</v>
      </c>
    </row>
    <row r="20702" spans="6:8">
      <c r="F20702" s="68" t="s">
        <v>254</v>
      </c>
      <c r="G20702" s="67" t="s">
        <v>754</v>
      </c>
      <c r="H20702" s="69">
        <v>0.48166666666666663</v>
      </c>
    </row>
    <row r="20703" spans="6:8">
      <c r="F20703" s="68" t="s">
        <v>304</v>
      </c>
      <c r="G20703" s="67" t="s">
        <v>754</v>
      </c>
      <c r="H20703" s="69">
        <v>17.583333333333332</v>
      </c>
    </row>
    <row r="20704" spans="6:8">
      <c r="F20704" s="68" t="s">
        <v>129</v>
      </c>
      <c r="G20704" s="67" t="s">
        <v>754</v>
      </c>
      <c r="H20704" s="69">
        <v>-0.755</v>
      </c>
    </row>
    <row r="20705" spans="6:8">
      <c r="F20705" s="68" t="s">
        <v>128</v>
      </c>
      <c r="G20705" s="67" t="s">
        <v>754</v>
      </c>
      <c r="H20705" s="69">
        <v>-0.94</v>
      </c>
    </row>
    <row r="20706" spans="6:8">
      <c r="F20706" s="68" t="s">
        <v>664</v>
      </c>
      <c r="G20706" s="67" t="s">
        <v>754</v>
      </c>
      <c r="H20706" s="69">
        <v>112.73034149999999</v>
      </c>
    </row>
    <row r="20707" spans="6:8">
      <c r="F20707" s="68" t="s">
        <v>315</v>
      </c>
      <c r="G20707" s="67" t="s">
        <v>754</v>
      </c>
      <c r="H20707" s="69">
        <v>-0.33499999999999996</v>
      </c>
    </row>
    <row r="20708" spans="6:8">
      <c r="F20708" s="68" t="s">
        <v>253</v>
      </c>
      <c r="G20708" s="67" t="s">
        <v>754</v>
      </c>
      <c r="H20708" s="69">
        <v>0.34166666666666662</v>
      </c>
    </row>
    <row r="20709" spans="6:8">
      <c r="F20709" s="68" t="s">
        <v>127</v>
      </c>
      <c r="G20709" s="67" t="s">
        <v>754</v>
      </c>
      <c r="H20709" s="69">
        <v>-0.49</v>
      </c>
    </row>
    <row r="20710" spans="6:8">
      <c r="F20710" s="68" t="s">
        <v>126</v>
      </c>
      <c r="G20710" s="67" t="s">
        <v>754</v>
      </c>
      <c r="H20710" s="69">
        <v>-0.99</v>
      </c>
    </row>
    <row r="20711" spans="6:8">
      <c r="F20711" s="68" t="s">
        <v>125</v>
      </c>
      <c r="G20711" s="67" t="s">
        <v>754</v>
      </c>
      <c r="H20711" s="69">
        <v>-0.71499999999999997</v>
      </c>
    </row>
    <row r="20712" spans="6:8">
      <c r="F20712" s="68" t="s">
        <v>663</v>
      </c>
      <c r="G20712" s="67" t="s">
        <v>754</v>
      </c>
      <c r="H20712" s="69">
        <v>112.7305191</v>
      </c>
    </row>
    <row r="20713" spans="6:8">
      <c r="F20713" s="68" t="s">
        <v>314</v>
      </c>
      <c r="G20713" s="67" t="s">
        <v>754</v>
      </c>
      <c r="H20713" s="69">
        <v>-0.64500000000000002</v>
      </c>
    </row>
    <row r="20714" spans="6:8">
      <c r="F20714" s="68" t="s">
        <v>252</v>
      </c>
      <c r="G20714" s="67" t="s">
        <v>754</v>
      </c>
      <c r="H20714" s="69">
        <v>0.21499999999999997</v>
      </c>
    </row>
    <row r="20715" spans="6:8">
      <c r="F20715" s="68" t="s">
        <v>124</v>
      </c>
      <c r="G20715" s="67" t="s">
        <v>754</v>
      </c>
      <c r="H20715" s="69">
        <v>-0.59499999999999997</v>
      </c>
    </row>
    <row r="20716" spans="6:8">
      <c r="F20716" s="68" t="s">
        <v>123</v>
      </c>
      <c r="G20716" s="67" t="s">
        <v>754</v>
      </c>
      <c r="H20716" s="69">
        <v>-1.01</v>
      </c>
    </row>
    <row r="20717" spans="6:8">
      <c r="F20717" s="68" t="s">
        <v>122</v>
      </c>
      <c r="G20717" s="67" t="s">
        <v>754</v>
      </c>
      <c r="H20717" s="69">
        <v>-0.95500000000000007</v>
      </c>
    </row>
    <row r="20718" spans="6:8">
      <c r="F20718" s="68" t="s">
        <v>662</v>
      </c>
      <c r="G20718" s="67" t="s">
        <v>754</v>
      </c>
      <c r="H20718" s="69">
        <v>112.7299357</v>
      </c>
    </row>
    <row r="20719" spans="6:8">
      <c r="F20719" s="68" t="s">
        <v>420</v>
      </c>
      <c r="G20719" s="67" t="s">
        <v>754</v>
      </c>
      <c r="H20719" s="69">
        <v>2.9156083997916582</v>
      </c>
    </row>
    <row r="20720" spans="6:8">
      <c r="F20720" s="68" t="s">
        <v>251</v>
      </c>
      <c r="G20720" s="67" t="s">
        <v>754</v>
      </c>
      <c r="H20720" s="69">
        <v>0.16500000000000001</v>
      </c>
    </row>
    <row r="20721" spans="6:8">
      <c r="F20721" s="68" t="s">
        <v>121</v>
      </c>
      <c r="G20721" s="67" t="s">
        <v>754</v>
      </c>
      <c r="H20721" s="69">
        <v>-0.67999999999999994</v>
      </c>
    </row>
    <row r="20722" spans="6:8">
      <c r="F20722" s="68" t="s">
        <v>120</v>
      </c>
      <c r="G20722" s="67" t="s">
        <v>754</v>
      </c>
      <c r="H20722" s="69">
        <v>-0.85</v>
      </c>
    </row>
    <row r="20723" spans="6:8">
      <c r="F20723" s="68" t="s">
        <v>119</v>
      </c>
      <c r="G20723" s="67" t="s">
        <v>754</v>
      </c>
      <c r="H20723" s="69">
        <v>-0.99500000000000011</v>
      </c>
    </row>
    <row r="20724" spans="6:8">
      <c r="F20724" s="68" t="s">
        <v>119</v>
      </c>
      <c r="G20724" s="67" t="s">
        <v>755</v>
      </c>
      <c r="H20724" s="69">
        <v>-0.98</v>
      </c>
    </row>
    <row r="20725" spans="6:8">
      <c r="F20725" s="68" t="s">
        <v>120</v>
      </c>
      <c r="G20725" s="67" t="s">
        <v>755</v>
      </c>
      <c r="H20725" s="69">
        <v>-0.83499999999999996</v>
      </c>
    </row>
    <row r="20726" spans="6:8">
      <c r="F20726" s="68" t="s">
        <v>121</v>
      </c>
      <c r="G20726" s="67" t="s">
        <v>755</v>
      </c>
      <c r="H20726" s="69">
        <v>-0.67999999999999994</v>
      </c>
    </row>
    <row r="20727" spans="6:8">
      <c r="F20727" s="68" t="s">
        <v>251</v>
      </c>
      <c r="G20727" s="67" t="s">
        <v>755</v>
      </c>
      <c r="H20727" s="69">
        <v>0.16666666666666666</v>
      </c>
    </row>
    <row r="20728" spans="6:8">
      <c r="F20728" s="68" t="s">
        <v>420</v>
      </c>
      <c r="G20728" s="67" t="s">
        <v>755</v>
      </c>
      <c r="H20728" s="69">
        <v>2.9569729972046321</v>
      </c>
    </row>
    <row r="20729" spans="6:8">
      <c r="F20729" s="68" t="s">
        <v>662</v>
      </c>
      <c r="G20729" s="67" t="s">
        <v>755</v>
      </c>
      <c r="H20729" s="69">
        <v>112.7299357</v>
      </c>
    </row>
    <row r="20730" spans="6:8">
      <c r="F20730" s="68" t="s">
        <v>122</v>
      </c>
      <c r="G20730" s="67" t="s">
        <v>755</v>
      </c>
      <c r="H20730" s="69">
        <v>-0.94</v>
      </c>
    </row>
    <row r="20731" spans="6:8">
      <c r="F20731" s="68" t="s">
        <v>123</v>
      </c>
      <c r="G20731" s="67" t="s">
        <v>755</v>
      </c>
      <c r="H20731" s="69">
        <v>-0.995</v>
      </c>
    </row>
    <row r="20732" spans="6:8">
      <c r="F20732" s="68" t="s">
        <v>124</v>
      </c>
      <c r="G20732" s="67" t="s">
        <v>755</v>
      </c>
      <c r="H20732" s="69">
        <v>-0.59499999999999997</v>
      </c>
    </row>
    <row r="20733" spans="6:8">
      <c r="F20733" s="68" t="s">
        <v>252</v>
      </c>
      <c r="G20733" s="67" t="s">
        <v>755</v>
      </c>
      <c r="H20733" s="69">
        <v>0.21666666666666665</v>
      </c>
    </row>
    <row r="20734" spans="6:8">
      <c r="F20734" s="68" t="s">
        <v>314</v>
      </c>
      <c r="G20734" s="67" t="s">
        <v>755</v>
      </c>
      <c r="H20734" s="69">
        <v>-0.63500000000000001</v>
      </c>
    </row>
    <row r="20735" spans="6:8">
      <c r="F20735" s="68" t="s">
        <v>663</v>
      </c>
      <c r="G20735" s="67" t="s">
        <v>755</v>
      </c>
      <c r="H20735" s="69">
        <v>112.7305191</v>
      </c>
    </row>
    <row r="20736" spans="6:8">
      <c r="F20736" s="68" t="s">
        <v>125</v>
      </c>
      <c r="G20736" s="67" t="s">
        <v>755</v>
      </c>
      <c r="H20736" s="69">
        <v>-0.70499999999999996</v>
      </c>
    </row>
    <row r="20737" spans="6:8">
      <c r="F20737" s="68" t="s">
        <v>126</v>
      </c>
      <c r="G20737" s="67" t="s">
        <v>755</v>
      </c>
      <c r="H20737" s="69">
        <v>-0.98</v>
      </c>
    </row>
    <row r="20738" spans="6:8">
      <c r="F20738" s="68" t="s">
        <v>127</v>
      </c>
      <c r="G20738" s="67" t="s">
        <v>755</v>
      </c>
      <c r="H20738" s="69">
        <v>-0.48</v>
      </c>
    </row>
    <row r="20739" spans="6:8">
      <c r="F20739" s="68" t="s">
        <v>253</v>
      </c>
      <c r="G20739" s="67" t="s">
        <v>755</v>
      </c>
      <c r="H20739" s="69">
        <v>0.34833333333333333</v>
      </c>
    </row>
    <row r="20740" spans="6:8">
      <c r="F20740" s="68" t="s">
        <v>315</v>
      </c>
      <c r="G20740" s="67" t="s">
        <v>755</v>
      </c>
      <c r="H20740" s="69">
        <v>-0.32499999999999996</v>
      </c>
    </row>
    <row r="20741" spans="6:8">
      <c r="F20741" s="68" t="s">
        <v>664</v>
      </c>
      <c r="G20741" s="67" t="s">
        <v>755</v>
      </c>
      <c r="H20741" s="69">
        <v>112.73034149999999</v>
      </c>
    </row>
    <row r="20742" spans="6:8">
      <c r="F20742" s="68" t="s">
        <v>128</v>
      </c>
      <c r="G20742" s="67" t="s">
        <v>755</v>
      </c>
      <c r="H20742" s="69">
        <v>-0.92999999999999994</v>
      </c>
    </row>
    <row r="20743" spans="6:8">
      <c r="F20743" s="68" t="s">
        <v>129</v>
      </c>
      <c r="G20743" s="67" t="s">
        <v>755</v>
      </c>
      <c r="H20743" s="69">
        <v>-0.75</v>
      </c>
    </row>
    <row r="20744" spans="6:8">
      <c r="F20744" s="68" t="s">
        <v>304</v>
      </c>
      <c r="G20744" s="67" t="s">
        <v>755</v>
      </c>
      <c r="H20744" s="69">
        <v>17.625</v>
      </c>
    </row>
    <row r="20745" spans="6:8">
      <c r="F20745" s="68" t="s">
        <v>254</v>
      </c>
      <c r="G20745" s="67" t="s">
        <v>755</v>
      </c>
      <c r="H20745" s="69">
        <v>0.48666666666666664</v>
      </c>
    </row>
    <row r="20746" spans="6:8">
      <c r="F20746" s="68" t="s">
        <v>421</v>
      </c>
      <c r="G20746" s="67" t="s">
        <v>755</v>
      </c>
      <c r="H20746" s="69">
        <v>1.872339626226216</v>
      </c>
    </row>
    <row r="20747" spans="6:8">
      <c r="F20747" s="68" t="s">
        <v>567</v>
      </c>
      <c r="G20747" s="67" t="s">
        <v>755</v>
      </c>
      <c r="H20747" s="69">
        <v>-1.115</v>
      </c>
    </row>
    <row r="20748" spans="6:8">
      <c r="F20748" s="68" t="s">
        <v>665</v>
      </c>
      <c r="G20748" s="67" t="s">
        <v>755</v>
      </c>
      <c r="H20748" s="69">
        <v>112.7302888</v>
      </c>
    </row>
    <row r="20749" spans="6:8">
      <c r="F20749" s="68" t="s">
        <v>130</v>
      </c>
      <c r="G20749" s="67" t="s">
        <v>755</v>
      </c>
      <c r="H20749" s="69">
        <v>-1.1000000000000001</v>
      </c>
    </row>
    <row r="20750" spans="6:8">
      <c r="F20750" s="68" t="s">
        <v>131</v>
      </c>
      <c r="G20750" s="67" t="s">
        <v>755</v>
      </c>
      <c r="H20750" s="69">
        <v>-0.62</v>
      </c>
    </row>
    <row r="20751" spans="6:8">
      <c r="F20751" s="68" t="s">
        <v>303</v>
      </c>
      <c r="G20751" s="67" t="s">
        <v>755</v>
      </c>
      <c r="H20751" s="69">
        <v>17.895833333333332</v>
      </c>
    </row>
    <row r="20752" spans="6:8">
      <c r="F20752" s="68" t="s">
        <v>255</v>
      </c>
      <c r="G20752" s="67" t="s">
        <v>755</v>
      </c>
      <c r="H20752" s="69">
        <v>0.64666666666666672</v>
      </c>
    </row>
    <row r="20753" spans="6:8">
      <c r="F20753" s="68" t="s">
        <v>422</v>
      </c>
      <c r="G20753" s="67" t="s">
        <v>755</v>
      </c>
      <c r="H20753" s="69">
        <v>1.8779264242648086</v>
      </c>
    </row>
    <row r="20754" spans="6:8">
      <c r="F20754" s="68" t="s">
        <v>568</v>
      </c>
      <c r="G20754" s="67" t="s">
        <v>755</v>
      </c>
      <c r="H20754" s="69">
        <v>-0.64500000000000002</v>
      </c>
    </row>
    <row r="20755" spans="6:8">
      <c r="F20755" s="68" t="s">
        <v>666</v>
      </c>
      <c r="G20755" s="67" t="s">
        <v>755</v>
      </c>
      <c r="H20755" s="69">
        <v>112.7300852</v>
      </c>
    </row>
    <row r="20756" spans="6:8">
      <c r="F20756" s="68" t="s">
        <v>132</v>
      </c>
      <c r="G20756" s="67" t="s">
        <v>755</v>
      </c>
      <c r="H20756" s="69">
        <v>-1.0249999999999999</v>
      </c>
    </row>
    <row r="20757" spans="6:8">
      <c r="F20757" s="68" t="s">
        <v>133</v>
      </c>
      <c r="G20757" s="67" t="s">
        <v>755</v>
      </c>
      <c r="H20757" s="69">
        <v>-0.67999999999999994</v>
      </c>
    </row>
    <row r="20758" spans="6:8">
      <c r="F20758" s="68" t="s">
        <v>256</v>
      </c>
      <c r="G20758" s="67" t="s">
        <v>755</v>
      </c>
      <c r="H20758" s="69">
        <v>0.76000000000000012</v>
      </c>
    </row>
    <row r="20759" spans="6:8">
      <c r="F20759" s="68" t="s">
        <v>423</v>
      </c>
      <c r="G20759" s="67" t="s">
        <v>755</v>
      </c>
      <c r="H20759" s="69">
        <v>2.12606941458513</v>
      </c>
    </row>
    <row r="20760" spans="6:8">
      <c r="F20760" s="68" t="s">
        <v>569</v>
      </c>
      <c r="G20760" s="67" t="s">
        <v>755</v>
      </c>
      <c r="H20760" s="69">
        <v>-0.32</v>
      </c>
    </row>
    <row r="20761" spans="6:8">
      <c r="F20761" s="68" t="s">
        <v>667</v>
      </c>
      <c r="G20761" s="67" t="s">
        <v>755</v>
      </c>
      <c r="H20761" s="69">
        <v>112.73051820000001</v>
      </c>
    </row>
    <row r="20762" spans="6:8">
      <c r="F20762" s="68" t="s">
        <v>134</v>
      </c>
      <c r="G20762" s="67" t="s">
        <v>755</v>
      </c>
      <c r="H20762" s="69">
        <v>-0.98</v>
      </c>
    </row>
    <row r="20763" spans="6:8">
      <c r="F20763" s="68" t="s">
        <v>135</v>
      </c>
      <c r="G20763" s="67" t="s">
        <v>755</v>
      </c>
      <c r="H20763" s="69">
        <v>-0.85</v>
      </c>
    </row>
    <row r="20764" spans="6:8">
      <c r="F20764" s="68" t="s">
        <v>257</v>
      </c>
      <c r="G20764" s="67" t="s">
        <v>755</v>
      </c>
      <c r="H20764" s="69">
        <v>0.82599999999999996</v>
      </c>
    </row>
    <row r="20765" spans="6:8">
      <c r="F20765" s="68" t="s">
        <v>258</v>
      </c>
      <c r="G20765" s="67" t="s">
        <v>755</v>
      </c>
      <c r="H20765" s="69">
        <v>0.15</v>
      </c>
    </row>
    <row r="20766" spans="6:8">
      <c r="F20766" s="68" t="s">
        <v>424</v>
      </c>
      <c r="G20766" s="67" t="s">
        <v>755</v>
      </c>
      <c r="H20766" s="69">
        <v>2.7249425924880555</v>
      </c>
    </row>
    <row r="20767" spans="6:8">
      <c r="F20767" s="68" t="s">
        <v>668</v>
      </c>
      <c r="G20767" s="67" t="s">
        <v>755</v>
      </c>
      <c r="H20767" s="69">
        <v>112.7301975</v>
      </c>
    </row>
    <row r="20768" spans="6:8">
      <c r="F20768" s="68" t="s">
        <v>136</v>
      </c>
      <c r="G20768" s="67" t="s">
        <v>755</v>
      </c>
      <c r="H20768" s="69">
        <v>-1.075</v>
      </c>
    </row>
    <row r="20769" spans="6:8">
      <c r="F20769" s="68" t="s">
        <v>137</v>
      </c>
      <c r="G20769" s="67" t="s">
        <v>755</v>
      </c>
      <c r="H20769" s="69">
        <v>-0.69500000000000006</v>
      </c>
    </row>
    <row r="20770" spans="6:8">
      <c r="F20770" s="68" t="s">
        <v>138</v>
      </c>
      <c r="G20770" s="67" t="s">
        <v>755</v>
      </c>
      <c r="H20770" s="69">
        <v>-0.76</v>
      </c>
    </row>
    <row r="20771" spans="6:8">
      <c r="F20771" s="68" t="s">
        <v>259</v>
      </c>
      <c r="G20771" s="67" t="s">
        <v>755</v>
      </c>
      <c r="H20771" s="69">
        <v>0.13499999999999998</v>
      </c>
    </row>
    <row r="20772" spans="6:8">
      <c r="F20772" s="68" t="s">
        <v>425</v>
      </c>
      <c r="G20772" s="67" t="s">
        <v>755</v>
      </c>
      <c r="H20772" s="69">
        <v>2.7252136444926744</v>
      </c>
    </row>
    <row r="20773" spans="6:8">
      <c r="F20773" s="68" t="s">
        <v>669</v>
      </c>
      <c r="G20773" s="67" t="s">
        <v>755</v>
      </c>
      <c r="H20773" s="69">
        <v>112.7305741</v>
      </c>
    </row>
    <row r="20774" spans="6:8">
      <c r="F20774" s="68" t="s">
        <v>669</v>
      </c>
      <c r="G20774" s="67" t="s">
        <v>756</v>
      </c>
      <c r="H20774" s="69">
        <v>112.7305741</v>
      </c>
    </row>
    <row r="20775" spans="6:8">
      <c r="F20775" s="68" t="s">
        <v>425</v>
      </c>
      <c r="G20775" s="67" t="s">
        <v>756</v>
      </c>
      <c r="H20775" s="69">
        <v>2.725315622598723</v>
      </c>
    </row>
    <row r="20776" spans="6:8">
      <c r="F20776" s="68" t="s">
        <v>259</v>
      </c>
      <c r="G20776" s="67" t="s">
        <v>756</v>
      </c>
      <c r="H20776" s="69">
        <v>0.13666666666666666</v>
      </c>
    </row>
    <row r="20777" spans="6:8">
      <c r="F20777" s="68" t="s">
        <v>138</v>
      </c>
      <c r="G20777" s="67" t="s">
        <v>756</v>
      </c>
      <c r="H20777" s="69">
        <v>-0.76</v>
      </c>
    </row>
    <row r="20778" spans="6:8">
      <c r="F20778" s="68" t="s">
        <v>137</v>
      </c>
      <c r="G20778" s="67" t="s">
        <v>756</v>
      </c>
      <c r="H20778" s="69">
        <v>-0.69</v>
      </c>
    </row>
    <row r="20779" spans="6:8">
      <c r="F20779" s="68" t="s">
        <v>136</v>
      </c>
      <c r="G20779" s="67" t="s">
        <v>756</v>
      </c>
      <c r="H20779" s="69">
        <v>-1.0649999999999999</v>
      </c>
    </row>
    <row r="20780" spans="6:8">
      <c r="F20780" s="68" t="s">
        <v>668</v>
      </c>
      <c r="G20780" s="67" t="s">
        <v>756</v>
      </c>
      <c r="H20780" s="69">
        <v>112.7301975</v>
      </c>
    </row>
    <row r="20781" spans="6:8">
      <c r="F20781" s="68" t="s">
        <v>424</v>
      </c>
      <c r="G20781" s="67" t="s">
        <v>756</v>
      </c>
      <c r="H20781" s="69">
        <v>2.724793825083216</v>
      </c>
    </row>
    <row r="20782" spans="6:8">
      <c r="F20782" s="68" t="s">
        <v>258</v>
      </c>
      <c r="G20782" s="67" t="s">
        <v>756</v>
      </c>
      <c r="H20782" s="69">
        <v>0.15</v>
      </c>
    </row>
    <row r="20783" spans="6:8">
      <c r="F20783" s="68" t="s">
        <v>257</v>
      </c>
      <c r="G20783" s="67" t="s">
        <v>756</v>
      </c>
      <c r="H20783" s="69">
        <v>0.83599999999999997</v>
      </c>
    </row>
    <row r="20784" spans="6:8">
      <c r="F20784" s="68" t="s">
        <v>135</v>
      </c>
      <c r="G20784" s="67" t="s">
        <v>756</v>
      </c>
      <c r="H20784" s="69">
        <v>-0.84499999999999997</v>
      </c>
    </row>
    <row r="20785" spans="6:8">
      <c r="F20785" s="68" t="s">
        <v>134</v>
      </c>
      <c r="G20785" s="67" t="s">
        <v>756</v>
      </c>
      <c r="H20785" s="69">
        <v>-0.97499999999999998</v>
      </c>
    </row>
    <row r="20786" spans="6:8">
      <c r="F20786" s="68" t="s">
        <v>667</v>
      </c>
      <c r="G20786" s="67" t="s">
        <v>756</v>
      </c>
      <c r="H20786" s="69">
        <v>112.73051820000001</v>
      </c>
    </row>
    <row r="20787" spans="6:8">
      <c r="F20787" s="68" t="s">
        <v>569</v>
      </c>
      <c r="G20787" s="67" t="s">
        <v>756</v>
      </c>
      <c r="H20787" s="69">
        <v>-0.315</v>
      </c>
    </row>
    <row r="20788" spans="6:8">
      <c r="F20788" s="68" t="s">
        <v>423</v>
      </c>
      <c r="G20788" s="67" t="s">
        <v>756</v>
      </c>
      <c r="H20788" s="69">
        <v>2.1292288952425409</v>
      </c>
    </row>
    <row r="20789" spans="6:8">
      <c r="F20789" s="68" t="s">
        <v>256</v>
      </c>
      <c r="G20789" s="67" t="s">
        <v>756</v>
      </c>
      <c r="H20789" s="69">
        <v>0.7683333333333332</v>
      </c>
    </row>
    <row r="20790" spans="6:8">
      <c r="F20790" s="68" t="s">
        <v>133</v>
      </c>
      <c r="G20790" s="67" t="s">
        <v>756</v>
      </c>
      <c r="H20790" s="69">
        <v>-0.67999999999999994</v>
      </c>
    </row>
    <row r="20791" spans="6:8">
      <c r="F20791" s="68" t="s">
        <v>132</v>
      </c>
      <c r="G20791" s="67" t="s">
        <v>756</v>
      </c>
      <c r="H20791" s="69">
        <v>-1.0249999999999999</v>
      </c>
    </row>
    <row r="20792" spans="6:8">
      <c r="F20792" s="68" t="s">
        <v>666</v>
      </c>
      <c r="G20792" s="67" t="s">
        <v>756</v>
      </c>
      <c r="H20792" s="69">
        <v>112.7300852</v>
      </c>
    </row>
    <row r="20793" spans="6:8">
      <c r="F20793" s="68" t="s">
        <v>568</v>
      </c>
      <c r="G20793" s="67" t="s">
        <v>756</v>
      </c>
      <c r="H20793" s="69">
        <v>-0.64500000000000002</v>
      </c>
    </row>
    <row r="20794" spans="6:8">
      <c r="F20794" s="68" t="s">
        <v>422</v>
      </c>
      <c r="G20794" s="67" t="s">
        <v>756</v>
      </c>
      <c r="H20794" s="69">
        <v>1.8960148623352158</v>
      </c>
    </row>
    <row r="20795" spans="6:8">
      <c r="F20795" s="68" t="s">
        <v>255</v>
      </c>
      <c r="G20795" s="67" t="s">
        <v>756</v>
      </c>
      <c r="H20795" s="69">
        <v>0.64833333333333332</v>
      </c>
    </row>
    <row r="20796" spans="6:8">
      <c r="F20796" s="68" t="s">
        <v>303</v>
      </c>
      <c r="G20796" s="67" t="s">
        <v>756</v>
      </c>
      <c r="H20796" s="69">
        <v>18.020833333333332</v>
      </c>
    </row>
    <row r="20797" spans="6:8">
      <c r="F20797" s="68" t="s">
        <v>131</v>
      </c>
      <c r="G20797" s="67" t="s">
        <v>756</v>
      </c>
      <c r="H20797" s="69">
        <v>-0.62</v>
      </c>
    </row>
    <row r="20798" spans="6:8">
      <c r="F20798" s="68" t="s">
        <v>130</v>
      </c>
      <c r="G20798" s="67" t="s">
        <v>756</v>
      </c>
      <c r="H20798" s="69">
        <v>-1.0950000000000002</v>
      </c>
    </row>
    <row r="20799" spans="6:8">
      <c r="F20799" s="68" t="s">
        <v>665</v>
      </c>
      <c r="G20799" s="67" t="s">
        <v>756</v>
      </c>
      <c r="H20799" s="69">
        <v>112.7302888</v>
      </c>
    </row>
    <row r="20800" spans="6:8">
      <c r="F20800" s="68" t="s">
        <v>567</v>
      </c>
      <c r="G20800" s="67" t="s">
        <v>756</v>
      </c>
      <c r="H20800" s="69">
        <v>-1.105</v>
      </c>
    </row>
    <row r="20801" spans="6:8">
      <c r="F20801" s="68" t="s">
        <v>421</v>
      </c>
      <c r="G20801" s="67" t="s">
        <v>756</v>
      </c>
      <c r="H20801" s="69">
        <v>1.8905052440159054</v>
      </c>
    </row>
    <row r="20802" spans="6:8">
      <c r="F20802" s="68" t="s">
        <v>254</v>
      </c>
      <c r="G20802" s="67" t="s">
        <v>756</v>
      </c>
      <c r="H20802" s="69">
        <v>0.48833333333333329</v>
      </c>
    </row>
    <row r="20803" spans="6:8">
      <c r="F20803" s="68" t="s">
        <v>304</v>
      </c>
      <c r="G20803" s="67" t="s">
        <v>756</v>
      </c>
      <c r="H20803" s="69">
        <v>17.8125</v>
      </c>
    </row>
    <row r="20804" spans="6:8">
      <c r="F20804" s="68" t="s">
        <v>129</v>
      </c>
      <c r="G20804" s="67" t="s">
        <v>756</v>
      </c>
      <c r="H20804" s="69">
        <v>-0.745</v>
      </c>
    </row>
    <row r="20805" spans="6:8">
      <c r="F20805" s="68" t="s">
        <v>128</v>
      </c>
      <c r="G20805" s="67" t="s">
        <v>756</v>
      </c>
      <c r="H20805" s="69">
        <v>-0.92999999999999994</v>
      </c>
    </row>
    <row r="20806" spans="6:8">
      <c r="F20806" s="68" t="s">
        <v>664</v>
      </c>
      <c r="G20806" s="67" t="s">
        <v>756</v>
      </c>
      <c r="H20806" s="69">
        <v>112.73034149999999</v>
      </c>
    </row>
    <row r="20807" spans="6:8">
      <c r="F20807" s="68" t="s">
        <v>315</v>
      </c>
      <c r="G20807" s="67" t="s">
        <v>756</v>
      </c>
      <c r="H20807" s="69">
        <v>-0.32</v>
      </c>
    </row>
    <row r="20808" spans="6:8">
      <c r="F20808" s="68" t="s">
        <v>253</v>
      </c>
      <c r="G20808" s="67" t="s">
        <v>756</v>
      </c>
      <c r="H20808" s="69">
        <v>0.34833333333333333</v>
      </c>
    </row>
    <row r="20809" spans="6:8">
      <c r="F20809" s="68" t="s">
        <v>127</v>
      </c>
      <c r="G20809" s="67" t="s">
        <v>756</v>
      </c>
      <c r="H20809" s="69">
        <v>-0.48</v>
      </c>
    </row>
    <row r="20810" spans="6:8">
      <c r="F20810" s="68" t="s">
        <v>126</v>
      </c>
      <c r="G20810" s="67" t="s">
        <v>756</v>
      </c>
      <c r="H20810" s="69">
        <v>-0.97500000000000009</v>
      </c>
    </row>
    <row r="20811" spans="6:8">
      <c r="F20811" s="68" t="s">
        <v>125</v>
      </c>
      <c r="G20811" s="67" t="s">
        <v>756</v>
      </c>
      <c r="H20811" s="69">
        <v>-0.7</v>
      </c>
    </row>
    <row r="20812" spans="6:8">
      <c r="F20812" s="68" t="s">
        <v>663</v>
      </c>
      <c r="G20812" s="67" t="s">
        <v>756</v>
      </c>
      <c r="H20812" s="69">
        <v>112.7305191</v>
      </c>
    </row>
    <row r="20813" spans="6:8">
      <c r="F20813" s="68" t="s">
        <v>314</v>
      </c>
      <c r="G20813" s="67" t="s">
        <v>756</v>
      </c>
      <c r="H20813" s="69">
        <v>-0.63</v>
      </c>
    </row>
    <row r="20814" spans="6:8">
      <c r="F20814" s="68" t="s">
        <v>252</v>
      </c>
      <c r="G20814" s="67" t="s">
        <v>756</v>
      </c>
      <c r="H20814" s="69">
        <v>0.22166666666666665</v>
      </c>
    </row>
    <row r="20815" spans="6:8">
      <c r="F20815" s="68" t="s">
        <v>124</v>
      </c>
      <c r="G20815" s="67" t="s">
        <v>756</v>
      </c>
      <c r="H20815" s="69">
        <v>-0.59499999999999997</v>
      </c>
    </row>
    <row r="20816" spans="6:8">
      <c r="F20816" s="68" t="s">
        <v>123</v>
      </c>
      <c r="G20816" s="67" t="s">
        <v>756</v>
      </c>
      <c r="H20816" s="69">
        <v>-0.995</v>
      </c>
    </row>
    <row r="20817" spans="6:8">
      <c r="F20817" s="68" t="s">
        <v>122</v>
      </c>
      <c r="G20817" s="67" t="s">
        <v>756</v>
      </c>
      <c r="H20817" s="69">
        <v>-0.92999999999999994</v>
      </c>
    </row>
    <row r="20818" spans="6:8">
      <c r="F20818" s="68" t="s">
        <v>662</v>
      </c>
      <c r="G20818" s="67" t="s">
        <v>756</v>
      </c>
      <c r="H20818" s="69">
        <v>112.7299357</v>
      </c>
    </row>
    <row r="20819" spans="6:8">
      <c r="F20819" s="68" t="s">
        <v>420</v>
      </c>
      <c r="G20819" s="67" t="s">
        <v>756</v>
      </c>
      <c r="H20819" s="69">
        <v>2.9670641789919738</v>
      </c>
    </row>
    <row r="20820" spans="6:8">
      <c r="F20820" s="68" t="s">
        <v>251</v>
      </c>
      <c r="G20820" s="67" t="s">
        <v>756</v>
      </c>
      <c r="H20820" s="69">
        <v>0.17</v>
      </c>
    </row>
    <row r="20821" spans="6:8">
      <c r="F20821" s="68" t="s">
        <v>121</v>
      </c>
      <c r="G20821" s="67" t="s">
        <v>756</v>
      </c>
      <c r="H20821" s="69">
        <v>-0.67999999999999994</v>
      </c>
    </row>
    <row r="20822" spans="6:8">
      <c r="F20822" s="68" t="s">
        <v>120</v>
      </c>
      <c r="G20822" s="67" t="s">
        <v>756</v>
      </c>
      <c r="H20822" s="69">
        <v>-0.83000000000000007</v>
      </c>
    </row>
    <row r="20823" spans="6:8">
      <c r="F20823" s="68" t="s">
        <v>119</v>
      </c>
      <c r="G20823" s="67" t="s">
        <v>756</v>
      </c>
      <c r="H20823" s="69">
        <v>-0.97500000000000009</v>
      </c>
    </row>
    <row r="20824" spans="6:8">
      <c r="F20824" s="68" t="s">
        <v>662</v>
      </c>
      <c r="G20824" s="67" t="s">
        <v>757</v>
      </c>
      <c r="H20824" s="69">
        <v>112.7299357</v>
      </c>
    </row>
    <row r="20825" spans="6:8">
      <c r="F20825" s="68" t="s">
        <v>663</v>
      </c>
      <c r="G20825" s="67" t="s">
        <v>757</v>
      </c>
      <c r="H20825" s="69">
        <v>112.7305191</v>
      </c>
    </row>
    <row r="20826" spans="6:8">
      <c r="F20826" s="68" t="s">
        <v>664</v>
      </c>
      <c r="G20826" s="67" t="s">
        <v>757</v>
      </c>
      <c r="H20826" s="69">
        <v>112.73034149999999</v>
      </c>
    </row>
    <row r="20827" spans="6:8">
      <c r="F20827" s="68" t="s">
        <v>665</v>
      </c>
      <c r="G20827" s="67" t="s">
        <v>757</v>
      </c>
      <c r="H20827" s="69">
        <v>112.7302888</v>
      </c>
    </row>
    <row r="20828" spans="6:8">
      <c r="F20828" s="68" t="s">
        <v>666</v>
      </c>
      <c r="G20828" s="67" t="s">
        <v>757</v>
      </c>
      <c r="H20828" s="69">
        <v>112.7300852</v>
      </c>
    </row>
    <row r="20829" spans="6:8">
      <c r="F20829" s="68" t="s">
        <v>667</v>
      </c>
      <c r="G20829" s="67" t="s">
        <v>757</v>
      </c>
      <c r="H20829" s="69">
        <v>112.73051820000001</v>
      </c>
    </row>
    <row r="20830" spans="6:8">
      <c r="F20830" s="68" t="s">
        <v>668</v>
      </c>
      <c r="G20830" s="67" t="s">
        <v>757</v>
      </c>
      <c r="H20830" s="69">
        <v>112.7301975</v>
      </c>
    </row>
    <row r="20831" spans="6:8">
      <c r="F20831" s="68" t="s">
        <v>669</v>
      </c>
      <c r="G20831" s="67" t="s">
        <v>757</v>
      </c>
      <c r="H20831" s="69">
        <v>112.7305741</v>
      </c>
    </row>
    <row r="20832" spans="6:8">
      <c r="F20832" s="68" t="s">
        <v>669</v>
      </c>
      <c r="G20832" s="67" t="s">
        <v>758</v>
      </c>
      <c r="H20832" s="69">
        <v>112.7305741</v>
      </c>
    </row>
    <row r="20833" spans="6:8">
      <c r="F20833" s="68" t="s">
        <v>668</v>
      </c>
      <c r="G20833" s="67" t="s">
        <v>758</v>
      </c>
      <c r="H20833" s="69">
        <v>112.7301975</v>
      </c>
    </row>
    <row r="20834" spans="6:8">
      <c r="F20834" s="68" t="s">
        <v>667</v>
      </c>
      <c r="G20834" s="67" t="s">
        <v>758</v>
      </c>
      <c r="H20834" s="69">
        <v>112.73051820000001</v>
      </c>
    </row>
    <row r="20835" spans="6:8">
      <c r="F20835" s="68" t="s">
        <v>666</v>
      </c>
      <c r="G20835" s="67" t="s">
        <v>758</v>
      </c>
      <c r="H20835" s="69">
        <v>112.7300852</v>
      </c>
    </row>
    <row r="20836" spans="6:8">
      <c r="F20836" s="68" t="s">
        <v>665</v>
      </c>
      <c r="G20836" s="67" t="s">
        <v>758</v>
      </c>
      <c r="H20836" s="69">
        <v>112.7302888</v>
      </c>
    </row>
    <row r="20837" spans="6:8">
      <c r="F20837" s="68" t="s">
        <v>664</v>
      </c>
      <c r="G20837" s="67" t="s">
        <v>758</v>
      </c>
      <c r="H20837" s="69">
        <v>112.73034149999999</v>
      </c>
    </row>
    <row r="20838" spans="6:8">
      <c r="F20838" s="68" t="s">
        <v>663</v>
      </c>
      <c r="G20838" s="67" t="s">
        <v>758</v>
      </c>
      <c r="H20838" s="69">
        <v>112.7305191</v>
      </c>
    </row>
    <row r="20839" spans="6:8">
      <c r="F20839" s="68" t="s">
        <v>662</v>
      </c>
      <c r="G20839" s="67" t="s">
        <v>758</v>
      </c>
      <c r="H20839" s="69">
        <v>112.7299357</v>
      </c>
    </row>
    <row r="20840" spans="6:8">
      <c r="F20840" s="68" t="s">
        <v>662</v>
      </c>
      <c r="G20840" s="67" t="s">
        <v>759</v>
      </c>
      <c r="H20840" s="69">
        <v>112.7299357</v>
      </c>
    </row>
    <row r="20841" spans="6:8">
      <c r="F20841" s="68" t="s">
        <v>420</v>
      </c>
      <c r="G20841" s="67" t="s">
        <v>759</v>
      </c>
      <c r="H20841" s="69">
        <v>2.9506305574050096</v>
      </c>
    </row>
    <row r="20842" spans="6:8">
      <c r="F20842" s="68" t="s">
        <v>119</v>
      </c>
      <c r="G20842" s="67" t="s">
        <v>759</v>
      </c>
      <c r="H20842" s="69">
        <v>-0.97500000000000009</v>
      </c>
    </row>
    <row r="20843" spans="6:8">
      <c r="F20843" s="68" t="s">
        <v>120</v>
      </c>
      <c r="G20843" s="67" t="s">
        <v>759</v>
      </c>
      <c r="H20843" s="69">
        <v>-0.83000000000000007</v>
      </c>
    </row>
    <row r="20844" spans="6:8">
      <c r="F20844" s="68" t="s">
        <v>121</v>
      </c>
      <c r="G20844" s="67" t="s">
        <v>759</v>
      </c>
      <c r="H20844" s="69">
        <v>-0.67999999999999994</v>
      </c>
    </row>
    <row r="20845" spans="6:8">
      <c r="F20845" s="68" t="s">
        <v>251</v>
      </c>
      <c r="G20845" s="67" t="s">
        <v>759</v>
      </c>
      <c r="H20845" s="69">
        <v>0.17</v>
      </c>
    </row>
    <row r="20846" spans="6:8">
      <c r="F20846" s="68" t="s">
        <v>663</v>
      </c>
      <c r="G20846" s="67" t="s">
        <v>759</v>
      </c>
      <c r="H20846" s="69">
        <v>112.7305191</v>
      </c>
    </row>
    <row r="20847" spans="6:8">
      <c r="F20847" s="68" t="s">
        <v>314</v>
      </c>
      <c r="G20847" s="67" t="s">
        <v>759</v>
      </c>
      <c r="H20847" s="69">
        <v>-0.63</v>
      </c>
    </row>
    <row r="20848" spans="6:8">
      <c r="F20848" s="68" t="s">
        <v>122</v>
      </c>
      <c r="G20848" s="67" t="s">
        <v>759</v>
      </c>
      <c r="H20848" s="69">
        <v>-0.92999999999999994</v>
      </c>
    </row>
    <row r="20849" spans="6:8">
      <c r="F20849" s="68" t="s">
        <v>123</v>
      </c>
      <c r="G20849" s="67" t="s">
        <v>759</v>
      </c>
      <c r="H20849" s="69">
        <v>-0.995</v>
      </c>
    </row>
    <row r="20850" spans="6:8">
      <c r="F20850" s="68" t="s">
        <v>124</v>
      </c>
      <c r="G20850" s="67" t="s">
        <v>759</v>
      </c>
      <c r="H20850" s="69">
        <v>-0.59499999999999997</v>
      </c>
    </row>
    <row r="20851" spans="6:8">
      <c r="F20851" s="68" t="s">
        <v>252</v>
      </c>
      <c r="G20851" s="67" t="s">
        <v>759</v>
      </c>
      <c r="H20851" s="69">
        <v>0.22166666666666665</v>
      </c>
    </row>
    <row r="20852" spans="6:8">
      <c r="F20852" s="68" t="s">
        <v>664</v>
      </c>
      <c r="G20852" s="67" t="s">
        <v>759</v>
      </c>
      <c r="H20852" s="69">
        <v>112.73034149999999</v>
      </c>
    </row>
    <row r="20853" spans="6:8">
      <c r="F20853" s="68" t="s">
        <v>315</v>
      </c>
      <c r="G20853" s="67" t="s">
        <v>759</v>
      </c>
      <c r="H20853" s="69">
        <v>-0.32</v>
      </c>
    </row>
    <row r="20854" spans="6:8">
      <c r="F20854" s="68" t="s">
        <v>125</v>
      </c>
      <c r="G20854" s="67" t="s">
        <v>759</v>
      </c>
      <c r="H20854" s="69">
        <v>-0.7</v>
      </c>
    </row>
    <row r="20855" spans="6:8">
      <c r="F20855" s="68" t="s">
        <v>126</v>
      </c>
      <c r="G20855" s="67" t="s">
        <v>759</v>
      </c>
      <c r="H20855" s="69">
        <v>-0.97500000000000009</v>
      </c>
    </row>
    <row r="20856" spans="6:8">
      <c r="F20856" s="68" t="s">
        <v>127</v>
      </c>
      <c r="G20856" s="67" t="s">
        <v>759</v>
      </c>
      <c r="H20856" s="69">
        <v>-0.48</v>
      </c>
    </row>
    <row r="20857" spans="6:8">
      <c r="F20857" s="68" t="s">
        <v>253</v>
      </c>
      <c r="G20857" s="67" t="s">
        <v>759</v>
      </c>
      <c r="H20857" s="69">
        <v>0.34833333333333333</v>
      </c>
    </row>
    <row r="20858" spans="6:8">
      <c r="F20858" s="68" t="s">
        <v>665</v>
      </c>
      <c r="G20858" s="67" t="s">
        <v>759</v>
      </c>
      <c r="H20858" s="69">
        <v>112.7302888</v>
      </c>
    </row>
    <row r="20859" spans="6:8">
      <c r="F20859" s="68" t="s">
        <v>421</v>
      </c>
      <c r="G20859" s="67" t="s">
        <v>759</v>
      </c>
      <c r="H20859" s="69">
        <v>1.8445929603883915</v>
      </c>
    </row>
    <row r="20860" spans="6:8">
      <c r="F20860" s="68" t="s">
        <v>567</v>
      </c>
      <c r="G20860" s="67" t="s">
        <v>759</v>
      </c>
      <c r="H20860" s="69">
        <v>-1.105</v>
      </c>
    </row>
    <row r="20861" spans="6:8">
      <c r="F20861" s="68" t="s">
        <v>128</v>
      </c>
      <c r="G20861" s="67" t="s">
        <v>759</v>
      </c>
      <c r="H20861" s="69">
        <v>-0.92999999999999994</v>
      </c>
    </row>
    <row r="20862" spans="6:8">
      <c r="F20862" s="68" t="s">
        <v>129</v>
      </c>
      <c r="G20862" s="67" t="s">
        <v>759</v>
      </c>
      <c r="H20862" s="69">
        <v>-0.745</v>
      </c>
    </row>
    <row r="20863" spans="6:8">
      <c r="F20863" s="68" t="s">
        <v>304</v>
      </c>
      <c r="G20863" s="67" t="s">
        <v>759</v>
      </c>
      <c r="H20863" s="69">
        <v>17.791666666666668</v>
      </c>
    </row>
    <row r="20864" spans="6:8">
      <c r="F20864" s="68" t="s">
        <v>254</v>
      </c>
      <c r="G20864" s="67" t="s">
        <v>759</v>
      </c>
      <c r="H20864" s="69">
        <v>0.48833333333333329</v>
      </c>
    </row>
    <row r="20865" spans="6:8">
      <c r="F20865" s="68" t="s">
        <v>666</v>
      </c>
      <c r="G20865" s="67" t="s">
        <v>759</v>
      </c>
      <c r="H20865" s="69">
        <v>112.7300852</v>
      </c>
    </row>
    <row r="20866" spans="6:8">
      <c r="F20866" s="68" t="s">
        <v>422</v>
      </c>
      <c r="G20866" s="67" t="s">
        <v>759</v>
      </c>
      <c r="H20866" s="69">
        <v>1.8502175590895398</v>
      </c>
    </row>
    <row r="20867" spans="6:8">
      <c r="F20867" s="68" t="s">
        <v>568</v>
      </c>
      <c r="G20867" s="67" t="s">
        <v>759</v>
      </c>
      <c r="H20867" s="69">
        <v>-0.64500000000000002</v>
      </c>
    </row>
    <row r="20868" spans="6:8">
      <c r="F20868" s="68" t="s">
        <v>130</v>
      </c>
      <c r="G20868" s="67" t="s">
        <v>759</v>
      </c>
      <c r="H20868" s="69">
        <v>-1.0950000000000002</v>
      </c>
    </row>
    <row r="20869" spans="6:8">
      <c r="F20869" s="68" t="s">
        <v>131</v>
      </c>
      <c r="G20869" s="67" t="s">
        <v>759</v>
      </c>
      <c r="H20869" s="69">
        <v>-0.62</v>
      </c>
    </row>
    <row r="20870" spans="6:8">
      <c r="F20870" s="68" t="s">
        <v>303</v>
      </c>
      <c r="G20870" s="67" t="s">
        <v>759</v>
      </c>
      <c r="H20870" s="69">
        <v>18.020833333333332</v>
      </c>
    </row>
    <row r="20871" spans="6:8">
      <c r="F20871" s="68" t="s">
        <v>255</v>
      </c>
      <c r="G20871" s="67" t="s">
        <v>759</v>
      </c>
      <c r="H20871" s="69">
        <v>0.64833333333333332</v>
      </c>
    </row>
    <row r="20872" spans="6:8">
      <c r="F20872" s="68" t="s">
        <v>667</v>
      </c>
      <c r="G20872" s="67" t="s">
        <v>759</v>
      </c>
      <c r="H20872" s="69">
        <v>112.73051820000001</v>
      </c>
    </row>
    <row r="20873" spans="6:8">
      <c r="F20873" s="68" t="s">
        <v>132</v>
      </c>
      <c r="G20873" s="67" t="s">
        <v>759</v>
      </c>
      <c r="H20873" s="69">
        <v>-1.0249999999999999</v>
      </c>
    </row>
    <row r="20874" spans="6:8">
      <c r="F20874" s="68" t="s">
        <v>133</v>
      </c>
      <c r="G20874" s="67" t="s">
        <v>759</v>
      </c>
      <c r="H20874" s="69">
        <v>-0.67999999999999994</v>
      </c>
    </row>
    <row r="20875" spans="6:8">
      <c r="F20875" s="68" t="s">
        <v>256</v>
      </c>
      <c r="G20875" s="67" t="s">
        <v>759</v>
      </c>
      <c r="H20875" s="69">
        <v>0.7683333333333332</v>
      </c>
    </row>
    <row r="20876" spans="6:8">
      <c r="F20876" s="68" t="s">
        <v>423</v>
      </c>
      <c r="G20876" s="67" t="s">
        <v>759</v>
      </c>
      <c r="H20876" s="69">
        <v>2.1178086302168886</v>
      </c>
    </row>
    <row r="20877" spans="6:8">
      <c r="F20877" s="68" t="s">
        <v>569</v>
      </c>
      <c r="G20877" s="67" t="s">
        <v>759</v>
      </c>
      <c r="H20877" s="69">
        <v>-0.315</v>
      </c>
    </row>
    <row r="20878" spans="6:8">
      <c r="F20878" s="68" t="s">
        <v>668</v>
      </c>
      <c r="G20878" s="67" t="s">
        <v>759</v>
      </c>
      <c r="H20878" s="69">
        <v>112.7301975</v>
      </c>
    </row>
    <row r="20879" spans="6:8">
      <c r="F20879" s="68" t="s">
        <v>424</v>
      </c>
      <c r="G20879" s="67" t="s">
        <v>759</v>
      </c>
      <c r="H20879" s="69">
        <v>2.7108770585850372</v>
      </c>
    </row>
    <row r="20880" spans="6:8">
      <c r="F20880" s="68" t="s">
        <v>134</v>
      </c>
      <c r="G20880" s="67" t="s">
        <v>759</v>
      </c>
      <c r="H20880" s="69">
        <v>-0.97499999999999998</v>
      </c>
    </row>
    <row r="20881" spans="6:8">
      <c r="F20881" s="68" t="s">
        <v>135</v>
      </c>
      <c r="G20881" s="67" t="s">
        <v>759</v>
      </c>
      <c r="H20881" s="69">
        <v>-0.84499999999999997</v>
      </c>
    </row>
    <row r="20882" spans="6:8">
      <c r="F20882" s="68" t="s">
        <v>257</v>
      </c>
      <c r="G20882" s="67" t="s">
        <v>759</v>
      </c>
      <c r="H20882" s="69">
        <v>0.83599999999999997</v>
      </c>
    </row>
    <row r="20883" spans="6:8">
      <c r="F20883" s="68" t="s">
        <v>258</v>
      </c>
      <c r="G20883" s="67" t="s">
        <v>759</v>
      </c>
      <c r="H20883" s="69">
        <v>0.15</v>
      </c>
    </row>
    <row r="20884" spans="6:8">
      <c r="F20884" s="68" t="s">
        <v>669</v>
      </c>
      <c r="G20884" s="67" t="s">
        <v>759</v>
      </c>
      <c r="H20884" s="69">
        <v>112.7305741</v>
      </c>
    </row>
    <row r="20885" spans="6:8">
      <c r="F20885" s="68" t="s">
        <v>425</v>
      </c>
      <c r="G20885" s="67" t="s">
        <v>759</v>
      </c>
      <c r="H20885" s="69">
        <v>2.7087872240516564</v>
      </c>
    </row>
    <row r="20886" spans="6:8">
      <c r="F20886" s="68" t="s">
        <v>136</v>
      </c>
      <c r="G20886" s="67" t="s">
        <v>759</v>
      </c>
      <c r="H20886" s="69">
        <v>-1.0649999999999999</v>
      </c>
    </row>
    <row r="20887" spans="6:8">
      <c r="F20887" s="68" t="s">
        <v>137</v>
      </c>
      <c r="G20887" s="67" t="s">
        <v>759</v>
      </c>
      <c r="H20887" s="69">
        <v>-0.69</v>
      </c>
    </row>
    <row r="20888" spans="6:8">
      <c r="F20888" s="68" t="s">
        <v>138</v>
      </c>
      <c r="G20888" s="67" t="s">
        <v>759</v>
      </c>
      <c r="H20888" s="69">
        <v>-0.76</v>
      </c>
    </row>
    <row r="20889" spans="6:8">
      <c r="F20889" s="68" t="s">
        <v>259</v>
      </c>
      <c r="G20889" s="67" t="s">
        <v>759</v>
      </c>
      <c r="H20889" s="69">
        <v>0.13666666666666666</v>
      </c>
    </row>
    <row r="20890" spans="6:8">
      <c r="F20890" s="68" t="s">
        <v>259</v>
      </c>
      <c r="G20890" s="67" t="s">
        <v>760</v>
      </c>
      <c r="H20890" s="69">
        <v>0.13666666666666666</v>
      </c>
    </row>
    <row r="20891" spans="6:8">
      <c r="F20891" s="68" t="s">
        <v>138</v>
      </c>
      <c r="G20891" s="67" t="s">
        <v>760</v>
      </c>
      <c r="H20891" s="69">
        <v>-0.76</v>
      </c>
    </row>
    <row r="20892" spans="6:8">
      <c r="F20892" s="68" t="s">
        <v>137</v>
      </c>
      <c r="G20892" s="67" t="s">
        <v>760</v>
      </c>
      <c r="H20892" s="69">
        <v>-0.69</v>
      </c>
    </row>
    <row r="20893" spans="6:8">
      <c r="F20893" s="68" t="s">
        <v>136</v>
      </c>
      <c r="G20893" s="67" t="s">
        <v>760</v>
      </c>
      <c r="H20893" s="69">
        <v>-1.0649999999999999</v>
      </c>
    </row>
    <row r="20894" spans="6:8">
      <c r="F20894" s="68" t="s">
        <v>425</v>
      </c>
      <c r="G20894" s="67" t="s">
        <v>760</v>
      </c>
      <c r="H20894" s="69">
        <v>2.7294478977109016</v>
      </c>
    </row>
    <row r="20895" spans="6:8">
      <c r="F20895" s="68" t="s">
        <v>669</v>
      </c>
      <c r="G20895" s="67" t="s">
        <v>760</v>
      </c>
      <c r="H20895" s="69">
        <v>112.7305741</v>
      </c>
    </row>
    <row r="20896" spans="6:8">
      <c r="F20896" s="68" t="s">
        <v>258</v>
      </c>
      <c r="G20896" s="67" t="s">
        <v>760</v>
      </c>
      <c r="H20896" s="69">
        <v>0.15</v>
      </c>
    </row>
    <row r="20897" spans="6:8">
      <c r="F20897" s="68" t="s">
        <v>257</v>
      </c>
      <c r="G20897" s="67" t="s">
        <v>760</v>
      </c>
      <c r="H20897" s="69">
        <v>0.83599999999999997</v>
      </c>
    </row>
    <row r="20898" spans="6:8">
      <c r="F20898" s="68" t="s">
        <v>135</v>
      </c>
      <c r="G20898" s="67" t="s">
        <v>760</v>
      </c>
      <c r="H20898" s="69">
        <v>-0.84499999999999997</v>
      </c>
    </row>
    <row r="20899" spans="6:8">
      <c r="F20899" s="68" t="s">
        <v>134</v>
      </c>
      <c r="G20899" s="67" t="s">
        <v>760</v>
      </c>
      <c r="H20899" s="69">
        <v>-0.97499999999999998</v>
      </c>
    </row>
    <row r="20900" spans="6:8">
      <c r="F20900" s="68" t="s">
        <v>424</v>
      </c>
      <c r="G20900" s="67" t="s">
        <v>760</v>
      </c>
      <c r="H20900" s="69">
        <v>2.732687404062295</v>
      </c>
    </row>
    <row r="20901" spans="6:8">
      <c r="F20901" s="68" t="s">
        <v>668</v>
      </c>
      <c r="G20901" s="67" t="s">
        <v>760</v>
      </c>
      <c r="H20901" s="69">
        <v>112.7301975</v>
      </c>
    </row>
    <row r="20902" spans="6:8">
      <c r="F20902" s="68" t="s">
        <v>569</v>
      </c>
      <c r="G20902" s="67" t="s">
        <v>760</v>
      </c>
      <c r="H20902" s="69">
        <v>-0.315</v>
      </c>
    </row>
    <row r="20903" spans="6:8">
      <c r="F20903" s="68" t="s">
        <v>423</v>
      </c>
      <c r="G20903" s="67" t="s">
        <v>760</v>
      </c>
      <c r="H20903" s="69">
        <v>2.136800494214075</v>
      </c>
    </row>
    <row r="20904" spans="6:8">
      <c r="F20904" s="68" t="s">
        <v>256</v>
      </c>
      <c r="G20904" s="67" t="s">
        <v>760</v>
      </c>
      <c r="H20904" s="69">
        <v>0.7683333333333332</v>
      </c>
    </row>
    <row r="20905" spans="6:8">
      <c r="F20905" s="68" t="s">
        <v>133</v>
      </c>
      <c r="G20905" s="67" t="s">
        <v>760</v>
      </c>
      <c r="H20905" s="69">
        <v>-0.67999999999999994</v>
      </c>
    </row>
    <row r="20906" spans="6:8">
      <c r="F20906" s="68" t="s">
        <v>132</v>
      </c>
      <c r="G20906" s="67" t="s">
        <v>760</v>
      </c>
      <c r="H20906" s="69">
        <v>-1.0249999999999999</v>
      </c>
    </row>
    <row r="20907" spans="6:8">
      <c r="F20907" s="68" t="s">
        <v>667</v>
      </c>
      <c r="G20907" s="67" t="s">
        <v>760</v>
      </c>
      <c r="H20907" s="69">
        <v>112.73051820000001</v>
      </c>
    </row>
    <row r="20908" spans="6:8">
      <c r="F20908" s="68" t="s">
        <v>255</v>
      </c>
      <c r="G20908" s="67" t="s">
        <v>760</v>
      </c>
      <c r="H20908" s="69">
        <v>0.64833333333333332</v>
      </c>
    </row>
    <row r="20909" spans="6:8">
      <c r="F20909" s="68" t="s">
        <v>303</v>
      </c>
      <c r="G20909" s="67" t="s">
        <v>760</v>
      </c>
      <c r="H20909" s="69">
        <v>18.041666666666668</v>
      </c>
    </row>
    <row r="20910" spans="6:8">
      <c r="F20910" s="68" t="s">
        <v>131</v>
      </c>
      <c r="G20910" s="67" t="s">
        <v>760</v>
      </c>
      <c r="H20910" s="69">
        <v>-0.62</v>
      </c>
    </row>
    <row r="20911" spans="6:8">
      <c r="F20911" s="68" t="s">
        <v>130</v>
      </c>
      <c r="G20911" s="67" t="s">
        <v>760</v>
      </c>
      <c r="H20911" s="69">
        <v>-1.0950000000000002</v>
      </c>
    </row>
    <row r="20912" spans="6:8">
      <c r="F20912" s="68" t="s">
        <v>568</v>
      </c>
      <c r="G20912" s="67" t="s">
        <v>760</v>
      </c>
      <c r="H20912" s="69">
        <v>-0.64500000000000002</v>
      </c>
    </row>
    <row r="20913" spans="6:8">
      <c r="F20913" s="68" t="s">
        <v>422</v>
      </c>
      <c r="G20913" s="67" t="s">
        <v>760</v>
      </c>
      <c r="H20913" s="69">
        <v>1.872517619793701</v>
      </c>
    </row>
    <row r="20914" spans="6:8">
      <c r="F20914" s="68" t="s">
        <v>666</v>
      </c>
      <c r="G20914" s="67" t="s">
        <v>760</v>
      </c>
      <c r="H20914" s="69">
        <v>112.7300852</v>
      </c>
    </row>
    <row r="20915" spans="6:8">
      <c r="F20915" s="68" t="s">
        <v>254</v>
      </c>
      <c r="G20915" s="67" t="s">
        <v>760</v>
      </c>
      <c r="H20915" s="69">
        <v>0.48833333333333329</v>
      </c>
    </row>
    <row r="20916" spans="6:8">
      <c r="F20916" s="68" t="s">
        <v>304</v>
      </c>
      <c r="G20916" s="67" t="s">
        <v>760</v>
      </c>
      <c r="H20916" s="69">
        <v>17.8125</v>
      </c>
    </row>
    <row r="20917" spans="6:8">
      <c r="F20917" s="68" t="s">
        <v>129</v>
      </c>
      <c r="G20917" s="67" t="s">
        <v>760</v>
      </c>
      <c r="H20917" s="69">
        <v>-0.745</v>
      </c>
    </row>
    <row r="20918" spans="6:8">
      <c r="F20918" s="68" t="s">
        <v>128</v>
      </c>
      <c r="G20918" s="67" t="s">
        <v>760</v>
      </c>
      <c r="H20918" s="69">
        <v>-0.92999999999999994</v>
      </c>
    </row>
    <row r="20919" spans="6:8">
      <c r="F20919" s="68" t="s">
        <v>567</v>
      </c>
      <c r="G20919" s="67" t="s">
        <v>760</v>
      </c>
      <c r="H20919" s="69">
        <v>-1.105</v>
      </c>
    </row>
    <row r="20920" spans="6:8">
      <c r="F20920" s="68" t="s">
        <v>421</v>
      </c>
      <c r="G20920" s="67" t="s">
        <v>760</v>
      </c>
      <c r="H20920" s="69">
        <v>1.8668470501493228</v>
      </c>
    </row>
    <row r="20921" spans="6:8">
      <c r="F20921" s="68" t="s">
        <v>665</v>
      </c>
      <c r="G20921" s="67" t="s">
        <v>760</v>
      </c>
      <c r="H20921" s="69">
        <v>112.7302888</v>
      </c>
    </row>
    <row r="20922" spans="6:8">
      <c r="F20922" s="68" t="s">
        <v>253</v>
      </c>
      <c r="G20922" s="67" t="s">
        <v>760</v>
      </c>
      <c r="H20922" s="69">
        <v>0.34833333333333333</v>
      </c>
    </row>
    <row r="20923" spans="6:8">
      <c r="F20923" s="68" t="s">
        <v>127</v>
      </c>
      <c r="G20923" s="67" t="s">
        <v>760</v>
      </c>
      <c r="H20923" s="69">
        <v>-0.48</v>
      </c>
    </row>
    <row r="20924" spans="6:8">
      <c r="F20924" s="68" t="s">
        <v>126</v>
      </c>
      <c r="G20924" s="67" t="s">
        <v>760</v>
      </c>
      <c r="H20924" s="69">
        <v>-0.97500000000000009</v>
      </c>
    </row>
    <row r="20925" spans="6:8">
      <c r="F20925" s="68" t="s">
        <v>125</v>
      </c>
      <c r="G20925" s="67" t="s">
        <v>760</v>
      </c>
      <c r="H20925" s="69">
        <v>-0.7</v>
      </c>
    </row>
    <row r="20926" spans="6:8">
      <c r="F20926" s="68" t="s">
        <v>315</v>
      </c>
      <c r="G20926" s="67" t="s">
        <v>760</v>
      </c>
      <c r="H20926" s="69">
        <v>-0.32</v>
      </c>
    </row>
    <row r="20927" spans="6:8">
      <c r="F20927" s="68" t="s">
        <v>664</v>
      </c>
      <c r="G20927" s="67" t="s">
        <v>760</v>
      </c>
      <c r="H20927" s="69">
        <v>112.73034149999999</v>
      </c>
    </row>
    <row r="20928" spans="6:8">
      <c r="F20928" s="68" t="s">
        <v>252</v>
      </c>
      <c r="G20928" s="67" t="s">
        <v>760</v>
      </c>
      <c r="H20928" s="69">
        <v>0.22166666666666665</v>
      </c>
    </row>
    <row r="20929" spans="6:8">
      <c r="F20929" s="68" t="s">
        <v>124</v>
      </c>
      <c r="G20929" s="67" t="s">
        <v>760</v>
      </c>
      <c r="H20929" s="69">
        <v>-0.59499999999999997</v>
      </c>
    </row>
    <row r="20930" spans="6:8">
      <c r="F20930" s="68" t="s">
        <v>123</v>
      </c>
      <c r="G20930" s="67" t="s">
        <v>760</v>
      </c>
      <c r="H20930" s="69">
        <v>-0.995</v>
      </c>
    </row>
    <row r="20931" spans="6:8">
      <c r="F20931" s="68" t="s">
        <v>122</v>
      </c>
      <c r="G20931" s="67" t="s">
        <v>760</v>
      </c>
      <c r="H20931" s="69">
        <v>-0.92999999999999994</v>
      </c>
    </row>
    <row r="20932" spans="6:8">
      <c r="F20932" s="68" t="s">
        <v>314</v>
      </c>
      <c r="G20932" s="67" t="s">
        <v>760</v>
      </c>
      <c r="H20932" s="69">
        <v>-0.63</v>
      </c>
    </row>
    <row r="20933" spans="6:8">
      <c r="F20933" s="68" t="s">
        <v>663</v>
      </c>
      <c r="G20933" s="67" t="s">
        <v>760</v>
      </c>
      <c r="H20933" s="69">
        <v>112.7305191</v>
      </c>
    </row>
    <row r="20934" spans="6:8">
      <c r="F20934" s="68" t="s">
        <v>251</v>
      </c>
      <c r="G20934" s="67" t="s">
        <v>760</v>
      </c>
      <c r="H20934" s="69">
        <v>0.17</v>
      </c>
    </row>
    <row r="20935" spans="6:8">
      <c r="F20935" s="68" t="s">
        <v>121</v>
      </c>
      <c r="G20935" s="67" t="s">
        <v>760</v>
      </c>
      <c r="H20935" s="69">
        <v>-0.67999999999999994</v>
      </c>
    </row>
    <row r="20936" spans="6:8">
      <c r="F20936" s="68" t="s">
        <v>120</v>
      </c>
      <c r="G20936" s="67" t="s">
        <v>760</v>
      </c>
      <c r="H20936" s="69">
        <v>-0.83000000000000007</v>
      </c>
    </row>
    <row r="20937" spans="6:8">
      <c r="F20937" s="68" t="s">
        <v>119</v>
      </c>
      <c r="G20937" s="67" t="s">
        <v>760</v>
      </c>
      <c r="H20937" s="69">
        <v>-0.97500000000000009</v>
      </c>
    </row>
    <row r="20938" spans="6:8">
      <c r="F20938" s="68" t="s">
        <v>420</v>
      </c>
      <c r="G20938" s="67" t="s">
        <v>760</v>
      </c>
      <c r="H20938" s="69">
        <v>2.9732615646766991</v>
      </c>
    </row>
    <row r="20939" spans="6:8">
      <c r="F20939" s="68" t="s">
        <v>662</v>
      </c>
      <c r="G20939" s="67" t="s">
        <v>760</v>
      </c>
      <c r="H20939" s="69">
        <v>112.7299357</v>
      </c>
    </row>
    <row r="20940" spans="6:8">
      <c r="F20940" s="68" t="s">
        <v>662</v>
      </c>
      <c r="G20940" s="67" t="s">
        <v>761</v>
      </c>
      <c r="H20940" s="69">
        <v>112.7299357</v>
      </c>
    </row>
    <row r="20941" spans="6:8">
      <c r="F20941" s="68" t="s">
        <v>420</v>
      </c>
      <c r="G20941" s="67" t="s">
        <v>761</v>
      </c>
      <c r="H20941" s="69">
        <v>3.0090985385111679</v>
      </c>
    </row>
    <row r="20942" spans="6:8">
      <c r="F20942" s="68" t="s">
        <v>119</v>
      </c>
      <c r="G20942" s="67" t="s">
        <v>761</v>
      </c>
      <c r="H20942" s="69">
        <v>-0.95500000000000007</v>
      </c>
    </row>
    <row r="20943" spans="6:8">
      <c r="F20943" s="68" t="s">
        <v>120</v>
      </c>
      <c r="G20943" s="67" t="s">
        <v>761</v>
      </c>
      <c r="H20943" s="69">
        <v>-0.82499999999999996</v>
      </c>
    </row>
    <row r="20944" spans="6:8">
      <c r="F20944" s="68" t="s">
        <v>121</v>
      </c>
      <c r="G20944" s="67" t="s">
        <v>761</v>
      </c>
      <c r="H20944" s="69">
        <v>-0.67999999999999994</v>
      </c>
    </row>
    <row r="20945" spans="6:8">
      <c r="F20945" s="68" t="s">
        <v>251</v>
      </c>
      <c r="G20945" s="67" t="s">
        <v>761</v>
      </c>
      <c r="H20945" s="69">
        <v>0.17333333333333334</v>
      </c>
    </row>
    <row r="20946" spans="6:8">
      <c r="F20946" s="68" t="s">
        <v>663</v>
      </c>
      <c r="G20946" s="67" t="s">
        <v>761</v>
      </c>
      <c r="H20946" s="69">
        <v>112.7305191</v>
      </c>
    </row>
    <row r="20947" spans="6:8">
      <c r="F20947" s="68" t="s">
        <v>314</v>
      </c>
      <c r="G20947" s="67" t="s">
        <v>761</v>
      </c>
      <c r="H20947" s="69">
        <v>-0.62</v>
      </c>
    </row>
    <row r="20948" spans="6:8">
      <c r="F20948" s="68" t="s">
        <v>122</v>
      </c>
      <c r="G20948" s="67" t="s">
        <v>761</v>
      </c>
      <c r="H20948" s="69">
        <v>-0.91500000000000004</v>
      </c>
    </row>
    <row r="20949" spans="6:8">
      <c r="F20949" s="68" t="s">
        <v>123</v>
      </c>
      <c r="G20949" s="67" t="s">
        <v>761</v>
      </c>
      <c r="H20949" s="69">
        <v>-0.99</v>
      </c>
    </row>
    <row r="20950" spans="6:8">
      <c r="F20950" s="68" t="s">
        <v>124</v>
      </c>
      <c r="G20950" s="67" t="s">
        <v>761</v>
      </c>
      <c r="H20950" s="69">
        <v>-0.59499999999999997</v>
      </c>
    </row>
    <row r="20951" spans="6:8">
      <c r="F20951" s="68" t="s">
        <v>252</v>
      </c>
      <c r="G20951" s="67" t="s">
        <v>761</v>
      </c>
      <c r="H20951" s="69">
        <v>0.22499999999999998</v>
      </c>
    </row>
    <row r="20952" spans="6:8">
      <c r="F20952" s="68" t="s">
        <v>664</v>
      </c>
      <c r="G20952" s="67" t="s">
        <v>761</v>
      </c>
      <c r="H20952" s="69">
        <v>112.73034149999999</v>
      </c>
    </row>
    <row r="20953" spans="6:8">
      <c r="F20953" s="68" t="s">
        <v>315</v>
      </c>
      <c r="G20953" s="67" t="s">
        <v>761</v>
      </c>
      <c r="H20953" s="69">
        <v>-0.315</v>
      </c>
    </row>
    <row r="20954" spans="6:8">
      <c r="F20954" s="68" t="s">
        <v>125</v>
      </c>
      <c r="G20954" s="67" t="s">
        <v>761</v>
      </c>
      <c r="H20954" s="69">
        <v>-0.68500000000000005</v>
      </c>
    </row>
    <row r="20955" spans="6:8">
      <c r="F20955" s="68" t="s">
        <v>126</v>
      </c>
      <c r="G20955" s="67" t="s">
        <v>761</v>
      </c>
      <c r="H20955" s="69">
        <v>-0.96500000000000008</v>
      </c>
    </row>
    <row r="20956" spans="6:8">
      <c r="F20956" s="68" t="s">
        <v>127</v>
      </c>
      <c r="G20956" s="67" t="s">
        <v>761</v>
      </c>
      <c r="H20956" s="69">
        <v>-0.48</v>
      </c>
    </row>
    <row r="20957" spans="6:8">
      <c r="F20957" s="68" t="s">
        <v>253</v>
      </c>
      <c r="G20957" s="67" t="s">
        <v>761</v>
      </c>
      <c r="H20957" s="69">
        <v>0.35166666666666663</v>
      </c>
    </row>
    <row r="20958" spans="6:8">
      <c r="F20958" s="68" t="s">
        <v>665</v>
      </c>
      <c r="G20958" s="67" t="s">
        <v>761</v>
      </c>
      <c r="H20958" s="69">
        <v>112.7302888</v>
      </c>
    </row>
    <row r="20959" spans="6:8">
      <c r="F20959" s="68" t="s">
        <v>421</v>
      </c>
      <c r="G20959" s="67" t="s">
        <v>761</v>
      </c>
      <c r="H20959" s="69">
        <v>1.9385242555548743</v>
      </c>
    </row>
    <row r="20960" spans="6:8">
      <c r="F20960" s="68" t="s">
        <v>567</v>
      </c>
      <c r="G20960" s="67" t="s">
        <v>761</v>
      </c>
      <c r="H20960" s="69">
        <v>-1.0899999999999999</v>
      </c>
    </row>
    <row r="20961" spans="6:8">
      <c r="F20961" s="68" t="s">
        <v>128</v>
      </c>
      <c r="G20961" s="67" t="s">
        <v>761</v>
      </c>
      <c r="H20961" s="69">
        <v>-0.91999999999999993</v>
      </c>
    </row>
    <row r="20962" spans="6:8">
      <c r="F20962" s="68" t="s">
        <v>129</v>
      </c>
      <c r="G20962" s="67" t="s">
        <v>761</v>
      </c>
      <c r="H20962" s="69">
        <v>-0.745</v>
      </c>
    </row>
    <row r="20963" spans="6:8">
      <c r="F20963" s="68" t="s">
        <v>304</v>
      </c>
      <c r="G20963" s="67" t="s">
        <v>761</v>
      </c>
      <c r="H20963" s="69">
        <v>17.75</v>
      </c>
    </row>
    <row r="20964" spans="6:8">
      <c r="F20964" s="68" t="s">
        <v>254</v>
      </c>
      <c r="G20964" s="67" t="s">
        <v>761</v>
      </c>
      <c r="H20964" s="69">
        <v>0.49833333333333329</v>
      </c>
    </row>
    <row r="20965" spans="6:8">
      <c r="F20965" s="68" t="s">
        <v>666</v>
      </c>
      <c r="G20965" s="67" t="s">
        <v>761</v>
      </c>
      <c r="H20965" s="69">
        <v>112.7300852</v>
      </c>
    </row>
    <row r="20966" spans="6:8">
      <c r="F20966" s="68" t="s">
        <v>422</v>
      </c>
      <c r="G20966" s="67" t="s">
        <v>761</v>
      </c>
      <c r="H20966" s="69">
        <v>1.9442356649538972</v>
      </c>
    </row>
    <row r="20967" spans="6:8">
      <c r="F20967" s="68" t="s">
        <v>568</v>
      </c>
      <c r="G20967" s="67" t="s">
        <v>761</v>
      </c>
      <c r="H20967" s="69">
        <v>-0.625</v>
      </c>
    </row>
    <row r="20968" spans="6:8">
      <c r="F20968" s="68" t="s">
        <v>130</v>
      </c>
      <c r="G20968" s="67" t="s">
        <v>761</v>
      </c>
      <c r="H20968" s="69">
        <v>-1.085</v>
      </c>
    </row>
    <row r="20969" spans="6:8">
      <c r="F20969" s="68" t="s">
        <v>131</v>
      </c>
      <c r="G20969" s="67" t="s">
        <v>761</v>
      </c>
      <c r="H20969" s="69">
        <v>-0.61499999999999999</v>
      </c>
    </row>
    <row r="20970" spans="6:8">
      <c r="F20970" s="68" t="s">
        <v>303</v>
      </c>
      <c r="G20970" s="67" t="s">
        <v>761</v>
      </c>
      <c r="H20970" s="69">
        <v>18.03125</v>
      </c>
    </row>
    <row r="20971" spans="6:8">
      <c r="F20971" s="68" t="s">
        <v>255</v>
      </c>
      <c r="G20971" s="67" t="s">
        <v>761</v>
      </c>
      <c r="H20971" s="69">
        <v>0.65500000000000003</v>
      </c>
    </row>
    <row r="20972" spans="6:8">
      <c r="F20972" s="68" t="s">
        <v>667</v>
      </c>
      <c r="G20972" s="67" t="s">
        <v>761</v>
      </c>
      <c r="H20972" s="69">
        <v>112.73051820000001</v>
      </c>
    </row>
    <row r="20973" spans="6:8">
      <c r="F20973" s="68" t="s">
        <v>132</v>
      </c>
      <c r="G20973" s="67" t="s">
        <v>761</v>
      </c>
      <c r="H20973" s="69">
        <v>-1.01</v>
      </c>
    </row>
    <row r="20974" spans="6:8">
      <c r="F20974" s="68" t="s">
        <v>133</v>
      </c>
      <c r="G20974" s="67" t="s">
        <v>761</v>
      </c>
      <c r="H20974" s="69">
        <v>-0.66999999999999993</v>
      </c>
    </row>
    <row r="20975" spans="6:8">
      <c r="F20975" s="68" t="s">
        <v>256</v>
      </c>
      <c r="G20975" s="67" t="s">
        <v>761</v>
      </c>
      <c r="H20975" s="69">
        <v>0.77166666666666661</v>
      </c>
    </row>
    <row r="20976" spans="6:8">
      <c r="F20976" s="68" t="s">
        <v>423</v>
      </c>
      <c r="G20976" s="67" t="s">
        <v>761</v>
      </c>
      <c r="H20976" s="69">
        <v>2.1865297317086085</v>
      </c>
    </row>
    <row r="20977" spans="6:8">
      <c r="F20977" s="68" t="s">
        <v>569</v>
      </c>
      <c r="G20977" s="67" t="s">
        <v>761</v>
      </c>
      <c r="H20977" s="69">
        <v>-0.31</v>
      </c>
    </row>
    <row r="20978" spans="6:8">
      <c r="F20978" s="68" t="s">
        <v>668</v>
      </c>
      <c r="G20978" s="67" t="s">
        <v>761</v>
      </c>
      <c r="H20978" s="69">
        <v>112.7301975</v>
      </c>
    </row>
    <row r="20979" spans="6:8">
      <c r="F20979" s="68" t="s">
        <v>424</v>
      </c>
      <c r="G20979" s="67" t="s">
        <v>761</v>
      </c>
      <c r="H20979" s="69">
        <v>2.7628765661867671</v>
      </c>
    </row>
    <row r="20980" spans="6:8">
      <c r="F20980" s="68" t="s">
        <v>134</v>
      </c>
      <c r="G20980" s="67" t="s">
        <v>761</v>
      </c>
      <c r="H20980" s="69">
        <v>-0.96500000000000008</v>
      </c>
    </row>
    <row r="20981" spans="6:8">
      <c r="F20981" s="68" t="s">
        <v>135</v>
      </c>
      <c r="G20981" s="67" t="s">
        <v>761</v>
      </c>
      <c r="H20981" s="69">
        <v>-0.84</v>
      </c>
    </row>
    <row r="20982" spans="6:8">
      <c r="F20982" s="68" t="s">
        <v>257</v>
      </c>
      <c r="G20982" s="67" t="s">
        <v>761</v>
      </c>
      <c r="H20982" s="69">
        <v>0.84000000000000008</v>
      </c>
    </row>
    <row r="20983" spans="6:8">
      <c r="F20983" s="68" t="s">
        <v>258</v>
      </c>
      <c r="G20983" s="67" t="s">
        <v>761</v>
      </c>
      <c r="H20983" s="69">
        <v>0.15</v>
      </c>
    </row>
    <row r="20984" spans="6:8">
      <c r="F20984" s="68" t="s">
        <v>669</v>
      </c>
      <c r="G20984" s="67" t="s">
        <v>761</v>
      </c>
      <c r="H20984" s="69">
        <v>112.7305741</v>
      </c>
    </row>
    <row r="20985" spans="6:8">
      <c r="F20985" s="68" t="s">
        <v>425</v>
      </c>
      <c r="G20985" s="67" t="s">
        <v>761</v>
      </c>
      <c r="H20985" s="69">
        <v>2.7584952293023601</v>
      </c>
    </row>
    <row r="20986" spans="6:8">
      <c r="F20986" s="68" t="s">
        <v>136</v>
      </c>
      <c r="G20986" s="67" t="s">
        <v>761</v>
      </c>
      <c r="H20986" s="69">
        <v>-1.0499999999999998</v>
      </c>
    </row>
    <row r="20987" spans="6:8">
      <c r="F20987" s="68" t="s">
        <v>137</v>
      </c>
      <c r="G20987" s="67" t="s">
        <v>761</v>
      </c>
      <c r="H20987" s="69">
        <v>-0.68500000000000005</v>
      </c>
    </row>
    <row r="20988" spans="6:8">
      <c r="F20988" s="68" t="s">
        <v>138</v>
      </c>
      <c r="G20988" s="67" t="s">
        <v>761</v>
      </c>
      <c r="H20988" s="69">
        <v>-0.76</v>
      </c>
    </row>
    <row r="20989" spans="6:8">
      <c r="F20989" s="68" t="s">
        <v>259</v>
      </c>
      <c r="G20989" s="67" t="s">
        <v>761</v>
      </c>
      <c r="H20989" s="69">
        <v>0.13833333333333334</v>
      </c>
    </row>
    <row r="20990" spans="6:8">
      <c r="F20990" s="68" t="s">
        <v>259</v>
      </c>
      <c r="G20990" s="67" t="s">
        <v>762</v>
      </c>
      <c r="H20990" s="69">
        <v>0.13833333333333334</v>
      </c>
    </row>
    <row r="20991" spans="6:8">
      <c r="F20991" s="68" t="s">
        <v>138</v>
      </c>
      <c r="G20991" s="67" t="s">
        <v>762</v>
      </c>
      <c r="H20991" s="69">
        <v>-0.76</v>
      </c>
    </row>
    <row r="20992" spans="6:8">
      <c r="F20992" s="68" t="s">
        <v>137</v>
      </c>
      <c r="G20992" s="67" t="s">
        <v>762</v>
      </c>
      <c r="H20992" s="69">
        <v>-0.68500000000000005</v>
      </c>
    </row>
    <row r="20993" spans="6:8">
      <c r="F20993" s="68" t="s">
        <v>136</v>
      </c>
      <c r="G20993" s="67" t="s">
        <v>762</v>
      </c>
      <c r="H20993" s="69">
        <v>-1.0499999999999998</v>
      </c>
    </row>
    <row r="20994" spans="6:8">
      <c r="F20994" s="68" t="s">
        <v>425</v>
      </c>
      <c r="G20994" s="67" t="s">
        <v>762</v>
      </c>
      <c r="H20994" s="69">
        <v>2.739989824686484</v>
      </c>
    </row>
    <row r="20995" spans="6:8">
      <c r="F20995" s="68" t="s">
        <v>669</v>
      </c>
      <c r="G20995" s="67" t="s">
        <v>762</v>
      </c>
      <c r="H20995" s="69">
        <v>112.7305741</v>
      </c>
    </row>
    <row r="20996" spans="6:8">
      <c r="F20996" s="68" t="s">
        <v>258</v>
      </c>
      <c r="G20996" s="67" t="s">
        <v>762</v>
      </c>
      <c r="H20996" s="69">
        <v>0.15</v>
      </c>
    </row>
    <row r="20997" spans="6:8">
      <c r="F20997" s="68" t="s">
        <v>257</v>
      </c>
      <c r="G20997" s="67" t="s">
        <v>762</v>
      </c>
      <c r="H20997" s="69">
        <v>0.84000000000000008</v>
      </c>
    </row>
    <row r="20998" spans="6:8">
      <c r="F20998" s="68" t="s">
        <v>135</v>
      </c>
      <c r="G20998" s="67" t="s">
        <v>762</v>
      </c>
      <c r="H20998" s="69">
        <v>-0.84</v>
      </c>
    </row>
    <row r="20999" spans="6:8">
      <c r="F20999" s="68" t="s">
        <v>134</v>
      </c>
      <c r="G20999" s="67" t="s">
        <v>762</v>
      </c>
      <c r="H20999" s="69">
        <v>-0.96500000000000008</v>
      </c>
    </row>
    <row r="21000" spans="6:8">
      <c r="F21000" s="68" t="s">
        <v>424</v>
      </c>
      <c r="G21000" s="67" t="s">
        <v>762</v>
      </c>
      <c r="H21000" s="69">
        <v>2.7444116428020582</v>
      </c>
    </row>
    <row r="21001" spans="6:8">
      <c r="F21001" s="68" t="s">
        <v>668</v>
      </c>
      <c r="G21001" s="67" t="s">
        <v>762</v>
      </c>
      <c r="H21001" s="69">
        <v>112.7301975</v>
      </c>
    </row>
    <row r="21002" spans="6:8">
      <c r="F21002" s="68" t="s">
        <v>569</v>
      </c>
      <c r="G21002" s="67" t="s">
        <v>762</v>
      </c>
      <c r="H21002" s="69">
        <v>-0.31</v>
      </c>
    </row>
    <row r="21003" spans="6:8">
      <c r="F21003" s="68" t="s">
        <v>423</v>
      </c>
      <c r="G21003" s="67" t="s">
        <v>762</v>
      </c>
      <c r="H21003" s="69">
        <v>2.17907600371543</v>
      </c>
    </row>
    <row r="21004" spans="6:8">
      <c r="F21004" s="68" t="s">
        <v>256</v>
      </c>
      <c r="G21004" s="67" t="s">
        <v>762</v>
      </c>
      <c r="H21004" s="69">
        <v>0.77166666666666661</v>
      </c>
    </row>
    <row r="21005" spans="6:8">
      <c r="F21005" s="68" t="s">
        <v>133</v>
      </c>
      <c r="G21005" s="67" t="s">
        <v>762</v>
      </c>
      <c r="H21005" s="69">
        <v>-0.66999999999999993</v>
      </c>
    </row>
    <row r="21006" spans="6:8">
      <c r="F21006" s="68" t="s">
        <v>132</v>
      </c>
      <c r="G21006" s="67" t="s">
        <v>762</v>
      </c>
      <c r="H21006" s="69">
        <v>-1.01</v>
      </c>
    </row>
    <row r="21007" spans="6:8">
      <c r="F21007" s="68" t="s">
        <v>667</v>
      </c>
      <c r="G21007" s="67" t="s">
        <v>762</v>
      </c>
      <c r="H21007" s="69">
        <v>112.73051820000001</v>
      </c>
    </row>
    <row r="21008" spans="6:8">
      <c r="F21008" s="68" t="s">
        <v>255</v>
      </c>
      <c r="G21008" s="67" t="s">
        <v>762</v>
      </c>
      <c r="H21008" s="69">
        <v>0.65500000000000003</v>
      </c>
    </row>
    <row r="21009" spans="6:8">
      <c r="F21009" s="68" t="s">
        <v>303</v>
      </c>
      <c r="G21009" s="67" t="s">
        <v>762</v>
      </c>
      <c r="H21009" s="69">
        <v>18.020833333333332</v>
      </c>
    </row>
    <row r="21010" spans="6:8">
      <c r="F21010" s="68" t="s">
        <v>131</v>
      </c>
      <c r="G21010" s="67" t="s">
        <v>762</v>
      </c>
      <c r="H21010" s="69">
        <v>-0.61499999999999999</v>
      </c>
    </row>
    <row r="21011" spans="6:8">
      <c r="F21011" s="68" t="s">
        <v>130</v>
      </c>
      <c r="G21011" s="67" t="s">
        <v>762</v>
      </c>
      <c r="H21011" s="69">
        <v>-1.085</v>
      </c>
    </row>
    <row r="21012" spans="6:8">
      <c r="F21012" s="68" t="s">
        <v>568</v>
      </c>
      <c r="G21012" s="67" t="s">
        <v>762</v>
      </c>
      <c r="H21012" s="69">
        <v>-0.625</v>
      </c>
    </row>
    <row r="21013" spans="6:8">
      <c r="F21013" s="68" t="s">
        <v>422</v>
      </c>
      <c r="G21013" s="67" t="s">
        <v>762</v>
      </c>
      <c r="H21013" s="69">
        <v>1.9451288998656668</v>
      </c>
    </row>
    <row r="21014" spans="6:8">
      <c r="F21014" s="68" t="s">
        <v>666</v>
      </c>
      <c r="G21014" s="67" t="s">
        <v>762</v>
      </c>
      <c r="H21014" s="69">
        <v>112.7300852</v>
      </c>
    </row>
    <row r="21015" spans="6:8">
      <c r="F21015" s="68" t="s">
        <v>254</v>
      </c>
      <c r="G21015" s="67" t="s">
        <v>762</v>
      </c>
      <c r="H21015" s="69">
        <v>0.49833333333333329</v>
      </c>
    </row>
    <row r="21016" spans="6:8">
      <c r="F21016" s="68" t="s">
        <v>304</v>
      </c>
      <c r="G21016" s="67" t="s">
        <v>762</v>
      </c>
      <c r="H21016" s="69">
        <v>17.75</v>
      </c>
    </row>
    <row r="21017" spans="6:8">
      <c r="F21017" s="68" t="s">
        <v>129</v>
      </c>
      <c r="G21017" s="67" t="s">
        <v>762</v>
      </c>
      <c r="H21017" s="69">
        <v>-0.745</v>
      </c>
    </row>
    <row r="21018" spans="6:8">
      <c r="F21018" s="68" t="s">
        <v>128</v>
      </c>
      <c r="G21018" s="67" t="s">
        <v>762</v>
      </c>
      <c r="H21018" s="69">
        <v>-0.91999999999999993</v>
      </c>
    </row>
    <row r="21019" spans="6:8">
      <c r="F21019" s="68" t="s">
        <v>567</v>
      </c>
      <c r="G21019" s="67" t="s">
        <v>762</v>
      </c>
      <c r="H21019" s="69">
        <v>-1.0899999999999999</v>
      </c>
    </row>
    <row r="21020" spans="6:8">
      <c r="F21020" s="68" t="s">
        <v>421</v>
      </c>
      <c r="G21020" s="67" t="s">
        <v>762</v>
      </c>
      <c r="H21020" s="69">
        <v>1.9394733591292734</v>
      </c>
    </row>
    <row r="21021" spans="6:8">
      <c r="F21021" s="68" t="s">
        <v>665</v>
      </c>
      <c r="G21021" s="67" t="s">
        <v>762</v>
      </c>
      <c r="H21021" s="69">
        <v>112.7302888</v>
      </c>
    </row>
    <row r="21022" spans="6:8">
      <c r="F21022" s="68" t="s">
        <v>253</v>
      </c>
      <c r="G21022" s="67" t="s">
        <v>762</v>
      </c>
      <c r="H21022" s="69">
        <v>0.35166666666666663</v>
      </c>
    </row>
    <row r="21023" spans="6:8">
      <c r="F21023" s="68" t="s">
        <v>127</v>
      </c>
      <c r="G21023" s="67" t="s">
        <v>762</v>
      </c>
      <c r="H21023" s="69">
        <v>-0.48</v>
      </c>
    </row>
    <row r="21024" spans="6:8">
      <c r="F21024" s="68" t="s">
        <v>126</v>
      </c>
      <c r="G21024" s="67" t="s">
        <v>762</v>
      </c>
      <c r="H21024" s="69">
        <v>-0.96500000000000008</v>
      </c>
    </row>
    <row r="21025" spans="6:8">
      <c r="F21025" s="68" t="s">
        <v>125</v>
      </c>
      <c r="G21025" s="67" t="s">
        <v>762</v>
      </c>
      <c r="H21025" s="69">
        <v>-0.68500000000000005</v>
      </c>
    </row>
    <row r="21026" spans="6:8">
      <c r="F21026" s="68" t="s">
        <v>315</v>
      </c>
      <c r="G21026" s="67" t="s">
        <v>762</v>
      </c>
      <c r="H21026" s="69">
        <v>-0.315</v>
      </c>
    </row>
    <row r="21027" spans="6:8">
      <c r="F21027" s="68" t="s">
        <v>664</v>
      </c>
      <c r="G21027" s="67" t="s">
        <v>762</v>
      </c>
      <c r="H21027" s="69">
        <v>112.73034149999999</v>
      </c>
    </row>
    <row r="21028" spans="6:8">
      <c r="F21028" s="68" t="s">
        <v>252</v>
      </c>
      <c r="G21028" s="67" t="s">
        <v>762</v>
      </c>
      <c r="H21028" s="69">
        <v>0.22499999999999998</v>
      </c>
    </row>
    <row r="21029" spans="6:8">
      <c r="F21029" s="68" t="s">
        <v>124</v>
      </c>
      <c r="G21029" s="67" t="s">
        <v>762</v>
      </c>
      <c r="H21029" s="69">
        <v>-0.59499999999999997</v>
      </c>
    </row>
    <row r="21030" spans="6:8">
      <c r="F21030" s="68" t="s">
        <v>123</v>
      </c>
      <c r="G21030" s="67" t="s">
        <v>762</v>
      </c>
      <c r="H21030" s="69">
        <v>-0.99</v>
      </c>
    </row>
    <row r="21031" spans="6:8">
      <c r="F21031" s="68" t="s">
        <v>122</v>
      </c>
      <c r="G21031" s="67" t="s">
        <v>762</v>
      </c>
      <c r="H21031" s="69">
        <v>-0.91500000000000004</v>
      </c>
    </row>
    <row r="21032" spans="6:8">
      <c r="F21032" s="68" t="s">
        <v>314</v>
      </c>
      <c r="G21032" s="67" t="s">
        <v>762</v>
      </c>
      <c r="H21032" s="69">
        <v>-0.62</v>
      </c>
    </row>
    <row r="21033" spans="6:8">
      <c r="F21033" s="68" t="s">
        <v>663</v>
      </c>
      <c r="G21033" s="67" t="s">
        <v>762</v>
      </c>
      <c r="H21033" s="69">
        <v>112.7305191</v>
      </c>
    </row>
    <row r="21034" spans="6:8">
      <c r="F21034" s="68" t="s">
        <v>251</v>
      </c>
      <c r="G21034" s="67" t="s">
        <v>762</v>
      </c>
      <c r="H21034" s="69">
        <v>0.17333333333333334</v>
      </c>
    </row>
    <row r="21035" spans="6:8">
      <c r="F21035" s="68" t="s">
        <v>121</v>
      </c>
      <c r="G21035" s="67" t="s">
        <v>762</v>
      </c>
      <c r="H21035" s="69">
        <v>-0.67999999999999994</v>
      </c>
    </row>
    <row r="21036" spans="6:8">
      <c r="F21036" s="68" t="s">
        <v>120</v>
      </c>
      <c r="G21036" s="67" t="s">
        <v>762</v>
      </c>
      <c r="H21036" s="69">
        <v>-0.82499999999999996</v>
      </c>
    </row>
    <row r="21037" spans="6:8">
      <c r="F21037" s="68" t="s">
        <v>119</v>
      </c>
      <c r="G21037" s="67" t="s">
        <v>762</v>
      </c>
      <c r="H21037" s="69">
        <v>-0.95500000000000007</v>
      </c>
    </row>
    <row r="21038" spans="6:8">
      <c r="F21038" s="68" t="s">
        <v>420</v>
      </c>
      <c r="G21038" s="67" t="s">
        <v>762</v>
      </c>
      <c r="H21038" s="69">
        <v>2.9884141965756505</v>
      </c>
    </row>
    <row r="21039" spans="6:8">
      <c r="F21039" s="68" t="s">
        <v>662</v>
      </c>
      <c r="G21039" s="67" t="s">
        <v>762</v>
      </c>
      <c r="H21039" s="69">
        <v>112.7299357</v>
      </c>
    </row>
    <row r="21040" spans="6:8">
      <c r="F21040" s="68" t="s">
        <v>662</v>
      </c>
      <c r="G21040" s="67" t="s">
        <v>763</v>
      </c>
      <c r="H21040" s="69">
        <v>112.7299357</v>
      </c>
    </row>
    <row r="21041" spans="6:8">
      <c r="F21041" s="68" t="s">
        <v>420</v>
      </c>
      <c r="G21041" s="67" t="s">
        <v>763</v>
      </c>
      <c r="H21041" s="69">
        <v>3.0097405474457606</v>
      </c>
    </row>
    <row r="21042" spans="6:8">
      <c r="F21042" s="68" t="s">
        <v>119</v>
      </c>
      <c r="G21042" s="67" t="s">
        <v>763</v>
      </c>
      <c r="H21042" s="69">
        <v>-0.95500000000000007</v>
      </c>
    </row>
    <row r="21043" spans="6:8">
      <c r="F21043" s="68" t="s">
        <v>120</v>
      </c>
      <c r="G21043" s="67" t="s">
        <v>763</v>
      </c>
      <c r="H21043" s="69">
        <v>-0.82499999999999996</v>
      </c>
    </row>
    <row r="21044" spans="6:8">
      <c r="F21044" s="68" t="s">
        <v>121</v>
      </c>
      <c r="G21044" s="67" t="s">
        <v>763</v>
      </c>
      <c r="H21044" s="69">
        <v>-0.67999999999999994</v>
      </c>
    </row>
    <row r="21045" spans="6:8">
      <c r="F21045" s="68" t="s">
        <v>251</v>
      </c>
      <c r="G21045" s="67" t="s">
        <v>763</v>
      </c>
      <c r="H21045" s="69">
        <v>0.17333333333333334</v>
      </c>
    </row>
    <row r="21046" spans="6:8">
      <c r="F21046" s="68" t="s">
        <v>663</v>
      </c>
      <c r="G21046" s="67" t="s">
        <v>763</v>
      </c>
      <c r="H21046" s="69">
        <v>112.7305191</v>
      </c>
    </row>
    <row r="21047" spans="6:8">
      <c r="F21047" s="68" t="s">
        <v>314</v>
      </c>
      <c r="G21047" s="67" t="s">
        <v>763</v>
      </c>
      <c r="H21047" s="69">
        <v>-0.62</v>
      </c>
    </row>
    <row r="21048" spans="6:8">
      <c r="F21048" s="68" t="s">
        <v>122</v>
      </c>
      <c r="G21048" s="67" t="s">
        <v>763</v>
      </c>
      <c r="H21048" s="69">
        <v>-0.91500000000000004</v>
      </c>
    </row>
    <row r="21049" spans="6:8">
      <c r="F21049" s="68" t="s">
        <v>123</v>
      </c>
      <c r="G21049" s="67" t="s">
        <v>763</v>
      </c>
      <c r="H21049" s="69">
        <v>-0.99</v>
      </c>
    </row>
    <row r="21050" spans="6:8">
      <c r="F21050" s="68" t="s">
        <v>124</v>
      </c>
      <c r="G21050" s="67" t="s">
        <v>763</v>
      </c>
      <c r="H21050" s="69">
        <v>-0.59499999999999997</v>
      </c>
    </row>
    <row r="21051" spans="6:8">
      <c r="F21051" s="68" t="s">
        <v>252</v>
      </c>
      <c r="G21051" s="67" t="s">
        <v>763</v>
      </c>
      <c r="H21051" s="69">
        <v>0.22499999999999998</v>
      </c>
    </row>
    <row r="21052" spans="6:8">
      <c r="F21052" s="68" t="s">
        <v>664</v>
      </c>
      <c r="G21052" s="67" t="s">
        <v>763</v>
      </c>
      <c r="H21052" s="69">
        <v>112.73034149999999</v>
      </c>
    </row>
    <row r="21053" spans="6:8">
      <c r="F21053" s="68" t="s">
        <v>315</v>
      </c>
      <c r="G21053" s="67" t="s">
        <v>763</v>
      </c>
      <c r="H21053" s="69">
        <v>-0.315</v>
      </c>
    </row>
    <row r="21054" spans="6:8">
      <c r="F21054" s="68" t="s">
        <v>125</v>
      </c>
      <c r="G21054" s="67" t="s">
        <v>763</v>
      </c>
      <c r="H21054" s="69">
        <v>-0.68500000000000005</v>
      </c>
    </row>
    <row r="21055" spans="6:8">
      <c r="F21055" s="68" t="s">
        <v>126</v>
      </c>
      <c r="G21055" s="67" t="s">
        <v>763</v>
      </c>
      <c r="H21055" s="69">
        <v>-0.96500000000000008</v>
      </c>
    </row>
    <row r="21056" spans="6:8">
      <c r="F21056" s="68" t="s">
        <v>127</v>
      </c>
      <c r="G21056" s="67" t="s">
        <v>763</v>
      </c>
      <c r="H21056" s="69">
        <v>-0.48</v>
      </c>
    </row>
    <row r="21057" spans="6:8">
      <c r="F21057" s="68" t="s">
        <v>253</v>
      </c>
      <c r="G21057" s="67" t="s">
        <v>763</v>
      </c>
      <c r="H21057" s="69">
        <v>0.35166666666666663</v>
      </c>
    </row>
    <row r="21058" spans="6:8">
      <c r="F21058" s="68" t="s">
        <v>665</v>
      </c>
      <c r="G21058" s="67" t="s">
        <v>763</v>
      </c>
      <c r="H21058" s="69">
        <v>112.7302888</v>
      </c>
    </row>
    <row r="21059" spans="6:8">
      <c r="F21059" s="68" t="s">
        <v>421</v>
      </c>
      <c r="G21059" s="67" t="s">
        <v>763</v>
      </c>
      <c r="H21059" s="69">
        <v>1.9696637750855839</v>
      </c>
    </row>
    <row r="21060" spans="6:8">
      <c r="F21060" s="68" t="s">
        <v>567</v>
      </c>
      <c r="G21060" s="67" t="s">
        <v>763</v>
      </c>
      <c r="H21060" s="69">
        <v>-1.0899999999999999</v>
      </c>
    </row>
    <row r="21061" spans="6:8">
      <c r="F21061" s="68" t="s">
        <v>128</v>
      </c>
      <c r="G21061" s="67" t="s">
        <v>763</v>
      </c>
      <c r="H21061" s="69">
        <v>-0.91999999999999993</v>
      </c>
    </row>
    <row r="21062" spans="6:8">
      <c r="F21062" s="68" t="s">
        <v>129</v>
      </c>
      <c r="G21062" s="67" t="s">
        <v>763</v>
      </c>
      <c r="H21062" s="69">
        <v>-0.745</v>
      </c>
    </row>
    <row r="21063" spans="6:8">
      <c r="F21063" s="68" t="s">
        <v>304</v>
      </c>
      <c r="G21063" s="67" t="s">
        <v>763</v>
      </c>
      <c r="H21063" s="69">
        <v>17.770833333333332</v>
      </c>
    </row>
    <row r="21064" spans="6:8">
      <c r="F21064" s="68" t="s">
        <v>254</v>
      </c>
      <c r="G21064" s="67" t="s">
        <v>763</v>
      </c>
      <c r="H21064" s="69">
        <v>0.49833333333333329</v>
      </c>
    </row>
    <row r="21065" spans="6:8">
      <c r="F21065" s="68" t="s">
        <v>666</v>
      </c>
      <c r="G21065" s="67" t="s">
        <v>763</v>
      </c>
      <c r="H21065" s="69">
        <v>112.7300852</v>
      </c>
    </row>
    <row r="21066" spans="6:8">
      <c r="F21066" s="68" t="s">
        <v>422</v>
      </c>
      <c r="G21066" s="67" t="s">
        <v>763</v>
      </c>
      <c r="H21066" s="69">
        <v>1.9753493232106845</v>
      </c>
    </row>
    <row r="21067" spans="6:8">
      <c r="F21067" s="68" t="s">
        <v>568</v>
      </c>
      <c r="G21067" s="67" t="s">
        <v>763</v>
      </c>
      <c r="H21067" s="69">
        <v>-0.625</v>
      </c>
    </row>
    <row r="21068" spans="6:8">
      <c r="F21068" s="68" t="s">
        <v>130</v>
      </c>
      <c r="G21068" s="67" t="s">
        <v>763</v>
      </c>
      <c r="H21068" s="69">
        <v>-1.085</v>
      </c>
    </row>
    <row r="21069" spans="6:8">
      <c r="F21069" s="68" t="s">
        <v>131</v>
      </c>
      <c r="G21069" s="67" t="s">
        <v>763</v>
      </c>
      <c r="H21069" s="69">
        <v>-0.61499999999999999</v>
      </c>
    </row>
    <row r="21070" spans="6:8">
      <c r="F21070" s="68" t="s">
        <v>303</v>
      </c>
      <c r="G21070" s="67" t="s">
        <v>763</v>
      </c>
      <c r="H21070" s="69">
        <v>18.0625</v>
      </c>
    </row>
    <row r="21071" spans="6:8">
      <c r="F21071" s="68" t="s">
        <v>255</v>
      </c>
      <c r="G21071" s="67" t="s">
        <v>763</v>
      </c>
      <c r="H21071" s="69">
        <v>0.65500000000000003</v>
      </c>
    </row>
    <row r="21072" spans="6:8">
      <c r="F21072" s="68" t="s">
        <v>667</v>
      </c>
      <c r="G21072" s="67" t="s">
        <v>763</v>
      </c>
      <c r="H21072" s="69">
        <v>112.73051820000001</v>
      </c>
    </row>
    <row r="21073" spans="6:8">
      <c r="F21073" s="68" t="s">
        <v>132</v>
      </c>
      <c r="G21073" s="67" t="s">
        <v>763</v>
      </c>
      <c r="H21073" s="69">
        <v>-1.01</v>
      </c>
    </row>
    <row r="21074" spans="6:8">
      <c r="F21074" s="68" t="s">
        <v>133</v>
      </c>
      <c r="G21074" s="67" t="s">
        <v>763</v>
      </c>
      <c r="H21074" s="69">
        <v>-0.66999999999999993</v>
      </c>
    </row>
    <row r="21075" spans="6:8">
      <c r="F21075" s="68" t="s">
        <v>256</v>
      </c>
      <c r="G21075" s="67" t="s">
        <v>763</v>
      </c>
      <c r="H21075" s="69">
        <v>0.77166666666666661</v>
      </c>
    </row>
    <row r="21076" spans="6:8">
      <c r="F21076" s="68" t="s">
        <v>423</v>
      </c>
      <c r="G21076" s="67" t="s">
        <v>763</v>
      </c>
      <c r="H21076" s="69">
        <v>2.2035622010093459</v>
      </c>
    </row>
    <row r="21077" spans="6:8">
      <c r="F21077" s="68" t="s">
        <v>569</v>
      </c>
      <c r="G21077" s="67" t="s">
        <v>763</v>
      </c>
      <c r="H21077" s="69">
        <v>-0.31</v>
      </c>
    </row>
    <row r="21078" spans="6:8">
      <c r="F21078" s="68" t="s">
        <v>668</v>
      </c>
      <c r="G21078" s="67" t="s">
        <v>763</v>
      </c>
      <c r="H21078" s="69">
        <v>112.7301975</v>
      </c>
    </row>
    <row r="21079" spans="6:8">
      <c r="F21079" s="68" t="s">
        <v>424</v>
      </c>
      <c r="G21079" s="67" t="s">
        <v>763</v>
      </c>
      <c r="H21079" s="69">
        <v>2.7593618792975505</v>
      </c>
    </row>
    <row r="21080" spans="6:8">
      <c r="F21080" s="68" t="s">
        <v>134</v>
      </c>
      <c r="G21080" s="67" t="s">
        <v>763</v>
      </c>
      <c r="H21080" s="69">
        <v>-0.96500000000000008</v>
      </c>
    </row>
    <row r="21081" spans="6:8">
      <c r="F21081" s="68" t="s">
        <v>135</v>
      </c>
      <c r="G21081" s="67" t="s">
        <v>763</v>
      </c>
      <c r="H21081" s="69">
        <v>-0.84</v>
      </c>
    </row>
    <row r="21082" spans="6:8">
      <c r="F21082" s="68" t="s">
        <v>257</v>
      </c>
      <c r="G21082" s="67" t="s">
        <v>763</v>
      </c>
      <c r="H21082" s="69">
        <v>0.84000000000000008</v>
      </c>
    </row>
    <row r="21083" spans="6:8">
      <c r="F21083" s="68" t="s">
        <v>258</v>
      </c>
      <c r="G21083" s="67" t="s">
        <v>763</v>
      </c>
      <c r="H21083" s="69">
        <v>0.15</v>
      </c>
    </row>
    <row r="21084" spans="6:8">
      <c r="F21084" s="68" t="s">
        <v>669</v>
      </c>
      <c r="G21084" s="67" t="s">
        <v>763</v>
      </c>
      <c r="H21084" s="69">
        <v>112.7305741</v>
      </c>
    </row>
    <row r="21085" spans="6:8">
      <c r="F21085" s="68" t="s">
        <v>425</v>
      </c>
      <c r="G21085" s="67" t="s">
        <v>763</v>
      </c>
      <c r="H21085" s="69">
        <v>2.7538966670073606</v>
      </c>
    </row>
    <row r="21086" spans="6:8">
      <c r="F21086" s="68" t="s">
        <v>136</v>
      </c>
      <c r="G21086" s="67" t="s">
        <v>763</v>
      </c>
      <c r="H21086" s="69">
        <v>-1.0499999999999998</v>
      </c>
    </row>
    <row r="21087" spans="6:8">
      <c r="F21087" s="68" t="s">
        <v>137</v>
      </c>
      <c r="G21087" s="67" t="s">
        <v>763</v>
      </c>
      <c r="H21087" s="69">
        <v>-0.68500000000000005</v>
      </c>
    </row>
    <row r="21088" spans="6:8">
      <c r="F21088" s="68" t="s">
        <v>138</v>
      </c>
      <c r="G21088" s="67" t="s">
        <v>763</v>
      </c>
      <c r="H21088" s="69">
        <v>-0.76</v>
      </c>
    </row>
    <row r="21089" spans="6:8">
      <c r="F21089" s="68" t="s">
        <v>259</v>
      </c>
      <c r="G21089" s="67" t="s">
        <v>763</v>
      </c>
      <c r="H21089" s="69">
        <v>0.13833333333333334</v>
      </c>
    </row>
    <row r="21090" spans="6:8">
      <c r="F21090" s="68" t="s">
        <v>669</v>
      </c>
      <c r="G21090" s="67" t="s">
        <v>764</v>
      </c>
      <c r="H21090" s="69">
        <v>112.7305741</v>
      </c>
    </row>
    <row r="21091" spans="6:8">
      <c r="F21091" s="68" t="s">
        <v>668</v>
      </c>
      <c r="G21091" s="67" t="s">
        <v>764</v>
      </c>
      <c r="H21091" s="69">
        <v>112.7301975</v>
      </c>
    </row>
    <row r="21092" spans="6:8">
      <c r="F21092" s="68" t="s">
        <v>667</v>
      </c>
      <c r="G21092" s="67" t="s">
        <v>764</v>
      </c>
      <c r="H21092" s="69">
        <v>112.73051820000001</v>
      </c>
    </row>
    <row r="21093" spans="6:8">
      <c r="F21093" s="68" t="s">
        <v>666</v>
      </c>
      <c r="G21093" s="67" t="s">
        <v>764</v>
      </c>
      <c r="H21093" s="69">
        <v>112.7300852</v>
      </c>
    </row>
    <row r="21094" spans="6:8">
      <c r="F21094" s="68" t="s">
        <v>665</v>
      </c>
      <c r="G21094" s="67" t="s">
        <v>764</v>
      </c>
      <c r="H21094" s="69">
        <v>112.7302888</v>
      </c>
    </row>
    <row r="21095" spans="6:8">
      <c r="F21095" s="68" t="s">
        <v>664</v>
      </c>
      <c r="G21095" s="67" t="s">
        <v>764</v>
      </c>
      <c r="H21095" s="69">
        <v>112.73034149999999</v>
      </c>
    </row>
    <row r="21096" spans="6:8">
      <c r="F21096" s="68" t="s">
        <v>663</v>
      </c>
      <c r="G21096" s="67" t="s">
        <v>764</v>
      </c>
      <c r="H21096" s="69">
        <v>112.7305191</v>
      </c>
    </row>
    <row r="21097" spans="6:8">
      <c r="F21097" s="68" t="s">
        <v>662</v>
      </c>
      <c r="G21097" s="67" t="s">
        <v>764</v>
      </c>
      <c r="H21097" s="69">
        <v>112.7299357</v>
      </c>
    </row>
    <row r="21098" spans="6:8">
      <c r="F21098" s="68" t="s">
        <v>662</v>
      </c>
      <c r="G21098" s="67" t="s">
        <v>765</v>
      </c>
      <c r="H21098" s="69">
        <v>112.7299357</v>
      </c>
    </row>
    <row r="21099" spans="6:8">
      <c r="F21099" s="68" t="s">
        <v>663</v>
      </c>
      <c r="G21099" s="67" t="s">
        <v>765</v>
      </c>
      <c r="H21099" s="69">
        <v>112.7305191</v>
      </c>
    </row>
    <row r="21100" spans="6:8">
      <c r="F21100" s="68" t="s">
        <v>664</v>
      </c>
      <c r="G21100" s="67" t="s">
        <v>765</v>
      </c>
      <c r="H21100" s="69">
        <v>112.73034149999999</v>
      </c>
    </row>
    <row r="21101" spans="6:8">
      <c r="F21101" s="68" t="s">
        <v>665</v>
      </c>
      <c r="G21101" s="67" t="s">
        <v>765</v>
      </c>
      <c r="H21101" s="69">
        <v>112.7302888</v>
      </c>
    </row>
    <row r="21102" spans="6:8">
      <c r="F21102" s="68" t="s">
        <v>666</v>
      </c>
      <c r="G21102" s="67" t="s">
        <v>765</v>
      </c>
      <c r="H21102" s="69">
        <v>112.7300852</v>
      </c>
    </row>
    <row r="21103" spans="6:8">
      <c r="F21103" s="68" t="s">
        <v>667</v>
      </c>
      <c r="G21103" s="67" t="s">
        <v>765</v>
      </c>
      <c r="H21103" s="69">
        <v>112.73051820000001</v>
      </c>
    </row>
    <row r="21104" spans="6:8">
      <c r="F21104" s="68" t="s">
        <v>668</v>
      </c>
      <c r="G21104" s="67" t="s">
        <v>765</v>
      </c>
      <c r="H21104" s="69">
        <v>112.7301975</v>
      </c>
    </row>
    <row r="21105" spans="6:8">
      <c r="F21105" s="68" t="s">
        <v>669</v>
      </c>
      <c r="G21105" s="67" t="s">
        <v>765</v>
      </c>
      <c r="H21105" s="69">
        <v>112.7305741</v>
      </c>
    </row>
    <row r="21106" spans="6:8">
      <c r="F21106" s="68" t="s">
        <v>669</v>
      </c>
      <c r="G21106" s="67" t="s">
        <v>766</v>
      </c>
      <c r="H21106" s="69">
        <v>112.7305741</v>
      </c>
    </row>
    <row r="21107" spans="6:8">
      <c r="F21107" s="68" t="s">
        <v>425</v>
      </c>
      <c r="G21107" s="67" t="s">
        <v>766</v>
      </c>
      <c r="H21107" s="69">
        <v>2.6705636329862781</v>
      </c>
    </row>
    <row r="21108" spans="6:8">
      <c r="F21108" s="68" t="s">
        <v>259</v>
      </c>
      <c r="G21108" s="67" t="s">
        <v>766</v>
      </c>
      <c r="H21108" s="69">
        <v>0.14666666666666664</v>
      </c>
    </row>
    <row r="21109" spans="6:8">
      <c r="F21109" s="68" t="s">
        <v>138</v>
      </c>
      <c r="G21109" s="67" t="s">
        <v>766</v>
      </c>
      <c r="H21109" s="69">
        <v>-0.76</v>
      </c>
    </row>
    <row r="21110" spans="6:8">
      <c r="F21110" s="68" t="s">
        <v>137</v>
      </c>
      <c r="G21110" s="67" t="s">
        <v>766</v>
      </c>
      <c r="H21110" s="69">
        <v>-0.65999999999999992</v>
      </c>
    </row>
    <row r="21111" spans="6:8">
      <c r="F21111" s="68" t="s">
        <v>136</v>
      </c>
      <c r="G21111" s="67" t="s">
        <v>766</v>
      </c>
      <c r="H21111" s="69">
        <v>-1.0350000000000001</v>
      </c>
    </row>
    <row r="21112" spans="6:8">
      <c r="F21112" s="68" t="s">
        <v>668</v>
      </c>
      <c r="G21112" s="67" t="s">
        <v>766</v>
      </c>
      <c r="H21112" s="69">
        <v>112.7301975</v>
      </c>
    </row>
    <row r="21113" spans="6:8">
      <c r="F21113" s="68" t="s">
        <v>424</v>
      </c>
      <c r="G21113" s="67" t="s">
        <v>766</v>
      </c>
      <c r="H21113" s="69">
        <v>2.701871549695456</v>
      </c>
    </row>
    <row r="21114" spans="6:8">
      <c r="F21114" s="68" t="s">
        <v>258</v>
      </c>
      <c r="G21114" s="67" t="s">
        <v>766</v>
      </c>
      <c r="H21114" s="69">
        <v>0.15</v>
      </c>
    </row>
    <row r="21115" spans="6:8">
      <c r="F21115" s="68" t="s">
        <v>257</v>
      </c>
      <c r="G21115" s="67" t="s">
        <v>766</v>
      </c>
      <c r="H21115" s="69">
        <v>0.84199999999999997</v>
      </c>
    </row>
    <row r="21116" spans="6:8">
      <c r="F21116" s="68" t="s">
        <v>135</v>
      </c>
      <c r="G21116" s="67" t="s">
        <v>766</v>
      </c>
      <c r="H21116" s="69">
        <v>-0.84</v>
      </c>
    </row>
    <row r="21117" spans="6:8">
      <c r="F21117" s="68" t="s">
        <v>134</v>
      </c>
      <c r="G21117" s="67" t="s">
        <v>766</v>
      </c>
      <c r="H21117" s="69">
        <v>-0.96</v>
      </c>
    </row>
    <row r="21118" spans="6:8">
      <c r="F21118" s="68" t="s">
        <v>667</v>
      </c>
      <c r="G21118" s="67" t="s">
        <v>766</v>
      </c>
      <c r="H21118" s="69">
        <v>112.73051820000001</v>
      </c>
    </row>
    <row r="21119" spans="6:8">
      <c r="F21119" s="68" t="s">
        <v>569</v>
      </c>
      <c r="G21119" s="67" t="s">
        <v>766</v>
      </c>
      <c r="H21119" s="69">
        <v>-0.3</v>
      </c>
    </row>
    <row r="21120" spans="6:8">
      <c r="F21120" s="68" t="s">
        <v>423</v>
      </c>
      <c r="G21120" s="67" t="s">
        <v>766</v>
      </c>
      <c r="H21120" s="69">
        <v>2.2361686755257182</v>
      </c>
    </row>
    <row r="21121" spans="6:8">
      <c r="F21121" s="68" t="s">
        <v>256</v>
      </c>
      <c r="G21121" s="67" t="s">
        <v>766</v>
      </c>
      <c r="H21121" s="69">
        <v>0.76833333333333342</v>
      </c>
    </row>
    <row r="21122" spans="6:8">
      <c r="F21122" s="68" t="s">
        <v>133</v>
      </c>
      <c r="G21122" s="67" t="s">
        <v>766</v>
      </c>
      <c r="H21122" s="69">
        <v>-0.66500000000000004</v>
      </c>
    </row>
    <row r="21123" spans="6:8">
      <c r="F21123" s="68" t="s">
        <v>132</v>
      </c>
      <c r="G21123" s="67" t="s">
        <v>766</v>
      </c>
      <c r="H21123" s="69">
        <v>-1.0049999999999999</v>
      </c>
    </row>
    <row r="21124" spans="6:8">
      <c r="F21124" s="68" t="s">
        <v>666</v>
      </c>
      <c r="G21124" s="67" t="s">
        <v>766</v>
      </c>
      <c r="H21124" s="69">
        <v>112.7300852</v>
      </c>
    </row>
    <row r="21125" spans="6:8">
      <c r="F21125" s="68" t="s">
        <v>568</v>
      </c>
      <c r="G21125" s="67" t="s">
        <v>766</v>
      </c>
      <c r="H21125" s="69">
        <v>-0.61</v>
      </c>
    </row>
    <row r="21126" spans="6:8">
      <c r="F21126" s="68" t="s">
        <v>422</v>
      </c>
      <c r="G21126" s="67" t="s">
        <v>766</v>
      </c>
      <c r="H21126" s="69">
        <v>2.0086545948726275</v>
      </c>
    </row>
    <row r="21127" spans="6:8">
      <c r="F21127" s="68" t="s">
        <v>255</v>
      </c>
      <c r="G21127" s="67" t="s">
        <v>766</v>
      </c>
      <c r="H21127" s="69">
        <v>0.65333333333333343</v>
      </c>
    </row>
    <row r="21128" spans="6:8">
      <c r="F21128" s="68" t="s">
        <v>303</v>
      </c>
      <c r="G21128" s="67" t="s">
        <v>766</v>
      </c>
      <c r="H21128" s="69">
        <v>18.0625</v>
      </c>
    </row>
    <row r="21129" spans="6:8">
      <c r="F21129" s="68" t="s">
        <v>131</v>
      </c>
      <c r="G21129" s="67" t="s">
        <v>766</v>
      </c>
      <c r="H21129" s="69">
        <v>-0.61499999999999999</v>
      </c>
    </row>
    <row r="21130" spans="6:8">
      <c r="F21130" s="68" t="s">
        <v>130</v>
      </c>
      <c r="G21130" s="67" t="s">
        <v>766</v>
      </c>
      <c r="H21130" s="69">
        <v>-1.0750000000000002</v>
      </c>
    </row>
    <row r="21131" spans="6:8">
      <c r="F21131" s="68" t="s">
        <v>665</v>
      </c>
      <c r="G21131" s="67" t="s">
        <v>766</v>
      </c>
      <c r="H21131" s="69">
        <v>112.7302888</v>
      </c>
    </row>
    <row r="21132" spans="6:8">
      <c r="F21132" s="68" t="s">
        <v>567</v>
      </c>
      <c r="G21132" s="67" t="s">
        <v>766</v>
      </c>
      <c r="H21132" s="69">
        <v>-1.0750000000000002</v>
      </c>
    </row>
    <row r="21133" spans="6:8">
      <c r="F21133" s="68" t="s">
        <v>421</v>
      </c>
      <c r="G21133" s="67" t="s">
        <v>766</v>
      </c>
      <c r="H21133" s="69">
        <v>2.0029177164103462</v>
      </c>
    </row>
    <row r="21134" spans="6:8">
      <c r="F21134" s="68" t="s">
        <v>254</v>
      </c>
      <c r="G21134" s="67" t="s">
        <v>766</v>
      </c>
      <c r="H21134" s="69">
        <v>0.49333333333333335</v>
      </c>
    </row>
    <row r="21135" spans="6:8">
      <c r="F21135" s="68" t="s">
        <v>304</v>
      </c>
      <c r="G21135" s="67" t="s">
        <v>766</v>
      </c>
      <c r="H21135" s="69">
        <v>17.770833333333332</v>
      </c>
    </row>
    <row r="21136" spans="6:8">
      <c r="F21136" s="68" t="s">
        <v>129</v>
      </c>
      <c r="G21136" s="67" t="s">
        <v>766</v>
      </c>
      <c r="H21136" s="69">
        <v>-0.745</v>
      </c>
    </row>
    <row r="21137" spans="6:8">
      <c r="F21137" s="68" t="s">
        <v>128</v>
      </c>
      <c r="G21137" s="67" t="s">
        <v>766</v>
      </c>
      <c r="H21137" s="69">
        <v>-0.91999999999999993</v>
      </c>
    </row>
    <row r="21138" spans="6:8">
      <c r="F21138" s="68" t="s">
        <v>664</v>
      </c>
      <c r="G21138" s="67" t="s">
        <v>766</v>
      </c>
      <c r="H21138" s="69">
        <v>112.73034149999999</v>
      </c>
    </row>
    <row r="21139" spans="6:8">
      <c r="F21139" s="68" t="s">
        <v>315</v>
      </c>
      <c r="G21139" s="67" t="s">
        <v>766</v>
      </c>
      <c r="H21139" s="69">
        <v>-0.30499999999999999</v>
      </c>
    </row>
    <row r="21140" spans="6:8">
      <c r="F21140" s="68" t="s">
        <v>253</v>
      </c>
      <c r="G21140" s="67" t="s">
        <v>766</v>
      </c>
      <c r="H21140" s="69">
        <v>0.35000000000000003</v>
      </c>
    </row>
    <row r="21141" spans="6:8">
      <c r="F21141" s="68" t="s">
        <v>127</v>
      </c>
      <c r="G21141" s="67" t="s">
        <v>766</v>
      </c>
      <c r="H21141" s="69">
        <v>-0.46499999999999997</v>
      </c>
    </row>
    <row r="21142" spans="6:8">
      <c r="F21142" s="68" t="s">
        <v>126</v>
      </c>
      <c r="G21142" s="67" t="s">
        <v>766</v>
      </c>
      <c r="H21142" s="69">
        <v>-0.96</v>
      </c>
    </row>
    <row r="21143" spans="6:8">
      <c r="F21143" s="68" t="s">
        <v>125</v>
      </c>
      <c r="G21143" s="67" t="s">
        <v>766</v>
      </c>
      <c r="H21143" s="69">
        <v>-0.67500000000000004</v>
      </c>
    </row>
    <row r="21144" spans="6:8">
      <c r="F21144" s="68" t="s">
        <v>663</v>
      </c>
      <c r="G21144" s="67" t="s">
        <v>766</v>
      </c>
      <c r="H21144" s="69">
        <v>112.7305191</v>
      </c>
    </row>
    <row r="21145" spans="6:8">
      <c r="F21145" s="68" t="s">
        <v>314</v>
      </c>
      <c r="G21145" s="67" t="s">
        <v>766</v>
      </c>
      <c r="H21145" s="69">
        <v>-0.61</v>
      </c>
    </row>
    <row r="21146" spans="6:8">
      <c r="F21146" s="68" t="s">
        <v>252</v>
      </c>
      <c r="G21146" s="67" t="s">
        <v>766</v>
      </c>
      <c r="H21146" s="69">
        <v>0.22499999999999998</v>
      </c>
    </row>
    <row r="21147" spans="6:8">
      <c r="F21147" s="68" t="s">
        <v>124</v>
      </c>
      <c r="G21147" s="67" t="s">
        <v>766</v>
      </c>
      <c r="H21147" s="69">
        <v>-0.59499999999999997</v>
      </c>
    </row>
    <row r="21148" spans="6:8">
      <c r="F21148" s="68" t="s">
        <v>123</v>
      </c>
      <c r="G21148" s="67" t="s">
        <v>766</v>
      </c>
      <c r="H21148" s="69">
        <v>-0.98499999999999999</v>
      </c>
    </row>
    <row r="21149" spans="6:8">
      <c r="F21149" s="68" t="s">
        <v>122</v>
      </c>
      <c r="G21149" s="67" t="s">
        <v>766</v>
      </c>
      <c r="H21149" s="69">
        <v>-0.88500000000000001</v>
      </c>
    </row>
    <row r="21150" spans="6:8">
      <c r="F21150" s="68" t="s">
        <v>662</v>
      </c>
      <c r="G21150" s="67" t="s">
        <v>766</v>
      </c>
      <c r="H21150" s="69">
        <v>112.7299357</v>
      </c>
    </row>
    <row r="21151" spans="6:8">
      <c r="F21151" s="68" t="s">
        <v>420</v>
      </c>
      <c r="G21151" s="67" t="s">
        <v>766</v>
      </c>
      <c r="H21151" s="69">
        <v>3.0472779208534195</v>
      </c>
    </row>
    <row r="21152" spans="6:8">
      <c r="F21152" s="68" t="s">
        <v>251</v>
      </c>
      <c r="G21152" s="67" t="s">
        <v>766</v>
      </c>
      <c r="H21152" s="69">
        <v>0.17666666666666667</v>
      </c>
    </row>
    <row r="21153" spans="6:8">
      <c r="F21153" s="68" t="s">
        <v>121</v>
      </c>
      <c r="G21153" s="67" t="s">
        <v>766</v>
      </c>
      <c r="H21153" s="69">
        <v>-0.67999999999999994</v>
      </c>
    </row>
    <row r="21154" spans="6:8">
      <c r="F21154" s="68" t="s">
        <v>120</v>
      </c>
      <c r="G21154" s="67" t="s">
        <v>766</v>
      </c>
      <c r="H21154" s="69">
        <v>-0.79500000000000004</v>
      </c>
    </row>
    <row r="21155" spans="6:8">
      <c r="F21155" s="68" t="s">
        <v>119</v>
      </c>
      <c r="G21155" s="67" t="s">
        <v>766</v>
      </c>
      <c r="H21155" s="69">
        <v>-0.93500000000000005</v>
      </c>
    </row>
    <row r="21156" spans="6:8">
      <c r="F21156" s="68" t="s">
        <v>119</v>
      </c>
      <c r="G21156" s="67" t="s">
        <v>767</v>
      </c>
      <c r="H21156" s="69">
        <v>-0.93500000000000005</v>
      </c>
    </row>
    <row r="21157" spans="6:8">
      <c r="F21157" s="68" t="s">
        <v>120</v>
      </c>
      <c r="G21157" s="67" t="s">
        <v>767</v>
      </c>
      <c r="H21157" s="69">
        <v>-0.79500000000000004</v>
      </c>
    </row>
    <row r="21158" spans="6:8">
      <c r="F21158" s="68" t="s">
        <v>121</v>
      </c>
      <c r="G21158" s="67" t="s">
        <v>767</v>
      </c>
      <c r="H21158" s="69">
        <v>-0.67999999999999994</v>
      </c>
    </row>
    <row r="21159" spans="6:8">
      <c r="F21159" s="68" t="s">
        <v>251</v>
      </c>
      <c r="G21159" s="67" t="s">
        <v>767</v>
      </c>
      <c r="H21159" s="69">
        <v>0.17666666666666667</v>
      </c>
    </row>
    <row r="21160" spans="6:8">
      <c r="F21160" s="68" t="s">
        <v>420</v>
      </c>
      <c r="G21160" s="67" t="s">
        <v>767</v>
      </c>
      <c r="H21160" s="69">
        <v>3.0442418004482441</v>
      </c>
    </row>
    <row r="21161" spans="6:8">
      <c r="F21161" s="68" t="s">
        <v>662</v>
      </c>
      <c r="G21161" s="67" t="s">
        <v>767</v>
      </c>
      <c r="H21161" s="69">
        <v>112.7299357</v>
      </c>
    </row>
    <row r="21162" spans="6:8">
      <c r="F21162" s="68" t="s">
        <v>122</v>
      </c>
      <c r="G21162" s="67" t="s">
        <v>767</v>
      </c>
      <c r="H21162" s="69">
        <v>-0.88500000000000001</v>
      </c>
    </row>
    <row r="21163" spans="6:8">
      <c r="F21163" s="68" t="s">
        <v>123</v>
      </c>
      <c r="G21163" s="67" t="s">
        <v>767</v>
      </c>
      <c r="H21163" s="69">
        <v>-0.98499999999999999</v>
      </c>
    </row>
    <row r="21164" spans="6:8">
      <c r="F21164" s="68" t="s">
        <v>124</v>
      </c>
      <c r="G21164" s="67" t="s">
        <v>767</v>
      </c>
      <c r="H21164" s="69">
        <v>-0.59499999999999997</v>
      </c>
    </row>
    <row r="21165" spans="6:8">
      <c r="F21165" s="68" t="s">
        <v>252</v>
      </c>
      <c r="G21165" s="67" t="s">
        <v>767</v>
      </c>
      <c r="H21165" s="69">
        <v>0.22499999999999998</v>
      </c>
    </row>
    <row r="21166" spans="6:8">
      <c r="F21166" s="68" t="s">
        <v>314</v>
      </c>
      <c r="G21166" s="67" t="s">
        <v>767</v>
      </c>
      <c r="H21166" s="69">
        <v>-0.61</v>
      </c>
    </row>
    <row r="21167" spans="6:8">
      <c r="F21167" s="68" t="s">
        <v>663</v>
      </c>
      <c r="G21167" s="67" t="s">
        <v>767</v>
      </c>
      <c r="H21167" s="69">
        <v>112.7305191</v>
      </c>
    </row>
    <row r="21168" spans="6:8">
      <c r="F21168" s="68" t="s">
        <v>125</v>
      </c>
      <c r="G21168" s="67" t="s">
        <v>767</v>
      </c>
      <c r="H21168" s="69">
        <v>-0.67500000000000004</v>
      </c>
    </row>
    <row r="21169" spans="6:8">
      <c r="F21169" s="68" t="s">
        <v>126</v>
      </c>
      <c r="G21169" s="67" t="s">
        <v>767</v>
      </c>
      <c r="H21169" s="69">
        <v>-0.96</v>
      </c>
    </row>
    <row r="21170" spans="6:8">
      <c r="F21170" s="68" t="s">
        <v>127</v>
      </c>
      <c r="G21170" s="67" t="s">
        <v>767</v>
      </c>
      <c r="H21170" s="69">
        <v>-0.46499999999999997</v>
      </c>
    </row>
    <row r="21171" spans="6:8">
      <c r="F21171" s="68" t="s">
        <v>253</v>
      </c>
      <c r="G21171" s="67" t="s">
        <v>767</v>
      </c>
      <c r="H21171" s="69">
        <v>0.35000000000000003</v>
      </c>
    </row>
    <row r="21172" spans="6:8">
      <c r="F21172" s="68" t="s">
        <v>315</v>
      </c>
      <c r="G21172" s="67" t="s">
        <v>767</v>
      </c>
      <c r="H21172" s="69">
        <v>-0.30499999999999999</v>
      </c>
    </row>
    <row r="21173" spans="6:8">
      <c r="F21173" s="68" t="s">
        <v>664</v>
      </c>
      <c r="G21173" s="67" t="s">
        <v>767</v>
      </c>
      <c r="H21173" s="69">
        <v>112.73034149999999</v>
      </c>
    </row>
    <row r="21174" spans="6:8">
      <c r="F21174" s="68" t="s">
        <v>128</v>
      </c>
      <c r="G21174" s="67" t="s">
        <v>767</v>
      </c>
      <c r="H21174" s="69">
        <v>-0.91999999999999993</v>
      </c>
    </row>
    <row r="21175" spans="6:8">
      <c r="F21175" s="68" t="s">
        <v>129</v>
      </c>
      <c r="G21175" s="67" t="s">
        <v>767</v>
      </c>
      <c r="H21175" s="69">
        <v>-0.745</v>
      </c>
    </row>
    <row r="21176" spans="6:8">
      <c r="F21176" s="68" t="s">
        <v>304</v>
      </c>
      <c r="G21176" s="67" t="s">
        <v>767</v>
      </c>
      <c r="H21176" s="69">
        <v>17.739583333333332</v>
      </c>
    </row>
    <row r="21177" spans="6:8">
      <c r="F21177" s="68" t="s">
        <v>254</v>
      </c>
      <c r="G21177" s="67" t="s">
        <v>767</v>
      </c>
      <c r="H21177" s="69">
        <v>0.49333333333333335</v>
      </c>
    </row>
    <row r="21178" spans="6:8">
      <c r="F21178" s="68" t="s">
        <v>421</v>
      </c>
      <c r="G21178" s="67" t="s">
        <v>767</v>
      </c>
      <c r="H21178" s="69">
        <v>2.0047860781217341</v>
      </c>
    </row>
    <row r="21179" spans="6:8">
      <c r="F21179" s="68" t="s">
        <v>567</v>
      </c>
      <c r="G21179" s="67" t="s">
        <v>767</v>
      </c>
      <c r="H21179" s="69">
        <v>-1.0750000000000002</v>
      </c>
    </row>
    <row r="21180" spans="6:8">
      <c r="F21180" s="68" t="s">
        <v>665</v>
      </c>
      <c r="G21180" s="67" t="s">
        <v>767</v>
      </c>
      <c r="H21180" s="69">
        <v>112.7302888</v>
      </c>
    </row>
    <row r="21181" spans="6:8">
      <c r="F21181" s="68" t="s">
        <v>130</v>
      </c>
      <c r="G21181" s="67" t="s">
        <v>767</v>
      </c>
      <c r="H21181" s="69">
        <v>-1.0750000000000002</v>
      </c>
    </row>
    <row r="21182" spans="6:8">
      <c r="F21182" s="68" t="s">
        <v>131</v>
      </c>
      <c r="G21182" s="67" t="s">
        <v>767</v>
      </c>
      <c r="H21182" s="69">
        <v>-0.61499999999999999</v>
      </c>
    </row>
    <row r="21183" spans="6:8">
      <c r="F21183" s="68" t="s">
        <v>303</v>
      </c>
      <c r="G21183" s="67" t="s">
        <v>767</v>
      </c>
      <c r="H21183" s="69">
        <v>18.010416666666668</v>
      </c>
    </row>
    <row r="21184" spans="6:8">
      <c r="F21184" s="68" t="s">
        <v>255</v>
      </c>
      <c r="G21184" s="67" t="s">
        <v>767</v>
      </c>
      <c r="H21184" s="69">
        <v>0.65333333333333343</v>
      </c>
    </row>
    <row r="21185" spans="6:8">
      <c r="F21185" s="68" t="s">
        <v>422</v>
      </c>
      <c r="G21185" s="67" t="s">
        <v>767</v>
      </c>
      <c r="H21185" s="69">
        <v>2.0104891130743319</v>
      </c>
    </row>
    <row r="21186" spans="6:8">
      <c r="F21186" s="68" t="s">
        <v>568</v>
      </c>
      <c r="G21186" s="67" t="s">
        <v>767</v>
      </c>
      <c r="H21186" s="69">
        <v>-0.61</v>
      </c>
    </row>
    <row r="21187" spans="6:8">
      <c r="F21187" s="68" t="s">
        <v>666</v>
      </c>
      <c r="G21187" s="67" t="s">
        <v>767</v>
      </c>
      <c r="H21187" s="69">
        <v>112.7300852</v>
      </c>
    </row>
    <row r="21188" spans="6:8">
      <c r="F21188" s="68" t="s">
        <v>132</v>
      </c>
      <c r="G21188" s="67" t="s">
        <v>767</v>
      </c>
      <c r="H21188" s="69">
        <v>-1.0049999999999999</v>
      </c>
    </row>
    <row r="21189" spans="6:8">
      <c r="F21189" s="68" t="s">
        <v>133</v>
      </c>
      <c r="G21189" s="67" t="s">
        <v>767</v>
      </c>
      <c r="H21189" s="69">
        <v>-0.66500000000000004</v>
      </c>
    </row>
    <row r="21190" spans="6:8">
      <c r="F21190" s="68" t="s">
        <v>256</v>
      </c>
      <c r="G21190" s="67" t="s">
        <v>767</v>
      </c>
      <c r="H21190" s="69">
        <v>0.76833333333333342</v>
      </c>
    </row>
    <row r="21191" spans="6:8">
      <c r="F21191" s="68" t="s">
        <v>423</v>
      </c>
      <c r="G21191" s="67" t="s">
        <v>767</v>
      </c>
      <c r="H21191" s="69">
        <v>2.2344937318389935</v>
      </c>
    </row>
    <row r="21192" spans="6:8">
      <c r="F21192" s="68" t="s">
        <v>569</v>
      </c>
      <c r="G21192" s="67" t="s">
        <v>767</v>
      </c>
      <c r="H21192" s="69">
        <v>-0.3</v>
      </c>
    </row>
    <row r="21193" spans="6:8">
      <c r="F21193" s="68" t="s">
        <v>667</v>
      </c>
      <c r="G21193" s="67" t="s">
        <v>767</v>
      </c>
      <c r="H21193" s="69">
        <v>112.73051820000001</v>
      </c>
    </row>
    <row r="21194" spans="6:8">
      <c r="F21194" s="68" t="s">
        <v>134</v>
      </c>
      <c r="G21194" s="67" t="s">
        <v>767</v>
      </c>
      <c r="H21194" s="69">
        <v>-0.96</v>
      </c>
    </row>
    <row r="21195" spans="6:8">
      <c r="F21195" s="68" t="s">
        <v>135</v>
      </c>
      <c r="G21195" s="67" t="s">
        <v>767</v>
      </c>
      <c r="H21195" s="69">
        <v>-0.84</v>
      </c>
    </row>
    <row r="21196" spans="6:8">
      <c r="F21196" s="68" t="s">
        <v>257</v>
      </c>
      <c r="G21196" s="67" t="s">
        <v>767</v>
      </c>
      <c r="H21196" s="69">
        <v>0.84199999999999997</v>
      </c>
    </row>
    <row r="21197" spans="6:8">
      <c r="F21197" s="68" t="s">
        <v>258</v>
      </c>
      <c r="G21197" s="67" t="s">
        <v>767</v>
      </c>
      <c r="H21197" s="69">
        <v>0.15</v>
      </c>
    </row>
    <row r="21198" spans="6:8">
      <c r="F21198" s="68" t="s">
        <v>424</v>
      </c>
      <c r="G21198" s="67" t="s">
        <v>767</v>
      </c>
      <c r="H21198" s="69">
        <v>2.708716098964814</v>
      </c>
    </row>
    <row r="21199" spans="6:8">
      <c r="F21199" s="68" t="s">
        <v>668</v>
      </c>
      <c r="G21199" s="67" t="s">
        <v>767</v>
      </c>
      <c r="H21199" s="69">
        <v>112.7301975</v>
      </c>
    </row>
    <row r="21200" spans="6:8">
      <c r="F21200" s="68" t="s">
        <v>136</v>
      </c>
      <c r="G21200" s="67" t="s">
        <v>767</v>
      </c>
      <c r="H21200" s="69">
        <v>-1.0350000000000001</v>
      </c>
    </row>
    <row r="21201" spans="6:8">
      <c r="F21201" s="68" t="s">
        <v>137</v>
      </c>
      <c r="G21201" s="67" t="s">
        <v>767</v>
      </c>
      <c r="H21201" s="69">
        <v>-0.65999999999999992</v>
      </c>
    </row>
    <row r="21202" spans="6:8">
      <c r="F21202" s="68" t="s">
        <v>138</v>
      </c>
      <c r="G21202" s="67" t="s">
        <v>767</v>
      </c>
      <c r="H21202" s="69">
        <v>-0.76</v>
      </c>
    </row>
    <row r="21203" spans="6:8">
      <c r="F21203" s="68" t="s">
        <v>259</v>
      </c>
      <c r="G21203" s="67" t="s">
        <v>767</v>
      </c>
      <c r="H21203" s="69">
        <v>0.14666666666666664</v>
      </c>
    </row>
    <row r="21204" spans="6:8">
      <c r="F21204" s="68" t="s">
        <v>425</v>
      </c>
      <c r="G21204" s="67" t="s">
        <v>767</v>
      </c>
      <c r="H21204" s="69">
        <v>2.6786437279990416</v>
      </c>
    </row>
    <row r="21205" spans="6:8">
      <c r="F21205" s="68" t="s">
        <v>669</v>
      </c>
      <c r="G21205" s="67" t="s">
        <v>767</v>
      </c>
      <c r="H21205" s="69">
        <v>112.7305741</v>
      </c>
    </row>
    <row r="21206" spans="6:8">
      <c r="F21206" s="68" t="s">
        <v>669</v>
      </c>
      <c r="G21206" s="67" t="s">
        <v>768</v>
      </c>
      <c r="H21206" s="69">
        <v>112.7305741</v>
      </c>
    </row>
    <row r="21207" spans="6:8">
      <c r="F21207" s="68" t="s">
        <v>425</v>
      </c>
      <c r="G21207" s="67" t="s">
        <v>768</v>
      </c>
      <c r="H21207" s="69">
        <v>2.6706608503278328</v>
      </c>
    </row>
    <row r="21208" spans="6:8">
      <c r="F21208" s="68" t="s">
        <v>259</v>
      </c>
      <c r="G21208" s="67" t="s">
        <v>768</v>
      </c>
      <c r="H21208" s="69">
        <v>0.14666666666666664</v>
      </c>
    </row>
    <row r="21209" spans="6:8">
      <c r="F21209" s="68" t="s">
        <v>138</v>
      </c>
      <c r="G21209" s="67" t="s">
        <v>768</v>
      </c>
      <c r="H21209" s="69">
        <v>-0.76</v>
      </c>
    </row>
    <row r="21210" spans="6:8">
      <c r="F21210" s="68" t="s">
        <v>137</v>
      </c>
      <c r="G21210" s="67" t="s">
        <v>768</v>
      </c>
      <c r="H21210" s="69">
        <v>-0.65999999999999992</v>
      </c>
    </row>
    <row r="21211" spans="6:8">
      <c r="F21211" s="68" t="s">
        <v>136</v>
      </c>
      <c r="G21211" s="67" t="s">
        <v>768</v>
      </c>
      <c r="H21211" s="69">
        <v>-1.0350000000000001</v>
      </c>
    </row>
    <row r="21212" spans="6:8">
      <c r="F21212" s="68" t="s">
        <v>668</v>
      </c>
      <c r="G21212" s="67" t="s">
        <v>768</v>
      </c>
      <c r="H21212" s="69">
        <v>112.7301975</v>
      </c>
    </row>
    <row r="21213" spans="6:8">
      <c r="F21213" s="68" t="s">
        <v>424</v>
      </c>
      <c r="G21213" s="67" t="s">
        <v>768</v>
      </c>
      <c r="H21213" s="69">
        <v>2.701912224619063</v>
      </c>
    </row>
    <row r="21214" spans="6:8">
      <c r="F21214" s="68" t="s">
        <v>258</v>
      </c>
      <c r="G21214" s="67" t="s">
        <v>768</v>
      </c>
      <c r="H21214" s="69">
        <v>0.15</v>
      </c>
    </row>
    <row r="21215" spans="6:8">
      <c r="F21215" s="68" t="s">
        <v>257</v>
      </c>
      <c r="G21215" s="67" t="s">
        <v>768</v>
      </c>
      <c r="H21215" s="69">
        <v>0.84199999999999997</v>
      </c>
    </row>
    <row r="21216" spans="6:8">
      <c r="F21216" s="68" t="s">
        <v>135</v>
      </c>
      <c r="G21216" s="67" t="s">
        <v>768</v>
      </c>
      <c r="H21216" s="69">
        <v>-0.84</v>
      </c>
    </row>
    <row r="21217" spans="6:8">
      <c r="F21217" s="68" t="s">
        <v>134</v>
      </c>
      <c r="G21217" s="67" t="s">
        <v>768</v>
      </c>
      <c r="H21217" s="69">
        <v>-0.96</v>
      </c>
    </row>
    <row r="21218" spans="6:8">
      <c r="F21218" s="68" t="s">
        <v>667</v>
      </c>
      <c r="G21218" s="67" t="s">
        <v>768</v>
      </c>
      <c r="H21218" s="69">
        <v>112.73051820000001</v>
      </c>
    </row>
    <row r="21219" spans="6:8">
      <c r="F21219" s="68" t="s">
        <v>569</v>
      </c>
      <c r="G21219" s="67" t="s">
        <v>768</v>
      </c>
      <c r="H21219" s="69">
        <v>-0.3</v>
      </c>
    </row>
    <row r="21220" spans="6:8">
      <c r="F21220" s="68" t="s">
        <v>423</v>
      </c>
      <c r="G21220" s="67" t="s">
        <v>768</v>
      </c>
      <c r="H21220" s="69">
        <v>2.2188923438702268</v>
      </c>
    </row>
    <row r="21221" spans="6:8">
      <c r="F21221" s="68" t="s">
        <v>256</v>
      </c>
      <c r="G21221" s="67" t="s">
        <v>768</v>
      </c>
      <c r="H21221" s="69">
        <v>0.76833333333333342</v>
      </c>
    </row>
    <row r="21222" spans="6:8">
      <c r="F21222" s="68" t="s">
        <v>133</v>
      </c>
      <c r="G21222" s="67" t="s">
        <v>768</v>
      </c>
      <c r="H21222" s="69">
        <v>-0.66500000000000004</v>
      </c>
    </row>
    <row r="21223" spans="6:8">
      <c r="F21223" s="68" t="s">
        <v>132</v>
      </c>
      <c r="G21223" s="67" t="s">
        <v>768</v>
      </c>
      <c r="H21223" s="69">
        <v>-1.0049999999999999</v>
      </c>
    </row>
    <row r="21224" spans="6:8">
      <c r="F21224" s="68" t="s">
        <v>666</v>
      </c>
      <c r="G21224" s="67" t="s">
        <v>768</v>
      </c>
      <c r="H21224" s="69">
        <v>112.7300852</v>
      </c>
    </row>
    <row r="21225" spans="6:8">
      <c r="F21225" s="68" t="s">
        <v>568</v>
      </c>
      <c r="G21225" s="67" t="s">
        <v>768</v>
      </c>
      <c r="H21225" s="69">
        <v>-0.61</v>
      </c>
    </row>
    <row r="21226" spans="6:8">
      <c r="F21226" s="68" t="s">
        <v>422</v>
      </c>
      <c r="G21226" s="67" t="s">
        <v>768</v>
      </c>
      <c r="H21226" s="69">
        <v>2.0059072997469674</v>
      </c>
    </row>
    <row r="21227" spans="6:8">
      <c r="F21227" s="68" t="s">
        <v>255</v>
      </c>
      <c r="G21227" s="67" t="s">
        <v>768</v>
      </c>
      <c r="H21227" s="69">
        <v>0.65333333333333343</v>
      </c>
    </row>
    <row r="21228" spans="6:8">
      <c r="F21228" s="68" t="s">
        <v>303</v>
      </c>
      <c r="G21228" s="67" t="s">
        <v>768</v>
      </c>
      <c r="H21228" s="69">
        <v>18.010416666666668</v>
      </c>
    </row>
    <row r="21229" spans="6:8">
      <c r="F21229" s="68" t="s">
        <v>131</v>
      </c>
      <c r="G21229" s="67" t="s">
        <v>768</v>
      </c>
      <c r="H21229" s="69">
        <v>-0.61499999999999999</v>
      </c>
    </row>
    <row r="21230" spans="6:8">
      <c r="F21230" s="68" t="s">
        <v>130</v>
      </c>
      <c r="G21230" s="67" t="s">
        <v>768</v>
      </c>
      <c r="H21230" s="69">
        <v>-1.0750000000000002</v>
      </c>
    </row>
    <row r="21231" spans="6:8">
      <c r="F21231" s="68" t="s">
        <v>665</v>
      </c>
      <c r="G21231" s="67" t="s">
        <v>768</v>
      </c>
      <c r="H21231" s="69">
        <v>112.7302888</v>
      </c>
    </row>
    <row r="21232" spans="6:8">
      <c r="F21232" s="68" t="s">
        <v>567</v>
      </c>
      <c r="G21232" s="67" t="s">
        <v>768</v>
      </c>
      <c r="H21232" s="69">
        <v>-1.0750000000000002</v>
      </c>
    </row>
    <row r="21233" spans="6:8">
      <c r="F21233" s="68" t="s">
        <v>421</v>
      </c>
      <c r="G21233" s="67" t="s">
        <v>768</v>
      </c>
      <c r="H21233" s="69">
        <v>2.0002379085549027</v>
      </c>
    </row>
    <row r="21234" spans="6:8">
      <c r="F21234" s="68" t="s">
        <v>254</v>
      </c>
      <c r="G21234" s="67" t="s">
        <v>768</v>
      </c>
      <c r="H21234" s="69">
        <v>0.49333333333333335</v>
      </c>
    </row>
    <row r="21235" spans="6:8">
      <c r="F21235" s="68" t="s">
        <v>304</v>
      </c>
      <c r="G21235" s="67" t="s">
        <v>768</v>
      </c>
      <c r="H21235" s="69">
        <v>17.739583333333332</v>
      </c>
    </row>
    <row r="21236" spans="6:8">
      <c r="F21236" s="68" t="s">
        <v>129</v>
      </c>
      <c r="G21236" s="67" t="s">
        <v>768</v>
      </c>
      <c r="H21236" s="69">
        <v>-0.745</v>
      </c>
    </row>
    <row r="21237" spans="6:8">
      <c r="F21237" s="68" t="s">
        <v>128</v>
      </c>
      <c r="G21237" s="67" t="s">
        <v>768</v>
      </c>
      <c r="H21237" s="69">
        <v>-0.91999999999999993</v>
      </c>
    </row>
    <row r="21238" spans="6:8">
      <c r="F21238" s="68" t="s">
        <v>664</v>
      </c>
      <c r="G21238" s="67" t="s">
        <v>768</v>
      </c>
      <c r="H21238" s="69">
        <v>112.73034149999999</v>
      </c>
    </row>
    <row r="21239" spans="6:8">
      <c r="F21239" s="68" t="s">
        <v>315</v>
      </c>
      <c r="G21239" s="67" t="s">
        <v>768</v>
      </c>
      <c r="H21239" s="69">
        <v>-0.30499999999999999</v>
      </c>
    </row>
    <row r="21240" spans="6:8">
      <c r="F21240" s="68" t="s">
        <v>253</v>
      </c>
      <c r="G21240" s="67" t="s">
        <v>768</v>
      </c>
      <c r="H21240" s="69">
        <v>0.35000000000000003</v>
      </c>
    </row>
    <row r="21241" spans="6:8">
      <c r="F21241" s="68" t="s">
        <v>127</v>
      </c>
      <c r="G21241" s="67" t="s">
        <v>768</v>
      </c>
      <c r="H21241" s="69">
        <v>-0.46499999999999997</v>
      </c>
    </row>
    <row r="21242" spans="6:8">
      <c r="F21242" s="68" t="s">
        <v>126</v>
      </c>
      <c r="G21242" s="67" t="s">
        <v>768</v>
      </c>
      <c r="H21242" s="69">
        <v>-0.96</v>
      </c>
    </row>
    <row r="21243" spans="6:8">
      <c r="F21243" s="68" t="s">
        <v>125</v>
      </c>
      <c r="G21243" s="67" t="s">
        <v>768</v>
      </c>
      <c r="H21243" s="69">
        <v>-0.67500000000000004</v>
      </c>
    </row>
    <row r="21244" spans="6:8">
      <c r="F21244" s="68" t="s">
        <v>663</v>
      </c>
      <c r="G21244" s="67" t="s">
        <v>768</v>
      </c>
      <c r="H21244" s="69">
        <v>112.7305191</v>
      </c>
    </row>
    <row r="21245" spans="6:8">
      <c r="F21245" s="68" t="s">
        <v>314</v>
      </c>
      <c r="G21245" s="67" t="s">
        <v>768</v>
      </c>
      <c r="H21245" s="69">
        <v>-0.61</v>
      </c>
    </row>
    <row r="21246" spans="6:8">
      <c r="F21246" s="68" t="s">
        <v>252</v>
      </c>
      <c r="G21246" s="67" t="s">
        <v>768</v>
      </c>
      <c r="H21246" s="69">
        <v>0.22499999999999998</v>
      </c>
    </row>
    <row r="21247" spans="6:8">
      <c r="F21247" s="68" t="s">
        <v>124</v>
      </c>
      <c r="G21247" s="67" t="s">
        <v>768</v>
      </c>
      <c r="H21247" s="69">
        <v>-0.59499999999999997</v>
      </c>
    </row>
    <row r="21248" spans="6:8">
      <c r="F21248" s="68" t="s">
        <v>123</v>
      </c>
      <c r="G21248" s="67" t="s">
        <v>768</v>
      </c>
      <c r="H21248" s="69">
        <v>-0.98499999999999999</v>
      </c>
    </row>
    <row r="21249" spans="6:8">
      <c r="F21249" s="68" t="s">
        <v>122</v>
      </c>
      <c r="G21249" s="67" t="s">
        <v>768</v>
      </c>
      <c r="H21249" s="69">
        <v>-0.88500000000000001</v>
      </c>
    </row>
    <row r="21250" spans="6:8">
      <c r="F21250" s="68" t="s">
        <v>662</v>
      </c>
      <c r="G21250" s="67" t="s">
        <v>768</v>
      </c>
      <c r="H21250" s="69">
        <v>112.7299357</v>
      </c>
    </row>
    <row r="21251" spans="6:8">
      <c r="F21251" s="68" t="s">
        <v>420</v>
      </c>
      <c r="G21251" s="67" t="s">
        <v>768</v>
      </c>
      <c r="H21251" s="69">
        <v>3.0444494977278413</v>
      </c>
    </row>
    <row r="21252" spans="6:8">
      <c r="F21252" s="68" t="s">
        <v>251</v>
      </c>
      <c r="G21252" s="67" t="s">
        <v>768</v>
      </c>
      <c r="H21252" s="69">
        <v>0.17666666666666667</v>
      </c>
    </row>
    <row r="21253" spans="6:8">
      <c r="F21253" s="68" t="s">
        <v>121</v>
      </c>
      <c r="G21253" s="67" t="s">
        <v>768</v>
      </c>
      <c r="H21253" s="69">
        <v>-0.67999999999999994</v>
      </c>
    </row>
    <row r="21254" spans="6:8">
      <c r="F21254" s="68" t="s">
        <v>120</v>
      </c>
      <c r="G21254" s="67" t="s">
        <v>768</v>
      </c>
      <c r="H21254" s="69">
        <v>-0.79500000000000004</v>
      </c>
    </row>
    <row r="21255" spans="6:8">
      <c r="F21255" s="68" t="s">
        <v>119</v>
      </c>
      <c r="G21255" s="67" t="s">
        <v>768</v>
      </c>
      <c r="H21255" s="69">
        <v>-0.93500000000000005</v>
      </c>
    </row>
    <row r="21256" spans="6:8">
      <c r="F21256" s="68" t="s">
        <v>119</v>
      </c>
      <c r="G21256" s="67" t="s">
        <v>769</v>
      </c>
      <c r="H21256" s="69">
        <v>-0.93500000000000005</v>
      </c>
    </row>
    <row r="21257" spans="6:8">
      <c r="F21257" s="68" t="s">
        <v>120</v>
      </c>
      <c r="G21257" s="67" t="s">
        <v>769</v>
      </c>
      <c r="H21257" s="69">
        <v>-0.79500000000000004</v>
      </c>
    </row>
    <row r="21258" spans="6:8">
      <c r="F21258" s="68" t="s">
        <v>121</v>
      </c>
      <c r="G21258" s="67" t="s">
        <v>769</v>
      </c>
      <c r="H21258" s="69">
        <v>-0.67999999999999994</v>
      </c>
    </row>
    <row r="21259" spans="6:8">
      <c r="F21259" s="68" t="s">
        <v>251</v>
      </c>
      <c r="G21259" s="67" t="s">
        <v>769</v>
      </c>
      <c r="H21259" s="69">
        <v>0.17666666666666667</v>
      </c>
    </row>
    <row r="21260" spans="6:8">
      <c r="F21260" s="68" t="s">
        <v>420</v>
      </c>
      <c r="G21260" s="67" t="s">
        <v>769</v>
      </c>
      <c r="H21260" s="69">
        <v>3.0520108374471278</v>
      </c>
    </row>
    <row r="21261" spans="6:8">
      <c r="F21261" s="68" t="s">
        <v>662</v>
      </c>
      <c r="G21261" s="67" t="s">
        <v>769</v>
      </c>
      <c r="H21261" s="69">
        <v>112.7299357</v>
      </c>
    </row>
    <row r="21262" spans="6:8">
      <c r="F21262" s="68" t="s">
        <v>122</v>
      </c>
      <c r="G21262" s="67" t="s">
        <v>769</v>
      </c>
      <c r="H21262" s="69">
        <v>-0.88500000000000001</v>
      </c>
    </row>
    <row r="21263" spans="6:8">
      <c r="F21263" s="68" t="s">
        <v>123</v>
      </c>
      <c r="G21263" s="67" t="s">
        <v>769</v>
      </c>
      <c r="H21263" s="69">
        <v>-0.98499999999999999</v>
      </c>
    </row>
    <row r="21264" spans="6:8">
      <c r="F21264" s="68" t="s">
        <v>124</v>
      </c>
      <c r="G21264" s="67" t="s">
        <v>769</v>
      </c>
      <c r="H21264" s="69">
        <v>-0.59499999999999997</v>
      </c>
    </row>
    <row r="21265" spans="6:8">
      <c r="F21265" s="68" t="s">
        <v>252</v>
      </c>
      <c r="G21265" s="67" t="s">
        <v>769</v>
      </c>
      <c r="H21265" s="69">
        <v>0.22499999999999998</v>
      </c>
    </row>
    <row r="21266" spans="6:8">
      <c r="F21266" s="68" t="s">
        <v>314</v>
      </c>
      <c r="G21266" s="67" t="s">
        <v>769</v>
      </c>
      <c r="H21266" s="69">
        <v>-0.61</v>
      </c>
    </row>
    <row r="21267" spans="6:8">
      <c r="F21267" s="68" t="s">
        <v>663</v>
      </c>
      <c r="G21267" s="67" t="s">
        <v>769</v>
      </c>
      <c r="H21267" s="69">
        <v>112.7305191</v>
      </c>
    </row>
    <row r="21268" spans="6:8">
      <c r="F21268" s="68" t="s">
        <v>125</v>
      </c>
      <c r="G21268" s="67" t="s">
        <v>769</v>
      </c>
      <c r="H21268" s="69">
        <v>-0.67500000000000004</v>
      </c>
    </row>
    <row r="21269" spans="6:8">
      <c r="F21269" s="68" t="s">
        <v>126</v>
      </c>
      <c r="G21269" s="67" t="s">
        <v>769</v>
      </c>
      <c r="H21269" s="69">
        <v>-0.96</v>
      </c>
    </row>
    <row r="21270" spans="6:8">
      <c r="F21270" s="68" t="s">
        <v>127</v>
      </c>
      <c r="G21270" s="67" t="s">
        <v>769</v>
      </c>
      <c r="H21270" s="69">
        <v>-0.46499999999999997</v>
      </c>
    </row>
    <row r="21271" spans="6:8">
      <c r="F21271" s="68" t="s">
        <v>253</v>
      </c>
      <c r="G21271" s="67" t="s">
        <v>769</v>
      </c>
      <c r="H21271" s="69">
        <v>0.35000000000000003</v>
      </c>
    </row>
    <row r="21272" spans="6:8">
      <c r="F21272" s="68" t="s">
        <v>315</v>
      </c>
      <c r="G21272" s="67" t="s">
        <v>769</v>
      </c>
      <c r="H21272" s="69">
        <v>-0.30499999999999999</v>
      </c>
    </row>
    <row r="21273" spans="6:8">
      <c r="F21273" s="68" t="s">
        <v>664</v>
      </c>
      <c r="G21273" s="67" t="s">
        <v>769</v>
      </c>
      <c r="H21273" s="69">
        <v>112.73034149999999</v>
      </c>
    </row>
    <row r="21274" spans="6:8">
      <c r="F21274" s="68" t="s">
        <v>128</v>
      </c>
      <c r="G21274" s="67" t="s">
        <v>769</v>
      </c>
      <c r="H21274" s="69">
        <v>-0.91999999999999993</v>
      </c>
    </row>
    <row r="21275" spans="6:8">
      <c r="F21275" s="68" t="s">
        <v>129</v>
      </c>
      <c r="G21275" s="67" t="s">
        <v>769</v>
      </c>
      <c r="H21275" s="69">
        <v>-0.745</v>
      </c>
    </row>
    <row r="21276" spans="6:8">
      <c r="F21276" s="68" t="s">
        <v>304</v>
      </c>
      <c r="G21276" s="67" t="s">
        <v>769</v>
      </c>
      <c r="H21276" s="69">
        <v>17.71875</v>
      </c>
    </row>
    <row r="21277" spans="6:8">
      <c r="F21277" s="68" t="s">
        <v>254</v>
      </c>
      <c r="G21277" s="67" t="s">
        <v>769</v>
      </c>
      <c r="H21277" s="69">
        <v>0.49333333333333335</v>
      </c>
    </row>
    <row r="21278" spans="6:8">
      <c r="F21278" s="68" t="s">
        <v>421</v>
      </c>
      <c r="G21278" s="67" t="s">
        <v>769</v>
      </c>
      <c r="H21278" s="69">
        <v>2.0225409759672353</v>
      </c>
    </row>
    <row r="21279" spans="6:8">
      <c r="F21279" s="68" t="s">
        <v>567</v>
      </c>
      <c r="G21279" s="67" t="s">
        <v>769</v>
      </c>
      <c r="H21279" s="69">
        <v>-1.0750000000000002</v>
      </c>
    </row>
    <row r="21280" spans="6:8">
      <c r="F21280" s="68" t="s">
        <v>665</v>
      </c>
      <c r="G21280" s="67" t="s">
        <v>769</v>
      </c>
      <c r="H21280" s="69">
        <v>112.7302888</v>
      </c>
    </row>
    <row r="21281" spans="6:8">
      <c r="F21281" s="68" t="s">
        <v>130</v>
      </c>
      <c r="G21281" s="67" t="s">
        <v>769</v>
      </c>
      <c r="H21281" s="69">
        <v>-1.0750000000000002</v>
      </c>
    </row>
    <row r="21282" spans="6:8">
      <c r="F21282" s="68" t="s">
        <v>131</v>
      </c>
      <c r="G21282" s="67" t="s">
        <v>769</v>
      </c>
      <c r="H21282" s="69">
        <v>-0.61499999999999999</v>
      </c>
    </row>
    <row r="21283" spans="6:8">
      <c r="F21283" s="68" t="s">
        <v>303</v>
      </c>
      <c r="G21283" s="67" t="s">
        <v>769</v>
      </c>
      <c r="H21283" s="69">
        <v>17.989583333333332</v>
      </c>
    </row>
    <row r="21284" spans="6:8">
      <c r="F21284" s="68" t="s">
        <v>255</v>
      </c>
      <c r="G21284" s="67" t="s">
        <v>769</v>
      </c>
      <c r="H21284" s="69">
        <v>0.65333333333333343</v>
      </c>
    </row>
    <row r="21285" spans="6:8">
      <c r="F21285" s="68" t="s">
        <v>422</v>
      </c>
      <c r="G21285" s="67" t="s">
        <v>769</v>
      </c>
      <c r="H21285" s="69">
        <v>2.0281641586827437</v>
      </c>
    </row>
    <row r="21286" spans="6:8">
      <c r="F21286" s="68" t="s">
        <v>568</v>
      </c>
      <c r="G21286" s="67" t="s">
        <v>769</v>
      </c>
      <c r="H21286" s="69">
        <v>-0.61</v>
      </c>
    </row>
    <row r="21287" spans="6:8">
      <c r="F21287" s="68" t="s">
        <v>666</v>
      </c>
      <c r="G21287" s="67" t="s">
        <v>769</v>
      </c>
      <c r="H21287" s="69">
        <v>112.7300852</v>
      </c>
    </row>
    <row r="21288" spans="6:8">
      <c r="F21288" s="68" t="s">
        <v>132</v>
      </c>
      <c r="G21288" s="67" t="s">
        <v>769</v>
      </c>
      <c r="H21288" s="69">
        <v>-1.0049999999999999</v>
      </c>
    </row>
    <row r="21289" spans="6:8">
      <c r="F21289" s="68" t="s">
        <v>133</v>
      </c>
      <c r="G21289" s="67" t="s">
        <v>769</v>
      </c>
      <c r="H21289" s="69">
        <v>-0.66500000000000004</v>
      </c>
    </row>
    <row r="21290" spans="6:8">
      <c r="F21290" s="68" t="s">
        <v>256</v>
      </c>
      <c r="G21290" s="67" t="s">
        <v>769</v>
      </c>
      <c r="H21290" s="69">
        <v>0.76833333333333342</v>
      </c>
    </row>
    <row r="21291" spans="6:8">
      <c r="F21291" s="68" t="s">
        <v>423</v>
      </c>
      <c r="G21291" s="67" t="s">
        <v>769</v>
      </c>
      <c r="H21291" s="69">
        <v>2.2362627059031581</v>
      </c>
    </row>
    <row r="21292" spans="6:8">
      <c r="F21292" s="68" t="s">
        <v>569</v>
      </c>
      <c r="G21292" s="67" t="s">
        <v>769</v>
      </c>
      <c r="H21292" s="69">
        <v>-0.3</v>
      </c>
    </row>
    <row r="21293" spans="6:8">
      <c r="F21293" s="68" t="s">
        <v>667</v>
      </c>
      <c r="G21293" s="67" t="s">
        <v>769</v>
      </c>
      <c r="H21293" s="69">
        <v>112.73051820000001</v>
      </c>
    </row>
    <row r="21294" spans="6:8">
      <c r="F21294" s="68" t="s">
        <v>134</v>
      </c>
      <c r="G21294" s="67" t="s">
        <v>769</v>
      </c>
      <c r="H21294" s="69">
        <v>-0.96</v>
      </c>
    </row>
    <row r="21295" spans="6:8">
      <c r="F21295" s="68" t="s">
        <v>135</v>
      </c>
      <c r="G21295" s="67" t="s">
        <v>769</v>
      </c>
      <c r="H21295" s="69">
        <v>-0.84</v>
      </c>
    </row>
    <row r="21296" spans="6:8">
      <c r="F21296" s="68" t="s">
        <v>257</v>
      </c>
      <c r="G21296" s="67" t="s">
        <v>769</v>
      </c>
      <c r="H21296" s="69">
        <v>0.84199999999999997</v>
      </c>
    </row>
    <row r="21297" spans="6:8">
      <c r="F21297" s="68" t="s">
        <v>258</v>
      </c>
      <c r="G21297" s="67" t="s">
        <v>769</v>
      </c>
      <c r="H21297" s="69">
        <v>0.15</v>
      </c>
    </row>
    <row r="21298" spans="6:8">
      <c r="F21298" s="68" t="s">
        <v>424</v>
      </c>
      <c r="G21298" s="67" t="s">
        <v>769</v>
      </c>
      <c r="H21298" s="69">
        <v>2.7029113210449207</v>
      </c>
    </row>
    <row r="21299" spans="6:8">
      <c r="F21299" s="68" t="s">
        <v>668</v>
      </c>
      <c r="G21299" s="67" t="s">
        <v>769</v>
      </c>
      <c r="H21299" s="69">
        <v>112.7301975</v>
      </c>
    </row>
    <row r="21300" spans="6:8">
      <c r="F21300" s="68" t="s">
        <v>136</v>
      </c>
      <c r="G21300" s="67" t="s">
        <v>769</v>
      </c>
      <c r="H21300" s="69">
        <v>-1.0350000000000001</v>
      </c>
    </row>
    <row r="21301" spans="6:8">
      <c r="F21301" s="68" t="s">
        <v>137</v>
      </c>
      <c r="G21301" s="67" t="s">
        <v>769</v>
      </c>
      <c r="H21301" s="69">
        <v>-0.65999999999999992</v>
      </c>
    </row>
    <row r="21302" spans="6:8">
      <c r="F21302" s="68" t="s">
        <v>138</v>
      </c>
      <c r="G21302" s="67" t="s">
        <v>769</v>
      </c>
      <c r="H21302" s="69">
        <v>-0.76</v>
      </c>
    </row>
    <row r="21303" spans="6:8">
      <c r="F21303" s="68" t="s">
        <v>259</v>
      </c>
      <c r="G21303" s="67" t="s">
        <v>769</v>
      </c>
      <c r="H21303" s="69">
        <v>0.14666666666666664</v>
      </c>
    </row>
    <row r="21304" spans="6:8">
      <c r="F21304" s="68" t="s">
        <v>425</v>
      </c>
      <c r="G21304" s="67" t="s">
        <v>769</v>
      </c>
      <c r="H21304" s="69">
        <v>2.6689440442224655</v>
      </c>
    </row>
    <row r="21305" spans="6:8">
      <c r="F21305" s="68" t="s">
        <v>669</v>
      </c>
      <c r="G21305" s="67" t="s">
        <v>769</v>
      </c>
      <c r="H21305" s="69">
        <v>112.7305741</v>
      </c>
    </row>
    <row r="21306" spans="6:8">
      <c r="F21306" s="68" t="s">
        <v>669</v>
      </c>
      <c r="G21306" s="67" t="s">
        <v>770</v>
      </c>
      <c r="H21306" s="69">
        <v>112.7305741</v>
      </c>
    </row>
    <row r="21307" spans="6:8">
      <c r="F21307" s="68" t="s">
        <v>425</v>
      </c>
      <c r="G21307" s="67" t="s">
        <v>770</v>
      </c>
      <c r="H21307" s="69">
        <v>2.6491200334146647</v>
      </c>
    </row>
    <row r="21308" spans="6:8">
      <c r="F21308" s="68" t="s">
        <v>259</v>
      </c>
      <c r="G21308" s="67" t="s">
        <v>770</v>
      </c>
      <c r="H21308" s="69">
        <v>0.14666666666666664</v>
      </c>
    </row>
    <row r="21309" spans="6:8">
      <c r="F21309" s="68" t="s">
        <v>138</v>
      </c>
      <c r="G21309" s="67" t="s">
        <v>770</v>
      </c>
      <c r="H21309" s="69">
        <v>-0.76</v>
      </c>
    </row>
    <row r="21310" spans="6:8">
      <c r="F21310" s="68" t="s">
        <v>137</v>
      </c>
      <c r="G21310" s="67" t="s">
        <v>770</v>
      </c>
      <c r="H21310" s="69">
        <v>-0.65999999999999992</v>
      </c>
    </row>
    <row r="21311" spans="6:8">
      <c r="F21311" s="68" t="s">
        <v>136</v>
      </c>
      <c r="G21311" s="67" t="s">
        <v>770</v>
      </c>
      <c r="H21311" s="69">
        <v>-1.0350000000000001</v>
      </c>
    </row>
    <row r="21312" spans="6:8">
      <c r="F21312" s="68" t="s">
        <v>668</v>
      </c>
      <c r="G21312" s="67" t="s">
        <v>770</v>
      </c>
      <c r="H21312" s="69">
        <v>112.7301975</v>
      </c>
    </row>
    <row r="21313" spans="6:8">
      <c r="F21313" s="68" t="s">
        <v>424</v>
      </c>
      <c r="G21313" s="67" t="s">
        <v>770</v>
      </c>
      <c r="H21313" s="69">
        <v>2.6363918616974402</v>
      </c>
    </row>
    <row r="21314" spans="6:8">
      <c r="F21314" s="68" t="s">
        <v>258</v>
      </c>
      <c r="G21314" s="67" t="s">
        <v>770</v>
      </c>
      <c r="H21314" s="69">
        <v>0.15</v>
      </c>
    </row>
    <row r="21315" spans="6:8">
      <c r="F21315" s="68" t="s">
        <v>257</v>
      </c>
      <c r="G21315" s="67" t="s">
        <v>770</v>
      </c>
      <c r="H21315" s="69">
        <v>0.84199999999999997</v>
      </c>
    </row>
    <row r="21316" spans="6:8">
      <c r="F21316" s="68" t="s">
        <v>135</v>
      </c>
      <c r="G21316" s="67" t="s">
        <v>770</v>
      </c>
      <c r="H21316" s="69">
        <v>-0.84</v>
      </c>
    </row>
    <row r="21317" spans="6:8">
      <c r="F21317" s="68" t="s">
        <v>134</v>
      </c>
      <c r="G21317" s="67" t="s">
        <v>770</v>
      </c>
      <c r="H21317" s="69">
        <v>-0.96</v>
      </c>
    </row>
    <row r="21318" spans="6:8">
      <c r="F21318" s="68" t="s">
        <v>667</v>
      </c>
      <c r="G21318" s="67" t="s">
        <v>770</v>
      </c>
      <c r="H21318" s="69">
        <v>112.73051820000001</v>
      </c>
    </row>
    <row r="21319" spans="6:8">
      <c r="F21319" s="68" t="s">
        <v>569</v>
      </c>
      <c r="G21319" s="67" t="s">
        <v>770</v>
      </c>
      <c r="H21319" s="69">
        <v>-0.3</v>
      </c>
    </row>
    <row r="21320" spans="6:8">
      <c r="F21320" s="68" t="s">
        <v>423</v>
      </c>
      <c r="G21320" s="67" t="s">
        <v>770</v>
      </c>
      <c r="H21320" s="69">
        <v>2.1846619452770888</v>
      </c>
    </row>
    <row r="21321" spans="6:8">
      <c r="F21321" s="68" t="s">
        <v>256</v>
      </c>
      <c r="G21321" s="67" t="s">
        <v>770</v>
      </c>
      <c r="H21321" s="69">
        <v>0.76833333333333342</v>
      </c>
    </row>
    <row r="21322" spans="6:8">
      <c r="F21322" s="68" t="s">
        <v>133</v>
      </c>
      <c r="G21322" s="67" t="s">
        <v>770</v>
      </c>
      <c r="H21322" s="69">
        <v>-0.66500000000000004</v>
      </c>
    </row>
    <row r="21323" spans="6:8">
      <c r="F21323" s="68" t="s">
        <v>132</v>
      </c>
      <c r="G21323" s="67" t="s">
        <v>770</v>
      </c>
      <c r="H21323" s="69">
        <v>-1.0049999999999999</v>
      </c>
    </row>
    <row r="21324" spans="6:8">
      <c r="F21324" s="68" t="s">
        <v>666</v>
      </c>
      <c r="G21324" s="67" t="s">
        <v>770</v>
      </c>
      <c r="H21324" s="69">
        <v>112.7300852</v>
      </c>
    </row>
    <row r="21325" spans="6:8">
      <c r="F21325" s="68" t="s">
        <v>568</v>
      </c>
      <c r="G21325" s="67" t="s">
        <v>770</v>
      </c>
      <c r="H21325" s="69">
        <v>-0.61</v>
      </c>
    </row>
    <row r="21326" spans="6:8">
      <c r="F21326" s="68" t="s">
        <v>422</v>
      </c>
      <c r="G21326" s="67" t="s">
        <v>770</v>
      </c>
      <c r="H21326" s="69">
        <v>1.9620885229797214</v>
      </c>
    </row>
    <row r="21327" spans="6:8">
      <c r="F21327" s="68" t="s">
        <v>255</v>
      </c>
      <c r="G21327" s="67" t="s">
        <v>770</v>
      </c>
      <c r="H21327" s="69">
        <v>0.65333333333333343</v>
      </c>
    </row>
    <row r="21328" spans="6:8">
      <c r="F21328" s="68" t="s">
        <v>303</v>
      </c>
      <c r="G21328" s="67" t="s">
        <v>770</v>
      </c>
      <c r="H21328" s="69">
        <v>18.03125</v>
      </c>
    </row>
    <row r="21329" spans="6:8">
      <c r="F21329" s="68" t="s">
        <v>131</v>
      </c>
      <c r="G21329" s="67" t="s">
        <v>770</v>
      </c>
      <c r="H21329" s="69">
        <v>-0.61499999999999999</v>
      </c>
    </row>
    <row r="21330" spans="6:8">
      <c r="F21330" s="68" t="s">
        <v>130</v>
      </c>
      <c r="G21330" s="67" t="s">
        <v>770</v>
      </c>
      <c r="H21330" s="69">
        <v>-1.0750000000000002</v>
      </c>
    </row>
    <row r="21331" spans="6:8">
      <c r="F21331" s="68" t="s">
        <v>665</v>
      </c>
      <c r="G21331" s="67" t="s">
        <v>770</v>
      </c>
      <c r="H21331" s="69">
        <v>112.7302888</v>
      </c>
    </row>
    <row r="21332" spans="6:8">
      <c r="F21332" s="68" t="s">
        <v>567</v>
      </c>
      <c r="G21332" s="67" t="s">
        <v>770</v>
      </c>
      <c r="H21332" s="69">
        <v>-1.0750000000000002</v>
      </c>
    </row>
    <row r="21333" spans="6:8">
      <c r="F21333" s="68" t="s">
        <v>421</v>
      </c>
      <c r="G21333" s="67" t="s">
        <v>770</v>
      </c>
      <c r="H21333" s="69">
        <v>1.9565213164201456</v>
      </c>
    </row>
    <row r="21334" spans="6:8">
      <c r="F21334" s="68" t="s">
        <v>254</v>
      </c>
      <c r="G21334" s="67" t="s">
        <v>770</v>
      </c>
      <c r="H21334" s="69">
        <v>0.49333333333333335</v>
      </c>
    </row>
    <row r="21335" spans="6:8">
      <c r="F21335" s="68" t="s">
        <v>304</v>
      </c>
      <c r="G21335" s="67" t="s">
        <v>770</v>
      </c>
      <c r="H21335" s="69">
        <v>17.875</v>
      </c>
    </row>
    <row r="21336" spans="6:8">
      <c r="F21336" s="68" t="s">
        <v>129</v>
      </c>
      <c r="G21336" s="67" t="s">
        <v>770</v>
      </c>
      <c r="H21336" s="69">
        <v>-0.745</v>
      </c>
    </row>
    <row r="21337" spans="6:8">
      <c r="F21337" s="68" t="s">
        <v>128</v>
      </c>
      <c r="G21337" s="67" t="s">
        <v>770</v>
      </c>
      <c r="H21337" s="69">
        <v>-0.91999999999999993</v>
      </c>
    </row>
    <row r="21338" spans="6:8">
      <c r="F21338" s="68" t="s">
        <v>664</v>
      </c>
      <c r="G21338" s="67" t="s">
        <v>770</v>
      </c>
      <c r="H21338" s="69">
        <v>112.73034149999999</v>
      </c>
    </row>
    <row r="21339" spans="6:8">
      <c r="F21339" s="68" t="s">
        <v>315</v>
      </c>
      <c r="G21339" s="67" t="s">
        <v>770</v>
      </c>
      <c r="H21339" s="69">
        <v>-0.30499999999999999</v>
      </c>
    </row>
    <row r="21340" spans="6:8">
      <c r="F21340" s="68" t="s">
        <v>253</v>
      </c>
      <c r="G21340" s="67" t="s">
        <v>770</v>
      </c>
      <c r="H21340" s="69">
        <v>0.35000000000000003</v>
      </c>
    </row>
    <row r="21341" spans="6:8">
      <c r="F21341" s="68" t="s">
        <v>127</v>
      </c>
      <c r="G21341" s="67" t="s">
        <v>770</v>
      </c>
      <c r="H21341" s="69">
        <v>-0.46499999999999997</v>
      </c>
    </row>
    <row r="21342" spans="6:8">
      <c r="F21342" s="68" t="s">
        <v>126</v>
      </c>
      <c r="G21342" s="67" t="s">
        <v>770</v>
      </c>
      <c r="H21342" s="69">
        <v>-0.96</v>
      </c>
    </row>
    <row r="21343" spans="6:8">
      <c r="F21343" s="68" t="s">
        <v>125</v>
      </c>
      <c r="G21343" s="67" t="s">
        <v>770</v>
      </c>
      <c r="H21343" s="69">
        <v>-0.67500000000000004</v>
      </c>
    </row>
    <row r="21344" spans="6:8">
      <c r="F21344" s="68" t="s">
        <v>663</v>
      </c>
      <c r="G21344" s="67" t="s">
        <v>770</v>
      </c>
      <c r="H21344" s="69">
        <v>112.7305191</v>
      </c>
    </row>
    <row r="21345" spans="6:8">
      <c r="F21345" s="68" t="s">
        <v>314</v>
      </c>
      <c r="G21345" s="67" t="s">
        <v>770</v>
      </c>
      <c r="H21345" s="69">
        <v>-0.61</v>
      </c>
    </row>
    <row r="21346" spans="6:8">
      <c r="F21346" s="68" t="s">
        <v>252</v>
      </c>
      <c r="G21346" s="67" t="s">
        <v>770</v>
      </c>
      <c r="H21346" s="69">
        <v>0.22499999999999998</v>
      </c>
    </row>
    <row r="21347" spans="6:8">
      <c r="F21347" s="68" t="s">
        <v>124</v>
      </c>
      <c r="G21347" s="67" t="s">
        <v>770</v>
      </c>
      <c r="H21347" s="69">
        <v>-0.59499999999999997</v>
      </c>
    </row>
    <row r="21348" spans="6:8">
      <c r="F21348" s="68" t="s">
        <v>123</v>
      </c>
      <c r="G21348" s="67" t="s">
        <v>770</v>
      </c>
      <c r="H21348" s="69">
        <v>-0.98499999999999999</v>
      </c>
    </row>
    <row r="21349" spans="6:8">
      <c r="F21349" s="68" t="s">
        <v>122</v>
      </c>
      <c r="G21349" s="67" t="s">
        <v>770</v>
      </c>
      <c r="H21349" s="69">
        <v>-0.88500000000000001</v>
      </c>
    </row>
    <row r="21350" spans="6:8">
      <c r="F21350" s="68" t="s">
        <v>662</v>
      </c>
      <c r="G21350" s="67" t="s">
        <v>770</v>
      </c>
      <c r="H21350" s="69">
        <v>112.7299357</v>
      </c>
    </row>
    <row r="21351" spans="6:8">
      <c r="F21351" s="68" t="s">
        <v>420</v>
      </c>
      <c r="G21351" s="67" t="s">
        <v>770</v>
      </c>
      <c r="H21351" s="69">
        <v>3.0002306425587655</v>
      </c>
    </row>
    <row r="21352" spans="6:8">
      <c r="F21352" s="68" t="s">
        <v>251</v>
      </c>
      <c r="G21352" s="67" t="s">
        <v>770</v>
      </c>
      <c r="H21352" s="69">
        <v>0.17666666666666667</v>
      </c>
    </row>
    <row r="21353" spans="6:8">
      <c r="F21353" s="68" t="s">
        <v>121</v>
      </c>
      <c r="G21353" s="67" t="s">
        <v>770</v>
      </c>
      <c r="H21353" s="69">
        <v>-0.67999999999999994</v>
      </c>
    </row>
    <row r="21354" spans="6:8">
      <c r="F21354" s="68" t="s">
        <v>120</v>
      </c>
      <c r="G21354" s="67" t="s">
        <v>770</v>
      </c>
      <c r="H21354" s="69">
        <v>-0.79500000000000004</v>
      </c>
    </row>
    <row r="21355" spans="6:8">
      <c r="F21355" s="68" t="s">
        <v>119</v>
      </c>
      <c r="G21355" s="67" t="s">
        <v>770</v>
      </c>
      <c r="H21355" s="69">
        <v>-0.93500000000000005</v>
      </c>
    </row>
    <row r="21356" spans="6:8">
      <c r="F21356" s="68" t="s">
        <v>662</v>
      </c>
      <c r="G21356" s="67" t="s">
        <v>771</v>
      </c>
      <c r="H21356" s="69">
        <v>112.7299357</v>
      </c>
    </row>
    <row r="21357" spans="6:8">
      <c r="F21357" s="68" t="s">
        <v>663</v>
      </c>
      <c r="G21357" s="67" t="s">
        <v>771</v>
      </c>
      <c r="H21357" s="69">
        <v>112.7305191</v>
      </c>
    </row>
    <row r="21358" spans="6:8">
      <c r="F21358" s="68" t="s">
        <v>664</v>
      </c>
      <c r="G21358" s="67" t="s">
        <v>771</v>
      </c>
      <c r="H21358" s="69">
        <v>112.73034149999999</v>
      </c>
    </row>
    <row r="21359" spans="6:8">
      <c r="F21359" s="68" t="s">
        <v>665</v>
      </c>
      <c r="G21359" s="67" t="s">
        <v>771</v>
      </c>
      <c r="H21359" s="69">
        <v>112.7302888</v>
      </c>
    </row>
    <row r="21360" spans="6:8">
      <c r="F21360" s="68" t="s">
        <v>666</v>
      </c>
      <c r="G21360" s="67" t="s">
        <v>771</v>
      </c>
      <c r="H21360" s="69">
        <v>112.7300852</v>
      </c>
    </row>
    <row r="21361" spans="6:8">
      <c r="F21361" s="68" t="s">
        <v>667</v>
      </c>
      <c r="G21361" s="67" t="s">
        <v>771</v>
      </c>
      <c r="H21361" s="69">
        <v>112.73051820000001</v>
      </c>
    </row>
    <row r="21362" spans="6:8">
      <c r="F21362" s="68" t="s">
        <v>668</v>
      </c>
      <c r="G21362" s="67" t="s">
        <v>771</v>
      </c>
      <c r="H21362" s="69">
        <v>112.7301975</v>
      </c>
    </row>
    <row r="21363" spans="6:8">
      <c r="F21363" s="68" t="s">
        <v>669</v>
      </c>
      <c r="G21363" s="67" t="s">
        <v>771</v>
      </c>
      <c r="H21363" s="69">
        <v>112.7305741</v>
      </c>
    </row>
    <row r="21364" spans="6:8">
      <c r="F21364" s="68" t="s">
        <v>669</v>
      </c>
      <c r="G21364" s="67" t="s">
        <v>772</v>
      </c>
      <c r="H21364" s="69">
        <v>112.7305741</v>
      </c>
    </row>
    <row r="21365" spans="6:8">
      <c r="F21365" s="68" t="s">
        <v>668</v>
      </c>
      <c r="G21365" s="67" t="s">
        <v>772</v>
      </c>
      <c r="H21365" s="69">
        <v>112.7301975</v>
      </c>
    </row>
    <row r="21366" spans="6:8">
      <c r="F21366" s="68" t="s">
        <v>667</v>
      </c>
      <c r="G21366" s="67" t="s">
        <v>772</v>
      </c>
      <c r="H21366" s="69">
        <v>112.73051820000001</v>
      </c>
    </row>
    <row r="21367" spans="6:8">
      <c r="F21367" s="68" t="s">
        <v>666</v>
      </c>
      <c r="G21367" s="67" t="s">
        <v>772</v>
      </c>
      <c r="H21367" s="69">
        <v>112.7300852</v>
      </c>
    </row>
    <row r="21368" spans="6:8">
      <c r="F21368" s="68" t="s">
        <v>665</v>
      </c>
      <c r="G21368" s="67" t="s">
        <v>772</v>
      </c>
      <c r="H21368" s="69">
        <v>112.7302888</v>
      </c>
    </row>
    <row r="21369" spans="6:8">
      <c r="F21369" s="68" t="s">
        <v>664</v>
      </c>
      <c r="G21369" s="67" t="s">
        <v>772</v>
      </c>
      <c r="H21369" s="69">
        <v>112.73034149999999</v>
      </c>
    </row>
    <row r="21370" spans="6:8">
      <c r="F21370" s="68" t="s">
        <v>663</v>
      </c>
      <c r="G21370" s="67" t="s">
        <v>772</v>
      </c>
      <c r="H21370" s="69">
        <v>112.7305191</v>
      </c>
    </row>
    <row r="21371" spans="6:8">
      <c r="F21371" s="68" t="s">
        <v>662</v>
      </c>
      <c r="G21371" s="67" t="s">
        <v>772</v>
      </c>
      <c r="H21371" s="69">
        <v>112.7299357</v>
      </c>
    </row>
    <row r="21372" spans="6:8">
      <c r="F21372" s="68" t="s">
        <v>662</v>
      </c>
      <c r="G21372" s="67" t="s">
        <v>773</v>
      </c>
      <c r="H21372" s="69">
        <v>112.7299357</v>
      </c>
    </row>
    <row r="21373" spans="6:8">
      <c r="F21373" s="68" t="s">
        <v>420</v>
      </c>
      <c r="G21373" s="67" t="s">
        <v>773</v>
      </c>
      <c r="H21373" s="69">
        <v>3.0363528589502753</v>
      </c>
    </row>
    <row r="21374" spans="6:8">
      <c r="F21374" s="68" t="s">
        <v>119</v>
      </c>
      <c r="G21374" s="67" t="s">
        <v>773</v>
      </c>
      <c r="H21374" s="69">
        <v>-0.88500000000000001</v>
      </c>
    </row>
    <row r="21375" spans="6:8">
      <c r="F21375" s="68" t="s">
        <v>120</v>
      </c>
      <c r="G21375" s="67" t="s">
        <v>773</v>
      </c>
      <c r="H21375" s="69">
        <v>-0.78500000000000003</v>
      </c>
    </row>
    <row r="21376" spans="6:8">
      <c r="F21376" s="68" t="s">
        <v>121</v>
      </c>
      <c r="G21376" s="67" t="s">
        <v>773</v>
      </c>
      <c r="H21376" s="69">
        <v>-0.67999999999999994</v>
      </c>
    </row>
    <row r="21377" spans="6:8">
      <c r="F21377" s="68" t="s">
        <v>251</v>
      </c>
      <c r="G21377" s="67" t="s">
        <v>773</v>
      </c>
      <c r="H21377" s="69">
        <v>0.1</v>
      </c>
    </row>
    <row r="21378" spans="6:8">
      <c r="F21378" s="68" t="s">
        <v>663</v>
      </c>
      <c r="G21378" s="67" t="s">
        <v>773</v>
      </c>
      <c r="H21378" s="69">
        <v>112.7305191</v>
      </c>
    </row>
    <row r="21379" spans="6:8">
      <c r="F21379" s="68" t="s">
        <v>314</v>
      </c>
      <c r="G21379" s="67" t="s">
        <v>773</v>
      </c>
      <c r="H21379" s="69">
        <v>-0.56000000000000005</v>
      </c>
    </row>
    <row r="21380" spans="6:8">
      <c r="F21380" s="68" t="s">
        <v>122</v>
      </c>
      <c r="G21380" s="67" t="s">
        <v>773</v>
      </c>
      <c r="H21380" s="69">
        <v>-0.85499999999999998</v>
      </c>
    </row>
    <row r="21381" spans="6:8">
      <c r="F21381" s="68" t="s">
        <v>123</v>
      </c>
      <c r="G21381" s="67" t="s">
        <v>773</v>
      </c>
      <c r="H21381" s="69">
        <v>-0.97499999999999998</v>
      </c>
    </row>
    <row r="21382" spans="6:8">
      <c r="F21382" s="68" t="s">
        <v>124</v>
      </c>
      <c r="G21382" s="67" t="s">
        <v>773</v>
      </c>
      <c r="H21382" s="69">
        <v>-0.59499999999999997</v>
      </c>
    </row>
    <row r="21383" spans="6:8">
      <c r="F21383" s="68" t="s">
        <v>252</v>
      </c>
      <c r="G21383" s="67" t="s">
        <v>773</v>
      </c>
      <c r="H21383" s="69">
        <v>0.23</v>
      </c>
    </row>
    <row r="21384" spans="6:8">
      <c r="F21384" s="68" t="s">
        <v>664</v>
      </c>
      <c r="G21384" s="67" t="s">
        <v>773</v>
      </c>
      <c r="H21384" s="69">
        <v>112.73034149999999</v>
      </c>
    </row>
    <row r="21385" spans="6:8">
      <c r="F21385" s="68" t="s">
        <v>315</v>
      </c>
      <c r="G21385" s="67" t="s">
        <v>773</v>
      </c>
      <c r="H21385" s="69">
        <v>-0.29000000000000004</v>
      </c>
    </row>
    <row r="21386" spans="6:8">
      <c r="F21386" s="68" t="s">
        <v>125</v>
      </c>
      <c r="G21386" s="67" t="s">
        <v>773</v>
      </c>
      <c r="H21386" s="69">
        <v>-0.625</v>
      </c>
    </row>
    <row r="21387" spans="6:8">
      <c r="F21387" s="68" t="s">
        <v>126</v>
      </c>
      <c r="G21387" s="67" t="s">
        <v>773</v>
      </c>
      <c r="H21387" s="69">
        <v>-0.94500000000000006</v>
      </c>
    </row>
    <row r="21388" spans="6:8">
      <c r="F21388" s="68" t="s">
        <v>127</v>
      </c>
      <c r="G21388" s="67" t="s">
        <v>773</v>
      </c>
      <c r="H21388" s="69">
        <v>-0.46499999999999997</v>
      </c>
    </row>
    <row r="21389" spans="6:8">
      <c r="F21389" s="68" t="s">
        <v>253</v>
      </c>
      <c r="G21389" s="67" t="s">
        <v>773</v>
      </c>
      <c r="H21389" s="69">
        <v>0.31</v>
      </c>
    </row>
    <row r="21390" spans="6:8">
      <c r="F21390" s="68" t="s">
        <v>665</v>
      </c>
      <c r="G21390" s="67" t="s">
        <v>773</v>
      </c>
      <c r="H21390" s="69">
        <v>112.7302888</v>
      </c>
    </row>
    <row r="21391" spans="6:8">
      <c r="F21391" s="68" t="s">
        <v>421</v>
      </c>
      <c r="G21391" s="67" t="s">
        <v>773</v>
      </c>
      <c r="H21391" s="69">
        <v>1.9305175887834647</v>
      </c>
    </row>
    <row r="21392" spans="6:8">
      <c r="F21392" s="68" t="s">
        <v>567</v>
      </c>
      <c r="G21392" s="67" t="s">
        <v>773</v>
      </c>
      <c r="H21392" s="69">
        <v>-1.0350000000000001</v>
      </c>
    </row>
    <row r="21393" spans="6:8">
      <c r="F21393" s="68" t="s">
        <v>128</v>
      </c>
      <c r="G21393" s="67" t="s">
        <v>773</v>
      </c>
      <c r="H21393" s="69">
        <v>-0.9</v>
      </c>
    </row>
    <row r="21394" spans="6:8">
      <c r="F21394" s="68" t="s">
        <v>129</v>
      </c>
      <c r="G21394" s="67" t="s">
        <v>773</v>
      </c>
      <c r="H21394" s="69">
        <v>-0.73499999999999999</v>
      </c>
    </row>
    <row r="21395" spans="6:8">
      <c r="F21395" s="68" t="s">
        <v>304</v>
      </c>
      <c r="G21395" s="67" t="s">
        <v>773</v>
      </c>
      <c r="H21395" s="69">
        <v>17.979166666666668</v>
      </c>
    </row>
    <row r="21396" spans="6:8">
      <c r="F21396" s="68" t="s">
        <v>254</v>
      </c>
      <c r="G21396" s="67" t="s">
        <v>773</v>
      </c>
      <c r="H21396" s="69">
        <v>0.49</v>
      </c>
    </row>
    <row r="21397" spans="6:8">
      <c r="F21397" s="68" t="s">
        <v>666</v>
      </c>
      <c r="G21397" s="67" t="s">
        <v>773</v>
      </c>
      <c r="H21397" s="69">
        <v>112.7300852</v>
      </c>
    </row>
    <row r="21398" spans="6:8">
      <c r="F21398" s="68" t="s">
        <v>422</v>
      </c>
      <c r="G21398" s="67" t="s">
        <v>773</v>
      </c>
      <c r="H21398" s="69">
        <v>1.936268234126004</v>
      </c>
    </row>
    <row r="21399" spans="6:8">
      <c r="F21399" s="68" t="s">
        <v>568</v>
      </c>
      <c r="G21399" s="67" t="s">
        <v>773</v>
      </c>
      <c r="H21399" s="69">
        <v>-0.55500000000000005</v>
      </c>
    </row>
    <row r="21400" spans="6:8">
      <c r="F21400" s="68" t="s">
        <v>130</v>
      </c>
      <c r="G21400" s="67" t="s">
        <v>773</v>
      </c>
      <c r="H21400" s="69">
        <v>-1.05</v>
      </c>
    </row>
    <row r="21401" spans="6:8">
      <c r="F21401" s="68" t="s">
        <v>131</v>
      </c>
      <c r="G21401" s="67" t="s">
        <v>773</v>
      </c>
      <c r="H21401" s="69">
        <v>-0.57000000000000006</v>
      </c>
    </row>
    <row r="21402" spans="6:8">
      <c r="F21402" s="68" t="s">
        <v>303</v>
      </c>
      <c r="G21402" s="67" t="s">
        <v>773</v>
      </c>
      <c r="H21402" s="69">
        <v>18.052083333333332</v>
      </c>
    </row>
    <row r="21403" spans="6:8">
      <c r="F21403" s="68" t="s">
        <v>255</v>
      </c>
      <c r="G21403" s="67" t="s">
        <v>773</v>
      </c>
      <c r="H21403" s="69">
        <v>0.65</v>
      </c>
    </row>
    <row r="21404" spans="6:8">
      <c r="F21404" s="68" t="s">
        <v>667</v>
      </c>
      <c r="G21404" s="67" t="s">
        <v>773</v>
      </c>
      <c r="H21404" s="69">
        <v>112.73051820000001</v>
      </c>
    </row>
    <row r="21405" spans="6:8">
      <c r="F21405" s="68" t="s">
        <v>132</v>
      </c>
      <c r="G21405" s="67" t="s">
        <v>773</v>
      </c>
      <c r="H21405" s="69">
        <v>-0.97500000000000009</v>
      </c>
    </row>
    <row r="21406" spans="6:8">
      <c r="F21406" s="68" t="s">
        <v>133</v>
      </c>
      <c r="G21406" s="67" t="s">
        <v>773</v>
      </c>
      <c r="H21406" s="69">
        <v>-0.63</v>
      </c>
    </row>
    <row r="21407" spans="6:8">
      <c r="F21407" s="68" t="s">
        <v>256</v>
      </c>
      <c r="G21407" s="67" t="s">
        <v>773</v>
      </c>
      <c r="H21407" s="69">
        <v>0.78</v>
      </c>
    </row>
    <row r="21408" spans="6:8">
      <c r="F21408" s="68" t="s">
        <v>423</v>
      </c>
      <c r="G21408" s="67" t="s">
        <v>773</v>
      </c>
      <c r="H21408" s="69">
        <v>2.2188856218350317</v>
      </c>
    </row>
    <row r="21409" spans="6:8">
      <c r="F21409" s="68" t="s">
        <v>569</v>
      </c>
      <c r="G21409" s="67" t="s">
        <v>773</v>
      </c>
      <c r="H21409" s="69">
        <v>-0.28500000000000003</v>
      </c>
    </row>
    <row r="21410" spans="6:8">
      <c r="F21410" s="68" t="s">
        <v>668</v>
      </c>
      <c r="G21410" s="67" t="s">
        <v>773</v>
      </c>
      <c r="H21410" s="69">
        <v>112.7301975</v>
      </c>
    </row>
    <row r="21411" spans="6:8">
      <c r="F21411" s="68" t="s">
        <v>424</v>
      </c>
      <c r="G21411" s="67" t="s">
        <v>773</v>
      </c>
      <c r="H21411" s="69">
        <v>2.6782401856107363</v>
      </c>
    </row>
    <row r="21412" spans="6:8">
      <c r="F21412" s="68" t="s">
        <v>134</v>
      </c>
      <c r="G21412" s="67" t="s">
        <v>773</v>
      </c>
      <c r="H21412" s="69">
        <v>-0.93500000000000005</v>
      </c>
    </row>
    <row r="21413" spans="6:8">
      <c r="F21413" s="68" t="s">
        <v>135</v>
      </c>
      <c r="G21413" s="67" t="s">
        <v>773</v>
      </c>
      <c r="H21413" s="69">
        <v>-0.83000000000000007</v>
      </c>
    </row>
    <row r="21414" spans="6:8">
      <c r="F21414" s="68" t="s">
        <v>257</v>
      </c>
      <c r="G21414" s="67" t="s">
        <v>773</v>
      </c>
      <c r="H21414" s="69">
        <v>0.83</v>
      </c>
    </row>
    <row r="21415" spans="6:8">
      <c r="F21415" s="68" t="s">
        <v>258</v>
      </c>
      <c r="G21415" s="67" t="s">
        <v>773</v>
      </c>
      <c r="H21415" s="69">
        <v>0.15</v>
      </c>
    </row>
    <row r="21416" spans="6:8">
      <c r="F21416" s="68" t="s">
        <v>669</v>
      </c>
      <c r="G21416" s="67" t="s">
        <v>773</v>
      </c>
      <c r="H21416" s="69">
        <v>112.7305741</v>
      </c>
    </row>
    <row r="21417" spans="6:8">
      <c r="F21417" s="68" t="s">
        <v>425</v>
      </c>
      <c r="G21417" s="67" t="s">
        <v>773</v>
      </c>
      <c r="H21417" s="69">
        <v>2.6847538650239144</v>
      </c>
    </row>
    <row r="21418" spans="6:8">
      <c r="F21418" s="68" t="s">
        <v>136</v>
      </c>
      <c r="G21418" s="67" t="s">
        <v>773</v>
      </c>
      <c r="H21418" s="69">
        <v>-0.99</v>
      </c>
    </row>
    <row r="21419" spans="6:8">
      <c r="F21419" s="68" t="s">
        <v>137</v>
      </c>
      <c r="G21419" s="67" t="s">
        <v>773</v>
      </c>
      <c r="H21419" s="69">
        <v>-0.64999999999999991</v>
      </c>
    </row>
    <row r="21420" spans="6:8">
      <c r="F21420" s="68" t="s">
        <v>138</v>
      </c>
      <c r="G21420" s="67" t="s">
        <v>773</v>
      </c>
      <c r="H21420" s="69">
        <v>-0.76</v>
      </c>
    </row>
    <row r="21421" spans="6:8">
      <c r="F21421" s="68" t="s">
        <v>259</v>
      </c>
      <c r="G21421" s="67" t="s">
        <v>773</v>
      </c>
      <c r="H21421" s="69">
        <v>0.1</v>
      </c>
    </row>
    <row r="21422" spans="6:8">
      <c r="F21422" s="68" t="s">
        <v>669</v>
      </c>
      <c r="G21422" s="67" t="s">
        <v>774</v>
      </c>
      <c r="H21422" s="69">
        <v>112.7305741</v>
      </c>
    </row>
    <row r="21423" spans="6:8">
      <c r="F21423" s="68" t="s">
        <v>668</v>
      </c>
      <c r="G21423" s="67" t="s">
        <v>774</v>
      </c>
      <c r="H21423" s="69">
        <v>112.7301975</v>
      </c>
    </row>
    <row r="21424" spans="6:8">
      <c r="F21424" s="68" t="s">
        <v>667</v>
      </c>
      <c r="G21424" s="67" t="s">
        <v>774</v>
      </c>
      <c r="H21424" s="69">
        <v>112.73051820000001</v>
      </c>
    </row>
    <row r="21425" spans="6:8">
      <c r="F21425" s="68" t="s">
        <v>666</v>
      </c>
      <c r="G21425" s="67" t="s">
        <v>774</v>
      </c>
      <c r="H21425" s="69">
        <v>112.7300852</v>
      </c>
    </row>
    <row r="21426" spans="6:8">
      <c r="F21426" s="68" t="s">
        <v>665</v>
      </c>
      <c r="G21426" s="67" t="s">
        <v>774</v>
      </c>
      <c r="H21426" s="69">
        <v>112.7302888</v>
      </c>
    </row>
    <row r="21427" spans="6:8">
      <c r="F21427" s="68" t="s">
        <v>664</v>
      </c>
      <c r="G21427" s="67" t="s">
        <v>774</v>
      </c>
      <c r="H21427" s="69">
        <v>112.73034149999999</v>
      </c>
    </row>
    <row r="21428" spans="6:8">
      <c r="F21428" s="68" t="s">
        <v>663</v>
      </c>
      <c r="G21428" s="67" t="s">
        <v>774</v>
      </c>
      <c r="H21428" s="69">
        <v>112.7305191</v>
      </c>
    </row>
    <row r="21429" spans="6:8">
      <c r="F21429" s="68" t="s">
        <v>662</v>
      </c>
      <c r="G21429" s="67" t="s">
        <v>774</v>
      </c>
      <c r="H21429" s="69">
        <v>112.7299357</v>
      </c>
    </row>
    <row r="21430" spans="6:8">
      <c r="F21430" s="68" t="s">
        <v>662</v>
      </c>
      <c r="G21430" s="67" t="s">
        <v>775</v>
      </c>
      <c r="H21430" s="69">
        <v>112.7299357</v>
      </c>
    </row>
    <row r="21431" spans="6:8">
      <c r="F21431" s="68" t="s">
        <v>420</v>
      </c>
      <c r="G21431" s="67" t="s">
        <v>775</v>
      </c>
      <c r="H21431" s="69">
        <v>3.0364843322346236</v>
      </c>
    </row>
    <row r="21432" spans="6:8">
      <c r="F21432" s="68" t="s">
        <v>251</v>
      </c>
      <c r="G21432" s="67" t="s">
        <v>775</v>
      </c>
      <c r="H21432" s="69">
        <v>0.1</v>
      </c>
    </row>
    <row r="21433" spans="6:8">
      <c r="F21433" s="68" t="s">
        <v>121</v>
      </c>
      <c r="G21433" s="67" t="s">
        <v>775</v>
      </c>
      <c r="H21433" s="69">
        <v>-0.67999999999999994</v>
      </c>
    </row>
    <row r="21434" spans="6:8">
      <c r="F21434" s="68" t="s">
        <v>120</v>
      </c>
      <c r="G21434" s="67" t="s">
        <v>775</v>
      </c>
      <c r="H21434" s="69">
        <v>-0.78500000000000003</v>
      </c>
    </row>
    <row r="21435" spans="6:8">
      <c r="F21435" s="68" t="s">
        <v>119</v>
      </c>
      <c r="G21435" s="67" t="s">
        <v>775</v>
      </c>
      <c r="H21435" s="69">
        <v>-0.88500000000000001</v>
      </c>
    </row>
    <row r="21436" spans="6:8">
      <c r="F21436" s="68" t="s">
        <v>663</v>
      </c>
      <c r="G21436" s="67" t="s">
        <v>775</v>
      </c>
      <c r="H21436" s="69">
        <v>112.7305191</v>
      </c>
    </row>
    <row r="21437" spans="6:8">
      <c r="F21437" s="68" t="s">
        <v>314</v>
      </c>
      <c r="G21437" s="67" t="s">
        <v>775</v>
      </c>
      <c r="H21437" s="69">
        <v>-0.56000000000000005</v>
      </c>
    </row>
    <row r="21438" spans="6:8">
      <c r="F21438" s="68" t="s">
        <v>252</v>
      </c>
      <c r="G21438" s="67" t="s">
        <v>775</v>
      </c>
      <c r="H21438" s="69">
        <v>0.23</v>
      </c>
    </row>
    <row r="21439" spans="6:8">
      <c r="F21439" s="68" t="s">
        <v>124</v>
      </c>
      <c r="G21439" s="67" t="s">
        <v>775</v>
      </c>
      <c r="H21439" s="69">
        <v>-0.59499999999999997</v>
      </c>
    </row>
    <row r="21440" spans="6:8">
      <c r="F21440" s="68" t="s">
        <v>123</v>
      </c>
      <c r="G21440" s="67" t="s">
        <v>775</v>
      </c>
      <c r="H21440" s="69">
        <v>-0.97499999999999998</v>
      </c>
    </row>
    <row r="21441" spans="6:8">
      <c r="F21441" s="68" t="s">
        <v>122</v>
      </c>
      <c r="G21441" s="67" t="s">
        <v>775</v>
      </c>
      <c r="H21441" s="69">
        <v>-0.85499999999999998</v>
      </c>
    </row>
    <row r="21442" spans="6:8">
      <c r="F21442" s="68" t="s">
        <v>664</v>
      </c>
      <c r="G21442" s="67" t="s">
        <v>775</v>
      </c>
      <c r="H21442" s="69">
        <v>112.73034149999999</v>
      </c>
    </row>
    <row r="21443" spans="6:8">
      <c r="F21443" s="68" t="s">
        <v>315</v>
      </c>
      <c r="G21443" s="67" t="s">
        <v>775</v>
      </c>
      <c r="H21443" s="69">
        <v>-0.29000000000000004</v>
      </c>
    </row>
    <row r="21444" spans="6:8">
      <c r="F21444" s="68" t="s">
        <v>253</v>
      </c>
      <c r="G21444" s="67" t="s">
        <v>775</v>
      </c>
      <c r="H21444" s="69">
        <v>0.31</v>
      </c>
    </row>
    <row r="21445" spans="6:8">
      <c r="F21445" s="68" t="s">
        <v>127</v>
      </c>
      <c r="G21445" s="67" t="s">
        <v>775</v>
      </c>
      <c r="H21445" s="69">
        <v>-0.46499999999999997</v>
      </c>
    </row>
    <row r="21446" spans="6:8">
      <c r="F21446" s="68" t="s">
        <v>126</v>
      </c>
      <c r="G21446" s="67" t="s">
        <v>775</v>
      </c>
      <c r="H21446" s="69">
        <v>-0.94500000000000006</v>
      </c>
    </row>
    <row r="21447" spans="6:8">
      <c r="F21447" s="68" t="s">
        <v>125</v>
      </c>
      <c r="G21447" s="67" t="s">
        <v>775</v>
      </c>
      <c r="H21447" s="69">
        <v>-0.625</v>
      </c>
    </row>
    <row r="21448" spans="6:8">
      <c r="F21448" s="68" t="s">
        <v>665</v>
      </c>
      <c r="G21448" s="67" t="s">
        <v>775</v>
      </c>
      <c r="H21448" s="69">
        <v>112.7302888</v>
      </c>
    </row>
    <row r="21449" spans="6:8">
      <c r="F21449" s="68" t="s">
        <v>567</v>
      </c>
      <c r="G21449" s="67" t="s">
        <v>775</v>
      </c>
      <c r="H21449" s="69">
        <v>-1.0350000000000001</v>
      </c>
    </row>
    <row r="21450" spans="6:8">
      <c r="F21450" s="68" t="s">
        <v>421</v>
      </c>
      <c r="G21450" s="67" t="s">
        <v>775</v>
      </c>
      <c r="H21450" s="69">
        <v>1.9412158736003882</v>
      </c>
    </row>
    <row r="21451" spans="6:8">
      <c r="F21451" s="68" t="s">
        <v>254</v>
      </c>
      <c r="G21451" s="67" t="s">
        <v>775</v>
      </c>
      <c r="H21451" s="69">
        <v>0.49</v>
      </c>
    </row>
    <row r="21452" spans="6:8">
      <c r="F21452" s="68" t="s">
        <v>304</v>
      </c>
      <c r="G21452" s="67" t="s">
        <v>775</v>
      </c>
      <c r="H21452" s="69">
        <v>17.979166666666668</v>
      </c>
    </row>
    <row r="21453" spans="6:8">
      <c r="F21453" s="68" t="s">
        <v>129</v>
      </c>
      <c r="G21453" s="67" t="s">
        <v>775</v>
      </c>
      <c r="H21453" s="69">
        <v>-0.73499999999999999</v>
      </c>
    </row>
    <row r="21454" spans="6:8">
      <c r="F21454" s="68" t="s">
        <v>128</v>
      </c>
      <c r="G21454" s="67" t="s">
        <v>775</v>
      </c>
      <c r="H21454" s="69">
        <v>-0.9</v>
      </c>
    </row>
    <row r="21455" spans="6:8">
      <c r="F21455" s="68" t="s">
        <v>666</v>
      </c>
      <c r="G21455" s="67" t="s">
        <v>775</v>
      </c>
      <c r="H21455" s="69">
        <v>112.7300852</v>
      </c>
    </row>
    <row r="21456" spans="6:8">
      <c r="F21456" s="68" t="s">
        <v>568</v>
      </c>
      <c r="G21456" s="67" t="s">
        <v>775</v>
      </c>
      <c r="H21456" s="69">
        <v>-0.55500000000000005</v>
      </c>
    </row>
    <row r="21457" spans="6:8">
      <c r="F21457" s="68" t="s">
        <v>422</v>
      </c>
      <c r="G21457" s="67" t="s">
        <v>775</v>
      </c>
      <c r="H21457" s="69">
        <v>1.9468918810894742</v>
      </c>
    </row>
    <row r="21458" spans="6:8">
      <c r="F21458" s="68" t="s">
        <v>255</v>
      </c>
      <c r="G21458" s="67" t="s">
        <v>775</v>
      </c>
      <c r="H21458" s="69">
        <v>0.65</v>
      </c>
    </row>
    <row r="21459" spans="6:8">
      <c r="F21459" s="68" t="s">
        <v>303</v>
      </c>
      <c r="G21459" s="67" t="s">
        <v>775</v>
      </c>
      <c r="H21459" s="69">
        <v>18.041666666666668</v>
      </c>
    </row>
    <row r="21460" spans="6:8">
      <c r="F21460" s="68" t="s">
        <v>131</v>
      </c>
      <c r="G21460" s="67" t="s">
        <v>775</v>
      </c>
      <c r="H21460" s="69">
        <v>-0.57000000000000006</v>
      </c>
    </row>
    <row r="21461" spans="6:8">
      <c r="F21461" s="68" t="s">
        <v>130</v>
      </c>
      <c r="G21461" s="67" t="s">
        <v>775</v>
      </c>
      <c r="H21461" s="69">
        <v>-1.05</v>
      </c>
    </row>
    <row r="21462" spans="6:8">
      <c r="F21462" s="68" t="s">
        <v>667</v>
      </c>
      <c r="G21462" s="67" t="s">
        <v>775</v>
      </c>
      <c r="H21462" s="69">
        <v>112.73051820000001</v>
      </c>
    </row>
    <row r="21463" spans="6:8">
      <c r="F21463" s="68" t="s">
        <v>569</v>
      </c>
      <c r="G21463" s="67" t="s">
        <v>775</v>
      </c>
      <c r="H21463" s="69">
        <v>-0.28500000000000003</v>
      </c>
    </row>
    <row r="21464" spans="6:8">
      <c r="F21464" s="68" t="s">
        <v>423</v>
      </c>
      <c r="G21464" s="67" t="s">
        <v>775</v>
      </c>
      <c r="H21464" s="69">
        <v>2.2107601048927172</v>
      </c>
    </row>
    <row r="21465" spans="6:8">
      <c r="F21465" s="68" t="s">
        <v>256</v>
      </c>
      <c r="G21465" s="67" t="s">
        <v>775</v>
      </c>
      <c r="H21465" s="69">
        <v>0.78</v>
      </c>
    </row>
    <row r="21466" spans="6:8">
      <c r="F21466" s="68" t="s">
        <v>133</v>
      </c>
      <c r="G21466" s="67" t="s">
        <v>775</v>
      </c>
      <c r="H21466" s="69">
        <v>-0.63</v>
      </c>
    </row>
    <row r="21467" spans="6:8">
      <c r="F21467" s="68" t="s">
        <v>132</v>
      </c>
      <c r="G21467" s="67" t="s">
        <v>775</v>
      </c>
      <c r="H21467" s="69">
        <v>-0.97500000000000009</v>
      </c>
    </row>
    <row r="21468" spans="6:8">
      <c r="F21468" s="68" t="s">
        <v>668</v>
      </c>
      <c r="G21468" s="67" t="s">
        <v>775</v>
      </c>
      <c r="H21468" s="69">
        <v>112.7301975</v>
      </c>
    </row>
    <row r="21469" spans="6:8">
      <c r="F21469" s="68" t="s">
        <v>424</v>
      </c>
      <c r="G21469" s="67" t="s">
        <v>775</v>
      </c>
      <c r="H21469" s="69">
        <v>2.6706524326792547</v>
      </c>
    </row>
    <row r="21470" spans="6:8">
      <c r="F21470" s="68" t="s">
        <v>258</v>
      </c>
      <c r="G21470" s="67" t="s">
        <v>775</v>
      </c>
      <c r="H21470" s="69">
        <v>0.15</v>
      </c>
    </row>
    <row r="21471" spans="6:8">
      <c r="F21471" s="68" t="s">
        <v>257</v>
      </c>
      <c r="G21471" s="67" t="s">
        <v>775</v>
      </c>
      <c r="H21471" s="69">
        <v>0.83</v>
      </c>
    </row>
    <row r="21472" spans="6:8">
      <c r="F21472" s="68" t="s">
        <v>135</v>
      </c>
      <c r="G21472" s="67" t="s">
        <v>775</v>
      </c>
      <c r="H21472" s="69">
        <v>-0.83000000000000007</v>
      </c>
    </row>
    <row r="21473" spans="6:8">
      <c r="F21473" s="68" t="s">
        <v>134</v>
      </c>
      <c r="G21473" s="67" t="s">
        <v>775</v>
      </c>
      <c r="H21473" s="69">
        <v>-0.93500000000000005</v>
      </c>
    </row>
    <row r="21474" spans="6:8">
      <c r="F21474" s="68" t="s">
        <v>669</v>
      </c>
      <c r="G21474" s="67" t="s">
        <v>775</v>
      </c>
      <c r="H21474" s="69">
        <v>112.7305741</v>
      </c>
    </row>
    <row r="21475" spans="6:8">
      <c r="F21475" s="68" t="s">
        <v>425</v>
      </c>
      <c r="G21475" s="67" t="s">
        <v>775</v>
      </c>
      <c r="H21475" s="69">
        <v>2.6847538650239144</v>
      </c>
    </row>
    <row r="21476" spans="6:8">
      <c r="F21476" s="68" t="s">
        <v>259</v>
      </c>
      <c r="G21476" s="67" t="s">
        <v>775</v>
      </c>
      <c r="H21476" s="69">
        <v>0.1</v>
      </c>
    </row>
    <row r="21477" spans="6:8">
      <c r="F21477" s="68" t="s">
        <v>138</v>
      </c>
      <c r="G21477" s="67" t="s">
        <v>775</v>
      </c>
      <c r="H21477" s="69">
        <v>-0.76</v>
      </c>
    </row>
    <row r="21478" spans="6:8">
      <c r="F21478" s="68" t="s">
        <v>137</v>
      </c>
      <c r="G21478" s="67" t="s">
        <v>775</v>
      </c>
      <c r="H21478" s="69">
        <v>-0.64999999999999991</v>
      </c>
    </row>
    <row r="21479" spans="6:8">
      <c r="F21479" s="68" t="s">
        <v>136</v>
      </c>
      <c r="G21479" s="67" t="s">
        <v>775</v>
      </c>
      <c r="H21479" s="69">
        <v>-0.99</v>
      </c>
    </row>
    <row r="21480" spans="6:8">
      <c r="F21480" s="68" t="s">
        <v>136</v>
      </c>
      <c r="G21480" s="67" t="s">
        <v>776</v>
      </c>
      <c r="H21480" s="69">
        <v>-0.99</v>
      </c>
    </row>
    <row r="21481" spans="6:8">
      <c r="F21481" s="68" t="s">
        <v>137</v>
      </c>
      <c r="G21481" s="67" t="s">
        <v>776</v>
      </c>
      <c r="H21481" s="69">
        <v>-0.64999999999999991</v>
      </c>
    </row>
    <row r="21482" spans="6:8">
      <c r="F21482" s="68" t="s">
        <v>138</v>
      </c>
      <c r="G21482" s="67" t="s">
        <v>776</v>
      </c>
      <c r="H21482" s="69">
        <v>-0.76</v>
      </c>
    </row>
    <row r="21483" spans="6:8">
      <c r="F21483" s="68" t="s">
        <v>259</v>
      </c>
      <c r="G21483" s="67" t="s">
        <v>776</v>
      </c>
      <c r="H21483" s="69">
        <v>0.1</v>
      </c>
    </row>
    <row r="21484" spans="6:8">
      <c r="F21484" s="68" t="s">
        <v>425</v>
      </c>
      <c r="G21484" s="67" t="s">
        <v>776</v>
      </c>
      <c r="H21484" s="69">
        <v>2.679515570811164</v>
      </c>
    </row>
    <row r="21485" spans="6:8">
      <c r="F21485" s="68" t="s">
        <v>669</v>
      </c>
      <c r="G21485" s="67" t="s">
        <v>776</v>
      </c>
      <c r="H21485" s="69">
        <v>112.7305741</v>
      </c>
    </row>
    <row r="21486" spans="6:8">
      <c r="F21486" s="68" t="s">
        <v>134</v>
      </c>
      <c r="G21486" s="67" t="s">
        <v>776</v>
      </c>
      <c r="H21486" s="69">
        <v>-0.93500000000000005</v>
      </c>
    </row>
    <row r="21487" spans="6:8">
      <c r="F21487" s="68" t="s">
        <v>135</v>
      </c>
      <c r="G21487" s="67" t="s">
        <v>776</v>
      </c>
      <c r="H21487" s="69">
        <v>-0.83000000000000007</v>
      </c>
    </row>
    <row r="21488" spans="6:8">
      <c r="F21488" s="68" t="s">
        <v>257</v>
      </c>
      <c r="G21488" s="67" t="s">
        <v>776</v>
      </c>
      <c r="H21488" s="69">
        <v>0.83</v>
      </c>
    </row>
    <row r="21489" spans="6:8">
      <c r="F21489" s="68" t="s">
        <v>258</v>
      </c>
      <c r="G21489" s="67" t="s">
        <v>776</v>
      </c>
      <c r="H21489" s="69">
        <v>0.15</v>
      </c>
    </row>
    <row r="21490" spans="6:8">
      <c r="F21490" s="68" t="s">
        <v>424</v>
      </c>
      <c r="G21490" s="67" t="s">
        <v>776</v>
      </c>
      <c r="H21490" s="69">
        <v>2.6660145603507601</v>
      </c>
    </row>
    <row r="21491" spans="6:8">
      <c r="F21491" s="68" t="s">
        <v>668</v>
      </c>
      <c r="G21491" s="67" t="s">
        <v>776</v>
      </c>
      <c r="H21491" s="69">
        <v>112.7301975</v>
      </c>
    </row>
    <row r="21492" spans="6:8">
      <c r="F21492" s="68" t="s">
        <v>132</v>
      </c>
      <c r="G21492" s="67" t="s">
        <v>776</v>
      </c>
      <c r="H21492" s="69">
        <v>-0.97500000000000009</v>
      </c>
    </row>
    <row r="21493" spans="6:8">
      <c r="F21493" s="68" t="s">
        <v>133</v>
      </c>
      <c r="G21493" s="67" t="s">
        <v>776</v>
      </c>
      <c r="H21493" s="69">
        <v>-0.63</v>
      </c>
    </row>
    <row r="21494" spans="6:8">
      <c r="F21494" s="68" t="s">
        <v>256</v>
      </c>
      <c r="G21494" s="67" t="s">
        <v>776</v>
      </c>
      <c r="H21494" s="69">
        <v>0.78</v>
      </c>
    </row>
    <row r="21495" spans="6:8">
      <c r="F21495" s="68" t="s">
        <v>423</v>
      </c>
      <c r="G21495" s="67" t="s">
        <v>776</v>
      </c>
      <c r="H21495" s="69">
        <v>2.2059086416905238</v>
      </c>
    </row>
    <row r="21496" spans="6:8">
      <c r="F21496" s="68" t="s">
        <v>569</v>
      </c>
      <c r="G21496" s="67" t="s">
        <v>776</v>
      </c>
      <c r="H21496" s="69">
        <v>-0.28500000000000003</v>
      </c>
    </row>
    <row r="21497" spans="6:8">
      <c r="F21497" s="68" t="s">
        <v>667</v>
      </c>
      <c r="G21497" s="67" t="s">
        <v>776</v>
      </c>
      <c r="H21497" s="69">
        <v>112.73051820000001</v>
      </c>
    </row>
    <row r="21498" spans="6:8">
      <c r="F21498" s="68" t="s">
        <v>130</v>
      </c>
      <c r="G21498" s="67" t="s">
        <v>776</v>
      </c>
      <c r="H21498" s="69">
        <v>-1.05</v>
      </c>
    </row>
    <row r="21499" spans="6:8">
      <c r="F21499" s="68" t="s">
        <v>131</v>
      </c>
      <c r="G21499" s="67" t="s">
        <v>776</v>
      </c>
      <c r="H21499" s="69">
        <v>-0.57000000000000006</v>
      </c>
    </row>
    <row r="21500" spans="6:8">
      <c r="F21500" s="68" t="s">
        <v>303</v>
      </c>
      <c r="G21500" s="67" t="s">
        <v>776</v>
      </c>
      <c r="H21500" s="69">
        <v>18</v>
      </c>
    </row>
    <row r="21501" spans="6:8">
      <c r="F21501" s="68" t="s">
        <v>255</v>
      </c>
      <c r="G21501" s="67" t="s">
        <v>776</v>
      </c>
      <c r="H21501" s="69">
        <v>0.65</v>
      </c>
    </row>
    <row r="21502" spans="6:8">
      <c r="F21502" s="68" t="s">
        <v>422</v>
      </c>
      <c r="G21502" s="67" t="s">
        <v>776</v>
      </c>
      <c r="H21502" s="69">
        <v>1.9547738276678661</v>
      </c>
    </row>
    <row r="21503" spans="6:8">
      <c r="F21503" s="68" t="s">
        <v>568</v>
      </c>
      <c r="G21503" s="67" t="s">
        <v>776</v>
      </c>
      <c r="H21503" s="69">
        <v>-0.55500000000000005</v>
      </c>
    </row>
    <row r="21504" spans="6:8">
      <c r="F21504" s="68" t="s">
        <v>666</v>
      </c>
      <c r="G21504" s="67" t="s">
        <v>776</v>
      </c>
      <c r="H21504" s="69">
        <v>112.7300852</v>
      </c>
    </row>
    <row r="21505" spans="6:8">
      <c r="F21505" s="68" t="s">
        <v>128</v>
      </c>
      <c r="G21505" s="67" t="s">
        <v>776</v>
      </c>
      <c r="H21505" s="69">
        <v>-0.9</v>
      </c>
    </row>
    <row r="21506" spans="6:8">
      <c r="F21506" s="68" t="s">
        <v>129</v>
      </c>
      <c r="G21506" s="67" t="s">
        <v>776</v>
      </c>
      <c r="H21506" s="69">
        <v>-0.73499999999999999</v>
      </c>
    </row>
    <row r="21507" spans="6:8">
      <c r="F21507" s="68" t="s">
        <v>304</v>
      </c>
      <c r="G21507" s="67" t="s">
        <v>776</v>
      </c>
      <c r="H21507" s="69">
        <v>17.958333333333332</v>
      </c>
    </row>
    <row r="21508" spans="6:8">
      <c r="F21508" s="68" t="s">
        <v>254</v>
      </c>
      <c r="G21508" s="67" t="s">
        <v>776</v>
      </c>
      <c r="H21508" s="69">
        <v>0.49</v>
      </c>
    </row>
    <row r="21509" spans="6:8">
      <c r="F21509" s="68" t="s">
        <v>421</v>
      </c>
      <c r="G21509" s="67" t="s">
        <v>776</v>
      </c>
      <c r="H21509" s="69">
        <v>1.9491539522503931</v>
      </c>
    </row>
    <row r="21510" spans="6:8">
      <c r="F21510" s="68" t="s">
        <v>567</v>
      </c>
      <c r="G21510" s="67" t="s">
        <v>776</v>
      </c>
      <c r="H21510" s="69">
        <v>-1.0350000000000001</v>
      </c>
    </row>
    <row r="21511" spans="6:8">
      <c r="F21511" s="68" t="s">
        <v>665</v>
      </c>
      <c r="G21511" s="67" t="s">
        <v>776</v>
      </c>
      <c r="H21511" s="69">
        <v>112.7302888</v>
      </c>
    </row>
    <row r="21512" spans="6:8">
      <c r="F21512" s="68" t="s">
        <v>125</v>
      </c>
      <c r="G21512" s="67" t="s">
        <v>776</v>
      </c>
      <c r="H21512" s="69">
        <v>-0.625</v>
      </c>
    </row>
    <row r="21513" spans="6:8">
      <c r="F21513" s="68" t="s">
        <v>126</v>
      </c>
      <c r="G21513" s="67" t="s">
        <v>776</v>
      </c>
      <c r="H21513" s="69">
        <v>-0.94500000000000006</v>
      </c>
    </row>
    <row r="21514" spans="6:8">
      <c r="F21514" s="68" t="s">
        <v>127</v>
      </c>
      <c r="G21514" s="67" t="s">
        <v>776</v>
      </c>
      <c r="H21514" s="69">
        <v>-0.46499999999999997</v>
      </c>
    </row>
    <row r="21515" spans="6:8">
      <c r="F21515" s="68" t="s">
        <v>253</v>
      </c>
      <c r="G21515" s="67" t="s">
        <v>776</v>
      </c>
      <c r="H21515" s="69">
        <v>0.31</v>
      </c>
    </row>
    <row r="21516" spans="6:8">
      <c r="F21516" s="68" t="s">
        <v>315</v>
      </c>
      <c r="G21516" s="67" t="s">
        <v>776</v>
      </c>
      <c r="H21516" s="69">
        <v>-0.29000000000000004</v>
      </c>
    </row>
    <row r="21517" spans="6:8">
      <c r="F21517" s="68" t="s">
        <v>664</v>
      </c>
      <c r="G21517" s="67" t="s">
        <v>776</v>
      </c>
      <c r="H21517" s="69">
        <v>112.73034149999999</v>
      </c>
    </row>
    <row r="21518" spans="6:8">
      <c r="F21518" s="68" t="s">
        <v>122</v>
      </c>
      <c r="G21518" s="67" t="s">
        <v>776</v>
      </c>
      <c r="H21518" s="69">
        <v>-0.85499999999999998</v>
      </c>
    </row>
    <row r="21519" spans="6:8">
      <c r="F21519" s="68" t="s">
        <v>123</v>
      </c>
      <c r="G21519" s="67" t="s">
        <v>776</v>
      </c>
      <c r="H21519" s="69">
        <v>-0.97499999999999998</v>
      </c>
    </row>
    <row r="21520" spans="6:8">
      <c r="F21520" s="68" t="s">
        <v>124</v>
      </c>
      <c r="G21520" s="67" t="s">
        <v>776</v>
      </c>
      <c r="H21520" s="69">
        <v>-0.59499999999999997</v>
      </c>
    </row>
    <row r="21521" spans="6:8">
      <c r="F21521" s="68" t="s">
        <v>252</v>
      </c>
      <c r="G21521" s="67" t="s">
        <v>776</v>
      </c>
      <c r="H21521" s="69">
        <v>0.23</v>
      </c>
    </row>
    <row r="21522" spans="6:8">
      <c r="F21522" s="68" t="s">
        <v>314</v>
      </c>
      <c r="G21522" s="67" t="s">
        <v>776</v>
      </c>
      <c r="H21522" s="69">
        <v>-0.56000000000000005</v>
      </c>
    </row>
    <row r="21523" spans="6:8">
      <c r="F21523" s="68" t="s">
        <v>663</v>
      </c>
      <c r="G21523" s="67" t="s">
        <v>776</v>
      </c>
      <c r="H21523" s="69">
        <v>112.7305191</v>
      </c>
    </row>
    <row r="21524" spans="6:8">
      <c r="F21524" s="68" t="s">
        <v>119</v>
      </c>
      <c r="G21524" s="67" t="s">
        <v>776</v>
      </c>
      <c r="H21524" s="69">
        <v>-0.88500000000000001</v>
      </c>
    </row>
    <row r="21525" spans="6:8">
      <c r="F21525" s="68" t="s">
        <v>120</v>
      </c>
      <c r="G21525" s="67" t="s">
        <v>776</v>
      </c>
      <c r="H21525" s="69">
        <v>-0.78500000000000003</v>
      </c>
    </row>
    <row r="21526" spans="6:8">
      <c r="F21526" s="68" t="s">
        <v>121</v>
      </c>
      <c r="G21526" s="67" t="s">
        <v>776</v>
      </c>
      <c r="H21526" s="69">
        <v>-0.67999999999999994</v>
      </c>
    </row>
    <row r="21527" spans="6:8">
      <c r="F21527" s="68" t="s">
        <v>251</v>
      </c>
      <c r="G21527" s="67" t="s">
        <v>776</v>
      </c>
      <c r="H21527" s="69">
        <v>0.1</v>
      </c>
    </row>
    <row r="21528" spans="6:8">
      <c r="F21528" s="68" t="s">
        <v>420</v>
      </c>
      <c r="G21528" s="67" t="s">
        <v>776</v>
      </c>
      <c r="H21528" s="69">
        <v>3.0240880311784402</v>
      </c>
    </row>
    <row r="21529" spans="6:8">
      <c r="F21529" s="68" t="s">
        <v>662</v>
      </c>
      <c r="G21529" s="67" t="s">
        <v>776</v>
      </c>
      <c r="H21529" s="69">
        <v>112.7299357</v>
      </c>
    </row>
    <row r="21530" spans="6:8">
      <c r="F21530" s="68" t="s">
        <v>420</v>
      </c>
      <c r="G21530" s="67" t="s">
        <v>777</v>
      </c>
      <c r="H21530" s="69">
        <v>2.9883080633805292</v>
      </c>
    </row>
    <row r="21531" spans="6:8">
      <c r="F21531" s="68" t="s">
        <v>251</v>
      </c>
      <c r="G21531" s="67" t="s">
        <v>777</v>
      </c>
      <c r="H21531" s="69">
        <v>0.1</v>
      </c>
    </row>
    <row r="21532" spans="6:8">
      <c r="F21532" s="68" t="s">
        <v>121</v>
      </c>
      <c r="G21532" s="67" t="s">
        <v>777</v>
      </c>
      <c r="H21532" s="69">
        <v>-0.67999999999999994</v>
      </c>
    </row>
    <row r="21533" spans="6:8">
      <c r="F21533" s="68" t="s">
        <v>120</v>
      </c>
      <c r="G21533" s="67" t="s">
        <v>777</v>
      </c>
      <c r="H21533" s="69">
        <v>-0.78500000000000003</v>
      </c>
    </row>
    <row r="21534" spans="6:8">
      <c r="F21534" s="68" t="s">
        <v>119</v>
      </c>
      <c r="G21534" s="67" t="s">
        <v>777</v>
      </c>
      <c r="H21534" s="69">
        <v>-0.88500000000000001</v>
      </c>
    </row>
    <row r="21535" spans="6:8">
      <c r="F21535" s="68" t="s">
        <v>314</v>
      </c>
      <c r="G21535" s="67" t="s">
        <v>777</v>
      </c>
      <c r="H21535" s="69">
        <v>-0.56000000000000005</v>
      </c>
    </row>
    <row r="21536" spans="6:8">
      <c r="F21536" s="68" t="s">
        <v>252</v>
      </c>
      <c r="G21536" s="67" t="s">
        <v>777</v>
      </c>
      <c r="H21536" s="69">
        <v>0.23</v>
      </c>
    </row>
    <row r="21537" spans="6:8">
      <c r="F21537" s="68" t="s">
        <v>124</v>
      </c>
      <c r="G21537" s="67" t="s">
        <v>777</v>
      </c>
      <c r="H21537" s="69">
        <v>-0.59499999999999997</v>
      </c>
    </row>
    <row r="21538" spans="6:8">
      <c r="F21538" s="68" t="s">
        <v>123</v>
      </c>
      <c r="G21538" s="67" t="s">
        <v>777</v>
      </c>
      <c r="H21538" s="69">
        <v>-0.97499999999999998</v>
      </c>
    </row>
    <row r="21539" spans="6:8">
      <c r="F21539" s="68" t="s">
        <v>122</v>
      </c>
      <c r="G21539" s="67" t="s">
        <v>777</v>
      </c>
      <c r="H21539" s="69">
        <v>-0.85499999999999998</v>
      </c>
    </row>
    <row r="21540" spans="6:8">
      <c r="F21540" s="68" t="s">
        <v>315</v>
      </c>
      <c r="G21540" s="67" t="s">
        <v>777</v>
      </c>
      <c r="H21540" s="69">
        <v>-0.29000000000000004</v>
      </c>
    </row>
    <row r="21541" spans="6:8">
      <c r="F21541" s="68" t="s">
        <v>253</v>
      </c>
      <c r="G21541" s="67" t="s">
        <v>777</v>
      </c>
      <c r="H21541" s="69">
        <v>0.31</v>
      </c>
    </row>
    <row r="21542" spans="6:8">
      <c r="F21542" s="68" t="s">
        <v>127</v>
      </c>
      <c r="G21542" s="67" t="s">
        <v>777</v>
      </c>
      <c r="H21542" s="69">
        <v>-0.46499999999999997</v>
      </c>
    </row>
    <row r="21543" spans="6:8">
      <c r="F21543" s="68" t="s">
        <v>126</v>
      </c>
      <c r="G21543" s="67" t="s">
        <v>777</v>
      </c>
      <c r="H21543" s="69">
        <v>-0.94500000000000006</v>
      </c>
    </row>
    <row r="21544" spans="6:8">
      <c r="F21544" s="68" t="s">
        <v>125</v>
      </c>
      <c r="G21544" s="67" t="s">
        <v>777</v>
      </c>
      <c r="H21544" s="69">
        <v>-0.625</v>
      </c>
    </row>
    <row r="21545" spans="6:8">
      <c r="F21545" s="68" t="s">
        <v>567</v>
      </c>
      <c r="G21545" s="67" t="s">
        <v>777</v>
      </c>
      <c r="H21545" s="69">
        <v>-1.0350000000000001</v>
      </c>
    </row>
    <row r="21546" spans="6:8">
      <c r="F21546" s="68" t="s">
        <v>421</v>
      </c>
      <c r="G21546" s="67" t="s">
        <v>777</v>
      </c>
      <c r="H21546" s="69">
        <v>2.0111287192846827</v>
      </c>
    </row>
    <row r="21547" spans="6:8">
      <c r="F21547" s="68" t="s">
        <v>254</v>
      </c>
      <c r="G21547" s="67" t="s">
        <v>777</v>
      </c>
      <c r="H21547" s="69">
        <v>0.49</v>
      </c>
    </row>
    <row r="21548" spans="6:8">
      <c r="F21548" s="68" t="s">
        <v>304</v>
      </c>
      <c r="G21548" s="67" t="s">
        <v>777</v>
      </c>
      <c r="H21548" s="69">
        <v>18.239583333333332</v>
      </c>
    </row>
    <row r="21549" spans="6:8">
      <c r="F21549" s="68" t="s">
        <v>129</v>
      </c>
      <c r="G21549" s="67" t="s">
        <v>777</v>
      </c>
      <c r="H21549" s="69">
        <v>-0.73499999999999999</v>
      </c>
    </row>
    <row r="21550" spans="6:8">
      <c r="F21550" s="68" t="s">
        <v>128</v>
      </c>
      <c r="G21550" s="67" t="s">
        <v>777</v>
      </c>
      <c r="H21550" s="69">
        <v>-0.9</v>
      </c>
    </row>
    <row r="21551" spans="6:8">
      <c r="F21551" s="68" t="s">
        <v>568</v>
      </c>
      <c r="G21551" s="67" t="s">
        <v>777</v>
      </c>
      <c r="H21551" s="69">
        <v>-0.55500000000000005</v>
      </c>
    </row>
    <row r="21552" spans="6:8">
      <c r="F21552" s="68" t="s">
        <v>422</v>
      </c>
      <c r="G21552" s="67" t="s">
        <v>777</v>
      </c>
      <c r="H21552" s="69">
        <v>2.0164577856429222</v>
      </c>
    </row>
    <row r="21553" spans="6:8">
      <c r="F21553" s="68" t="s">
        <v>255</v>
      </c>
      <c r="G21553" s="67" t="s">
        <v>777</v>
      </c>
      <c r="H21553" s="69">
        <v>0.65</v>
      </c>
    </row>
    <row r="21554" spans="6:8">
      <c r="F21554" s="68" t="s">
        <v>303</v>
      </c>
      <c r="G21554" s="67" t="s">
        <v>777</v>
      </c>
      <c r="H21554" s="69">
        <v>18.283854166666668</v>
      </c>
    </row>
    <row r="21555" spans="6:8">
      <c r="F21555" s="68" t="s">
        <v>131</v>
      </c>
      <c r="G21555" s="67" t="s">
        <v>777</v>
      </c>
      <c r="H21555" s="69">
        <v>-0.57000000000000006</v>
      </c>
    </row>
    <row r="21556" spans="6:8">
      <c r="F21556" s="68" t="s">
        <v>130</v>
      </c>
      <c r="G21556" s="67" t="s">
        <v>777</v>
      </c>
      <c r="H21556" s="69">
        <v>-1.05</v>
      </c>
    </row>
    <row r="21557" spans="6:8">
      <c r="F21557" s="68" t="s">
        <v>569</v>
      </c>
      <c r="G21557" s="67" t="s">
        <v>777</v>
      </c>
      <c r="H21557" s="69">
        <v>-0.28500000000000003</v>
      </c>
    </row>
    <row r="21558" spans="6:8">
      <c r="F21558" s="68" t="s">
        <v>423</v>
      </c>
      <c r="G21558" s="67" t="s">
        <v>777</v>
      </c>
      <c r="H21558" s="69">
        <v>2.1706494715389546</v>
      </c>
    </row>
    <row r="21559" spans="6:8">
      <c r="F21559" s="68" t="s">
        <v>256</v>
      </c>
      <c r="G21559" s="67" t="s">
        <v>777</v>
      </c>
      <c r="H21559" s="69">
        <v>0.78</v>
      </c>
    </row>
    <row r="21560" spans="6:8">
      <c r="F21560" s="68" t="s">
        <v>133</v>
      </c>
      <c r="G21560" s="67" t="s">
        <v>777</v>
      </c>
      <c r="H21560" s="69">
        <v>-0.63</v>
      </c>
    </row>
    <row r="21561" spans="6:8">
      <c r="F21561" s="68" t="s">
        <v>132</v>
      </c>
      <c r="G21561" s="67" t="s">
        <v>777</v>
      </c>
      <c r="H21561" s="69">
        <v>-0.97500000000000009</v>
      </c>
    </row>
    <row r="21562" spans="6:8">
      <c r="F21562" s="68" t="s">
        <v>424</v>
      </c>
      <c r="G21562" s="67" t="s">
        <v>777</v>
      </c>
      <c r="H21562" s="69">
        <v>2.7656459469708849</v>
      </c>
    </row>
    <row r="21563" spans="6:8">
      <c r="F21563" s="68" t="s">
        <v>258</v>
      </c>
      <c r="G21563" s="67" t="s">
        <v>777</v>
      </c>
      <c r="H21563" s="69">
        <v>0.15</v>
      </c>
    </row>
    <row r="21564" spans="6:8">
      <c r="F21564" s="68" t="s">
        <v>257</v>
      </c>
      <c r="G21564" s="67" t="s">
        <v>777</v>
      </c>
      <c r="H21564" s="69">
        <v>0.83</v>
      </c>
    </row>
    <row r="21565" spans="6:8">
      <c r="F21565" s="68" t="s">
        <v>135</v>
      </c>
      <c r="G21565" s="67" t="s">
        <v>777</v>
      </c>
      <c r="H21565" s="69">
        <v>-0.83000000000000007</v>
      </c>
    </row>
    <row r="21566" spans="6:8">
      <c r="F21566" s="68" t="s">
        <v>134</v>
      </c>
      <c r="G21566" s="67" t="s">
        <v>777</v>
      </c>
      <c r="H21566" s="69">
        <v>-0.93500000000000005</v>
      </c>
    </row>
    <row r="21567" spans="6:8">
      <c r="F21567" s="68" t="s">
        <v>425</v>
      </c>
      <c r="G21567" s="67" t="s">
        <v>777</v>
      </c>
      <c r="H21567" s="69">
        <v>2.7766282268004261</v>
      </c>
    </row>
    <row r="21568" spans="6:8">
      <c r="F21568" s="68" t="s">
        <v>259</v>
      </c>
      <c r="G21568" s="67" t="s">
        <v>777</v>
      </c>
      <c r="H21568" s="69">
        <v>0.1</v>
      </c>
    </row>
    <row r="21569" spans="6:8">
      <c r="F21569" s="68" t="s">
        <v>138</v>
      </c>
      <c r="G21569" s="67" t="s">
        <v>777</v>
      </c>
      <c r="H21569" s="69">
        <v>-0.76</v>
      </c>
    </row>
    <row r="21570" spans="6:8">
      <c r="F21570" s="68" t="s">
        <v>137</v>
      </c>
      <c r="G21570" s="67" t="s">
        <v>777</v>
      </c>
      <c r="H21570" s="69">
        <v>-0.64999999999999991</v>
      </c>
    </row>
    <row r="21571" spans="6:8">
      <c r="F21571" s="68" t="s">
        <v>136</v>
      </c>
      <c r="G21571" s="67" t="s">
        <v>777</v>
      </c>
      <c r="H21571" s="69">
        <v>-0.99</v>
      </c>
    </row>
    <row r="21572" spans="6:8">
      <c r="F21572" s="68" t="s">
        <v>136</v>
      </c>
      <c r="G21572" s="67" t="s">
        <v>778</v>
      </c>
      <c r="H21572" s="69">
        <v>-1.03</v>
      </c>
    </row>
    <row r="21573" spans="6:8">
      <c r="F21573" s="68" t="s">
        <v>137</v>
      </c>
      <c r="G21573" s="67" t="s">
        <v>778</v>
      </c>
      <c r="H21573" s="69">
        <v>-0.65999999999999992</v>
      </c>
    </row>
    <row r="21574" spans="6:8">
      <c r="F21574" s="68" t="s">
        <v>138</v>
      </c>
      <c r="G21574" s="67" t="s">
        <v>778</v>
      </c>
      <c r="H21574" s="69">
        <v>-0.76</v>
      </c>
    </row>
    <row r="21575" spans="6:8">
      <c r="F21575" s="68" t="s">
        <v>259</v>
      </c>
      <c r="G21575" s="67" t="s">
        <v>778</v>
      </c>
      <c r="H21575" s="69">
        <v>0.14333333333333334</v>
      </c>
    </row>
    <row r="21576" spans="6:8">
      <c r="F21576" s="68" t="s">
        <v>425</v>
      </c>
      <c r="G21576" s="67" t="s">
        <v>778</v>
      </c>
      <c r="H21576" s="69">
        <v>2.7784465923419877</v>
      </c>
    </row>
    <row r="21577" spans="6:8">
      <c r="F21577" s="68" t="s">
        <v>134</v>
      </c>
      <c r="G21577" s="67" t="s">
        <v>778</v>
      </c>
      <c r="H21577" s="69">
        <v>-0.95500000000000007</v>
      </c>
    </row>
    <row r="21578" spans="6:8">
      <c r="F21578" s="68" t="s">
        <v>135</v>
      </c>
      <c r="G21578" s="67" t="s">
        <v>778</v>
      </c>
      <c r="H21578" s="69">
        <v>-0.84499999999999997</v>
      </c>
    </row>
    <row r="21579" spans="6:8">
      <c r="F21579" s="68" t="s">
        <v>257</v>
      </c>
      <c r="G21579" s="67" t="s">
        <v>778</v>
      </c>
      <c r="H21579" s="69">
        <v>0.83399999999999996</v>
      </c>
    </row>
    <row r="21580" spans="6:8">
      <c r="F21580" s="68" t="s">
        <v>258</v>
      </c>
      <c r="G21580" s="67" t="s">
        <v>778</v>
      </c>
      <c r="H21580" s="69">
        <v>0.15</v>
      </c>
    </row>
    <row r="21581" spans="6:8">
      <c r="F21581" s="68" t="s">
        <v>424</v>
      </c>
      <c r="G21581" s="67" t="s">
        <v>778</v>
      </c>
      <c r="H21581" s="69">
        <v>2.768835634327349</v>
      </c>
    </row>
    <row r="21582" spans="6:8">
      <c r="F21582" s="68" t="s">
        <v>132</v>
      </c>
      <c r="G21582" s="67" t="s">
        <v>778</v>
      </c>
      <c r="H21582" s="69">
        <v>-1</v>
      </c>
    </row>
    <row r="21583" spans="6:8">
      <c r="F21583" s="68" t="s">
        <v>133</v>
      </c>
      <c r="G21583" s="67" t="s">
        <v>778</v>
      </c>
      <c r="H21583" s="69">
        <v>-0.64500000000000002</v>
      </c>
    </row>
    <row r="21584" spans="6:8">
      <c r="F21584" s="68" t="s">
        <v>256</v>
      </c>
      <c r="G21584" s="67" t="s">
        <v>778</v>
      </c>
      <c r="H21584" s="69">
        <v>0.75666666666666671</v>
      </c>
    </row>
    <row r="21585" spans="6:8">
      <c r="F21585" s="68" t="s">
        <v>423</v>
      </c>
      <c r="G21585" s="67" t="s">
        <v>778</v>
      </c>
      <c r="H21585" s="69">
        <v>2.167306260795776</v>
      </c>
    </row>
    <row r="21586" spans="6:8">
      <c r="F21586" s="68" t="s">
        <v>569</v>
      </c>
      <c r="G21586" s="67" t="s">
        <v>778</v>
      </c>
      <c r="H21586" s="69">
        <v>-0.29499999999999998</v>
      </c>
    </row>
    <row r="21587" spans="6:8">
      <c r="F21587" s="68" t="s">
        <v>130</v>
      </c>
      <c r="G21587" s="67" t="s">
        <v>778</v>
      </c>
      <c r="H21587" s="69">
        <v>-1.0750000000000002</v>
      </c>
    </row>
    <row r="21588" spans="6:8">
      <c r="F21588" s="68" t="s">
        <v>131</v>
      </c>
      <c r="G21588" s="67" t="s">
        <v>778</v>
      </c>
      <c r="H21588" s="69">
        <v>-0.58000000000000007</v>
      </c>
    </row>
    <row r="21589" spans="6:8">
      <c r="F21589" s="68" t="s">
        <v>303</v>
      </c>
      <c r="G21589" s="67" t="s">
        <v>778</v>
      </c>
      <c r="H21589" s="69">
        <v>18.270833333333332</v>
      </c>
    </row>
    <row r="21590" spans="6:8">
      <c r="F21590" s="68" t="s">
        <v>255</v>
      </c>
      <c r="G21590" s="67" t="s">
        <v>778</v>
      </c>
      <c r="H21590" s="69">
        <v>0.64333333333333342</v>
      </c>
    </row>
    <row r="21591" spans="6:8">
      <c r="F21591" s="68" t="s">
        <v>422</v>
      </c>
      <c r="G21591" s="67" t="s">
        <v>778</v>
      </c>
      <c r="H21591" s="69">
        <v>2.0003125500867025</v>
      </c>
    </row>
    <row r="21592" spans="6:8">
      <c r="F21592" s="68" t="s">
        <v>568</v>
      </c>
      <c r="G21592" s="67" t="s">
        <v>778</v>
      </c>
      <c r="H21592" s="69">
        <v>-0.58000000000000007</v>
      </c>
    </row>
    <row r="21593" spans="6:8">
      <c r="F21593" s="68" t="s">
        <v>128</v>
      </c>
      <c r="G21593" s="67" t="s">
        <v>778</v>
      </c>
      <c r="H21593" s="69">
        <v>-0.91999999999999993</v>
      </c>
    </row>
    <row r="21594" spans="6:8">
      <c r="F21594" s="68" t="s">
        <v>129</v>
      </c>
      <c r="G21594" s="67" t="s">
        <v>778</v>
      </c>
      <c r="H21594" s="69">
        <v>-0.75</v>
      </c>
    </row>
    <row r="21595" spans="6:8">
      <c r="F21595" s="68" t="s">
        <v>304</v>
      </c>
      <c r="G21595" s="67" t="s">
        <v>778</v>
      </c>
      <c r="H21595" s="69">
        <v>18.25</v>
      </c>
    </row>
    <row r="21596" spans="6:8">
      <c r="F21596" s="68" t="s">
        <v>254</v>
      </c>
      <c r="G21596" s="67" t="s">
        <v>778</v>
      </c>
      <c r="H21596" s="69">
        <v>0.48499999999999993</v>
      </c>
    </row>
    <row r="21597" spans="6:8">
      <c r="F21597" s="68" t="s">
        <v>421</v>
      </c>
      <c r="G21597" s="67" t="s">
        <v>778</v>
      </c>
      <c r="H21597" s="69">
        <v>1.9949246908669505</v>
      </c>
    </row>
    <row r="21598" spans="6:8">
      <c r="F21598" s="68" t="s">
        <v>567</v>
      </c>
      <c r="G21598" s="67" t="s">
        <v>778</v>
      </c>
      <c r="H21598" s="69">
        <v>-1.0649999999999999</v>
      </c>
    </row>
    <row r="21599" spans="6:8">
      <c r="F21599" s="68" t="s">
        <v>125</v>
      </c>
      <c r="G21599" s="67" t="s">
        <v>778</v>
      </c>
      <c r="H21599" s="69">
        <v>-0.64500000000000002</v>
      </c>
    </row>
    <row r="21600" spans="6:8">
      <c r="F21600" s="68" t="s">
        <v>126</v>
      </c>
      <c r="G21600" s="67" t="s">
        <v>778</v>
      </c>
      <c r="H21600" s="69">
        <v>-0.96</v>
      </c>
    </row>
    <row r="21601" spans="6:8">
      <c r="F21601" s="68" t="s">
        <v>127</v>
      </c>
      <c r="G21601" s="67" t="s">
        <v>778</v>
      </c>
      <c r="H21601" s="69">
        <v>-0.47</v>
      </c>
    </row>
    <row r="21602" spans="6:8">
      <c r="F21602" s="68" t="s">
        <v>253</v>
      </c>
      <c r="G21602" s="67" t="s">
        <v>778</v>
      </c>
      <c r="H21602" s="69">
        <v>0.34833333333333333</v>
      </c>
    </row>
    <row r="21603" spans="6:8">
      <c r="F21603" s="68" t="s">
        <v>315</v>
      </c>
      <c r="G21603" s="67" t="s">
        <v>778</v>
      </c>
      <c r="H21603" s="69">
        <v>-0.3</v>
      </c>
    </row>
    <row r="21604" spans="6:8">
      <c r="F21604" s="68" t="s">
        <v>122</v>
      </c>
      <c r="G21604" s="67" t="s">
        <v>778</v>
      </c>
      <c r="H21604" s="69">
        <v>-0.88500000000000001</v>
      </c>
    </row>
    <row r="21605" spans="6:8">
      <c r="F21605" s="68" t="s">
        <v>123</v>
      </c>
      <c r="G21605" s="67" t="s">
        <v>778</v>
      </c>
      <c r="H21605" s="69">
        <v>-0.995</v>
      </c>
    </row>
    <row r="21606" spans="6:8">
      <c r="F21606" s="68" t="s">
        <v>124</v>
      </c>
      <c r="G21606" s="67" t="s">
        <v>778</v>
      </c>
      <c r="H21606" s="69">
        <v>-0.59499999999999997</v>
      </c>
    </row>
    <row r="21607" spans="6:8">
      <c r="F21607" s="68" t="s">
        <v>252</v>
      </c>
      <c r="G21607" s="67" t="s">
        <v>778</v>
      </c>
      <c r="H21607" s="69">
        <v>0.21999999999999997</v>
      </c>
    </row>
    <row r="21608" spans="6:8">
      <c r="F21608" s="68" t="s">
        <v>314</v>
      </c>
      <c r="G21608" s="67" t="s">
        <v>778</v>
      </c>
      <c r="H21608" s="69">
        <v>-0.58000000000000007</v>
      </c>
    </row>
    <row r="21609" spans="6:8">
      <c r="F21609" s="68" t="s">
        <v>119</v>
      </c>
      <c r="G21609" s="67" t="s">
        <v>778</v>
      </c>
      <c r="H21609" s="69">
        <v>-0.92500000000000004</v>
      </c>
    </row>
    <row r="21610" spans="6:8">
      <c r="F21610" s="68" t="s">
        <v>120</v>
      </c>
      <c r="G21610" s="67" t="s">
        <v>778</v>
      </c>
      <c r="H21610" s="69">
        <v>-0.8</v>
      </c>
    </row>
    <row r="21611" spans="6:8">
      <c r="F21611" s="68" t="s">
        <v>121</v>
      </c>
      <c r="G21611" s="67" t="s">
        <v>778</v>
      </c>
      <c r="H21611" s="69">
        <v>-0.67999999999999994</v>
      </c>
    </row>
    <row r="21612" spans="6:8">
      <c r="F21612" s="68" t="s">
        <v>251</v>
      </c>
      <c r="G21612" s="67" t="s">
        <v>778</v>
      </c>
      <c r="H21612" s="69">
        <v>0.16666666666666666</v>
      </c>
    </row>
    <row r="21613" spans="6:8">
      <c r="F21613" s="68" t="s">
        <v>420</v>
      </c>
      <c r="G21613" s="67" t="s">
        <v>778</v>
      </c>
      <c r="H21613" s="69">
        <v>2.9940977333827501</v>
      </c>
    </row>
    <row r="21614" spans="6:8">
      <c r="F21614" s="68" t="s">
        <v>420</v>
      </c>
      <c r="G21614" s="67" t="s">
        <v>779</v>
      </c>
      <c r="H21614" s="69">
        <v>2.982257942624944</v>
      </c>
    </row>
    <row r="21615" spans="6:8">
      <c r="F21615" s="68" t="s">
        <v>251</v>
      </c>
      <c r="G21615" s="67" t="s">
        <v>779</v>
      </c>
      <c r="H21615" s="69">
        <v>0.16666666666666666</v>
      </c>
    </row>
    <row r="21616" spans="6:8">
      <c r="F21616" s="68" t="s">
        <v>121</v>
      </c>
      <c r="G21616" s="67" t="s">
        <v>779</v>
      </c>
      <c r="H21616" s="69">
        <v>-0.67999999999999994</v>
      </c>
    </row>
    <row r="21617" spans="6:8">
      <c r="F21617" s="68" t="s">
        <v>120</v>
      </c>
      <c r="G21617" s="67" t="s">
        <v>779</v>
      </c>
      <c r="H21617" s="69">
        <v>-0.8</v>
      </c>
    </row>
    <row r="21618" spans="6:8">
      <c r="F21618" s="68" t="s">
        <v>119</v>
      </c>
      <c r="G21618" s="67" t="s">
        <v>779</v>
      </c>
      <c r="H21618" s="69">
        <v>-0.92500000000000004</v>
      </c>
    </row>
    <row r="21619" spans="6:8">
      <c r="F21619" s="68" t="s">
        <v>314</v>
      </c>
      <c r="G21619" s="67" t="s">
        <v>779</v>
      </c>
      <c r="H21619" s="69">
        <v>-0.58000000000000007</v>
      </c>
    </row>
    <row r="21620" spans="6:8">
      <c r="F21620" s="68" t="s">
        <v>252</v>
      </c>
      <c r="G21620" s="67" t="s">
        <v>779</v>
      </c>
      <c r="H21620" s="69">
        <v>0.21999999999999997</v>
      </c>
    </row>
    <row r="21621" spans="6:8">
      <c r="F21621" s="68" t="s">
        <v>124</v>
      </c>
      <c r="G21621" s="67" t="s">
        <v>779</v>
      </c>
      <c r="H21621" s="69">
        <v>-0.59499999999999997</v>
      </c>
    </row>
    <row r="21622" spans="6:8">
      <c r="F21622" s="68" t="s">
        <v>123</v>
      </c>
      <c r="G21622" s="67" t="s">
        <v>779</v>
      </c>
      <c r="H21622" s="69">
        <v>-0.995</v>
      </c>
    </row>
    <row r="21623" spans="6:8">
      <c r="F21623" s="68" t="s">
        <v>122</v>
      </c>
      <c r="G21623" s="67" t="s">
        <v>779</v>
      </c>
      <c r="H21623" s="69">
        <v>-0.88500000000000001</v>
      </c>
    </row>
    <row r="21624" spans="6:8">
      <c r="F21624" s="68" t="s">
        <v>315</v>
      </c>
      <c r="G21624" s="67" t="s">
        <v>779</v>
      </c>
      <c r="H21624" s="69">
        <v>-0.3</v>
      </c>
    </row>
    <row r="21625" spans="6:8">
      <c r="F21625" s="68" t="s">
        <v>253</v>
      </c>
      <c r="G21625" s="67" t="s">
        <v>779</v>
      </c>
      <c r="H21625" s="69">
        <v>0.34833333333333333</v>
      </c>
    </row>
    <row r="21626" spans="6:8">
      <c r="F21626" s="68" t="s">
        <v>127</v>
      </c>
      <c r="G21626" s="67" t="s">
        <v>779</v>
      </c>
      <c r="H21626" s="69">
        <v>-0.47</v>
      </c>
    </row>
    <row r="21627" spans="6:8">
      <c r="F21627" s="68" t="s">
        <v>126</v>
      </c>
      <c r="G21627" s="67" t="s">
        <v>779</v>
      </c>
      <c r="H21627" s="69">
        <v>-0.96</v>
      </c>
    </row>
    <row r="21628" spans="6:8">
      <c r="F21628" s="68" t="s">
        <v>125</v>
      </c>
      <c r="G21628" s="67" t="s">
        <v>779</v>
      </c>
      <c r="H21628" s="69">
        <v>-0.64500000000000002</v>
      </c>
    </row>
    <row r="21629" spans="6:8">
      <c r="F21629" s="68" t="s">
        <v>567</v>
      </c>
      <c r="G21629" s="67" t="s">
        <v>779</v>
      </c>
      <c r="H21629" s="69">
        <v>-1.0649999999999999</v>
      </c>
    </row>
    <row r="21630" spans="6:8">
      <c r="F21630" s="68" t="s">
        <v>421</v>
      </c>
      <c r="G21630" s="67" t="s">
        <v>779</v>
      </c>
      <c r="H21630" s="69">
        <v>1.9790567214963417</v>
      </c>
    </row>
    <row r="21631" spans="6:8">
      <c r="F21631" s="68" t="s">
        <v>254</v>
      </c>
      <c r="G21631" s="67" t="s">
        <v>779</v>
      </c>
      <c r="H21631" s="69">
        <v>0.48499999999999993</v>
      </c>
    </row>
    <row r="21632" spans="6:8">
      <c r="F21632" s="68" t="s">
        <v>304</v>
      </c>
      <c r="G21632" s="67" t="s">
        <v>779</v>
      </c>
      <c r="H21632" s="69">
        <v>18.239583333333332</v>
      </c>
    </row>
    <row r="21633" spans="6:8">
      <c r="F21633" s="68" t="s">
        <v>129</v>
      </c>
      <c r="G21633" s="67" t="s">
        <v>779</v>
      </c>
      <c r="H21633" s="69">
        <v>-0.75</v>
      </c>
    </row>
    <row r="21634" spans="6:8">
      <c r="F21634" s="68" t="s">
        <v>128</v>
      </c>
      <c r="G21634" s="67" t="s">
        <v>779</v>
      </c>
      <c r="H21634" s="69">
        <v>-0.91999999999999993</v>
      </c>
    </row>
    <row r="21635" spans="6:8">
      <c r="F21635" s="68" t="s">
        <v>568</v>
      </c>
      <c r="G21635" s="67" t="s">
        <v>779</v>
      </c>
      <c r="H21635" s="69">
        <v>-0.58000000000000007</v>
      </c>
    </row>
    <row r="21636" spans="6:8">
      <c r="F21636" s="68" t="s">
        <v>422</v>
      </c>
      <c r="G21636" s="67" t="s">
        <v>779</v>
      </c>
      <c r="H21636" s="69">
        <v>1.9844340898584445</v>
      </c>
    </row>
    <row r="21637" spans="6:8">
      <c r="F21637" s="68" t="s">
        <v>255</v>
      </c>
      <c r="G21637" s="67" t="s">
        <v>779</v>
      </c>
      <c r="H21637" s="69">
        <v>0.64333333333333342</v>
      </c>
    </row>
    <row r="21638" spans="6:8">
      <c r="F21638" s="68" t="s">
        <v>303</v>
      </c>
      <c r="G21638" s="67" t="s">
        <v>779</v>
      </c>
      <c r="H21638" s="69">
        <v>18.260416666666668</v>
      </c>
    </row>
    <row r="21639" spans="6:8">
      <c r="F21639" s="68" t="s">
        <v>131</v>
      </c>
      <c r="G21639" s="67" t="s">
        <v>779</v>
      </c>
      <c r="H21639" s="69">
        <v>-0.58000000000000007</v>
      </c>
    </row>
    <row r="21640" spans="6:8">
      <c r="F21640" s="68" t="s">
        <v>130</v>
      </c>
      <c r="G21640" s="67" t="s">
        <v>779</v>
      </c>
      <c r="H21640" s="69">
        <v>-1.0750000000000002</v>
      </c>
    </row>
    <row r="21641" spans="6:8">
      <c r="F21641" s="68" t="s">
        <v>569</v>
      </c>
      <c r="G21641" s="67" t="s">
        <v>779</v>
      </c>
      <c r="H21641" s="69">
        <v>-0.29499999999999998</v>
      </c>
    </row>
    <row r="21642" spans="6:8">
      <c r="F21642" s="68" t="s">
        <v>423</v>
      </c>
      <c r="G21642" s="67" t="s">
        <v>779</v>
      </c>
      <c r="H21642" s="69">
        <v>2.1552268515837802</v>
      </c>
    </row>
    <row r="21643" spans="6:8">
      <c r="F21643" s="68" t="s">
        <v>256</v>
      </c>
      <c r="G21643" s="67" t="s">
        <v>779</v>
      </c>
      <c r="H21643" s="69">
        <v>0.75666666666666671</v>
      </c>
    </row>
    <row r="21644" spans="6:8">
      <c r="F21644" s="68" t="s">
        <v>133</v>
      </c>
      <c r="G21644" s="67" t="s">
        <v>779</v>
      </c>
      <c r="H21644" s="69">
        <v>-0.64500000000000002</v>
      </c>
    </row>
    <row r="21645" spans="6:8">
      <c r="F21645" s="68" t="s">
        <v>132</v>
      </c>
      <c r="G21645" s="67" t="s">
        <v>779</v>
      </c>
      <c r="H21645" s="69">
        <v>-1</v>
      </c>
    </row>
    <row r="21646" spans="6:8">
      <c r="F21646" s="68" t="s">
        <v>424</v>
      </c>
      <c r="G21646" s="67" t="s">
        <v>779</v>
      </c>
      <c r="H21646" s="69">
        <v>2.7600939668305458</v>
      </c>
    </row>
    <row r="21647" spans="6:8">
      <c r="F21647" s="68" t="s">
        <v>258</v>
      </c>
      <c r="G21647" s="67" t="s">
        <v>779</v>
      </c>
      <c r="H21647" s="69">
        <v>0.15</v>
      </c>
    </row>
    <row r="21648" spans="6:8">
      <c r="F21648" s="68" t="s">
        <v>257</v>
      </c>
      <c r="G21648" s="67" t="s">
        <v>779</v>
      </c>
      <c r="H21648" s="69">
        <v>0.83399999999999996</v>
      </c>
    </row>
    <row r="21649" spans="6:8">
      <c r="F21649" s="68" t="s">
        <v>135</v>
      </c>
      <c r="G21649" s="67" t="s">
        <v>779</v>
      </c>
      <c r="H21649" s="69">
        <v>-0.84499999999999997</v>
      </c>
    </row>
    <row r="21650" spans="6:8">
      <c r="F21650" s="68" t="s">
        <v>134</v>
      </c>
      <c r="G21650" s="67" t="s">
        <v>779</v>
      </c>
      <c r="H21650" s="69">
        <v>-0.95500000000000007</v>
      </c>
    </row>
    <row r="21651" spans="6:8">
      <c r="F21651" s="68" t="s">
        <v>425</v>
      </c>
      <c r="G21651" s="67" t="s">
        <v>779</v>
      </c>
      <c r="H21651" s="69">
        <v>2.7680068003906211</v>
      </c>
    </row>
    <row r="21652" spans="6:8">
      <c r="F21652" s="68" t="s">
        <v>259</v>
      </c>
      <c r="G21652" s="67" t="s">
        <v>779</v>
      </c>
      <c r="H21652" s="69">
        <v>0.14333333333333334</v>
      </c>
    </row>
    <row r="21653" spans="6:8">
      <c r="F21653" s="68" t="s">
        <v>138</v>
      </c>
      <c r="G21653" s="67" t="s">
        <v>779</v>
      </c>
      <c r="H21653" s="69">
        <v>-0.76</v>
      </c>
    </row>
    <row r="21654" spans="6:8">
      <c r="F21654" s="68" t="s">
        <v>137</v>
      </c>
      <c r="G21654" s="67" t="s">
        <v>779</v>
      </c>
      <c r="H21654" s="69">
        <v>-0.65999999999999992</v>
      </c>
    </row>
    <row r="21655" spans="6:8">
      <c r="F21655" s="68" t="s">
        <v>136</v>
      </c>
      <c r="G21655" s="67" t="s">
        <v>779</v>
      </c>
      <c r="H21655" s="69">
        <v>-1.03</v>
      </c>
    </row>
    <row r="21656" spans="6:8">
      <c r="F21656" s="68" t="s">
        <v>136</v>
      </c>
      <c r="G21656" s="67" t="s">
        <v>780</v>
      </c>
      <c r="H21656" s="69">
        <v>-1.03</v>
      </c>
    </row>
    <row r="21657" spans="6:8">
      <c r="F21657" s="68" t="s">
        <v>137</v>
      </c>
      <c r="G21657" s="67" t="s">
        <v>780</v>
      </c>
      <c r="H21657" s="69">
        <v>-0.65999999999999992</v>
      </c>
    </row>
    <row r="21658" spans="6:8">
      <c r="F21658" s="68" t="s">
        <v>138</v>
      </c>
      <c r="G21658" s="67" t="s">
        <v>780</v>
      </c>
      <c r="H21658" s="69">
        <v>-0.76</v>
      </c>
    </row>
    <row r="21659" spans="6:8">
      <c r="F21659" s="68" t="s">
        <v>259</v>
      </c>
      <c r="G21659" s="67" t="s">
        <v>780</v>
      </c>
      <c r="H21659" s="69">
        <v>0.14333333333333334</v>
      </c>
    </row>
    <row r="21660" spans="6:8">
      <c r="F21660" s="68" t="s">
        <v>425</v>
      </c>
      <c r="G21660" s="67" t="s">
        <v>780</v>
      </c>
      <c r="H21660" s="69">
        <v>2.7919411360500579</v>
      </c>
    </row>
    <row r="21661" spans="6:8">
      <c r="F21661" s="68" t="s">
        <v>134</v>
      </c>
      <c r="G21661" s="67" t="s">
        <v>780</v>
      </c>
      <c r="H21661" s="69">
        <v>-0.95500000000000007</v>
      </c>
    </row>
    <row r="21662" spans="6:8">
      <c r="F21662" s="68" t="s">
        <v>135</v>
      </c>
      <c r="G21662" s="67" t="s">
        <v>780</v>
      </c>
      <c r="H21662" s="69">
        <v>-0.84499999999999997</v>
      </c>
    </row>
    <row r="21663" spans="6:8">
      <c r="F21663" s="68" t="s">
        <v>257</v>
      </c>
      <c r="G21663" s="67" t="s">
        <v>780</v>
      </c>
      <c r="H21663" s="69">
        <v>0.83399999999999996</v>
      </c>
    </row>
    <row r="21664" spans="6:8">
      <c r="F21664" s="68" t="s">
        <v>258</v>
      </c>
      <c r="G21664" s="67" t="s">
        <v>780</v>
      </c>
      <c r="H21664" s="69">
        <v>0.15</v>
      </c>
    </row>
    <row r="21665" spans="6:8">
      <c r="F21665" s="68" t="s">
        <v>424</v>
      </c>
      <c r="G21665" s="67" t="s">
        <v>780</v>
      </c>
      <c r="H21665" s="69">
        <v>2.7840954438753229</v>
      </c>
    </row>
    <row r="21666" spans="6:8">
      <c r="F21666" s="68" t="s">
        <v>132</v>
      </c>
      <c r="G21666" s="67" t="s">
        <v>780</v>
      </c>
      <c r="H21666" s="69">
        <v>-1</v>
      </c>
    </row>
    <row r="21667" spans="6:8">
      <c r="F21667" s="68" t="s">
        <v>133</v>
      </c>
      <c r="G21667" s="67" t="s">
        <v>780</v>
      </c>
      <c r="H21667" s="69">
        <v>-0.64500000000000002</v>
      </c>
    </row>
    <row r="21668" spans="6:8">
      <c r="F21668" s="68" t="s">
        <v>256</v>
      </c>
      <c r="G21668" s="67" t="s">
        <v>780</v>
      </c>
      <c r="H21668" s="69">
        <v>0.75666666666666671</v>
      </c>
    </row>
    <row r="21669" spans="6:8">
      <c r="F21669" s="68" t="s">
        <v>423</v>
      </c>
      <c r="G21669" s="67" t="s">
        <v>780</v>
      </c>
      <c r="H21669" s="69">
        <v>2.1797466261394671</v>
      </c>
    </row>
    <row r="21670" spans="6:8">
      <c r="F21670" s="68" t="s">
        <v>569</v>
      </c>
      <c r="G21670" s="67" t="s">
        <v>780</v>
      </c>
      <c r="H21670" s="69">
        <v>-0.29499999999999998</v>
      </c>
    </row>
    <row r="21671" spans="6:8">
      <c r="F21671" s="68" t="s">
        <v>130</v>
      </c>
      <c r="G21671" s="67" t="s">
        <v>780</v>
      </c>
      <c r="H21671" s="69">
        <v>-1.0750000000000002</v>
      </c>
    </row>
    <row r="21672" spans="6:8">
      <c r="F21672" s="68" t="s">
        <v>131</v>
      </c>
      <c r="G21672" s="67" t="s">
        <v>780</v>
      </c>
      <c r="H21672" s="69">
        <v>-0.58000000000000007</v>
      </c>
    </row>
    <row r="21673" spans="6:8">
      <c r="F21673" s="68" t="s">
        <v>303</v>
      </c>
      <c r="G21673" s="67" t="s">
        <v>780</v>
      </c>
      <c r="H21673" s="69">
        <v>18.28125</v>
      </c>
    </row>
    <row r="21674" spans="6:8">
      <c r="F21674" s="68" t="s">
        <v>255</v>
      </c>
      <c r="G21674" s="67" t="s">
        <v>780</v>
      </c>
      <c r="H21674" s="69">
        <v>0.64333333333333342</v>
      </c>
    </row>
    <row r="21675" spans="6:8">
      <c r="F21675" s="68" t="s">
        <v>422</v>
      </c>
      <c r="G21675" s="67" t="s">
        <v>780</v>
      </c>
      <c r="H21675" s="69">
        <v>2.0130836758814219</v>
      </c>
    </row>
    <row r="21676" spans="6:8">
      <c r="F21676" s="68" t="s">
        <v>568</v>
      </c>
      <c r="G21676" s="67" t="s">
        <v>780</v>
      </c>
      <c r="H21676" s="69">
        <v>-0.58000000000000007</v>
      </c>
    </row>
    <row r="21677" spans="6:8">
      <c r="F21677" s="68" t="s">
        <v>128</v>
      </c>
      <c r="G21677" s="67" t="s">
        <v>780</v>
      </c>
      <c r="H21677" s="69">
        <v>-0.91999999999999993</v>
      </c>
    </row>
    <row r="21678" spans="6:8">
      <c r="F21678" s="68" t="s">
        <v>129</v>
      </c>
      <c r="G21678" s="67" t="s">
        <v>780</v>
      </c>
      <c r="H21678" s="69">
        <v>-0.75</v>
      </c>
    </row>
    <row r="21679" spans="6:8">
      <c r="F21679" s="68" t="s">
        <v>304</v>
      </c>
      <c r="G21679" s="67" t="s">
        <v>780</v>
      </c>
      <c r="H21679" s="69">
        <v>18.239583333333332</v>
      </c>
    </row>
    <row r="21680" spans="6:8">
      <c r="F21680" s="68" t="s">
        <v>254</v>
      </c>
      <c r="G21680" s="67" t="s">
        <v>780</v>
      </c>
      <c r="H21680" s="69">
        <v>0.48499999999999993</v>
      </c>
    </row>
    <row r="21681" spans="6:8">
      <c r="F21681" s="68" t="s">
        <v>421</v>
      </c>
      <c r="G21681" s="67" t="s">
        <v>780</v>
      </c>
      <c r="H21681" s="69">
        <v>2.0076612753469281</v>
      </c>
    </row>
    <row r="21682" spans="6:8">
      <c r="F21682" s="68" t="s">
        <v>567</v>
      </c>
      <c r="G21682" s="67" t="s">
        <v>780</v>
      </c>
      <c r="H21682" s="69">
        <v>-1.0649999999999999</v>
      </c>
    </row>
    <row r="21683" spans="6:8">
      <c r="F21683" s="68" t="s">
        <v>125</v>
      </c>
      <c r="G21683" s="67" t="s">
        <v>780</v>
      </c>
      <c r="H21683" s="69">
        <v>-0.64500000000000002</v>
      </c>
    </row>
    <row r="21684" spans="6:8">
      <c r="F21684" s="68" t="s">
        <v>126</v>
      </c>
      <c r="G21684" s="67" t="s">
        <v>780</v>
      </c>
      <c r="H21684" s="69">
        <v>-0.96</v>
      </c>
    </row>
    <row r="21685" spans="6:8">
      <c r="F21685" s="68" t="s">
        <v>127</v>
      </c>
      <c r="G21685" s="67" t="s">
        <v>780</v>
      </c>
      <c r="H21685" s="69">
        <v>-0.47</v>
      </c>
    </row>
    <row r="21686" spans="6:8">
      <c r="F21686" s="68" t="s">
        <v>253</v>
      </c>
      <c r="G21686" s="67" t="s">
        <v>780</v>
      </c>
      <c r="H21686" s="69">
        <v>0.34833333333333333</v>
      </c>
    </row>
    <row r="21687" spans="6:8">
      <c r="F21687" s="68" t="s">
        <v>315</v>
      </c>
      <c r="G21687" s="67" t="s">
        <v>780</v>
      </c>
      <c r="H21687" s="69">
        <v>-0.3</v>
      </c>
    </row>
    <row r="21688" spans="6:8">
      <c r="F21688" s="68" t="s">
        <v>122</v>
      </c>
      <c r="G21688" s="67" t="s">
        <v>780</v>
      </c>
      <c r="H21688" s="69">
        <v>-0.88500000000000001</v>
      </c>
    </row>
    <row r="21689" spans="6:8">
      <c r="F21689" s="68" t="s">
        <v>123</v>
      </c>
      <c r="G21689" s="67" t="s">
        <v>780</v>
      </c>
      <c r="H21689" s="69">
        <v>-0.995</v>
      </c>
    </row>
    <row r="21690" spans="6:8">
      <c r="F21690" s="68" t="s">
        <v>124</v>
      </c>
      <c r="G21690" s="67" t="s">
        <v>780</v>
      </c>
      <c r="H21690" s="69">
        <v>-0.59499999999999997</v>
      </c>
    </row>
    <row r="21691" spans="6:8">
      <c r="F21691" s="68" t="s">
        <v>252</v>
      </c>
      <c r="G21691" s="67" t="s">
        <v>780</v>
      </c>
      <c r="H21691" s="69">
        <v>0.21999999999999997</v>
      </c>
    </row>
    <row r="21692" spans="6:8">
      <c r="F21692" s="68" t="s">
        <v>314</v>
      </c>
      <c r="G21692" s="67" t="s">
        <v>780</v>
      </c>
      <c r="H21692" s="69">
        <v>-0.58000000000000007</v>
      </c>
    </row>
    <row r="21693" spans="6:8">
      <c r="F21693" s="68" t="s">
        <v>119</v>
      </c>
      <c r="G21693" s="67" t="s">
        <v>780</v>
      </c>
      <c r="H21693" s="69">
        <v>-0.92500000000000004</v>
      </c>
    </row>
    <row r="21694" spans="6:8">
      <c r="F21694" s="68" t="s">
        <v>120</v>
      </c>
      <c r="G21694" s="67" t="s">
        <v>780</v>
      </c>
      <c r="H21694" s="69">
        <v>-0.8</v>
      </c>
    </row>
    <row r="21695" spans="6:8">
      <c r="F21695" s="68" t="s">
        <v>121</v>
      </c>
      <c r="G21695" s="67" t="s">
        <v>780</v>
      </c>
      <c r="H21695" s="69">
        <v>-0.67999999999999994</v>
      </c>
    </row>
    <row r="21696" spans="6:8">
      <c r="F21696" s="68" t="s">
        <v>251</v>
      </c>
      <c r="G21696" s="67" t="s">
        <v>780</v>
      </c>
      <c r="H21696" s="69">
        <v>0.16666666666666666</v>
      </c>
    </row>
    <row r="21697" spans="6:8">
      <c r="F21697" s="68" t="s">
        <v>420</v>
      </c>
      <c r="G21697" s="67" t="s">
        <v>780</v>
      </c>
      <c r="H21697" s="69">
        <v>3.00505188770952</v>
      </c>
    </row>
    <row r="21698" spans="6:8">
      <c r="F21698" s="68" t="s">
        <v>420</v>
      </c>
      <c r="G21698" s="67" t="s">
        <v>781</v>
      </c>
      <c r="H21698" s="69">
        <v>2.9824542230370898</v>
      </c>
    </row>
    <row r="21699" spans="6:8">
      <c r="F21699" s="68" t="s">
        <v>251</v>
      </c>
      <c r="G21699" s="67" t="s">
        <v>781</v>
      </c>
      <c r="H21699" s="69">
        <v>0.16666666666666666</v>
      </c>
    </row>
    <row r="21700" spans="6:8">
      <c r="F21700" s="68" t="s">
        <v>121</v>
      </c>
      <c r="G21700" s="67" t="s">
        <v>781</v>
      </c>
      <c r="H21700" s="69">
        <v>-0.67999999999999994</v>
      </c>
    </row>
    <row r="21701" spans="6:8">
      <c r="F21701" s="68" t="s">
        <v>120</v>
      </c>
      <c r="G21701" s="67" t="s">
        <v>781</v>
      </c>
      <c r="H21701" s="69">
        <v>-0.8</v>
      </c>
    </row>
    <row r="21702" spans="6:8">
      <c r="F21702" s="68" t="s">
        <v>119</v>
      </c>
      <c r="G21702" s="67" t="s">
        <v>781</v>
      </c>
      <c r="H21702" s="69">
        <v>-0.92500000000000004</v>
      </c>
    </row>
    <row r="21703" spans="6:8">
      <c r="F21703" s="68" t="s">
        <v>314</v>
      </c>
      <c r="G21703" s="67" t="s">
        <v>781</v>
      </c>
      <c r="H21703" s="69">
        <v>-0.58000000000000007</v>
      </c>
    </row>
    <row r="21704" spans="6:8">
      <c r="F21704" s="68" t="s">
        <v>252</v>
      </c>
      <c r="G21704" s="67" t="s">
        <v>781</v>
      </c>
      <c r="H21704" s="69">
        <v>0.21999999999999997</v>
      </c>
    </row>
    <row r="21705" spans="6:8">
      <c r="F21705" s="68" t="s">
        <v>124</v>
      </c>
      <c r="G21705" s="67" t="s">
        <v>781</v>
      </c>
      <c r="H21705" s="69">
        <v>-0.59499999999999997</v>
      </c>
    </row>
    <row r="21706" spans="6:8">
      <c r="F21706" s="68" t="s">
        <v>123</v>
      </c>
      <c r="G21706" s="67" t="s">
        <v>781</v>
      </c>
      <c r="H21706" s="69">
        <v>-0.995</v>
      </c>
    </row>
    <row r="21707" spans="6:8">
      <c r="F21707" s="68" t="s">
        <v>122</v>
      </c>
      <c r="G21707" s="67" t="s">
        <v>781</v>
      </c>
      <c r="H21707" s="69">
        <v>-0.88500000000000001</v>
      </c>
    </row>
    <row r="21708" spans="6:8">
      <c r="F21708" s="68" t="s">
        <v>315</v>
      </c>
      <c r="G21708" s="67" t="s">
        <v>781</v>
      </c>
      <c r="H21708" s="69">
        <v>-0.3</v>
      </c>
    </row>
    <row r="21709" spans="6:8">
      <c r="F21709" s="68" t="s">
        <v>253</v>
      </c>
      <c r="G21709" s="67" t="s">
        <v>781</v>
      </c>
      <c r="H21709" s="69">
        <v>0.34833333333333333</v>
      </c>
    </row>
    <row r="21710" spans="6:8">
      <c r="F21710" s="68" t="s">
        <v>127</v>
      </c>
      <c r="G21710" s="67" t="s">
        <v>781</v>
      </c>
      <c r="H21710" s="69">
        <v>-0.47</v>
      </c>
    </row>
    <row r="21711" spans="6:8">
      <c r="F21711" s="68" t="s">
        <v>126</v>
      </c>
      <c r="G21711" s="67" t="s">
        <v>781</v>
      </c>
      <c r="H21711" s="69">
        <v>-0.96</v>
      </c>
    </row>
    <row r="21712" spans="6:8">
      <c r="F21712" s="68" t="s">
        <v>125</v>
      </c>
      <c r="G21712" s="67" t="s">
        <v>781</v>
      </c>
      <c r="H21712" s="69">
        <v>-0.64500000000000002</v>
      </c>
    </row>
    <row r="21713" spans="6:8">
      <c r="F21713" s="68" t="s">
        <v>567</v>
      </c>
      <c r="G21713" s="67" t="s">
        <v>781</v>
      </c>
      <c r="H21713" s="69">
        <v>-1.0649999999999999</v>
      </c>
    </row>
    <row r="21714" spans="6:8">
      <c r="F21714" s="68" t="s">
        <v>421</v>
      </c>
      <c r="G21714" s="67" t="s">
        <v>781</v>
      </c>
      <c r="H21714" s="69">
        <v>1.9980544140759005</v>
      </c>
    </row>
    <row r="21715" spans="6:8">
      <c r="F21715" s="68" t="s">
        <v>254</v>
      </c>
      <c r="G21715" s="67" t="s">
        <v>781</v>
      </c>
      <c r="H21715" s="69">
        <v>0.48499999999999993</v>
      </c>
    </row>
    <row r="21716" spans="6:8">
      <c r="F21716" s="68" t="s">
        <v>304</v>
      </c>
      <c r="G21716" s="67" t="s">
        <v>781</v>
      </c>
      <c r="H21716" s="69">
        <v>18.239583333333332</v>
      </c>
    </row>
    <row r="21717" spans="6:8">
      <c r="F21717" s="68" t="s">
        <v>129</v>
      </c>
      <c r="G21717" s="67" t="s">
        <v>781</v>
      </c>
      <c r="H21717" s="69">
        <v>-0.75</v>
      </c>
    </row>
    <row r="21718" spans="6:8">
      <c r="F21718" s="68" t="s">
        <v>128</v>
      </c>
      <c r="G21718" s="67" t="s">
        <v>781</v>
      </c>
      <c r="H21718" s="69">
        <v>-0.91999999999999993</v>
      </c>
    </row>
    <row r="21719" spans="6:8">
      <c r="F21719" s="68" t="s">
        <v>568</v>
      </c>
      <c r="G21719" s="67" t="s">
        <v>781</v>
      </c>
      <c r="H21719" s="69">
        <v>-0.58000000000000007</v>
      </c>
    </row>
    <row r="21720" spans="6:8">
      <c r="F21720" s="68" t="s">
        <v>422</v>
      </c>
      <c r="G21720" s="67" t="s">
        <v>781</v>
      </c>
      <c r="H21720" s="69">
        <v>2.0034507608639007</v>
      </c>
    </row>
    <row r="21721" spans="6:8">
      <c r="F21721" s="68" t="s">
        <v>255</v>
      </c>
      <c r="G21721" s="67" t="s">
        <v>781</v>
      </c>
      <c r="H21721" s="69">
        <v>0.64333333333333342</v>
      </c>
    </row>
    <row r="21722" spans="6:8">
      <c r="F21722" s="68" t="s">
        <v>303</v>
      </c>
      <c r="G21722" s="67" t="s">
        <v>781</v>
      </c>
      <c r="H21722" s="69">
        <v>18.28125</v>
      </c>
    </row>
    <row r="21723" spans="6:8">
      <c r="F21723" s="68" t="s">
        <v>131</v>
      </c>
      <c r="G21723" s="67" t="s">
        <v>781</v>
      </c>
      <c r="H21723" s="69">
        <v>-0.58000000000000007</v>
      </c>
    </row>
    <row r="21724" spans="6:8">
      <c r="F21724" s="68" t="s">
        <v>130</v>
      </c>
      <c r="G21724" s="67" t="s">
        <v>781</v>
      </c>
      <c r="H21724" s="69">
        <v>-1.0750000000000002</v>
      </c>
    </row>
    <row r="21725" spans="6:8">
      <c r="F21725" s="68" t="s">
        <v>569</v>
      </c>
      <c r="G21725" s="67" t="s">
        <v>781</v>
      </c>
      <c r="H21725" s="69">
        <v>-0.29499999999999998</v>
      </c>
    </row>
    <row r="21726" spans="6:8">
      <c r="F21726" s="68" t="s">
        <v>423</v>
      </c>
      <c r="G21726" s="67" t="s">
        <v>781</v>
      </c>
      <c r="H21726" s="69">
        <v>2.1707880663978329</v>
      </c>
    </row>
    <row r="21727" spans="6:8">
      <c r="F21727" s="68" t="s">
        <v>256</v>
      </c>
      <c r="G21727" s="67" t="s">
        <v>781</v>
      </c>
      <c r="H21727" s="69">
        <v>0.75666666666666671</v>
      </c>
    </row>
    <row r="21728" spans="6:8">
      <c r="F21728" s="68" t="s">
        <v>133</v>
      </c>
      <c r="G21728" s="67" t="s">
        <v>781</v>
      </c>
      <c r="H21728" s="69">
        <v>-0.64500000000000002</v>
      </c>
    </row>
    <row r="21729" spans="6:8">
      <c r="F21729" s="68" t="s">
        <v>132</v>
      </c>
      <c r="G21729" s="67" t="s">
        <v>781</v>
      </c>
      <c r="H21729" s="69">
        <v>-1</v>
      </c>
    </row>
    <row r="21730" spans="6:8">
      <c r="F21730" s="68" t="s">
        <v>424</v>
      </c>
      <c r="G21730" s="67" t="s">
        <v>781</v>
      </c>
      <c r="H21730" s="69">
        <v>2.7662073525013042</v>
      </c>
    </row>
    <row r="21731" spans="6:8">
      <c r="F21731" s="68" t="s">
        <v>258</v>
      </c>
      <c r="G21731" s="67" t="s">
        <v>781</v>
      </c>
      <c r="H21731" s="69">
        <v>0.15</v>
      </c>
    </row>
    <row r="21732" spans="6:8">
      <c r="F21732" s="68" t="s">
        <v>257</v>
      </c>
      <c r="G21732" s="67" t="s">
        <v>781</v>
      </c>
      <c r="H21732" s="69">
        <v>0.83399999999999996</v>
      </c>
    </row>
    <row r="21733" spans="6:8">
      <c r="F21733" s="68" t="s">
        <v>135</v>
      </c>
      <c r="G21733" s="67" t="s">
        <v>781</v>
      </c>
      <c r="H21733" s="69">
        <v>-0.84499999999999997</v>
      </c>
    </row>
    <row r="21734" spans="6:8">
      <c r="F21734" s="68" t="s">
        <v>134</v>
      </c>
      <c r="G21734" s="67" t="s">
        <v>781</v>
      </c>
      <c r="H21734" s="69">
        <v>-0.95500000000000007</v>
      </c>
    </row>
    <row r="21735" spans="6:8">
      <c r="F21735" s="68" t="s">
        <v>425</v>
      </c>
      <c r="G21735" s="67" t="s">
        <v>781</v>
      </c>
      <c r="H21735" s="69">
        <v>2.7729076923280971</v>
      </c>
    </row>
    <row r="21736" spans="6:8">
      <c r="F21736" s="68" t="s">
        <v>259</v>
      </c>
      <c r="G21736" s="67" t="s">
        <v>781</v>
      </c>
      <c r="H21736" s="69">
        <v>0.14333333333333334</v>
      </c>
    </row>
    <row r="21737" spans="6:8">
      <c r="F21737" s="68" t="s">
        <v>138</v>
      </c>
      <c r="G21737" s="67" t="s">
        <v>781</v>
      </c>
      <c r="H21737" s="69">
        <v>-0.76</v>
      </c>
    </row>
    <row r="21738" spans="6:8">
      <c r="F21738" s="68" t="s">
        <v>137</v>
      </c>
      <c r="G21738" s="67" t="s">
        <v>781</v>
      </c>
      <c r="H21738" s="69">
        <v>-0.65999999999999992</v>
      </c>
    </row>
    <row r="21739" spans="6:8">
      <c r="F21739" s="68" t="s">
        <v>136</v>
      </c>
      <c r="G21739" s="67" t="s">
        <v>781</v>
      </c>
      <c r="H21739" s="69">
        <v>-1.03</v>
      </c>
    </row>
    <row r="21740" spans="6:8">
      <c r="F21740" s="68" t="s">
        <v>136</v>
      </c>
      <c r="G21740" s="67" t="s">
        <v>782</v>
      </c>
      <c r="H21740" s="69">
        <v>-1.0350000000000001</v>
      </c>
    </row>
    <row r="21741" spans="6:8">
      <c r="F21741" s="68" t="s">
        <v>137</v>
      </c>
      <c r="G21741" s="67" t="s">
        <v>782</v>
      </c>
      <c r="H21741" s="69">
        <v>-0.65999999999999992</v>
      </c>
    </row>
    <row r="21742" spans="6:8">
      <c r="F21742" s="68" t="s">
        <v>138</v>
      </c>
      <c r="G21742" s="67" t="s">
        <v>782</v>
      </c>
      <c r="H21742" s="69">
        <v>-0.77499999999999991</v>
      </c>
    </row>
    <row r="21743" spans="6:8">
      <c r="F21743" s="68" t="s">
        <v>259</v>
      </c>
      <c r="G21743" s="67" t="s">
        <v>782</v>
      </c>
      <c r="H21743" s="69">
        <v>0.14333333333333334</v>
      </c>
    </row>
    <row r="21744" spans="6:8">
      <c r="F21744" s="68" t="s">
        <v>425</v>
      </c>
      <c r="G21744" s="67" t="s">
        <v>782</v>
      </c>
      <c r="H21744" s="69">
        <v>2.7567530704383447</v>
      </c>
    </row>
    <row r="21745" spans="6:8">
      <c r="F21745" s="68" t="s">
        <v>134</v>
      </c>
      <c r="G21745" s="67" t="s">
        <v>782</v>
      </c>
      <c r="H21745" s="69">
        <v>-0.96</v>
      </c>
    </row>
    <row r="21746" spans="6:8">
      <c r="F21746" s="68" t="s">
        <v>135</v>
      </c>
      <c r="G21746" s="67" t="s">
        <v>782</v>
      </c>
      <c r="H21746" s="69">
        <v>-0.84499999999999997</v>
      </c>
    </row>
    <row r="21747" spans="6:8">
      <c r="F21747" s="68" t="s">
        <v>257</v>
      </c>
      <c r="G21747" s="67" t="s">
        <v>782</v>
      </c>
      <c r="H21747" s="69">
        <v>0.83599999999999997</v>
      </c>
    </row>
    <row r="21748" spans="6:8">
      <c r="F21748" s="68" t="s">
        <v>258</v>
      </c>
      <c r="G21748" s="67" t="s">
        <v>782</v>
      </c>
      <c r="H21748" s="69">
        <v>0.15</v>
      </c>
    </row>
    <row r="21749" spans="6:8">
      <c r="F21749" s="68" t="s">
        <v>424</v>
      </c>
      <c r="G21749" s="67" t="s">
        <v>782</v>
      </c>
      <c r="H21749" s="69">
        <v>2.7502657768302186</v>
      </c>
    </row>
    <row r="21750" spans="6:8">
      <c r="F21750" s="68" t="s">
        <v>132</v>
      </c>
      <c r="G21750" s="67" t="s">
        <v>782</v>
      </c>
      <c r="H21750" s="69">
        <v>-1.0049999999999999</v>
      </c>
    </row>
    <row r="21751" spans="6:8">
      <c r="F21751" s="68" t="s">
        <v>133</v>
      </c>
      <c r="G21751" s="67" t="s">
        <v>782</v>
      </c>
      <c r="H21751" s="69">
        <v>-0.64500000000000002</v>
      </c>
    </row>
    <row r="21752" spans="6:8">
      <c r="F21752" s="68" t="s">
        <v>256</v>
      </c>
      <c r="G21752" s="67" t="s">
        <v>782</v>
      </c>
      <c r="H21752" s="69">
        <v>0.76000000000000012</v>
      </c>
    </row>
    <row r="21753" spans="6:8">
      <c r="F21753" s="68" t="s">
        <v>423</v>
      </c>
      <c r="G21753" s="67" t="s">
        <v>782</v>
      </c>
      <c r="H21753" s="69">
        <v>2.1460889945771999</v>
      </c>
    </row>
    <row r="21754" spans="6:8">
      <c r="F21754" s="68" t="s">
        <v>569</v>
      </c>
      <c r="G21754" s="67" t="s">
        <v>782</v>
      </c>
      <c r="H21754" s="69">
        <v>-0.29499999999999998</v>
      </c>
    </row>
    <row r="21755" spans="6:8">
      <c r="F21755" s="68" t="s">
        <v>130</v>
      </c>
      <c r="G21755" s="67" t="s">
        <v>782</v>
      </c>
      <c r="H21755" s="69">
        <v>-1.08</v>
      </c>
    </row>
    <row r="21756" spans="6:8">
      <c r="F21756" s="68" t="s">
        <v>131</v>
      </c>
      <c r="G21756" s="67" t="s">
        <v>782</v>
      </c>
      <c r="H21756" s="69">
        <v>-0.56000000000000005</v>
      </c>
    </row>
    <row r="21757" spans="6:8">
      <c r="F21757" s="68" t="s">
        <v>303</v>
      </c>
      <c r="G21757" s="67" t="s">
        <v>782</v>
      </c>
      <c r="H21757" s="69">
        <v>18.270833333333332</v>
      </c>
    </row>
    <row r="21758" spans="6:8">
      <c r="F21758" s="68" t="s">
        <v>255</v>
      </c>
      <c r="G21758" s="67" t="s">
        <v>782</v>
      </c>
      <c r="H21758" s="69">
        <v>0.64333333333333342</v>
      </c>
    </row>
    <row r="21759" spans="6:8">
      <c r="F21759" s="68" t="s">
        <v>422</v>
      </c>
      <c r="G21759" s="67" t="s">
        <v>782</v>
      </c>
      <c r="H21759" s="69">
        <v>1.9799174346475823</v>
      </c>
    </row>
    <row r="21760" spans="6:8">
      <c r="F21760" s="68" t="s">
        <v>568</v>
      </c>
      <c r="G21760" s="67" t="s">
        <v>782</v>
      </c>
      <c r="H21760" s="69">
        <v>-0.60499999999999998</v>
      </c>
    </row>
    <row r="21761" spans="6:8">
      <c r="F21761" s="68" t="s">
        <v>128</v>
      </c>
      <c r="G21761" s="67" t="s">
        <v>782</v>
      </c>
      <c r="H21761" s="69">
        <v>-0.91999999999999993</v>
      </c>
    </row>
    <row r="21762" spans="6:8">
      <c r="F21762" s="68" t="s">
        <v>129</v>
      </c>
      <c r="G21762" s="67" t="s">
        <v>782</v>
      </c>
      <c r="H21762" s="69">
        <v>-0.745</v>
      </c>
    </row>
    <row r="21763" spans="6:8">
      <c r="F21763" s="68" t="s">
        <v>304</v>
      </c>
      <c r="G21763" s="67" t="s">
        <v>782</v>
      </c>
      <c r="H21763" s="69">
        <v>18.229166666666668</v>
      </c>
    </row>
    <row r="21764" spans="6:8">
      <c r="F21764" s="68" t="s">
        <v>254</v>
      </c>
      <c r="G21764" s="67" t="s">
        <v>782</v>
      </c>
      <c r="H21764" s="69">
        <v>0.48499999999999993</v>
      </c>
    </row>
    <row r="21765" spans="6:8">
      <c r="F21765" s="68" t="s">
        <v>421</v>
      </c>
      <c r="G21765" s="67" t="s">
        <v>782</v>
      </c>
      <c r="H21765" s="69">
        <v>1.9745523530746212</v>
      </c>
    </row>
    <row r="21766" spans="6:8">
      <c r="F21766" s="68" t="s">
        <v>567</v>
      </c>
      <c r="G21766" s="67" t="s">
        <v>782</v>
      </c>
      <c r="H21766" s="69">
        <v>-1.0649999999999999</v>
      </c>
    </row>
    <row r="21767" spans="6:8">
      <c r="F21767" s="68" t="s">
        <v>125</v>
      </c>
      <c r="G21767" s="67" t="s">
        <v>782</v>
      </c>
      <c r="H21767" s="69">
        <v>-0.66999999999999993</v>
      </c>
    </row>
    <row r="21768" spans="6:8">
      <c r="F21768" s="68" t="s">
        <v>126</v>
      </c>
      <c r="G21768" s="67" t="s">
        <v>782</v>
      </c>
      <c r="H21768" s="69">
        <v>-0.96</v>
      </c>
    </row>
    <row r="21769" spans="6:8">
      <c r="F21769" s="68" t="s">
        <v>127</v>
      </c>
      <c r="G21769" s="67" t="s">
        <v>782</v>
      </c>
      <c r="H21769" s="69">
        <v>-0.45999999999999996</v>
      </c>
    </row>
    <row r="21770" spans="6:8">
      <c r="F21770" s="68" t="s">
        <v>253</v>
      </c>
      <c r="G21770" s="67" t="s">
        <v>782</v>
      </c>
      <c r="H21770" s="69">
        <v>0.34499999999999997</v>
      </c>
    </row>
    <row r="21771" spans="6:8">
      <c r="F21771" s="68" t="s">
        <v>315</v>
      </c>
      <c r="G21771" s="67" t="s">
        <v>782</v>
      </c>
      <c r="H21771" s="69">
        <v>-0.3</v>
      </c>
    </row>
    <row r="21772" spans="6:8">
      <c r="F21772" s="68" t="s">
        <v>122</v>
      </c>
      <c r="G21772" s="67" t="s">
        <v>782</v>
      </c>
      <c r="H21772" s="69">
        <v>-0.88500000000000001</v>
      </c>
    </row>
    <row r="21773" spans="6:8">
      <c r="F21773" s="68" t="s">
        <v>123</v>
      </c>
      <c r="G21773" s="67" t="s">
        <v>782</v>
      </c>
      <c r="H21773" s="69">
        <v>-0.99</v>
      </c>
    </row>
    <row r="21774" spans="6:8">
      <c r="F21774" s="68" t="s">
        <v>124</v>
      </c>
      <c r="G21774" s="67" t="s">
        <v>782</v>
      </c>
      <c r="H21774" s="69">
        <v>-0.62</v>
      </c>
    </row>
    <row r="21775" spans="6:8">
      <c r="F21775" s="68" t="s">
        <v>252</v>
      </c>
      <c r="G21775" s="67" t="s">
        <v>782</v>
      </c>
      <c r="H21775" s="69">
        <v>0.21999999999999997</v>
      </c>
    </row>
    <row r="21776" spans="6:8">
      <c r="F21776" s="68" t="s">
        <v>314</v>
      </c>
      <c r="G21776" s="67" t="s">
        <v>782</v>
      </c>
      <c r="H21776" s="69">
        <v>-0.61</v>
      </c>
    </row>
    <row r="21777" spans="6:8">
      <c r="F21777" s="68" t="s">
        <v>119</v>
      </c>
      <c r="G21777" s="67" t="s">
        <v>782</v>
      </c>
      <c r="H21777" s="69">
        <v>-0.92500000000000004</v>
      </c>
    </row>
    <row r="21778" spans="6:8">
      <c r="F21778" s="68" t="s">
        <v>120</v>
      </c>
      <c r="G21778" s="67" t="s">
        <v>782</v>
      </c>
      <c r="H21778" s="69">
        <v>-0.8</v>
      </c>
    </row>
    <row r="21779" spans="6:8">
      <c r="F21779" s="68" t="s">
        <v>121</v>
      </c>
      <c r="G21779" s="67" t="s">
        <v>782</v>
      </c>
      <c r="H21779" s="69">
        <v>-0.70500000000000007</v>
      </c>
    </row>
    <row r="21780" spans="6:8">
      <c r="F21780" s="68" t="s">
        <v>251</v>
      </c>
      <c r="G21780" s="67" t="s">
        <v>782</v>
      </c>
      <c r="H21780" s="69">
        <v>0.16500000000000001</v>
      </c>
    </row>
    <row r="21781" spans="6:8">
      <c r="F21781" s="68" t="s">
        <v>420</v>
      </c>
      <c r="G21781" s="67" t="s">
        <v>782</v>
      </c>
      <c r="H21781" s="69">
        <v>2.9650307160964395</v>
      </c>
    </row>
    <row r="21782" spans="6:8">
      <c r="F21782" s="68" t="s">
        <v>420</v>
      </c>
      <c r="G21782" s="67" t="s">
        <v>783</v>
      </c>
      <c r="H21782" s="69">
        <v>2.9533754292471848</v>
      </c>
    </row>
    <row r="21783" spans="6:8">
      <c r="F21783" s="68" t="s">
        <v>251</v>
      </c>
      <c r="G21783" s="67" t="s">
        <v>783</v>
      </c>
      <c r="H21783" s="69">
        <v>0.16500000000000001</v>
      </c>
    </row>
    <row r="21784" spans="6:8">
      <c r="F21784" s="68" t="s">
        <v>121</v>
      </c>
      <c r="G21784" s="67" t="s">
        <v>783</v>
      </c>
      <c r="H21784" s="69">
        <v>-0.70500000000000007</v>
      </c>
    </row>
    <row r="21785" spans="6:8">
      <c r="F21785" s="68" t="s">
        <v>120</v>
      </c>
      <c r="G21785" s="67" t="s">
        <v>783</v>
      </c>
      <c r="H21785" s="69">
        <v>-0.8</v>
      </c>
    </row>
    <row r="21786" spans="6:8">
      <c r="F21786" s="68" t="s">
        <v>119</v>
      </c>
      <c r="G21786" s="67" t="s">
        <v>783</v>
      </c>
      <c r="H21786" s="69">
        <v>-0.92500000000000004</v>
      </c>
    </row>
    <row r="21787" spans="6:8">
      <c r="F21787" s="68" t="s">
        <v>314</v>
      </c>
      <c r="G21787" s="67" t="s">
        <v>783</v>
      </c>
      <c r="H21787" s="69">
        <v>-0.61</v>
      </c>
    </row>
    <row r="21788" spans="6:8">
      <c r="F21788" s="68" t="s">
        <v>252</v>
      </c>
      <c r="G21788" s="67" t="s">
        <v>783</v>
      </c>
      <c r="H21788" s="69">
        <v>0.21999999999999997</v>
      </c>
    </row>
    <row r="21789" spans="6:8">
      <c r="F21789" s="68" t="s">
        <v>124</v>
      </c>
      <c r="G21789" s="67" t="s">
        <v>783</v>
      </c>
      <c r="H21789" s="69">
        <v>-0.62</v>
      </c>
    </row>
    <row r="21790" spans="6:8">
      <c r="F21790" s="68" t="s">
        <v>123</v>
      </c>
      <c r="G21790" s="67" t="s">
        <v>783</v>
      </c>
      <c r="H21790" s="69">
        <v>-0.99</v>
      </c>
    </row>
    <row r="21791" spans="6:8">
      <c r="F21791" s="68" t="s">
        <v>122</v>
      </c>
      <c r="G21791" s="67" t="s">
        <v>783</v>
      </c>
      <c r="H21791" s="69">
        <v>-0.88500000000000001</v>
      </c>
    </row>
    <row r="21792" spans="6:8">
      <c r="F21792" s="68" t="s">
        <v>315</v>
      </c>
      <c r="G21792" s="67" t="s">
        <v>783</v>
      </c>
      <c r="H21792" s="69">
        <v>-0.3</v>
      </c>
    </row>
    <row r="21793" spans="6:8">
      <c r="F21793" s="68" t="s">
        <v>253</v>
      </c>
      <c r="G21793" s="67" t="s">
        <v>783</v>
      </c>
      <c r="H21793" s="69">
        <v>0.34499999999999997</v>
      </c>
    </row>
    <row r="21794" spans="6:8">
      <c r="F21794" s="68" t="s">
        <v>127</v>
      </c>
      <c r="G21794" s="67" t="s">
        <v>783</v>
      </c>
      <c r="H21794" s="69">
        <v>-0.45999999999999996</v>
      </c>
    </row>
    <row r="21795" spans="6:8">
      <c r="F21795" s="68" t="s">
        <v>126</v>
      </c>
      <c r="G21795" s="67" t="s">
        <v>783</v>
      </c>
      <c r="H21795" s="69">
        <v>-0.96</v>
      </c>
    </row>
    <row r="21796" spans="6:8">
      <c r="F21796" s="68" t="s">
        <v>125</v>
      </c>
      <c r="G21796" s="67" t="s">
        <v>783</v>
      </c>
      <c r="H21796" s="69">
        <v>-0.66999999999999993</v>
      </c>
    </row>
    <row r="21797" spans="6:8">
      <c r="F21797" s="68" t="s">
        <v>567</v>
      </c>
      <c r="G21797" s="67" t="s">
        <v>783</v>
      </c>
      <c r="H21797" s="69">
        <v>-1.0649999999999999</v>
      </c>
    </row>
    <row r="21798" spans="6:8">
      <c r="F21798" s="68" t="s">
        <v>421</v>
      </c>
      <c r="G21798" s="67" t="s">
        <v>783</v>
      </c>
      <c r="H21798" s="69">
        <v>1.9622560333606209</v>
      </c>
    </row>
    <row r="21799" spans="6:8">
      <c r="F21799" s="68" t="s">
        <v>254</v>
      </c>
      <c r="G21799" s="67" t="s">
        <v>783</v>
      </c>
      <c r="H21799" s="69">
        <v>0.48499999999999993</v>
      </c>
    </row>
    <row r="21800" spans="6:8">
      <c r="F21800" s="68" t="s">
        <v>304</v>
      </c>
      <c r="G21800" s="67" t="s">
        <v>783</v>
      </c>
      <c r="H21800" s="69">
        <v>18.197916666666668</v>
      </c>
    </row>
    <row r="21801" spans="6:8">
      <c r="F21801" s="68" t="s">
        <v>129</v>
      </c>
      <c r="G21801" s="67" t="s">
        <v>783</v>
      </c>
      <c r="H21801" s="69">
        <v>-0.745</v>
      </c>
    </row>
    <row r="21802" spans="6:8">
      <c r="F21802" s="68" t="s">
        <v>128</v>
      </c>
      <c r="G21802" s="67" t="s">
        <v>783</v>
      </c>
      <c r="H21802" s="69">
        <v>-0.91999999999999993</v>
      </c>
    </row>
    <row r="21803" spans="6:8">
      <c r="F21803" s="68" t="s">
        <v>568</v>
      </c>
      <c r="G21803" s="67" t="s">
        <v>783</v>
      </c>
      <c r="H21803" s="69">
        <v>-0.60499999999999998</v>
      </c>
    </row>
    <row r="21804" spans="6:8">
      <c r="F21804" s="68" t="s">
        <v>422</v>
      </c>
      <c r="G21804" s="67" t="s">
        <v>783</v>
      </c>
      <c r="H21804" s="69">
        <v>1.9676038503624316</v>
      </c>
    </row>
    <row r="21805" spans="6:8">
      <c r="F21805" s="68" t="s">
        <v>255</v>
      </c>
      <c r="G21805" s="67" t="s">
        <v>783</v>
      </c>
      <c r="H21805" s="69">
        <v>0.64333333333333342</v>
      </c>
    </row>
    <row r="21806" spans="6:8">
      <c r="F21806" s="68" t="s">
        <v>303</v>
      </c>
      <c r="G21806" s="67" t="s">
        <v>783</v>
      </c>
      <c r="H21806" s="69">
        <v>18.25</v>
      </c>
    </row>
    <row r="21807" spans="6:8">
      <c r="F21807" s="68" t="s">
        <v>131</v>
      </c>
      <c r="G21807" s="67" t="s">
        <v>783</v>
      </c>
      <c r="H21807" s="69">
        <v>-0.56000000000000005</v>
      </c>
    </row>
    <row r="21808" spans="6:8">
      <c r="F21808" s="68" t="s">
        <v>130</v>
      </c>
      <c r="G21808" s="67" t="s">
        <v>783</v>
      </c>
      <c r="H21808" s="69">
        <v>-1.08</v>
      </c>
    </row>
    <row r="21809" spans="6:8">
      <c r="F21809" s="68" t="s">
        <v>569</v>
      </c>
      <c r="G21809" s="67" t="s">
        <v>783</v>
      </c>
      <c r="H21809" s="69">
        <v>-0.29499999999999998</v>
      </c>
    </row>
    <row r="21810" spans="6:8">
      <c r="F21810" s="68" t="s">
        <v>423</v>
      </c>
      <c r="G21810" s="67" t="s">
        <v>783</v>
      </c>
      <c r="H21810" s="69">
        <v>2.1375088326406555</v>
      </c>
    </row>
    <row r="21811" spans="6:8">
      <c r="F21811" s="68" t="s">
        <v>256</v>
      </c>
      <c r="G21811" s="67" t="s">
        <v>783</v>
      </c>
      <c r="H21811" s="69">
        <v>0.76000000000000012</v>
      </c>
    </row>
    <row r="21812" spans="6:8">
      <c r="F21812" s="68" t="s">
        <v>133</v>
      </c>
      <c r="G21812" s="67" t="s">
        <v>783</v>
      </c>
      <c r="H21812" s="69">
        <v>-0.64500000000000002</v>
      </c>
    </row>
    <row r="21813" spans="6:8">
      <c r="F21813" s="68" t="s">
        <v>132</v>
      </c>
      <c r="G21813" s="67" t="s">
        <v>783</v>
      </c>
      <c r="H21813" s="69">
        <v>-1.0049999999999999</v>
      </c>
    </row>
    <row r="21814" spans="6:8">
      <c r="F21814" s="68" t="s">
        <v>424</v>
      </c>
      <c r="G21814" s="67" t="s">
        <v>783</v>
      </c>
      <c r="H21814" s="69">
        <v>2.7380837350071463</v>
      </c>
    </row>
    <row r="21815" spans="6:8">
      <c r="F21815" s="68" t="s">
        <v>258</v>
      </c>
      <c r="G21815" s="67" t="s">
        <v>783</v>
      </c>
      <c r="H21815" s="69">
        <v>0.15</v>
      </c>
    </row>
    <row r="21816" spans="6:8">
      <c r="F21816" s="68" t="s">
        <v>257</v>
      </c>
      <c r="G21816" s="67" t="s">
        <v>783</v>
      </c>
      <c r="H21816" s="69">
        <v>0.83599999999999997</v>
      </c>
    </row>
    <row r="21817" spans="6:8">
      <c r="F21817" s="68" t="s">
        <v>135</v>
      </c>
      <c r="G21817" s="67" t="s">
        <v>783</v>
      </c>
      <c r="H21817" s="69">
        <v>-0.84499999999999997</v>
      </c>
    </row>
    <row r="21818" spans="6:8">
      <c r="F21818" s="68" t="s">
        <v>134</v>
      </c>
      <c r="G21818" s="67" t="s">
        <v>783</v>
      </c>
      <c r="H21818" s="69">
        <v>-0.96</v>
      </c>
    </row>
    <row r="21819" spans="6:8">
      <c r="F21819" s="68" t="s">
        <v>425</v>
      </c>
      <c r="G21819" s="67" t="s">
        <v>783</v>
      </c>
      <c r="H21819" s="69">
        <v>2.743337227743714</v>
      </c>
    </row>
    <row r="21820" spans="6:8">
      <c r="F21820" s="68" t="s">
        <v>259</v>
      </c>
      <c r="G21820" s="67" t="s">
        <v>783</v>
      </c>
      <c r="H21820" s="69">
        <v>0.14333333333333334</v>
      </c>
    </row>
    <row r="21821" spans="6:8">
      <c r="F21821" s="68" t="s">
        <v>138</v>
      </c>
      <c r="G21821" s="67" t="s">
        <v>783</v>
      </c>
      <c r="H21821" s="69">
        <v>-0.77499999999999991</v>
      </c>
    </row>
    <row r="21822" spans="6:8">
      <c r="F21822" s="68" t="s">
        <v>137</v>
      </c>
      <c r="G21822" s="67" t="s">
        <v>783</v>
      </c>
      <c r="H21822" s="69">
        <v>-0.65999999999999992</v>
      </c>
    </row>
    <row r="21823" spans="6:8">
      <c r="F21823" s="68" t="s">
        <v>136</v>
      </c>
      <c r="G21823" s="67" t="s">
        <v>783</v>
      </c>
      <c r="H21823" s="69">
        <v>-1.0350000000000001</v>
      </c>
    </row>
    <row r="21824" spans="6:8">
      <c r="F21824" s="68" t="s">
        <v>136</v>
      </c>
      <c r="G21824" s="67" t="s">
        <v>784</v>
      </c>
      <c r="H21824" s="69">
        <v>-1.0350000000000001</v>
      </c>
    </row>
    <row r="21825" spans="6:8">
      <c r="F21825" s="68" t="s">
        <v>137</v>
      </c>
      <c r="G21825" s="67" t="s">
        <v>784</v>
      </c>
      <c r="H21825" s="69">
        <v>-0.65999999999999992</v>
      </c>
    </row>
    <row r="21826" spans="6:8">
      <c r="F21826" s="68" t="s">
        <v>138</v>
      </c>
      <c r="G21826" s="67" t="s">
        <v>784</v>
      </c>
      <c r="H21826" s="69">
        <v>-0.77499999999999991</v>
      </c>
    </row>
    <row r="21827" spans="6:8">
      <c r="F21827" s="68" t="s">
        <v>259</v>
      </c>
      <c r="G21827" s="67" t="s">
        <v>784</v>
      </c>
      <c r="H21827" s="69">
        <v>0.14333333333333334</v>
      </c>
    </row>
    <row r="21828" spans="6:8">
      <c r="F21828" s="68" t="s">
        <v>425</v>
      </c>
      <c r="G21828" s="67" t="s">
        <v>784</v>
      </c>
      <c r="H21828" s="69">
        <v>2.6979027519181464</v>
      </c>
    </row>
    <row r="21829" spans="6:8">
      <c r="F21829" s="68" t="s">
        <v>134</v>
      </c>
      <c r="G21829" s="67" t="s">
        <v>784</v>
      </c>
      <c r="H21829" s="69">
        <v>-0.96</v>
      </c>
    </row>
    <row r="21830" spans="6:8">
      <c r="F21830" s="68" t="s">
        <v>135</v>
      </c>
      <c r="G21830" s="67" t="s">
        <v>784</v>
      </c>
      <c r="H21830" s="69">
        <v>-0.84499999999999997</v>
      </c>
    </row>
    <row r="21831" spans="6:8">
      <c r="F21831" s="68" t="s">
        <v>257</v>
      </c>
      <c r="G21831" s="67" t="s">
        <v>784</v>
      </c>
      <c r="H21831" s="69">
        <v>0.83599999999999997</v>
      </c>
    </row>
    <row r="21832" spans="6:8">
      <c r="F21832" s="68" t="s">
        <v>258</v>
      </c>
      <c r="G21832" s="67" t="s">
        <v>784</v>
      </c>
      <c r="H21832" s="69">
        <v>0.15</v>
      </c>
    </row>
    <row r="21833" spans="6:8">
      <c r="F21833" s="68" t="s">
        <v>424</v>
      </c>
      <c r="G21833" s="67" t="s">
        <v>784</v>
      </c>
      <c r="H21833" s="69">
        <v>2.6946314364921342</v>
      </c>
    </row>
    <row r="21834" spans="6:8">
      <c r="F21834" s="68" t="s">
        <v>132</v>
      </c>
      <c r="G21834" s="67" t="s">
        <v>784</v>
      </c>
      <c r="H21834" s="69">
        <v>-1.0049999999999999</v>
      </c>
    </row>
    <row r="21835" spans="6:8">
      <c r="F21835" s="68" t="s">
        <v>133</v>
      </c>
      <c r="G21835" s="67" t="s">
        <v>784</v>
      </c>
      <c r="H21835" s="69">
        <v>-0.64500000000000002</v>
      </c>
    </row>
    <row r="21836" spans="6:8">
      <c r="F21836" s="68" t="s">
        <v>256</v>
      </c>
      <c r="G21836" s="67" t="s">
        <v>784</v>
      </c>
      <c r="H21836" s="69">
        <v>0.76000000000000012</v>
      </c>
    </row>
    <row r="21837" spans="6:8">
      <c r="F21837" s="68" t="s">
        <v>423</v>
      </c>
      <c r="G21837" s="67" t="s">
        <v>784</v>
      </c>
      <c r="H21837" s="69">
        <v>2.1028130751380214</v>
      </c>
    </row>
    <row r="21838" spans="6:8">
      <c r="F21838" s="68" t="s">
        <v>569</v>
      </c>
      <c r="G21838" s="67" t="s">
        <v>784</v>
      </c>
      <c r="H21838" s="69">
        <v>-0.29499999999999998</v>
      </c>
    </row>
    <row r="21839" spans="6:8">
      <c r="F21839" s="68" t="s">
        <v>130</v>
      </c>
      <c r="G21839" s="67" t="s">
        <v>784</v>
      </c>
      <c r="H21839" s="69">
        <v>-1.08</v>
      </c>
    </row>
    <row r="21840" spans="6:8">
      <c r="F21840" s="68" t="s">
        <v>131</v>
      </c>
      <c r="G21840" s="67" t="s">
        <v>784</v>
      </c>
      <c r="H21840" s="69">
        <v>-0.56000000000000005</v>
      </c>
    </row>
    <row r="21841" spans="6:8">
      <c r="F21841" s="68" t="s">
        <v>303</v>
      </c>
      <c r="G21841" s="67" t="s">
        <v>784</v>
      </c>
      <c r="H21841" s="69">
        <v>18.208333333333332</v>
      </c>
    </row>
    <row r="21842" spans="6:8">
      <c r="F21842" s="68" t="s">
        <v>255</v>
      </c>
      <c r="G21842" s="67" t="s">
        <v>784</v>
      </c>
      <c r="H21842" s="69">
        <v>0.64333333333333342</v>
      </c>
    </row>
    <row r="21843" spans="6:8">
      <c r="F21843" s="68" t="s">
        <v>422</v>
      </c>
      <c r="G21843" s="67" t="s">
        <v>784</v>
      </c>
      <c r="H21843" s="69">
        <v>1.9277186619786502</v>
      </c>
    </row>
    <row r="21844" spans="6:8">
      <c r="F21844" s="68" t="s">
        <v>568</v>
      </c>
      <c r="G21844" s="67" t="s">
        <v>784</v>
      </c>
      <c r="H21844" s="69">
        <v>-0.60499999999999998</v>
      </c>
    </row>
    <row r="21845" spans="6:8">
      <c r="F21845" s="68" t="s">
        <v>128</v>
      </c>
      <c r="G21845" s="67" t="s">
        <v>784</v>
      </c>
      <c r="H21845" s="69">
        <v>-0.91999999999999993</v>
      </c>
    </row>
    <row r="21846" spans="6:8">
      <c r="F21846" s="68" t="s">
        <v>129</v>
      </c>
      <c r="G21846" s="67" t="s">
        <v>784</v>
      </c>
      <c r="H21846" s="69">
        <v>-0.745</v>
      </c>
    </row>
    <row r="21847" spans="6:8">
      <c r="F21847" s="68" t="s">
        <v>304</v>
      </c>
      <c r="G21847" s="67" t="s">
        <v>784</v>
      </c>
      <c r="H21847" s="69">
        <v>18.15625</v>
      </c>
    </row>
    <row r="21848" spans="6:8">
      <c r="F21848" s="68" t="s">
        <v>254</v>
      </c>
      <c r="G21848" s="67" t="s">
        <v>784</v>
      </c>
      <c r="H21848" s="69">
        <v>0.48499999999999993</v>
      </c>
    </row>
    <row r="21849" spans="6:8">
      <c r="F21849" s="68" t="s">
        <v>421</v>
      </c>
      <c r="G21849" s="67" t="s">
        <v>784</v>
      </c>
      <c r="H21849" s="69">
        <v>1.9223151288566775</v>
      </c>
    </row>
    <row r="21850" spans="6:8">
      <c r="F21850" s="68" t="s">
        <v>567</v>
      </c>
      <c r="G21850" s="67" t="s">
        <v>784</v>
      </c>
      <c r="H21850" s="69">
        <v>-1.0649999999999999</v>
      </c>
    </row>
    <row r="21851" spans="6:8">
      <c r="F21851" s="68" t="s">
        <v>125</v>
      </c>
      <c r="G21851" s="67" t="s">
        <v>784</v>
      </c>
      <c r="H21851" s="69">
        <v>-0.66999999999999993</v>
      </c>
    </row>
    <row r="21852" spans="6:8">
      <c r="F21852" s="68" t="s">
        <v>126</v>
      </c>
      <c r="G21852" s="67" t="s">
        <v>784</v>
      </c>
      <c r="H21852" s="69">
        <v>-0.96</v>
      </c>
    </row>
    <row r="21853" spans="6:8">
      <c r="F21853" s="68" t="s">
        <v>127</v>
      </c>
      <c r="G21853" s="67" t="s">
        <v>784</v>
      </c>
      <c r="H21853" s="69">
        <v>-0.45999999999999996</v>
      </c>
    </row>
    <row r="21854" spans="6:8">
      <c r="F21854" s="68" t="s">
        <v>253</v>
      </c>
      <c r="G21854" s="67" t="s">
        <v>784</v>
      </c>
      <c r="H21854" s="69">
        <v>0.34499999999999997</v>
      </c>
    </row>
    <row r="21855" spans="6:8">
      <c r="F21855" s="68" t="s">
        <v>315</v>
      </c>
      <c r="G21855" s="67" t="s">
        <v>784</v>
      </c>
      <c r="H21855" s="69">
        <v>-0.3</v>
      </c>
    </row>
    <row r="21856" spans="6:8">
      <c r="F21856" s="68" t="s">
        <v>122</v>
      </c>
      <c r="G21856" s="67" t="s">
        <v>784</v>
      </c>
      <c r="H21856" s="69">
        <v>-0.88500000000000001</v>
      </c>
    </row>
    <row r="21857" spans="6:8">
      <c r="F21857" s="68" t="s">
        <v>123</v>
      </c>
      <c r="G21857" s="67" t="s">
        <v>784</v>
      </c>
      <c r="H21857" s="69">
        <v>-0.99</v>
      </c>
    </row>
    <row r="21858" spans="6:8">
      <c r="F21858" s="68" t="s">
        <v>124</v>
      </c>
      <c r="G21858" s="67" t="s">
        <v>784</v>
      </c>
      <c r="H21858" s="69">
        <v>-0.62</v>
      </c>
    </row>
    <row r="21859" spans="6:8">
      <c r="F21859" s="68" t="s">
        <v>252</v>
      </c>
      <c r="G21859" s="67" t="s">
        <v>784</v>
      </c>
      <c r="H21859" s="69">
        <v>0.21999999999999997</v>
      </c>
    </row>
    <row r="21860" spans="6:8">
      <c r="F21860" s="68" t="s">
        <v>314</v>
      </c>
      <c r="G21860" s="67" t="s">
        <v>784</v>
      </c>
      <c r="H21860" s="69">
        <v>-0.61</v>
      </c>
    </row>
    <row r="21861" spans="6:8">
      <c r="F21861" s="68" t="s">
        <v>119</v>
      </c>
      <c r="G21861" s="67" t="s">
        <v>784</v>
      </c>
      <c r="H21861" s="69">
        <v>-0.92500000000000004</v>
      </c>
    </row>
    <row r="21862" spans="6:8">
      <c r="F21862" s="68" t="s">
        <v>120</v>
      </c>
      <c r="G21862" s="67" t="s">
        <v>784</v>
      </c>
      <c r="H21862" s="69">
        <v>-0.8</v>
      </c>
    </row>
    <row r="21863" spans="6:8">
      <c r="F21863" s="68" t="s">
        <v>121</v>
      </c>
      <c r="G21863" s="67" t="s">
        <v>784</v>
      </c>
      <c r="H21863" s="69">
        <v>-0.70500000000000007</v>
      </c>
    </row>
    <row r="21864" spans="6:8">
      <c r="F21864" s="68" t="s">
        <v>251</v>
      </c>
      <c r="G21864" s="67" t="s">
        <v>784</v>
      </c>
      <c r="H21864" s="69">
        <v>0.16500000000000001</v>
      </c>
    </row>
    <row r="21865" spans="6:8">
      <c r="F21865" s="68" t="s">
        <v>420</v>
      </c>
      <c r="G21865" s="67" t="s">
        <v>784</v>
      </c>
      <c r="H21865" s="69">
        <v>2.8987235748393125</v>
      </c>
    </row>
    <row r="21866" spans="6:8">
      <c r="F21866" s="68" t="s">
        <v>420</v>
      </c>
      <c r="G21866" s="67" t="s">
        <v>785</v>
      </c>
      <c r="H21866" s="69">
        <v>2.8840952878375958</v>
      </c>
    </row>
    <row r="21867" spans="6:8">
      <c r="F21867" s="68" t="s">
        <v>251</v>
      </c>
      <c r="G21867" s="67" t="s">
        <v>785</v>
      </c>
      <c r="H21867" s="69">
        <v>0.16</v>
      </c>
    </row>
    <row r="21868" spans="6:8">
      <c r="F21868" s="68" t="s">
        <v>121</v>
      </c>
      <c r="G21868" s="67" t="s">
        <v>785</v>
      </c>
      <c r="H21868" s="69">
        <v>-0.70500000000000007</v>
      </c>
    </row>
    <row r="21869" spans="6:8">
      <c r="F21869" s="68" t="s">
        <v>120</v>
      </c>
      <c r="G21869" s="67" t="s">
        <v>785</v>
      </c>
      <c r="H21869" s="69">
        <v>-0.8</v>
      </c>
    </row>
    <row r="21870" spans="6:8">
      <c r="F21870" s="68" t="s">
        <v>119</v>
      </c>
      <c r="G21870" s="67" t="s">
        <v>785</v>
      </c>
      <c r="H21870" s="69">
        <v>-0.96500000000000008</v>
      </c>
    </row>
    <row r="21871" spans="6:8">
      <c r="F21871" s="68" t="s">
        <v>314</v>
      </c>
      <c r="G21871" s="67" t="s">
        <v>785</v>
      </c>
      <c r="H21871" s="69">
        <v>-0.625</v>
      </c>
    </row>
    <row r="21872" spans="6:8">
      <c r="F21872" s="68" t="s">
        <v>252</v>
      </c>
      <c r="G21872" s="67" t="s">
        <v>785</v>
      </c>
      <c r="H21872" s="69">
        <v>0.21499999999999997</v>
      </c>
    </row>
    <row r="21873" spans="6:8">
      <c r="F21873" s="68" t="s">
        <v>124</v>
      </c>
      <c r="G21873" s="67" t="s">
        <v>785</v>
      </c>
      <c r="H21873" s="69">
        <v>-0.62</v>
      </c>
    </row>
    <row r="21874" spans="6:8">
      <c r="F21874" s="68" t="s">
        <v>123</v>
      </c>
      <c r="G21874" s="67" t="s">
        <v>785</v>
      </c>
      <c r="H21874" s="69">
        <v>-0.99</v>
      </c>
    </row>
    <row r="21875" spans="6:8">
      <c r="F21875" s="68" t="s">
        <v>122</v>
      </c>
      <c r="G21875" s="67" t="s">
        <v>785</v>
      </c>
      <c r="H21875" s="69">
        <v>-0.91999999999999993</v>
      </c>
    </row>
    <row r="21876" spans="6:8">
      <c r="F21876" s="68" t="s">
        <v>315</v>
      </c>
      <c r="G21876" s="67" t="s">
        <v>785</v>
      </c>
      <c r="H21876" s="69">
        <v>-0.315</v>
      </c>
    </row>
    <row r="21877" spans="6:8">
      <c r="F21877" s="68" t="s">
        <v>253</v>
      </c>
      <c r="G21877" s="67" t="s">
        <v>785</v>
      </c>
      <c r="H21877" s="69">
        <v>0.34</v>
      </c>
    </row>
    <row r="21878" spans="6:8">
      <c r="F21878" s="68" t="s">
        <v>127</v>
      </c>
      <c r="G21878" s="67" t="s">
        <v>785</v>
      </c>
      <c r="H21878" s="69">
        <v>-0.45999999999999996</v>
      </c>
    </row>
    <row r="21879" spans="6:8">
      <c r="F21879" s="68" t="s">
        <v>126</v>
      </c>
      <c r="G21879" s="67" t="s">
        <v>785</v>
      </c>
      <c r="H21879" s="69">
        <v>-0.96500000000000008</v>
      </c>
    </row>
    <row r="21880" spans="6:8">
      <c r="F21880" s="68" t="s">
        <v>125</v>
      </c>
      <c r="G21880" s="67" t="s">
        <v>785</v>
      </c>
      <c r="H21880" s="69">
        <v>-0.69</v>
      </c>
    </row>
    <row r="21881" spans="6:8">
      <c r="F21881" s="68" t="s">
        <v>567</v>
      </c>
      <c r="G21881" s="67" t="s">
        <v>785</v>
      </c>
      <c r="H21881" s="69">
        <v>-1.0899999999999999</v>
      </c>
    </row>
    <row r="21882" spans="6:8">
      <c r="F21882" s="68" t="s">
        <v>421</v>
      </c>
      <c r="G21882" s="67" t="s">
        <v>785</v>
      </c>
      <c r="H21882" s="69">
        <v>1.9117125739188889</v>
      </c>
    </row>
    <row r="21883" spans="6:8">
      <c r="F21883" s="68" t="s">
        <v>254</v>
      </c>
      <c r="G21883" s="67" t="s">
        <v>785</v>
      </c>
      <c r="H21883" s="69">
        <v>0.47500000000000003</v>
      </c>
    </row>
    <row r="21884" spans="6:8">
      <c r="F21884" s="68" t="s">
        <v>304</v>
      </c>
      <c r="G21884" s="67" t="s">
        <v>785</v>
      </c>
      <c r="H21884" s="69">
        <v>18.09375</v>
      </c>
    </row>
    <row r="21885" spans="6:8">
      <c r="F21885" s="68" t="s">
        <v>129</v>
      </c>
      <c r="G21885" s="67" t="s">
        <v>785</v>
      </c>
      <c r="H21885" s="69">
        <v>-0.74</v>
      </c>
    </row>
    <row r="21886" spans="6:8">
      <c r="F21886" s="68" t="s">
        <v>128</v>
      </c>
      <c r="G21886" s="67" t="s">
        <v>785</v>
      </c>
      <c r="H21886" s="69">
        <v>-0.91999999999999993</v>
      </c>
    </row>
    <row r="21887" spans="6:8">
      <c r="F21887" s="68" t="s">
        <v>568</v>
      </c>
      <c r="G21887" s="67" t="s">
        <v>785</v>
      </c>
      <c r="H21887" s="69">
        <v>-0.63</v>
      </c>
    </row>
    <row r="21888" spans="6:8">
      <c r="F21888" s="68" t="s">
        <v>422</v>
      </c>
      <c r="G21888" s="67" t="s">
        <v>785</v>
      </c>
      <c r="H21888" s="69">
        <v>1.9171202517896724</v>
      </c>
    </row>
    <row r="21889" spans="6:8">
      <c r="F21889" s="68" t="s">
        <v>255</v>
      </c>
      <c r="G21889" s="67" t="s">
        <v>785</v>
      </c>
      <c r="H21889" s="69">
        <v>0.63333333333333341</v>
      </c>
    </row>
    <row r="21890" spans="6:8">
      <c r="F21890" s="68" t="s">
        <v>303</v>
      </c>
      <c r="G21890" s="67" t="s">
        <v>785</v>
      </c>
      <c r="H21890" s="69">
        <v>18.135416666666668</v>
      </c>
    </row>
    <row r="21891" spans="6:8">
      <c r="F21891" s="68" t="s">
        <v>131</v>
      </c>
      <c r="G21891" s="67" t="s">
        <v>785</v>
      </c>
      <c r="H21891" s="69">
        <v>-0.56499999999999995</v>
      </c>
    </row>
    <row r="21892" spans="6:8">
      <c r="F21892" s="68" t="s">
        <v>130</v>
      </c>
      <c r="G21892" s="67" t="s">
        <v>785</v>
      </c>
      <c r="H21892" s="69">
        <v>-1.0950000000000002</v>
      </c>
    </row>
    <row r="21893" spans="6:8">
      <c r="F21893" s="68" t="s">
        <v>569</v>
      </c>
      <c r="G21893" s="67" t="s">
        <v>785</v>
      </c>
      <c r="H21893" s="69">
        <v>-0.31</v>
      </c>
    </row>
    <row r="21894" spans="6:8">
      <c r="F21894" s="68" t="s">
        <v>423</v>
      </c>
      <c r="G21894" s="67" t="s">
        <v>785</v>
      </c>
      <c r="H21894" s="69">
        <v>2.0887253192698463</v>
      </c>
    </row>
    <row r="21895" spans="6:8">
      <c r="F21895" s="68" t="s">
        <v>256</v>
      </c>
      <c r="G21895" s="67" t="s">
        <v>785</v>
      </c>
      <c r="H21895" s="69">
        <v>0.75</v>
      </c>
    </row>
    <row r="21896" spans="6:8">
      <c r="F21896" s="68" t="s">
        <v>133</v>
      </c>
      <c r="G21896" s="67" t="s">
        <v>785</v>
      </c>
      <c r="H21896" s="69">
        <v>-0.64500000000000002</v>
      </c>
    </row>
    <row r="21897" spans="6:8">
      <c r="F21897" s="68" t="s">
        <v>132</v>
      </c>
      <c r="G21897" s="67" t="s">
        <v>785</v>
      </c>
      <c r="H21897" s="69">
        <v>-1.0150000000000001</v>
      </c>
    </row>
    <row r="21898" spans="6:8">
      <c r="F21898" s="68" t="s">
        <v>424</v>
      </c>
      <c r="G21898" s="67" t="s">
        <v>785</v>
      </c>
      <c r="H21898" s="69">
        <v>2.6887471986691391</v>
      </c>
    </row>
    <row r="21899" spans="6:8">
      <c r="F21899" s="68" t="s">
        <v>258</v>
      </c>
      <c r="G21899" s="67" t="s">
        <v>785</v>
      </c>
      <c r="H21899" s="69">
        <v>0.15</v>
      </c>
    </row>
    <row r="21900" spans="6:8">
      <c r="F21900" s="68" t="s">
        <v>257</v>
      </c>
      <c r="G21900" s="67" t="s">
        <v>785</v>
      </c>
      <c r="H21900" s="69">
        <v>0.82599999999999996</v>
      </c>
    </row>
    <row r="21901" spans="6:8">
      <c r="F21901" s="68" t="s">
        <v>135</v>
      </c>
      <c r="G21901" s="67" t="s">
        <v>785</v>
      </c>
      <c r="H21901" s="69">
        <v>-0.85</v>
      </c>
    </row>
    <row r="21902" spans="6:8">
      <c r="F21902" s="68" t="s">
        <v>134</v>
      </c>
      <c r="G21902" s="67" t="s">
        <v>785</v>
      </c>
      <c r="H21902" s="69">
        <v>-0.97</v>
      </c>
    </row>
    <row r="21903" spans="6:8">
      <c r="F21903" s="68" t="s">
        <v>425</v>
      </c>
      <c r="G21903" s="67" t="s">
        <v>785</v>
      </c>
      <c r="H21903" s="69">
        <v>2.6902602263332298</v>
      </c>
    </row>
    <row r="21904" spans="6:8">
      <c r="F21904" s="68" t="s">
        <v>259</v>
      </c>
      <c r="G21904" s="67" t="s">
        <v>785</v>
      </c>
      <c r="H21904" s="69">
        <v>0.13</v>
      </c>
    </row>
    <row r="21905" spans="6:8">
      <c r="F21905" s="68" t="s">
        <v>138</v>
      </c>
      <c r="G21905" s="67" t="s">
        <v>785</v>
      </c>
      <c r="H21905" s="69">
        <v>-0.77499999999999991</v>
      </c>
    </row>
    <row r="21906" spans="6:8">
      <c r="F21906" s="68" t="s">
        <v>137</v>
      </c>
      <c r="G21906" s="67" t="s">
        <v>785</v>
      </c>
      <c r="H21906" s="69">
        <v>-0.65999999999999992</v>
      </c>
    </row>
    <row r="21907" spans="6:8">
      <c r="F21907" s="68" t="s">
        <v>136</v>
      </c>
      <c r="G21907" s="67" t="s">
        <v>785</v>
      </c>
      <c r="H21907" s="69">
        <v>-1.0649999999999999</v>
      </c>
    </row>
    <row r="21908" spans="6:8">
      <c r="F21908" s="68" t="s">
        <v>136</v>
      </c>
      <c r="G21908" s="67" t="s">
        <v>786</v>
      </c>
      <c r="H21908" s="69">
        <v>-1.0649999999999999</v>
      </c>
    </row>
    <row r="21909" spans="6:8">
      <c r="F21909" s="68" t="s">
        <v>137</v>
      </c>
      <c r="G21909" s="67" t="s">
        <v>786</v>
      </c>
      <c r="H21909" s="69">
        <v>-0.65999999999999992</v>
      </c>
    </row>
    <row r="21910" spans="6:8">
      <c r="F21910" s="68" t="s">
        <v>138</v>
      </c>
      <c r="G21910" s="67" t="s">
        <v>786</v>
      </c>
      <c r="H21910" s="69">
        <v>-0.77499999999999991</v>
      </c>
    </row>
    <row r="21911" spans="6:8">
      <c r="F21911" s="68" t="s">
        <v>259</v>
      </c>
      <c r="G21911" s="67" t="s">
        <v>786</v>
      </c>
      <c r="H21911" s="69">
        <v>0.13</v>
      </c>
    </row>
    <row r="21912" spans="6:8">
      <c r="F21912" s="68" t="s">
        <v>425</v>
      </c>
      <c r="G21912" s="67" t="s">
        <v>786</v>
      </c>
      <c r="H21912" s="69">
        <v>2.6429148084615051</v>
      </c>
    </row>
    <row r="21913" spans="6:8">
      <c r="F21913" s="68" t="s">
        <v>134</v>
      </c>
      <c r="G21913" s="67" t="s">
        <v>786</v>
      </c>
      <c r="H21913" s="69">
        <v>-0.97</v>
      </c>
    </row>
    <row r="21914" spans="6:8">
      <c r="F21914" s="68" t="s">
        <v>135</v>
      </c>
      <c r="G21914" s="67" t="s">
        <v>786</v>
      </c>
      <c r="H21914" s="69">
        <v>-0.85</v>
      </c>
    </row>
    <row r="21915" spans="6:8">
      <c r="F21915" s="68" t="s">
        <v>257</v>
      </c>
      <c r="G21915" s="67" t="s">
        <v>786</v>
      </c>
      <c r="H21915" s="69">
        <v>0.82599999999999996</v>
      </c>
    </row>
    <row r="21916" spans="6:8">
      <c r="F21916" s="68" t="s">
        <v>258</v>
      </c>
      <c r="G21916" s="67" t="s">
        <v>786</v>
      </c>
      <c r="H21916" s="69">
        <v>0.15</v>
      </c>
    </row>
    <row r="21917" spans="6:8">
      <c r="F21917" s="68" t="s">
        <v>424</v>
      </c>
      <c r="G21917" s="67" t="s">
        <v>786</v>
      </c>
      <c r="H21917" s="69">
        <v>2.6443326740827278</v>
      </c>
    </row>
    <row r="21918" spans="6:8">
      <c r="F21918" s="68" t="s">
        <v>132</v>
      </c>
      <c r="G21918" s="67" t="s">
        <v>786</v>
      </c>
      <c r="H21918" s="69">
        <v>-1.0150000000000001</v>
      </c>
    </row>
    <row r="21919" spans="6:8">
      <c r="F21919" s="68" t="s">
        <v>133</v>
      </c>
      <c r="G21919" s="67" t="s">
        <v>786</v>
      </c>
      <c r="H21919" s="69">
        <v>-0.64500000000000002</v>
      </c>
    </row>
    <row r="21920" spans="6:8">
      <c r="F21920" s="68" t="s">
        <v>256</v>
      </c>
      <c r="G21920" s="67" t="s">
        <v>786</v>
      </c>
      <c r="H21920" s="69">
        <v>0.75</v>
      </c>
    </row>
    <row r="21921" spans="6:8">
      <c r="F21921" s="68" t="s">
        <v>423</v>
      </c>
      <c r="G21921" s="67" t="s">
        <v>786</v>
      </c>
      <c r="H21921" s="69">
        <v>2.0639877865579415</v>
      </c>
    </row>
    <row r="21922" spans="6:8">
      <c r="F21922" s="68" t="s">
        <v>569</v>
      </c>
      <c r="G21922" s="67" t="s">
        <v>786</v>
      </c>
      <c r="H21922" s="69">
        <v>-0.31</v>
      </c>
    </row>
    <row r="21923" spans="6:8">
      <c r="F21923" s="68" t="s">
        <v>130</v>
      </c>
      <c r="G21923" s="67" t="s">
        <v>786</v>
      </c>
      <c r="H21923" s="69">
        <v>-1.0950000000000002</v>
      </c>
    </row>
    <row r="21924" spans="6:8">
      <c r="F21924" s="68" t="s">
        <v>131</v>
      </c>
      <c r="G21924" s="67" t="s">
        <v>786</v>
      </c>
      <c r="H21924" s="69">
        <v>-0.56499999999999995</v>
      </c>
    </row>
    <row r="21925" spans="6:8">
      <c r="F21925" s="68" t="s">
        <v>303</v>
      </c>
      <c r="G21925" s="67" t="s">
        <v>786</v>
      </c>
      <c r="H21925" s="69">
        <v>18.104166666666668</v>
      </c>
    </row>
    <row r="21926" spans="6:8">
      <c r="F21926" s="68" t="s">
        <v>255</v>
      </c>
      <c r="G21926" s="67" t="s">
        <v>786</v>
      </c>
      <c r="H21926" s="69">
        <v>0.63333333333333341</v>
      </c>
    </row>
    <row r="21927" spans="6:8">
      <c r="F21927" s="68" t="s">
        <v>422</v>
      </c>
      <c r="G21927" s="67" t="s">
        <v>786</v>
      </c>
      <c r="H21927" s="69">
        <v>1.8821694686037116</v>
      </c>
    </row>
    <row r="21928" spans="6:8">
      <c r="F21928" s="68" t="s">
        <v>568</v>
      </c>
      <c r="G21928" s="67" t="s">
        <v>786</v>
      </c>
      <c r="H21928" s="69">
        <v>-0.63</v>
      </c>
    </row>
    <row r="21929" spans="6:8">
      <c r="F21929" s="68" t="s">
        <v>128</v>
      </c>
      <c r="G21929" s="67" t="s">
        <v>786</v>
      </c>
      <c r="H21929" s="69">
        <v>-0.91999999999999993</v>
      </c>
    </row>
    <row r="21930" spans="6:8">
      <c r="F21930" s="68" t="s">
        <v>129</v>
      </c>
      <c r="G21930" s="67" t="s">
        <v>786</v>
      </c>
      <c r="H21930" s="69">
        <v>-0.74</v>
      </c>
    </row>
    <row r="21931" spans="6:8">
      <c r="F21931" s="68" t="s">
        <v>304</v>
      </c>
      <c r="G21931" s="67" t="s">
        <v>786</v>
      </c>
      <c r="H21931" s="69">
        <v>18.0625</v>
      </c>
    </row>
    <row r="21932" spans="6:8">
      <c r="F21932" s="68" t="s">
        <v>254</v>
      </c>
      <c r="G21932" s="67" t="s">
        <v>786</v>
      </c>
      <c r="H21932" s="69">
        <v>0.47500000000000003</v>
      </c>
    </row>
    <row r="21933" spans="6:8">
      <c r="F21933" s="68" t="s">
        <v>421</v>
      </c>
      <c r="G21933" s="67" t="s">
        <v>786</v>
      </c>
      <c r="H21933" s="69">
        <v>1.8767755151438692</v>
      </c>
    </row>
    <row r="21934" spans="6:8">
      <c r="F21934" s="68" t="s">
        <v>567</v>
      </c>
      <c r="G21934" s="67" t="s">
        <v>786</v>
      </c>
      <c r="H21934" s="69">
        <v>-1.0899999999999999</v>
      </c>
    </row>
    <row r="21935" spans="6:8">
      <c r="F21935" s="68" t="s">
        <v>125</v>
      </c>
      <c r="G21935" s="67" t="s">
        <v>786</v>
      </c>
      <c r="H21935" s="69">
        <v>-0.69</v>
      </c>
    </row>
    <row r="21936" spans="6:8">
      <c r="F21936" s="68" t="s">
        <v>126</v>
      </c>
      <c r="G21936" s="67" t="s">
        <v>786</v>
      </c>
      <c r="H21936" s="69">
        <v>-0.96500000000000008</v>
      </c>
    </row>
    <row r="21937" spans="6:8">
      <c r="F21937" s="68" t="s">
        <v>127</v>
      </c>
      <c r="G21937" s="67" t="s">
        <v>786</v>
      </c>
      <c r="H21937" s="69">
        <v>-0.45999999999999996</v>
      </c>
    </row>
    <row r="21938" spans="6:8">
      <c r="F21938" s="68" t="s">
        <v>253</v>
      </c>
      <c r="G21938" s="67" t="s">
        <v>786</v>
      </c>
      <c r="H21938" s="69">
        <v>0.34</v>
      </c>
    </row>
    <row r="21939" spans="6:8">
      <c r="F21939" s="68" t="s">
        <v>315</v>
      </c>
      <c r="G21939" s="67" t="s">
        <v>786</v>
      </c>
      <c r="H21939" s="69">
        <v>-0.315</v>
      </c>
    </row>
    <row r="21940" spans="6:8">
      <c r="F21940" s="68" t="s">
        <v>122</v>
      </c>
      <c r="G21940" s="67" t="s">
        <v>786</v>
      </c>
      <c r="H21940" s="69">
        <v>-0.91999999999999993</v>
      </c>
    </row>
    <row r="21941" spans="6:8">
      <c r="F21941" s="68" t="s">
        <v>123</v>
      </c>
      <c r="G21941" s="67" t="s">
        <v>786</v>
      </c>
      <c r="H21941" s="69">
        <v>-0.99</v>
      </c>
    </row>
    <row r="21942" spans="6:8">
      <c r="F21942" s="68" t="s">
        <v>124</v>
      </c>
      <c r="G21942" s="67" t="s">
        <v>786</v>
      </c>
      <c r="H21942" s="69">
        <v>-0.62</v>
      </c>
    </row>
    <row r="21943" spans="6:8">
      <c r="F21943" s="68" t="s">
        <v>252</v>
      </c>
      <c r="G21943" s="67" t="s">
        <v>786</v>
      </c>
      <c r="H21943" s="69">
        <v>0.21499999999999997</v>
      </c>
    </row>
    <row r="21944" spans="6:8">
      <c r="F21944" s="68" t="s">
        <v>314</v>
      </c>
      <c r="G21944" s="67" t="s">
        <v>786</v>
      </c>
      <c r="H21944" s="69">
        <v>-0.625</v>
      </c>
    </row>
    <row r="21945" spans="6:8">
      <c r="F21945" s="68" t="s">
        <v>119</v>
      </c>
      <c r="G21945" s="67" t="s">
        <v>786</v>
      </c>
      <c r="H21945" s="69">
        <v>-0.96500000000000008</v>
      </c>
    </row>
    <row r="21946" spans="6:8">
      <c r="F21946" s="68" t="s">
        <v>120</v>
      </c>
      <c r="G21946" s="67" t="s">
        <v>786</v>
      </c>
      <c r="H21946" s="69">
        <v>-0.8</v>
      </c>
    </row>
    <row r="21947" spans="6:8">
      <c r="F21947" s="68" t="s">
        <v>121</v>
      </c>
      <c r="G21947" s="67" t="s">
        <v>786</v>
      </c>
      <c r="H21947" s="69">
        <v>-0.70500000000000007</v>
      </c>
    </row>
    <row r="21948" spans="6:8">
      <c r="F21948" s="68" t="s">
        <v>251</v>
      </c>
      <c r="G21948" s="67" t="s">
        <v>786</v>
      </c>
      <c r="H21948" s="69">
        <v>0.16</v>
      </c>
    </row>
    <row r="21949" spans="6:8">
      <c r="F21949" s="68" t="s">
        <v>420</v>
      </c>
      <c r="G21949" s="67" t="s">
        <v>786</v>
      </c>
      <c r="H21949" s="69">
        <v>2.8456852635581509</v>
      </c>
    </row>
    <row r="21950" spans="6:8">
      <c r="F21950" s="68" t="s">
        <v>420</v>
      </c>
      <c r="G21950" s="67" t="s">
        <v>787</v>
      </c>
      <c r="H21950" s="69">
        <v>2.862280089790703</v>
      </c>
    </row>
    <row r="21951" spans="6:8">
      <c r="F21951" s="68" t="s">
        <v>251</v>
      </c>
      <c r="G21951" s="67" t="s">
        <v>787</v>
      </c>
      <c r="H21951" s="69">
        <v>0.152</v>
      </c>
    </row>
    <row r="21952" spans="6:8">
      <c r="F21952" s="68" t="s">
        <v>121</v>
      </c>
      <c r="G21952" s="67" t="s">
        <v>787</v>
      </c>
      <c r="H21952" s="69">
        <v>-0.70500000000000007</v>
      </c>
    </row>
    <row r="21953" spans="6:8">
      <c r="F21953" s="68" t="s">
        <v>120</v>
      </c>
      <c r="G21953" s="67" t="s">
        <v>787</v>
      </c>
      <c r="H21953" s="69">
        <v>-0.81499999999999995</v>
      </c>
    </row>
    <row r="21954" spans="6:8">
      <c r="F21954" s="68" t="s">
        <v>119</v>
      </c>
      <c r="G21954" s="67" t="s">
        <v>787</v>
      </c>
      <c r="H21954" s="69">
        <v>-1.03</v>
      </c>
    </row>
    <row r="21955" spans="6:8">
      <c r="F21955" s="68" t="s">
        <v>314</v>
      </c>
      <c r="G21955" s="67" t="s">
        <v>787</v>
      </c>
      <c r="H21955" s="69">
        <v>-0.64999999999999991</v>
      </c>
    </row>
    <row r="21956" spans="6:8">
      <c r="F21956" s="68" t="s">
        <v>252</v>
      </c>
      <c r="G21956" s="67" t="s">
        <v>787</v>
      </c>
      <c r="H21956" s="69">
        <v>0.20800000000000002</v>
      </c>
    </row>
    <row r="21957" spans="6:8">
      <c r="F21957" s="68" t="s">
        <v>124</v>
      </c>
      <c r="G21957" s="67" t="s">
        <v>787</v>
      </c>
      <c r="H21957" s="69">
        <v>-0.62</v>
      </c>
    </row>
    <row r="21958" spans="6:8">
      <c r="F21958" s="68" t="s">
        <v>123</v>
      </c>
      <c r="G21958" s="67" t="s">
        <v>787</v>
      </c>
      <c r="H21958" s="69">
        <v>-1</v>
      </c>
    </row>
    <row r="21959" spans="6:8">
      <c r="F21959" s="68" t="s">
        <v>122</v>
      </c>
      <c r="G21959" s="67" t="s">
        <v>787</v>
      </c>
      <c r="H21959" s="69">
        <v>-0.995</v>
      </c>
    </row>
    <row r="21960" spans="6:8">
      <c r="F21960" s="68" t="s">
        <v>315</v>
      </c>
      <c r="G21960" s="67" t="s">
        <v>787</v>
      </c>
      <c r="H21960" s="69">
        <v>-0.32999999999999996</v>
      </c>
    </row>
    <row r="21961" spans="6:8">
      <c r="F21961" s="68" t="s">
        <v>253</v>
      </c>
      <c r="G21961" s="67" t="s">
        <v>787</v>
      </c>
      <c r="H21961" s="69">
        <v>0.33599999999999997</v>
      </c>
    </row>
    <row r="21962" spans="6:8">
      <c r="F21962" s="68" t="s">
        <v>127</v>
      </c>
      <c r="G21962" s="67" t="s">
        <v>787</v>
      </c>
      <c r="H21962" s="69">
        <v>-0.44000000000000006</v>
      </c>
    </row>
    <row r="21963" spans="6:8">
      <c r="F21963" s="68" t="s">
        <v>126</v>
      </c>
      <c r="G21963" s="67" t="s">
        <v>787</v>
      </c>
      <c r="H21963" s="69">
        <v>-0.98</v>
      </c>
    </row>
    <row r="21964" spans="6:8">
      <c r="F21964" s="68" t="s">
        <v>125</v>
      </c>
      <c r="G21964" s="67" t="s">
        <v>787</v>
      </c>
      <c r="H21964" s="69">
        <v>-0.71</v>
      </c>
    </row>
    <row r="21965" spans="6:8">
      <c r="F21965" s="68" t="s">
        <v>567</v>
      </c>
      <c r="G21965" s="67" t="s">
        <v>787</v>
      </c>
      <c r="H21965" s="69">
        <v>-1.165</v>
      </c>
    </row>
    <row r="21966" spans="6:8">
      <c r="F21966" s="68" t="s">
        <v>421</v>
      </c>
      <c r="G21966" s="67" t="s">
        <v>787</v>
      </c>
      <c r="H21966" s="69">
        <v>1.876444715198744</v>
      </c>
    </row>
    <row r="21967" spans="6:8">
      <c r="F21967" s="68" t="s">
        <v>254</v>
      </c>
      <c r="G21967" s="67" t="s">
        <v>787</v>
      </c>
      <c r="H21967" s="69">
        <v>0.47199999999999998</v>
      </c>
    </row>
    <row r="21968" spans="6:8">
      <c r="F21968" s="68" t="s">
        <v>304</v>
      </c>
      <c r="G21968" s="67" t="s">
        <v>787</v>
      </c>
      <c r="H21968" s="69">
        <v>18.052083333333332</v>
      </c>
    </row>
    <row r="21969" spans="6:8">
      <c r="F21969" s="68" t="s">
        <v>129</v>
      </c>
      <c r="G21969" s="67" t="s">
        <v>787</v>
      </c>
      <c r="H21969" s="69">
        <v>-0.745</v>
      </c>
    </row>
    <row r="21970" spans="6:8">
      <c r="F21970" s="68" t="s">
        <v>128</v>
      </c>
      <c r="G21970" s="67" t="s">
        <v>787</v>
      </c>
      <c r="H21970" s="69">
        <v>-0.92999999999999994</v>
      </c>
    </row>
    <row r="21971" spans="6:8">
      <c r="F21971" s="68" t="s">
        <v>568</v>
      </c>
      <c r="G21971" s="67" t="s">
        <v>787</v>
      </c>
      <c r="H21971" s="69">
        <v>-0.65999999999999992</v>
      </c>
    </row>
    <row r="21972" spans="6:8">
      <c r="F21972" s="68" t="s">
        <v>422</v>
      </c>
      <c r="G21972" s="67" t="s">
        <v>787</v>
      </c>
      <c r="H21972" s="69">
        <v>1.8818551388127602</v>
      </c>
    </row>
    <row r="21973" spans="6:8">
      <c r="F21973" s="68" t="s">
        <v>255</v>
      </c>
      <c r="G21973" s="67" t="s">
        <v>787</v>
      </c>
      <c r="H21973" s="69">
        <v>0.628</v>
      </c>
    </row>
    <row r="21974" spans="6:8">
      <c r="F21974" s="68" t="s">
        <v>303</v>
      </c>
      <c r="G21974" s="67" t="s">
        <v>787</v>
      </c>
      <c r="H21974" s="69">
        <v>18.052083333333332</v>
      </c>
    </row>
    <row r="21975" spans="6:8">
      <c r="F21975" s="68" t="s">
        <v>131</v>
      </c>
      <c r="G21975" s="67" t="s">
        <v>787</v>
      </c>
      <c r="H21975" s="69">
        <v>-0.57499999999999996</v>
      </c>
    </row>
    <row r="21976" spans="6:8">
      <c r="F21976" s="68" t="s">
        <v>130</v>
      </c>
      <c r="G21976" s="67" t="s">
        <v>787</v>
      </c>
      <c r="H21976" s="69">
        <v>-1.105</v>
      </c>
    </row>
    <row r="21977" spans="6:8">
      <c r="F21977" s="68" t="s">
        <v>569</v>
      </c>
      <c r="G21977" s="67" t="s">
        <v>787</v>
      </c>
      <c r="H21977" s="69">
        <v>-0.33999999999999997</v>
      </c>
    </row>
    <row r="21978" spans="6:8">
      <c r="F21978" s="68" t="s">
        <v>423</v>
      </c>
      <c r="G21978" s="67" t="s">
        <v>787</v>
      </c>
      <c r="H21978" s="69">
        <v>2.0702655844986317</v>
      </c>
    </row>
    <row r="21979" spans="6:8">
      <c r="F21979" s="68" t="s">
        <v>256</v>
      </c>
      <c r="G21979" s="67" t="s">
        <v>787</v>
      </c>
      <c r="H21979" s="69">
        <v>0.74399999999999999</v>
      </c>
    </row>
    <row r="21980" spans="6:8">
      <c r="F21980" s="68" t="s">
        <v>133</v>
      </c>
      <c r="G21980" s="67" t="s">
        <v>787</v>
      </c>
      <c r="H21980" s="69">
        <v>-0.65500000000000003</v>
      </c>
    </row>
    <row r="21981" spans="6:8">
      <c r="F21981" s="68" t="s">
        <v>132</v>
      </c>
      <c r="G21981" s="67" t="s">
        <v>787</v>
      </c>
      <c r="H21981" s="69">
        <v>-1.03</v>
      </c>
    </row>
    <row r="21982" spans="6:8">
      <c r="F21982" s="68" t="s">
        <v>424</v>
      </c>
      <c r="G21982" s="67" t="s">
        <v>787</v>
      </c>
      <c r="H21982" s="69">
        <v>2.6584264594156526</v>
      </c>
    </row>
    <row r="21983" spans="6:8">
      <c r="F21983" s="68" t="s">
        <v>258</v>
      </c>
      <c r="G21983" s="67" t="s">
        <v>787</v>
      </c>
      <c r="H21983" s="69">
        <v>0.15</v>
      </c>
    </row>
    <row r="21984" spans="6:8">
      <c r="F21984" s="68" t="s">
        <v>257</v>
      </c>
      <c r="G21984" s="67" t="s">
        <v>787</v>
      </c>
      <c r="H21984" s="69">
        <v>0.81</v>
      </c>
    </row>
    <row r="21985" spans="6:8">
      <c r="F21985" s="68" t="s">
        <v>135</v>
      </c>
      <c r="G21985" s="67" t="s">
        <v>787</v>
      </c>
      <c r="H21985" s="69">
        <v>-0.85499999999999998</v>
      </c>
    </row>
    <row r="21986" spans="6:8">
      <c r="F21986" s="68" t="s">
        <v>134</v>
      </c>
      <c r="G21986" s="67" t="s">
        <v>787</v>
      </c>
      <c r="H21986" s="69">
        <v>-0.99</v>
      </c>
    </row>
    <row r="21987" spans="6:8">
      <c r="F21987" s="68" t="s">
        <v>425</v>
      </c>
      <c r="G21987" s="67" t="s">
        <v>787</v>
      </c>
      <c r="H21987" s="69">
        <v>2.6534125203207637</v>
      </c>
    </row>
    <row r="21988" spans="6:8">
      <c r="F21988" s="68" t="s">
        <v>259</v>
      </c>
      <c r="G21988" s="67" t="s">
        <v>787</v>
      </c>
      <c r="H21988" s="69">
        <v>0.11800000000000002</v>
      </c>
    </row>
    <row r="21989" spans="6:8">
      <c r="F21989" s="68" t="s">
        <v>138</v>
      </c>
      <c r="G21989" s="67" t="s">
        <v>787</v>
      </c>
      <c r="H21989" s="69">
        <v>-0.77499999999999991</v>
      </c>
    </row>
    <row r="21990" spans="6:8">
      <c r="F21990" s="68" t="s">
        <v>137</v>
      </c>
      <c r="G21990" s="67" t="s">
        <v>787</v>
      </c>
      <c r="H21990" s="69">
        <v>-0.67500000000000004</v>
      </c>
    </row>
    <row r="21991" spans="6:8">
      <c r="F21991" s="68" t="s">
        <v>136</v>
      </c>
      <c r="G21991" s="67" t="s">
        <v>787</v>
      </c>
      <c r="H21991" s="69">
        <v>-1.125</v>
      </c>
    </row>
    <row r="21992" spans="6:8">
      <c r="F21992" s="68" t="s">
        <v>136</v>
      </c>
      <c r="G21992" s="67" t="s">
        <v>788</v>
      </c>
      <c r="H21992" s="69">
        <v>-1.125</v>
      </c>
    </row>
    <row r="21993" spans="6:8">
      <c r="F21993" s="68" t="s">
        <v>137</v>
      </c>
      <c r="G21993" s="67" t="s">
        <v>788</v>
      </c>
      <c r="H21993" s="69">
        <v>-0.67500000000000004</v>
      </c>
    </row>
    <row r="21994" spans="6:8">
      <c r="F21994" s="68" t="s">
        <v>138</v>
      </c>
      <c r="G21994" s="67" t="s">
        <v>788</v>
      </c>
      <c r="H21994" s="69">
        <v>-0.77499999999999991</v>
      </c>
    </row>
    <row r="21995" spans="6:8">
      <c r="F21995" s="68" t="s">
        <v>259</v>
      </c>
      <c r="G21995" s="67" t="s">
        <v>788</v>
      </c>
      <c r="H21995" s="69">
        <v>0.11800000000000002</v>
      </c>
    </row>
    <row r="21996" spans="6:8">
      <c r="F21996" s="68" t="s">
        <v>425</v>
      </c>
      <c r="G21996" s="67" t="s">
        <v>788</v>
      </c>
      <c r="H21996" s="69">
        <v>2.7111323708505886</v>
      </c>
    </row>
    <row r="21997" spans="6:8">
      <c r="F21997" s="68" t="s">
        <v>134</v>
      </c>
      <c r="G21997" s="67" t="s">
        <v>788</v>
      </c>
      <c r="H21997" s="69">
        <v>-0.99</v>
      </c>
    </row>
    <row r="21998" spans="6:8">
      <c r="F21998" s="68" t="s">
        <v>135</v>
      </c>
      <c r="G21998" s="67" t="s">
        <v>788</v>
      </c>
      <c r="H21998" s="69">
        <v>-0.85499999999999998</v>
      </c>
    </row>
    <row r="21999" spans="6:8">
      <c r="F21999" s="68" t="s">
        <v>257</v>
      </c>
      <c r="G21999" s="67" t="s">
        <v>788</v>
      </c>
      <c r="H21999" s="69">
        <v>0.81</v>
      </c>
    </row>
    <row r="22000" spans="6:8">
      <c r="F22000" s="68" t="s">
        <v>258</v>
      </c>
      <c r="G22000" s="67" t="s">
        <v>788</v>
      </c>
      <c r="H22000" s="69">
        <v>0.15</v>
      </c>
    </row>
    <row r="22001" spans="6:8">
      <c r="F22001" s="68" t="s">
        <v>424</v>
      </c>
      <c r="G22001" s="67" t="s">
        <v>788</v>
      </c>
      <c r="H22001" s="69">
        <v>2.7163959423363249</v>
      </c>
    </row>
    <row r="22002" spans="6:8">
      <c r="F22002" s="68" t="s">
        <v>132</v>
      </c>
      <c r="G22002" s="67" t="s">
        <v>788</v>
      </c>
      <c r="H22002" s="69">
        <v>-1.03</v>
      </c>
    </row>
    <row r="22003" spans="6:8">
      <c r="F22003" s="68" t="s">
        <v>133</v>
      </c>
      <c r="G22003" s="67" t="s">
        <v>788</v>
      </c>
      <c r="H22003" s="69">
        <v>-0.65500000000000003</v>
      </c>
    </row>
    <row r="22004" spans="6:8">
      <c r="F22004" s="68" t="s">
        <v>256</v>
      </c>
      <c r="G22004" s="67" t="s">
        <v>788</v>
      </c>
      <c r="H22004" s="69">
        <v>0.74399999999999999</v>
      </c>
    </row>
    <row r="22005" spans="6:8">
      <c r="F22005" s="68" t="s">
        <v>423</v>
      </c>
      <c r="G22005" s="67" t="s">
        <v>788</v>
      </c>
      <c r="H22005" s="69">
        <v>2.1309607787808105</v>
      </c>
    </row>
    <row r="22006" spans="6:8">
      <c r="F22006" s="68" t="s">
        <v>569</v>
      </c>
      <c r="G22006" s="67" t="s">
        <v>788</v>
      </c>
      <c r="H22006" s="69">
        <v>-0.33999999999999997</v>
      </c>
    </row>
    <row r="22007" spans="6:8">
      <c r="F22007" s="68" t="s">
        <v>130</v>
      </c>
      <c r="G22007" s="67" t="s">
        <v>788</v>
      </c>
      <c r="H22007" s="69">
        <v>-1.105</v>
      </c>
    </row>
    <row r="22008" spans="6:8">
      <c r="F22008" s="68" t="s">
        <v>131</v>
      </c>
      <c r="G22008" s="67" t="s">
        <v>788</v>
      </c>
      <c r="H22008" s="69">
        <v>-0.57499999999999996</v>
      </c>
    </row>
    <row r="22009" spans="6:8">
      <c r="F22009" s="68" t="s">
        <v>303</v>
      </c>
      <c r="G22009" s="67" t="s">
        <v>788</v>
      </c>
      <c r="H22009" s="69">
        <v>18.052083333333332</v>
      </c>
    </row>
    <row r="22010" spans="6:8">
      <c r="F22010" s="68" t="s">
        <v>255</v>
      </c>
      <c r="G22010" s="67" t="s">
        <v>788</v>
      </c>
      <c r="H22010" s="69">
        <v>0.628</v>
      </c>
    </row>
    <row r="22011" spans="6:8">
      <c r="F22011" s="68" t="s">
        <v>422</v>
      </c>
      <c r="G22011" s="67" t="s">
        <v>788</v>
      </c>
      <c r="H22011" s="69">
        <v>1.9490671151333405</v>
      </c>
    </row>
    <row r="22012" spans="6:8">
      <c r="F22012" s="68" t="s">
        <v>568</v>
      </c>
      <c r="G22012" s="67" t="s">
        <v>788</v>
      </c>
      <c r="H22012" s="69">
        <v>-0.65999999999999992</v>
      </c>
    </row>
    <row r="22013" spans="6:8">
      <c r="F22013" s="68" t="s">
        <v>128</v>
      </c>
      <c r="G22013" s="67" t="s">
        <v>788</v>
      </c>
      <c r="H22013" s="69">
        <v>-0.92999999999999994</v>
      </c>
    </row>
    <row r="22014" spans="6:8">
      <c r="F22014" s="68" t="s">
        <v>129</v>
      </c>
      <c r="G22014" s="67" t="s">
        <v>788</v>
      </c>
      <c r="H22014" s="69">
        <v>-0.745</v>
      </c>
    </row>
    <row r="22015" spans="6:8">
      <c r="F22015" s="68" t="s">
        <v>304</v>
      </c>
      <c r="G22015" s="67" t="s">
        <v>788</v>
      </c>
      <c r="H22015" s="69">
        <v>18.052083333333332</v>
      </c>
    </row>
    <row r="22016" spans="6:8">
      <c r="F22016" s="68" t="s">
        <v>254</v>
      </c>
      <c r="G22016" s="67" t="s">
        <v>788</v>
      </c>
      <c r="H22016" s="69">
        <v>0.47199999999999998</v>
      </c>
    </row>
    <row r="22017" spans="6:8">
      <c r="F22017" s="68" t="s">
        <v>421</v>
      </c>
      <c r="G22017" s="67" t="s">
        <v>788</v>
      </c>
      <c r="H22017" s="69">
        <v>1.9435515308450224</v>
      </c>
    </row>
    <row r="22018" spans="6:8">
      <c r="F22018" s="68" t="s">
        <v>567</v>
      </c>
      <c r="G22018" s="67" t="s">
        <v>788</v>
      </c>
      <c r="H22018" s="69">
        <v>-1.165</v>
      </c>
    </row>
    <row r="22019" spans="6:8">
      <c r="F22019" s="68" t="s">
        <v>125</v>
      </c>
      <c r="G22019" s="67" t="s">
        <v>788</v>
      </c>
      <c r="H22019" s="69">
        <v>-0.71</v>
      </c>
    </row>
    <row r="22020" spans="6:8">
      <c r="F22020" s="68" t="s">
        <v>126</v>
      </c>
      <c r="G22020" s="67" t="s">
        <v>788</v>
      </c>
      <c r="H22020" s="69">
        <v>-0.98</v>
      </c>
    </row>
    <row r="22021" spans="6:8">
      <c r="F22021" s="68" t="s">
        <v>127</v>
      </c>
      <c r="G22021" s="67" t="s">
        <v>788</v>
      </c>
      <c r="H22021" s="69">
        <v>-0.44000000000000006</v>
      </c>
    </row>
    <row r="22022" spans="6:8">
      <c r="F22022" s="68" t="s">
        <v>253</v>
      </c>
      <c r="G22022" s="67" t="s">
        <v>788</v>
      </c>
      <c r="H22022" s="69">
        <v>0.33599999999999997</v>
      </c>
    </row>
    <row r="22023" spans="6:8">
      <c r="F22023" s="68" t="s">
        <v>315</v>
      </c>
      <c r="G22023" s="67" t="s">
        <v>788</v>
      </c>
      <c r="H22023" s="69">
        <v>-0.32999999999999996</v>
      </c>
    </row>
    <row r="22024" spans="6:8">
      <c r="F22024" s="68" t="s">
        <v>122</v>
      </c>
      <c r="G22024" s="67" t="s">
        <v>788</v>
      </c>
      <c r="H22024" s="69">
        <v>-0.995</v>
      </c>
    </row>
    <row r="22025" spans="6:8">
      <c r="F22025" s="68" t="s">
        <v>123</v>
      </c>
      <c r="G22025" s="67" t="s">
        <v>788</v>
      </c>
      <c r="H22025" s="69">
        <v>-1</v>
      </c>
    </row>
    <row r="22026" spans="6:8">
      <c r="F22026" s="68" t="s">
        <v>124</v>
      </c>
      <c r="G22026" s="67" t="s">
        <v>788</v>
      </c>
      <c r="H22026" s="69">
        <v>-0.62</v>
      </c>
    </row>
    <row r="22027" spans="6:8">
      <c r="F22027" s="68" t="s">
        <v>252</v>
      </c>
      <c r="G22027" s="67" t="s">
        <v>788</v>
      </c>
      <c r="H22027" s="69">
        <v>0.20800000000000002</v>
      </c>
    </row>
    <row r="22028" spans="6:8">
      <c r="F22028" s="68" t="s">
        <v>314</v>
      </c>
      <c r="G22028" s="67" t="s">
        <v>788</v>
      </c>
      <c r="H22028" s="69">
        <v>-0.64999999999999991</v>
      </c>
    </row>
    <row r="22029" spans="6:8">
      <c r="F22029" s="68" t="s">
        <v>119</v>
      </c>
      <c r="G22029" s="67" t="s">
        <v>788</v>
      </c>
      <c r="H22029" s="69">
        <v>-1.03</v>
      </c>
    </row>
    <row r="22030" spans="6:8">
      <c r="F22030" s="68" t="s">
        <v>120</v>
      </c>
      <c r="G22030" s="67" t="s">
        <v>788</v>
      </c>
      <c r="H22030" s="69">
        <v>-0.81499999999999995</v>
      </c>
    </row>
    <row r="22031" spans="6:8">
      <c r="F22031" s="68" t="s">
        <v>121</v>
      </c>
      <c r="G22031" s="67" t="s">
        <v>788</v>
      </c>
      <c r="H22031" s="69">
        <v>-0.70500000000000007</v>
      </c>
    </row>
    <row r="22032" spans="6:8">
      <c r="F22032" s="68" t="s">
        <v>251</v>
      </c>
      <c r="G22032" s="67" t="s">
        <v>788</v>
      </c>
      <c r="H22032" s="69">
        <v>0.152</v>
      </c>
    </row>
    <row r="22033" spans="6:8">
      <c r="F22033" s="68" t="s">
        <v>420</v>
      </c>
      <c r="G22033" s="67" t="s">
        <v>788</v>
      </c>
      <c r="H22033" s="69">
        <v>2.9250412911976387</v>
      </c>
    </row>
    <row r="22034" spans="6:8">
      <c r="F22034" s="68" t="s">
        <v>420</v>
      </c>
      <c r="G22034" s="67" t="s">
        <v>789</v>
      </c>
      <c r="H22034" s="69">
        <v>2.932315966840271</v>
      </c>
    </row>
    <row r="22035" spans="6:8">
      <c r="F22035" s="68" t="s">
        <v>251</v>
      </c>
      <c r="G22035" s="67" t="s">
        <v>789</v>
      </c>
      <c r="H22035" s="69">
        <v>0.15833333333333335</v>
      </c>
    </row>
    <row r="22036" spans="6:8">
      <c r="F22036" s="68" t="s">
        <v>121</v>
      </c>
      <c r="G22036" s="67" t="s">
        <v>789</v>
      </c>
      <c r="H22036" s="69">
        <v>-0.76</v>
      </c>
    </row>
    <row r="22037" spans="6:8">
      <c r="F22037" s="68" t="s">
        <v>120</v>
      </c>
      <c r="G22037" s="67" t="s">
        <v>789</v>
      </c>
      <c r="H22037" s="69">
        <v>-0.79500000000000004</v>
      </c>
    </row>
    <row r="22038" spans="6:8">
      <c r="F22038" s="68" t="s">
        <v>119</v>
      </c>
      <c r="G22038" s="67" t="s">
        <v>789</v>
      </c>
      <c r="H22038" s="69">
        <v>-1</v>
      </c>
    </row>
    <row r="22039" spans="6:8">
      <c r="F22039" s="68" t="s">
        <v>314</v>
      </c>
      <c r="G22039" s="67" t="s">
        <v>789</v>
      </c>
      <c r="H22039" s="69">
        <v>-0.64</v>
      </c>
    </row>
    <row r="22040" spans="6:8">
      <c r="F22040" s="68" t="s">
        <v>252</v>
      </c>
      <c r="G22040" s="67" t="s">
        <v>789</v>
      </c>
      <c r="H22040" s="69">
        <v>0.20866666666666664</v>
      </c>
    </row>
    <row r="22041" spans="6:8">
      <c r="F22041" s="68" t="s">
        <v>124</v>
      </c>
      <c r="G22041" s="67" t="s">
        <v>789</v>
      </c>
      <c r="H22041" s="69">
        <v>-0.71</v>
      </c>
    </row>
    <row r="22042" spans="6:8">
      <c r="F22042" s="68" t="s">
        <v>123</v>
      </c>
      <c r="G22042" s="67" t="s">
        <v>789</v>
      </c>
      <c r="H22042" s="69">
        <v>-0.98</v>
      </c>
    </row>
    <row r="22043" spans="6:8">
      <c r="F22043" s="68" t="s">
        <v>122</v>
      </c>
      <c r="G22043" s="67" t="s">
        <v>789</v>
      </c>
      <c r="H22043" s="69">
        <v>-0.97499999999999998</v>
      </c>
    </row>
    <row r="22044" spans="6:8">
      <c r="F22044" s="68" t="s">
        <v>315</v>
      </c>
      <c r="G22044" s="67" t="s">
        <v>789</v>
      </c>
      <c r="H22044" s="69">
        <v>-0.33499999999999996</v>
      </c>
    </row>
    <row r="22045" spans="6:8">
      <c r="F22045" s="68" t="s">
        <v>253</v>
      </c>
      <c r="G22045" s="67" t="s">
        <v>789</v>
      </c>
      <c r="H22045" s="69">
        <v>0.32833333333333331</v>
      </c>
    </row>
    <row r="22046" spans="6:8">
      <c r="F22046" s="68" t="s">
        <v>127</v>
      </c>
      <c r="G22046" s="67" t="s">
        <v>789</v>
      </c>
      <c r="H22046" s="69">
        <v>-0.44000000000000006</v>
      </c>
    </row>
    <row r="22047" spans="6:8">
      <c r="F22047" s="68" t="s">
        <v>126</v>
      </c>
      <c r="G22047" s="67" t="s">
        <v>789</v>
      </c>
      <c r="H22047" s="69">
        <v>-0.96500000000000008</v>
      </c>
    </row>
    <row r="22048" spans="6:8">
      <c r="F22048" s="68" t="s">
        <v>125</v>
      </c>
      <c r="G22048" s="67" t="s">
        <v>789</v>
      </c>
      <c r="H22048" s="69">
        <v>-0.71</v>
      </c>
    </row>
    <row r="22049" spans="6:8">
      <c r="F22049" s="68" t="s">
        <v>567</v>
      </c>
      <c r="G22049" s="67" t="s">
        <v>789</v>
      </c>
      <c r="H22049" s="69">
        <v>-1.155</v>
      </c>
    </row>
    <row r="22050" spans="6:8">
      <c r="F22050" s="68" t="s">
        <v>421</v>
      </c>
      <c r="G22050" s="67" t="s">
        <v>789</v>
      </c>
      <c r="H22050" s="69">
        <v>1.9769135327727394</v>
      </c>
    </row>
    <row r="22051" spans="6:8">
      <c r="F22051" s="68" t="s">
        <v>254</v>
      </c>
      <c r="G22051" s="67" t="s">
        <v>789</v>
      </c>
      <c r="H22051" s="69">
        <v>0.46833333333333327</v>
      </c>
    </row>
    <row r="22052" spans="6:8">
      <c r="F22052" s="68" t="s">
        <v>304</v>
      </c>
      <c r="G22052" s="67" t="s">
        <v>789</v>
      </c>
      <c r="H22052" s="69">
        <v>18.041666666666668</v>
      </c>
    </row>
    <row r="22053" spans="6:8">
      <c r="F22053" s="68" t="s">
        <v>129</v>
      </c>
      <c r="G22053" s="67" t="s">
        <v>789</v>
      </c>
      <c r="H22053" s="69">
        <v>-0.73</v>
      </c>
    </row>
    <row r="22054" spans="6:8">
      <c r="F22054" s="68" t="s">
        <v>128</v>
      </c>
      <c r="G22054" s="67" t="s">
        <v>789</v>
      </c>
      <c r="H22054" s="69">
        <v>-0.91500000000000004</v>
      </c>
    </row>
    <row r="22055" spans="6:8">
      <c r="F22055" s="68" t="s">
        <v>568</v>
      </c>
      <c r="G22055" s="67" t="s">
        <v>789</v>
      </c>
      <c r="H22055" s="69">
        <v>-0.64999999999999991</v>
      </c>
    </row>
    <row r="22056" spans="6:8">
      <c r="F22056" s="68" t="s">
        <v>422</v>
      </c>
      <c r="G22056" s="67" t="s">
        <v>789</v>
      </c>
      <c r="H22056" s="69">
        <v>1.9824711636705405</v>
      </c>
    </row>
    <row r="22057" spans="6:8">
      <c r="F22057" s="68" t="s">
        <v>255</v>
      </c>
      <c r="G22057" s="67" t="s">
        <v>789</v>
      </c>
      <c r="H22057" s="69">
        <v>0.63</v>
      </c>
    </row>
    <row r="22058" spans="6:8">
      <c r="F22058" s="68" t="s">
        <v>303</v>
      </c>
      <c r="G22058" s="67" t="s">
        <v>789</v>
      </c>
      <c r="H22058" s="69">
        <v>18.083333333333332</v>
      </c>
    </row>
    <row r="22059" spans="6:8">
      <c r="F22059" s="68" t="s">
        <v>131</v>
      </c>
      <c r="G22059" s="67" t="s">
        <v>789</v>
      </c>
      <c r="H22059" s="69">
        <v>-0.56000000000000005</v>
      </c>
    </row>
    <row r="22060" spans="6:8">
      <c r="F22060" s="68" t="s">
        <v>130</v>
      </c>
      <c r="G22060" s="67" t="s">
        <v>789</v>
      </c>
      <c r="H22060" s="69">
        <v>-1.0750000000000002</v>
      </c>
    </row>
    <row r="22061" spans="6:8">
      <c r="F22061" s="68" t="s">
        <v>569</v>
      </c>
      <c r="G22061" s="67" t="s">
        <v>789</v>
      </c>
      <c r="H22061" s="69">
        <v>-0.3</v>
      </c>
    </row>
    <row r="22062" spans="6:8">
      <c r="F22062" s="68" t="s">
        <v>423</v>
      </c>
      <c r="G22062" s="67" t="s">
        <v>789</v>
      </c>
      <c r="H22062" s="69">
        <v>2.1592185433456201</v>
      </c>
    </row>
    <row r="22063" spans="6:8">
      <c r="F22063" s="68" t="s">
        <v>256</v>
      </c>
      <c r="G22063" s="67" t="s">
        <v>789</v>
      </c>
      <c r="H22063" s="69">
        <v>0.75</v>
      </c>
    </row>
    <row r="22064" spans="6:8">
      <c r="F22064" s="68" t="s">
        <v>133</v>
      </c>
      <c r="G22064" s="67" t="s">
        <v>789</v>
      </c>
      <c r="H22064" s="69">
        <v>-0.6399999999999999</v>
      </c>
    </row>
    <row r="22065" spans="6:8">
      <c r="F22065" s="68" t="s">
        <v>132</v>
      </c>
      <c r="G22065" s="67" t="s">
        <v>789</v>
      </c>
      <c r="H22065" s="69">
        <v>-1.0049999999999999</v>
      </c>
    </row>
    <row r="22066" spans="6:8">
      <c r="F22066" s="68" t="s">
        <v>424</v>
      </c>
      <c r="G22066" s="67" t="s">
        <v>789</v>
      </c>
      <c r="H22066" s="69">
        <v>2.7237439720117163</v>
      </c>
    </row>
    <row r="22067" spans="6:8">
      <c r="F22067" s="68" t="s">
        <v>258</v>
      </c>
      <c r="G22067" s="67" t="s">
        <v>789</v>
      </c>
      <c r="H22067" s="69">
        <v>0.15</v>
      </c>
    </row>
    <row r="22068" spans="6:8">
      <c r="F22068" s="68" t="s">
        <v>257</v>
      </c>
      <c r="G22068" s="67" t="s">
        <v>789</v>
      </c>
      <c r="H22068" s="69">
        <v>0.83200000000000007</v>
      </c>
    </row>
    <row r="22069" spans="6:8">
      <c r="F22069" s="68" t="s">
        <v>135</v>
      </c>
      <c r="G22069" s="67" t="s">
        <v>789</v>
      </c>
      <c r="H22069" s="69">
        <v>-0.84</v>
      </c>
    </row>
    <row r="22070" spans="6:8">
      <c r="F22070" s="68" t="s">
        <v>134</v>
      </c>
      <c r="G22070" s="67" t="s">
        <v>789</v>
      </c>
      <c r="H22070" s="69">
        <v>-0.96500000000000008</v>
      </c>
    </row>
    <row r="22071" spans="6:8">
      <c r="F22071" s="68" t="s">
        <v>425</v>
      </c>
      <c r="G22071" s="67" t="s">
        <v>789</v>
      </c>
      <c r="H22071" s="69">
        <v>2.7188442722419381</v>
      </c>
    </row>
    <row r="22072" spans="6:8">
      <c r="F22072" s="68" t="s">
        <v>259</v>
      </c>
      <c r="G22072" s="67" t="s">
        <v>789</v>
      </c>
      <c r="H22072" s="69">
        <v>0.12666666666666668</v>
      </c>
    </row>
    <row r="22073" spans="6:8">
      <c r="F22073" s="68" t="s">
        <v>138</v>
      </c>
      <c r="G22073" s="67" t="s">
        <v>789</v>
      </c>
      <c r="H22073" s="69">
        <v>-0.81499999999999995</v>
      </c>
    </row>
    <row r="22074" spans="6:8">
      <c r="F22074" s="68" t="s">
        <v>137</v>
      </c>
      <c r="G22074" s="67" t="s">
        <v>789</v>
      </c>
      <c r="H22074" s="69">
        <v>-0.65999999999999992</v>
      </c>
    </row>
    <row r="22075" spans="6:8">
      <c r="F22075" s="68" t="s">
        <v>136</v>
      </c>
      <c r="G22075" s="67" t="s">
        <v>789</v>
      </c>
      <c r="H22075" s="69">
        <v>-1.0899999999999999</v>
      </c>
    </row>
    <row r="22076" spans="6:8">
      <c r="F22076" s="68" t="s">
        <v>136</v>
      </c>
      <c r="G22076" s="67" t="s">
        <v>790</v>
      </c>
      <c r="H22076" s="69">
        <v>-1.0899999999999999</v>
      </c>
    </row>
    <row r="22077" spans="6:8">
      <c r="F22077" s="68" t="s">
        <v>137</v>
      </c>
      <c r="G22077" s="67" t="s">
        <v>790</v>
      </c>
      <c r="H22077" s="69">
        <v>-0.65999999999999992</v>
      </c>
    </row>
    <row r="22078" spans="6:8">
      <c r="F22078" s="68" t="s">
        <v>138</v>
      </c>
      <c r="G22078" s="67" t="s">
        <v>790</v>
      </c>
      <c r="H22078" s="69">
        <v>-0.81499999999999995</v>
      </c>
    </row>
    <row r="22079" spans="6:8">
      <c r="F22079" s="68" t="s">
        <v>259</v>
      </c>
      <c r="G22079" s="67" t="s">
        <v>790</v>
      </c>
      <c r="H22079" s="69">
        <v>0.12666666666666668</v>
      </c>
    </row>
    <row r="22080" spans="6:8">
      <c r="F22080" s="68" t="s">
        <v>425</v>
      </c>
      <c r="G22080" s="67" t="s">
        <v>790</v>
      </c>
      <c r="H22080" s="69">
        <v>2.6935893227002072</v>
      </c>
    </row>
    <row r="22081" spans="6:8">
      <c r="F22081" s="68" t="s">
        <v>134</v>
      </c>
      <c r="G22081" s="67" t="s">
        <v>790</v>
      </c>
      <c r="H22081" s="69">
        <v>-0.96500000000000008</v>
      </c>
    </row>
    <row r="22082" spans="6:8">
      <c r="F22082" s="68" t="s">
        <v>135</v>
      </c>
      <c r="G22082" s="67" t="s">
        <v>790</v>
      </c>
      <c r="H22082" s="69">
        <v>-0.84</v>
      </c>
    </row>
    <row r="22083" spans="6:8">
      <c r="F22083" s="68" t="s">
        <v>257</v>
      </c>
      <c r="G22083" s="67" t="s">
        <v>790</v>
      </c>
      <c r="H22083" s="69">
        <v>0.83200000000000007</v>
      </c>
    </row>
    <row r="22084" spans="6:8">
      <c r="F22084" s="68" t="s">
        <v>258</v>
      </c>
      <c r="G22084" s="67" t="s">
        <v>790</v>
      </c>
      <c r="H22084" s="69">
        <v>0.15</v>
      </c>
    </row>
    <row r="22085" spans="6:8">
      <c r="F22085" s="68" t="s">
        <v>424</v>
      </c>
      <c r="G22085" s="67" t="s">
        <v>790</v>
      </c>
      <c r="H22085" s="69">
        <v>2.7000030297060551</v>
      </c>
    </row>
    <row r="22086" spans="6:8">
      <c r="F22086" s="68" t="s">
        <v>132</v>
      </c>
      <c r="G22086" s="67" t="s">
        <v>790</v>
      </c>
      <c r="H22086" s="69">
        <v>-1.0049999999999999</v>
      </c>
    </row>
    <row r="22087" spans="6:8">
      <c r="F22087" s="68" t="s">
        <v>133</v>
      </c>
      <c r="G22087" s="67" t="s">
        <v>790</v>
      </c>
      <c r="H22087" s="69">
        <v>-0.6399999999999999</v>
      </c>
    </row>
    <row r="22088" spans="6:8">
      <c r="F22088" s="68" t="s">
        <v>256</v>
      </c>
      <c r="G22088" s="67" t="s">
        <v>790</v>
      </c>
      <c r="H22088" s="69">
        <v>0.75</v>
      </c>
    </row>
    <row r="22089" spans="6:8">
      <c r="F22089" s="68" t="s">
        <v>423</v>
      </c>
      <c r="G22089" s="67" t="s">
        <v>790</v>
      </c>
      <c r="H22089" s="69">
        <v>2.1392631988814692</v>
      </c>
    </row>
    <row r="22090" spans="6:8">
      <c r="F22090" s="68" t="s">
        <v>569</v>
      </c>
      <c r="G22090" s="67" t="s">
        <v>790</v>
      </c>
      <c r="H22090" s="69">
        <v>-0.3</v>
      </c>
    </row>
    <row r="22091" spans="6:8">
      <c r="F22091" s="68" t="s">
        <v>130</v>
      </c>
      <c r="G22091" s="67" t="s">
        <v>790</v>
      </c>
      <c r="H22091" s="69">
        <v>-1.0750000000000002</v>
      </c>
    </row>
    <row r="22092" spans="6:8">
      <c r="F22092" s="68" t="s">
        <v>131</v>
      </c>
      <c r="G22092" s="67" t="s">
        <v>790</v>
      </c>
      <c r="H22092" s="69">
        <v>-0.56000000000000005</v>
      </c>
    </row>
    <row r="22093" spans="6:8">
      <c r="F22093" s="68" t="s">
        <v>303</v>
      </c>
      <c r="G22093" s="67" t="s">
        <v>790</v>
      </c>
      <c r="H22093" s="69">
        <v>18.041666666666668</v>
      </c>
    </row>
    <row r="22094" spans="6:8">
      <c r="F22094" s="68" t="s">
        <v>255</v>
      </c>
      <c r="G22094" s="67" t="s">
        <v>790</v>
      </c>
      <c r="H22094" s="69">
        <v>0.63</v>
      </c>
    </row>
    <row r="22095" spans="6:8">
      <c r="F22095" s="68" t="s">
        <v>422</v>
      </c>
      <c r="G22095" s="67" t="s">
        <v>790</v>
      </c>
      <c r="H22095" s="69">
        <v>1.8587761283530568</v>
      </c>
    </row>
    <row r="22096" spans="6:8">
      <c r="F22096" s="68" t="s">
        <v>568</v>
      </c>
      <c r="G22096" s="67" t="s">
        <v>790</v>
      </c>
      <c r="H22096" s="69">
        <v>-0.64999999999999991</v>
      </c>
    </row>
    <row r="22097" spans="6:8">
      <c r="F22097" s="68" t="s">
        <v>128</v>
      </c>
      <c r="G22097" s="67" t="s">
        <v>790</v>
      </c>
      <c r="H22097" s="69">
        <v>-0.91500000000000004</v>
      </c>
    </row>
    <row r="22098" spans="6:8">
      <c r="F22098" s="68" t="s">
        <v>129</v>
      </c>
      <c r="G22098" s="67" t="s">
        <v>790</v>
      </c>
      <c r="H22098" s="69">
        <v>-0.73</v>
      </c>
    </row>
    <row r="22099" spans="6:8">
      <c r="F22099" s="68" t="s">
        <v>304</v>
      </c>
      <c r="G22099" s="67" t="s">
        <v>790</v>
      </c>
      <c r="H22099" s="69">
        <v>18.010416666666668</v>
      </c>
    </row>
    <row r="22100" spans="6:8">
      <c r="F22100" s="68" t="s">
        <v>254</v>
      </c>
      <c r="G22100" s="67" t="s">
        <v>790</v>
      </c>
      <c r="H22100" s="69">
        <v>0.46833333333333327</v>
      </c>
    </row>
    <row r="22101" spans="6:8">
      <c r="F22101" s="68" t="s">
        <v>421</v>
      </c>
      <c r="G22101" s="67" t="s">
        <v>790</v>
      </c>
      <c r="H22101" s="69">
        <v>1.8530445166649034</v>
      </c>
    </row>
    <row r="22102" spans="6:8">
      <c r="F22102" s="68" t="s">
        <v>567</v>
      </c>
      <c r="G22102" s="67" t="s">
        <v>790</v>
      </c>
      <c r="H22102" s="69">
        <v>-1.155</v>
      </c>
    </row>
    <row r="22103" spans="6:8">
      <c r="F22103" s="68" t="s">
        <v>125</v>
      </c>
      <c r="G22103" s="67" t="s">
        <v>790</v>
      </c>
      <c r="H22103" s="69">
        <v>-0.71</v>
      </c>
    </row>
    <row r="22104" spans="6:8">
      <c r="F22104" s="68" t="s">
        <v>126</v>
      </c>
      <c r="G22104" s="67" t="s">
        <v>790</v>
      </c>
      <c r="H22104" s="69">
        <v>-0.96500000000000008</v>
      </c>
    </row>
    <row r="22105" spans="6:8">
      <c r="F22105" s="68" t="s">
        <v>127</v>
      </c>
      <c r="G22105" s="67" t="s">
        <v>790</v>
      </c>
      <c r="H22105" s="69">
        <v>-0.44000000000000006</v>
      </c>
    </row>
    <row r="22106" spans="6:8">
      <c r="F22106" s="68" t="s">
        <v>253</v>
      </c>
      <c r="G22106" s="67" t="s">
        <v>790</v>
      </c>
      <c r="H22106" s="69">
        <v>0.32833333333333331</v>
      </c>
    </row>
    <row r="22107" spans="6:8">
      <c r="F22107" s="68" t="s">
        <v>315</v>
      </c>
      <c r="G22107" s="67" t="s">
        <v>790</v>
      </c>
      <c r="H22107" s="69">
        <v>-0.33499999999999996</v>
      </c>
    </row>
    <row r="22108" spans="6:8">
      <c r="F22108" s="68" t="s">
        <v>122</v>
      </c>
      <c r="G22108" s="67" t="s">
        <v>790</v>
      </c>
      <c r="H22108" s="69">
        <v>-0.97499999999999998</v>
      </c>
    </row>
    <row r="22109" spans="6:8">
      <c r="F22109" s="68" t="s">
        <v>123</v>
      </c>
      <c r="G22109" s="67" t="s">
        <v>790</v>
      </c>
      <c r="H22109" s="69">
        <v>-0.98</v>
      </c>
    </row>
    <row r="22110" spans="6:8">
      <c r="F22110" s="68" t="s">
        <v>124</v>
      </c>
      <c r="G22110" s="67" t="s">
        <v>790</v>
      </c>
      <c r="H22110" s="69">
        <v>-0.71</v>
      </c>
    </row>
    <row r="22111" spans="6:8">
      <c r="F22111" s="68" t="s">
        <v>252</v>
      </c>
      <c r="G22111" s="67" t="s">
        <v>790</v>
      </c>
      <c r="H22111" s="69">
        <v>0.20866666666666664</v>
      </c>
    </row>
    <row r="22112" spans="6:8">
      <c r="F22112" s="68" t="s">
        <v>314</v>
      </c>
      <c r="G22112" s="67" t="s">
        <v>790</v>
      </c>
      <c r="H22112" s="69">
        <v>-0.64</v>
      </c>
    </row>
    <row r="22113" spans="6:8">
      <c r="F22113" s="68" t="s">
        <v>119</v>
      </c>
      <c r="G22113" s="67" t="s">
        <v>790</v>
      </c>
      <c r="H22113" s="69">
        <v>-1</v>
      </c>
    </row>
    <row r="22114" spans="6:8">
      <c r="F22114" s="68" t="s">
        <v>120</v>
      </c>
      <c r="G22114" s="67" t="s">
        <v>790</v>
      </c>
      <c r="H22114" s="69">
        <v>-0.79500000000000004</v>
      </c>
    </row>
    <row r="22115" spans="6:8">
      <c r="F22115" s="68" t="s">
        <v>121</v>
      </c>
      <c r="G22115" s="67" t="s">
        <v>790</v>
      </c>
      <c r="H22115" s="69">
        <v>-0.76</v>
      </c>
    </row>
    <row r="22116" spans="6:8">
      <c r="F22116" s="68" t="s">
        <v>251</v>
      </c>
      <c r="G22116" s="67" t="s">
        <v>790</v>
      </c>
      <c r="H22116" s="69">
        <v>0.15833333333333335</v>
      </c>
    </row>
    <row r="22117" spans="6:8">
      <c r="F22117" s="68" t="s">
        <v>420</v>
      </c>
      <c r="G22117" s="67" t="s">
        <v>790</v>
      </c>
      <c r="H22117" s="69">
        <v>2.9025098823780127</v>
      </c>
    </row>
    <row r="22118" spans="6:8">
      <c r="F22118" s="68" t="s">
        <v>420</v>
      </c>
      <c r="G22118" s="67" t="s">
        <v>791</v>
      </c>
      <c r="H22118" s="69">
        <v>2.9546349103912739</v>
      </c>
    </row>
    <row r="22119" spans="6:8">
      <c r="F22119" s="68" t="s">
        <v>251</v>
      </c>
      <c r="G22119" s="67" t="s">
        <v>791</v>
      </c>
      <c r="H22119" s="69">
        <v>0.15833333333333335</v>
      </c>
    </row>
    <row r="22120" spans="6:8">
      <c r="F22120" s="68" t="s">
        <v>121</v>
      </c>
      <c r="G22120" s="67" t="s">
        <v>791</v>
      </c>
      <c r="H22120" s="69">
        <v>-0.76</v>
      </c>
    </row>
    <row r="22121" spans="6:8">
      <c r="F22121" s="68" t="s">
        <v>120</v>
      </c>
      <c r="G22121" s="67" t="s">
        <v>791</v>
      </c>
      <c r="H22121" s="69">
        <v>-0.79500000000000004</v>
      </c>
    </row>
    <row r="22122" spans="6:8">
      <c r="F22122" s="68" t="s">
        <v>119</v>
      </c>
      <c r="G22122" s="67" t="s">
        <v>791</v>
      </c>
      <c r="H22122" s="69">
        <v>-1</v>
      </c>
    </row>
    <row r="22123" spans="6:8">
      <c r="F22123" s="68" t="s">
        <v>314</v>
      </c>
      <c r="G22123" s="67" t="s">
        <v>791</v>
      </c>
      <c r="H22123" s="69">
        <v>-0.64</v>
      </c>
    </row>
    <row r="22124" spans="6:8">
      <c r="F22124" s="68" t="s">
        <v>252</v>
      </c>
      <c r="G22124" s="67" t="s">
        <v>791</v>
      </c>
      <c r="H22124" s="69">
        <v>0.20866666666666664</v>
      </c>
    </row>
    <row r="22125" spans="6:8">
      <c r="F22125" s="68" t="s">
        <v>124</v>
      </c>
      <c r="G22125" s="67" t="s">
        <v>791</v>
      </c>
      <c r="H22125" s="69">
        <v>-0.71</v>
      </c>
    </row>
    <row r="22126" spans="6:8">
      <c r="F22126" s="68" t="s">
        <v>123</v>
      </c>
      <c r="G22126" s="67" t="s">
        <v>791</v>
      </c>
      <c r="H22126" s="69">
        <v>-0.98</v>
      </c>
    </row>
    <row r="22127" spans="6:8">
      <c r="F22127" s="68" t="s">
        <v>122</v>
      </c>
      <c r="G22127" s="67" t="s">
        <v>791</v>
      </c>
      <c r="H22127" s="69">
        <v>-0.97499999999999998</v>
      </c>
    </row>
    <row r="22128" spans="6:8">
      <c r="F22128" s="68" t="s">
        <v>315</v>
      </c>
      <c r="G22128" s="67" t="s">
        <v>791</v>
      </c>
      <c r="H22128" s="69">
        <v>-0.33499999999999996</v>
      </c>
    </row>
    <row r="22129" spans="6:8">
      <c r="F22129" s="68" t="s">
        <v>253</v>
      </c>
      <c r="G22129" s="67" t="s">
        <v>791</v>
      </c>
      <c r="H22129" s="69">
        <v>0.32833333333333331</v>
      </c>
    </row>
    <row r="22130" spans="6:8">
      <c r="F22130" s="68" t="s">
        <v>127</v>
      </c>
      <c r="G22130" s="67" t="s">
        <v>791</v>
      </c>
      <c r="H22130" s="69">
        <v>-0.44000000000000006</v>
      </c>
    </row>
    <row r="22131" spans="6:8">
      <c r="F22131" s="68" t="s">
        <v>126</v>
      </c>
      <c r="G22131" s="67" t="s">
        <v>791</v>
      </c>
      <c r="H22131" s="69">
        <v>-0.96500000000000008</v>
      </c>
    </row>
    <row r="22132" spans="6:8">
      <c r="F22132" s="68" t="s">
        <v>125</v>
      </c>
      <c r="G22132" s="67" t="s">
        <v>791</v>
      </c>
      <c r="H22132" s="69">
        <v>-0.71</v>
      </c>
    </row>
    <row r="22133" spans="6:8">
      <c r="F22133" s="68" t="s">
        <v>567</v>
      </c>
      <c r="G22133" s="67" t="s">
        <v>791</v>
      </c>
      <c r="H22133" s="69">
        <v>-1.155</v>
      </c>
    </row>
    <row r="22134" spans="6:8">
      <c r="F22134" s="68" t="s">
        <v>421</v>
      </c>
      <c r="G22134" s="67" t="s">
        <v>791</v>
      </c>
      <c r="H22134" s="69">
        <v>1.9406373290879131</v>
      </c>
    </row>
    <row r="22135" spans="6:8">
      <c r="F22135" s="68" t="s">
        <v>254</v>
      </c>
      <c r="G22135" s="67" t="s">
        <v>791</v>
      </c>
      <c r="H22135" s="69">
        <v>0.46833333333333327</v>
      </c>
    </row>
    <row r="22136" spans="6:8">
      <c r="F22136" s="68" t="s">
        <v>304</v>
      </c>
      <c r="G22136" s="67" t="s">
        <v>791</v>
      </c>
      <c r="H22136" s="69">
        <v>18.125</v>
      </c>
    </row>
    <row r="22137" spans="6:8">
      <c r="F22137" s="68" t="s">
        <v>129</v>
      </c>
      <c r="G22137" s="67" t="s">
        <v>791</v>
      </c>
      <c r="H22137" s="69">
        <v>-0.73</v>
      </c>
    </row>
    <row r="22138" spans="6:8">
      <c r="F22138" s="68" t="s">
        <v>128</v>
      </c>
      <c r="G22138" s="67" t="s">
        <v>791</v>
      </c>
      <c r="H22138" s="69">
        <v>-0.91500000000000004</v>
      </c>
    </row>
    <row r="22139" spans="6:8">
      <c r="F22139" s="68" t="s">
        <v>568</v>
      </c>
      <c r="G22139" s="67" t="s">
        <v>791</v>
      </c>
      <c r="H22139" s="69">
        <v>-0.64999999999999991</v>
      </c>
    </row>
    <row r="22140" spans="6:8">
      <c r="F22140" s="68" t="s">
        <v>422</v>
      </c>
      <c r="G22140" s="67" t="s">
        <v>791</v>
      </c>
      <c r="H22140" s="69">
        <v>1.9464012014009047</v>
      </c>
    </row>
    <row r="22141" spans="6:8">
      <c r="F22141" s="68" t="s">
        <v>255</v>
      </c>
      <c r="G22141" s="67" t="s">
        <v>791</v>
      </c>
      <c r="H22141" s="69">
        <v>0.63</v>
      </c>
    </row>
    <row r="22142" spans="6:8">
      <c r="F22142" s="68" t="s">
        <v>303</v>
      </c>
      <c r="G22142" s="67" t="s">
        <v>791</v>
      </c>
      <c r="H22142" s="69">
        <v>18.020833333333332</v>
      </c>
    </row>
    <row r="22143" spans="6:8">
      <c r="F22143" s="68" t="s">
        <v>131</v>
      </c>
      <c r="G22143" s="67" t="s">
        <v>791</v>
      </c>
      <c r="H22143" s="69">
        <v>-0.56000000000000005</v>
      </c>
    </row>
    <row r="22144" spans="6:8">
      <c r="F22144" s="68" t="s">
        <v>130</v>
      </c>
      <c r="G22144" s="67" t="s">
        <v>791</v>
      </c>
      <c r="H22144" s="69">
        <v>-1.0750000000000002</v>
      </c>
    </row>
    <row r="22145" spans="6:8">
      <c r="F22145" s="68" t="s">
        <v>569</v>
      </c>
      <c r="G22145" s="67" t="s">
        <v>791</v>
      </c>
      <c r="H22145" s="69">
        <v>-0.3</v>
      </c>
    </row>
    <row r="22146" spans="6:8">
      <c r="F22146" s="68" t="s">
        <v>423</v>
      </c>
      <c r="G22146" s="67" t="s">
        <v>791</v>
      </c>
      <c r="H22146" s="69">
        <v>2.2011769179718144</v>
      </c>
    </row>
    <row r="22147" spans="6:8">
      <c r="F22147" s="68" t="s">
        <v>256</v>
      </c>
      <c r="G22147" s="67" t="s">
        <v>791</v>
      </c>
      <c r="H22147" s="69">
        <v>0.75</v>
      </c>
    </row>
    <row r="22148" spans="6:8">
      <c r="F22148" s="68" t="s">
        <v>133</v>
      </c>
      <c r="G22148" s="67" t="s">
        <v>791</v>
      </c>
      <c r="H22148" s="69">
        <v>-0.6399999999999999</v>
      </c>
    </row>
    <row r="22149" spans="6:8">
      <c r="F22149" s="68" t="s">
        <v>132</v>
      </c>
      <c r="G22149" s="67" t="s">
        <v>791</v>
      </c>
      <c r="H22149" s="69">
        <v>-1.0049999999999999</v>
      </c>
    </row>
    <row r="22150" spans="6:8">
      <c r="F22150" s="68" t="s">
        <v>424</v>
      </c>
      <c r="G22150" s="67" t="s">
        <v>791</v>
      </c>
      <c r="H22150" s="69">
        <v>2.748458813426824</v>
      </c>
    </row>
    <row r="22151" spans="6:8">
      <c r="F22151" s="68" t="s">
        <v>258</v>
      </c>
      <c r="G22151" s="67" t="s">
        <v>791</v>
      </c>
      <c r="H22151" s="69">
        <v>0.15</v>
      </c>
    </row>
    <row r="22152" spans="6:8">
      <c r="F22152" s="68" t="s">
        <v>257</v>
      </c>
      <c r="G22152" s="67" t="s">
        <v>791</v>
      </c>
      <c r="H22152" s="69">
        <v>0.83200000000000007</v>
      </c>
    </row>
    <row r="22153" spans="6:8">
      <c r="F22153" s="68" t="s">
        <v>135</v>
      </c>
      <c r="G22153" s="67" t="s">
        <v>791</v>
      </c>
      <c r="H22153" s="69">
        <v>-0.84</v>
      </c>
    </row>
    <row r="22154" spans="6:8">
      <c r="F22154" s="68" t="s">
        <v>134</v>
      </c>
      <c r="G22154" s="67" t="s">
        <v>791</v>
      </c>
      <c r="H22154" s="69">
        <v>-0.96500000000000008</v>
      </c>
    </row>
    <row r="22155" spans="6:8">
      <c r="F22155" s="68" t="s">
        <v>425</v>
      </c>
      <c r="G22155" s="67" t="s">
        <v>791</v>
      </c>
      <c r="H22155" s="69">
        <v>2.7422033151769831</v>
      </c>
    </row>
    <row r="22156" spans="6:8">
      <c r="F22156" s="68" t="s">
        <v>259</v>
      </c>
      <c r="G22156" s="67" t="s">
        <v>791</v>
      </c>
      <c r="H22156" s="69">
        <v>0.12666666666666668</v>
      </c>
    </row>
    <row r="22157" spans="6:8">
      <c r="F22157" s="68" t="s">
        <v>138</v>
      </c>
      <c r="G22157" s="67" t="s">
        <v>791</v>
      </c>
      <c r="H22157" s="69">
        <v>-0.81499999999999995</v>
      </c>
    </row>
    <row r="22158" spans="6:8">
      <c r="F22158" s="68" t="s">
        <v>137</v>
      </c>
      <c r="G22158" s="67" t="s">
        <v>791</v>
      </c>
      <c r="H22158" s="69">
        <v>-0.65999999999999992</v>
      </c>
    </row>
    <row r="22159" spans="6:8">
      <c r="F22159" s="68" t="s">
        <v>136</v>
      </c>
      <c r="G22159" s="67" t="s">
        <v>791</v>
      </c>
      <c r="H22159" s="69">
        <v>-1.0899999999999999</v>
      </c>
    </row>
    <row r="22160" spans="6:8">
      <c r="F22160" s="68" t="s">
        <v>136</v>
      </c>
      <c r="G22160" s="67" t="s">
        <v>792</v>
      </c>
      <c r="H22160" s="69">
        <v>-1.115</v>
      </c>
    </row>
    <row r="22161" spans="6:8">
      <c r="F22161" s="68" t="s">
        <v>137</v>
      </c>
      <c r="G22161" s="67" t="s">
        <v>792</v>
      </c>
      <c r="H22161" s="69">
        <v>-0.67500000000000004</v>
      </c>
    </row>
    <row r="22162" spans="6:8">
      <c r="F22162" s="68" t="s">
        <v>138</v>
      </c>
      <c r="G22162" s="67" t="s">
        <v>792</v>
      </c>
      <c r="H22162" s="69">
        <v>-0.81499999999999995</v>
      </c>
    </row>
    <row r="22163" spans="6:8">
      <c r="F22163" s="68" t="s">
        <v>259</v>
      </c>
      <c r="G22163" s="67" t="s">
        <v>792</v>
      </c>
      <c r="H22163" s="69">
        <v>0.12166666666666666</v>
      </c>
    </row>
    <row r="22164" spans="6:8">
      <c r="F22164" s="68" t="s">
        <v>425</v>
      </c>
      <c r="G22164" s="67" t="s">
        <v>792</v>
      </c>
      <c r="H22164" s="69">
        <v>2.7443576373463952</v>
      </c>
    </row>
    <row r="22165" spans="6:8">
      <c r="F22165" s="68" t="s">
        <v>134</v>
      </c>
      <c r="G22165" s="67" t="s">
        <v>792</v>
      </c>
      <c r="H22165" s="69">
        <v>-0.98499999999999999</v>
      </c>
    </row>
    <row r="22166" spans="6:8">
      <c r="F22166" s="68" t="s">
        <v>135</v>
      </c>
      <c r="G22166" s="67" t="s">
        <v>792</v>
      </c>
      <c r="H22166" s="69">
        <v>-0.85499999999999998</v>
      </c>
    </row>
    <row r="22167" spans="6:8">
      <c r="F22167" s="68" t="s">
        <v>257</v>
      </c>
      <c r="G22167" s="67" t="s">
        <v>792</v>
      </c>
      <c r="H22167" s="69">
        <v>0.82599999999999996</v>
      </c>
    </row>
    <row r="22168" spans="6:8">
      <c r="F22168" s="68" t="s">
        <v>258</v>
      </c>
      <c r="G22168" s="67" t="s">
        <v>792</v>
      </c>
      <c r="H22168" s="69">
        <v>0.15</v>
      </c>
    </row>
    <row r="22169" spans="6:8">
      <c r="F22169" s="68" t="s">
        <v>424</v>
      </c>
      <c r="G22169" s="67" t="s">
        <v>792</v>
      </c>
      <c r="H22169" s="69">
        <v>2.7212037764617225</v>
      </c>
    </row>
    <row r="22170" spans="6:8">
      <c r="F22170" s="68" t="s">
        <v>132</v>
      </c>
      <c r="G22170" s="67" t="s">
        <v>792</v>
      </c>
      <c r="H22170" s="69">
        <v>-1.03</v>
      </c>
    </row>
    <row r="22171" spans="6:8">
      <c r="F22171" s="68" t="s">
        <v>133</v>
      </c>
      <c r="G22171" s="67" t="s">
        <v>792</v>
      </c>
      <c r="H22171" s="69">
        <v>-0.65500000000000003</v>
      </c>
    </row>
    <row r="22172" spans="6:8">
      <c r="F22172" s="68" t="s">
        <v>256</v>
      </c>
      <c r="G22172" s="67" t="s">
        <v>792</v>
      </c>
      <c r="H22172" s="69">
        <v>0.74333333333333329</v>
      </c>
    </row>
    <row r="22173" spans="6:8">
      <c r="F22173" s="68" t="s">
        <v>423</v>
      </c>
      <c r="G22173" s="67" t="s">
        <v>792</v>
      </c>
      <c r="H22173" s="69">
        <v>2.1671416611821925</v>
      </c>
    </row>
    <row r="22174" spans="6:8">
      <c r="F22174" s="68" t="s">
        <v>569</v>
      </c>
      <c r="G22174" s="67" t="s">
        <v>792</v>
      </c>
      <c r="H22174" s="69">
        <v>-0.32999999999999996</v>
      </c>
    </row>
    <row r="22175" spans="6:8">
      <c r="F22175" s="68" t="s">
        <v>130</v>
      </c>
      <c r="G22175" s="67" t="s">
        <v>792</v>
      </c>
      <c r="H22175" s="69">
        <v>-1.105</v>
      </c>
    </row>
    <row r="22176" spans="6:8">
      <c r="F22176" s="68" t="s">
        <v>131</v>
      </c>
      <c r="G22176" s="67" t="s">
        <v>792</v>
      </c>
      <c r="H22176" s="69">
        <v>-0.57499999999999996</v>
      </c>
    </row>
    <row r="22177" spans="6:8">
      <c r="F22177" s="68" t="s">
        <v>303</v>
      </c>
      <c r="G22177" s="67" t="s">
        <v>792</v>
      </c>
      <c r="H22177" s="69">
        <v>17.958333333333332</v>
      </c>
    </row>
    <row r="22178" spans="6:8">
      <c r="F22178" s="68" t="s">
        <v>255</v>
      </c>
      <c r="G22178" s="67" t="s">
        <v>792</v>
      </c>
      <c r="H22178" s="69">
        <v>0.62666666666666659</v>
      </c>
    </row>
    <row r="22179" spans="6:8">
      <c r="F22179" s="68" t="s">
        <v>422</v>
      </c>
      <c r="G22179" s="67" t="s">
        <v>792</v>
      </c>
      <c r="H22179" s="69">
        <v>1.905129151782381</v>
      </c>
    </row>
    <row r="22180" spans="6:8">
      <c r="F22180" s="68" t="s">
        <v>568</v>
      </c>
      <c r="G22180" s="67" t="s">
        <v>792</v>
      </c>
      <c r="H22180" s="69">
        <v>-0.65999999999999992</v>
      </c>
    </row>
    <row r="22181" spans="6:8">
      <c r="F22181" s="68" t="s">
        <v>128</v>
      </c>
      <c r="G22181" s="67" t="s">
        <v>792</v>
      </c>
      <c r="H22181" s="69">
        <v>-0.92999999999999994</v>
      </c>
    </row>
    <row r="22182" spans="6:8">
      <c r="F22182" s="68" t="s">
        <v>129</v>
      </c>
      <c r="G22182" s="67" t="s">
        <v>792</v>
      </c>
      <c r="H22182" s="69">
        <v>-0.745</v>
      </c>
    </row>
    <row r="22183" spans="6:8">
      <c r="F22183" s="68" t="s">
        <v>304</v>
      </c>
      <c r="G22183" s="67" t="s">
        <v>792</v>
      </c>
      <c r="H22183" s="69">
        <v>18.041666666666668</v>
      </c>
    </row>
    <row r="22184" spans="6:8">
      <c r="F22184" s="68" t="s">
        <v>254</v>
      </c>
      <c r="G22184" s="67" t="s">
        <v>792</v>
      </c>
      <c r="H22184" s="69">
        <v>0.45999999999999996</v>
      </c>
    </row>
    <row r="22185" spans="6:8">
      <c r="F22185" s="68" t="s">
        <v>421</v>
      </c>
      <c r="G22185" s="67" t="s">
        <v>792</v>
      </c>
      <c r="H22185" s="69">
        <v>1.89941209838973</v>
      </c>
    </row>
    <row r="22186" spans="6:8">
      <c r="F22186" s="68" t="s">
        <v>567</v>
      </c>
      <c r="G22186" s="67" t="s">
        <v>792</v>
      </c>
      <c r="H22186" s="69">
        <v>-1.165</v>
      </c>
    </row>
    <row r="22187" spans="6:8">
      <c r="F22187" s="68" t="s">
        <v>125</v>
      </c>
      <c r="G22187" s="67" t="s">
        <v>792</v>
      </c>
      <c r="H22187" s="69">
        <v>-0.71499999999999997</v>
      </c>
    </row>
    <row r="22188" spans="6:8">
      <c r="F22188" s="68" t="s">
        <v>126</v>
      </c>
      <c r="G22188" s="67" t="s">
        <v>792</v>
      </c>
      <c r="H22188" s="69">
        <v>-0.97500000000000009</v>
      </c>
    </row>
    <row r="22189" spans="6:8">
      <c r="F22189" s="68" t="s">
        <v>127</v>
      </c>
      <c r="G22189" s="67" t="s">
        <v>792</v>
      </c>
      <c r="H22189" s="69">
        <v>-0.44000000000000006</v>
      </c>
    </row>
    <row r="22190" spans="6:8">
      <c r="F22190" s="68" t="s">
        <v>253</v>
      </c>
      <c r="G22190" s="67" t="s">
        <v>792</v>
      </c>
      <c r="H22190" s="69">
        <v>0.32500000000000001</v>
      </c>
    </row>
    <row r="22191" spans="6:8">
      <c r="F22191" s="68" t="s">
        <v>315</v>
      </c>
      <c r="G22191" s="67" t="s">
        <v>792</v>
      </c>
      <c r="H22191" s="69">
        <v>-0.33499999999999996</v>
      </c>
    </row>
    <row r="22192" spans="6:8">
      <c r="F22192" s="68" t="s">
        <v>122</v>
      </c>
      <c r="G22192" s="67" t="s">
        <v>792</v>
      </c>
      <c r="H22192" s="69">
        <v>-0.99</v>
      </c>
    </row>
    <row r="22193" spans="6:8">
      <c r="F22193" s="68" t="s">
        <v>123</v>
      </c>
      <c r="G22193" s="67" t="s">
        <v>792</v>
      </c>
      <c r="H22193" s="69">
        <v>-1</v>
      </c>
    </row>
    <row r="22194" spans="6:8">
      <c r="F22194" s="68" t="s">
        <v>124</v>
      </c>
      <c r="G22194" s="67" t="s">
        <v>792</v>
      </c>
      <c r="H22194" s="69">
        <v>-0.71</v>
      </c>
    </row>
    <row r="22195" spans="6:8">
      <c r="F22195" s="68" t="s">
        <v>252</v>
      </c>
      <c r="G22195" s="67" t="s">
        <v>792</v>
      </c>
      <c r="H22195" s="69">
        <v>0.20199999999999996</v>
      </c>
    </row>
    <row r="22196" spans="6:8">
      <c r="F22196" s="68" t="s">
        <v>314</v>
      </c>
      <c r="G22196" s="67" t="s">
        <v>792</v>
      </c>
      <c r="H22196" s="69">
        <v>-0.64999999999999991</v>
      </c>
    </row>
    <row r="22197" spans="6:8">
      <c r="F22197" s="68" t="s">
        <v>119</v>
      </c>
      <c r="G22197" s="67" t="s">
        <v>792</v>
      </c>
      <c r="H22197" s="69">
        <v>-1.0249999999999999</v>
      </c>
    </row>
    <row r="22198" spans="6:8">
      <c r="F22198" s="68" t="s">
        <v>120</v>
      </c>
      <c r="G22198" s="67" t="s">
        <v>792</v>
      </c>
      <c r="H22198" s="69">
        <v>-0.81</v>
      </c>
    </row>
    <row r="22199" spans="6:8">
      <c r="F22199" s="68" t="s">
        <v>121</v>
      </c>
      <c r="G22199" s="67" t="s">
        <v>792</v>
      </c>
      <c r="H22199" s="69">
        <v>-0.76</v>
      </c>
    </row>
    <row r="22200" spans="6:8">
      <c r="F22200" s="68" t="s">
        <v>251</v>
      </c>
      <c r="G22200" s="67" t="s">
        <v>792</v>
      </c>
      <c r="H22200" s="69">
        <v>0.1516666666666667</v>
      </c>
    </row>
    <row r="22201" spans="6:8">
      <c r="F22201" s="68" t="s">
        <v>420</v>
      </c>
      <c r="G22201" s="67" t="s">
        <v>792</v>
      </c>
      <c r="H22201" s="69">
        <v>2.9081281572600926</v>
      </c>
    </row>
    <row r="22202" spans="6:8">
      <c r="F22202" s="68" t="s">
        <v>420</v>
      </c>
      <c r="G22202" s="67" t="s">
        <v>793</v>
      </c>
      <c r="H22202" s="69">
        <v>2.8854609300034806</v>
      </c>
    </row>
    <row r="22203" spans="6:8">
      <c r="F22203" s="68" t="s">
        <v>251</v>
      </c>
      <c r="G22203" s="67" t="s">
        <v>793</v>
      </c>
      <c r="H22203" s="69">
        <v>0.1516666666666667</v>
      </c>
    </row>
    <row r="22204" spans="6:8">
      <c r="F22204" s="68" t="s">
        <v>121</v>
      </c>
      <c r="G22204" s="67" t="s">
        <v>793</v>
      </c>
      <c r="H22204" s="69">
        <v>-0.76</v>
      </c>
    </row>
    <row r="22205" spans="6:8">
      <c r="F22205" s="68" t="s">
        <v>120</v>
      </c>
      <c r="G22205" s="67" t="s">
        <v>793</v>
      </c>
      <c r="H22205" s="69">
        <v>-0.81</v>
      </c>
    </row>
    <row r="22206" spans="6:8">
      <c r="F22206" s="68" t="s">
        <v>119</v>
      </c>
      <c r="G22206" s="67" t="s">
        <v>793</v>
      </c>
      <c r="H22206" s="69">
        <v>-1.0249999999999999</v>
      </c>
    </row>
    <row r="22207" spans="6:8">
      <c r="F22207" s="68" t="s">
        <v>314</v>
      </c>
      <c r="G22207" s="67" t="s">
        <v>793</v>
      </c>
      <c r="H22207" s="69">
        <v>-0.64999999999999991</v>
      </c>
    </row>
    <row r="22208" spans="6:8">
      <c r="F22208" s="68" t="s">
        <v>252</v>
      </c>
      <c r="G22208" s="67" t="s">
        <v>793</v>
      </c>
      <c r="H22208" s="69">
        <v>0.20199999999999996</v>
      </c>
    </row>
    <row r="22209" spans="6:8">
      <c r="F22209" s="68" t="s">
        <v>124</v>
      </c>
      <c r="G22209" s="67" t="s">
        <v>793</v>
      </c>
      <c r="H22209" s="69">
        <v>-0.71</v>
      </c>
    </row>
    <row r="22210" spans="6:8">
      <c r="F22210" s="68" t="s">
        <v>123</v>
      </c>
      <c r="G22210" s="67" t="s">
        <v>793</v>
      </c>
      <c r="H22210" s="69">
        <v>-1</v>
      </c>
    </row>
    <row r="22211" spans="6:8">
      <c r="F22211" s="68" t="s">
        <v>122</v>
      </c>
      <c r="G22211" s="67" t="s">
        <v>793</v>
      </c>
      <c r="H22211" s="69">
        <v>-0.99</v>
      </c>
    </row>
    <row r="22212" spans="6:8">
      <c r="F22212" s="68" t="s">
        <v>315</v>
      </c>
      <c r="G22212" s="67" t="s">
        <v>793</v>
      </c>
      <c r="H22212" s="69">
        <v>-0.33499999999999996</v>
      </c>
    </row>
    <row r="22213" spans="6:8">
      <c r="F22213" s="68" t="s">
        <v>253</v>
      </c>
      <c r="G22213" s="67" t="s">
        <v>793</v>
      </c>
      <c r="H22213" s="69">
        <v>0.32500000000000001</v>
      </c>
    </row>
    <row r="22214" spans="6:8">
      <c r="F22214" s="68" t="s">
        <v>127</v>
      </c>
      <c r="G22214" s="67" t="s">
        <v>793</v>
      </c>
      <c r="H22214" s="69">
        <v>-0.44000000000000006</v>
      </c>
    </row>
    <row r="22215" spans="6:8">
      <c r="F22215" s="68" t="s">
        <v>126</v>
      </c>
      <c r="G22215" s="67" t="s">
        <v>793</v>
      </c>
      <c r="H22215" s="69">
        <v>-0.97500000000000009</v>
      </c>
    </row>
    <row r="22216" spans="6:8">
      <c r="F22216" s="68" t="s">
        <v>125</v>
      </c>
      <c r="G22216" s="67" t="s">
        <v>793</v>
      </c>
      <c r="H22216" s="69">
        <v>-0.71499999999999997</v>
      </c>
    </row>
    <row r="22217" spans="6:8">
      <c r="F22217" s="68" t="s">
        <v>567</v>
      </c>
      <c r="G22217" s="67" t="s">
        <v>793</v>
      </c>
      <c r="H22217" s="69">
        <v>-1.165</v>
      </c>
    </row>
    <row r="22218" spans="6:8">
      <c r="F22218" s="68" t="s">
        <v>421</v>
      </c>
      <c r="G22218" s="67" t="s">
        <v>793</v>
      </c>
      <c r="H22218" s="69">
        <v>1.8795762826921969</v>
      </c>
    </row>
    <row r="22219" spans="6:8">
      <c r="F22219" s="68" t="s">
        <v>254</v>
      </c>
      <c r="G22219" s="67" t="s">
        <v>793</v>
      </c>
      <c r="H22219" s="69">
        <v>0.45999999999999996</v>
      </c>
    </row>
    <row r="22220" spans="6:8">
      <c r="F22220" s="68" t="s">
        <v>304</v>
      </c>
      <c r="G22220" s="67" t="s">
        <v>793</v>
      </c>
      <c r="H22220" s="69">
        <v>18.010416666666668</v>
      </c>
    </row>
    <row r="22221" spans="6:8">
      <c r="F22221" s="68" t="s">
        <v>129</v>
      </c>
      <c r="G22221" s="67" t="s">
        <v>793</v>
      </c>
      <c r="H22221" s="69">
        <v>-0.745</v>
      </c>
    </row>
    <row r="22222" spans="6:8">
      <c r="F22222" s="68" t="s">
        <v>128</v>
      </c>
      <c r="G22222" s="67" t="s">
        <v>793</v>
      </c>
      <c r="H22222" s="69">
        <v>-0.92999999999999994</v>
      </c>
    </row>
    <row r="22223" spans="6:8">
      <c r="F22223" s="68" t="s">
        <v>568</v>
      </c>
      <c r="G22223" s="67" t="s">
        <v>793</v>
      </c>
      <c r="H22223" s="69">
        <v>-0.65999999999999992</v>
      </c>
    </row>
    <row r="22224" spans="6:8">
      <c r="F22224" s="68" t="s">
        <v>422</v>
      </c>
      <c r="G22224" s="67" t="s">
        <v>793</v>
      </c>
      <c r="H22224" s="69">
        <v>1.8853502484845741</v>
      </c>
    </row>
    <row r="22225" spans="6:8">
      <c r="F22225" s="68" t="s">
        <v>255</v>
      </c>
      <c r="G22225" s="67" t="s">
        <v>793</v>
      </c>
      <c r="H22225" s="69">
        <v>0.62666666666666659</v>
      </c>
    </row>
    <row r="22226" spans="6:8">
      <c r="F22226" s="68" t="s">
        <v>303</v>
      </c>
      <c r="G22226" s="67" t="s">
        <v>793</v>
      </c>
      <c r="H22226" s="69">
        <v>17.927083333333332</v>
      </c>
    </row>
    <row r="22227" spans="6:8">
      <c r="F22227" s="68" t="s">
        <v>131</v>
      </c>
      <c r="G22227" s="67" t="s">
        <v>793</v>
      </c>
      <c r="H22227" s="69">
        <v>-0.57499999999999996</v>
      </c>
    </row>
    <row r="22228" spans="6:8">
      <c r="F22228" s="68" t="s">
        <v>130</v>
      </c>
      <c r="G22228" s="67" t="s">
        <v>793</v>
      </c>
      <c r="H22228" s="69">
        <v>-1.105</v>
      </c>
    </row>
    <row r="22229" spans="6:8">
      <c r="F22229" s="68" t="s">
        <v>569</v>
      </c>
      <c r="G22229" s="67" t="s">
        <v>793</v>
      </c>
      <c r="H22229" s="69">
        <v>-0.32999999999999996</v>
      </c>
    </row>
    <row r="22230" spans="6:8">
      <c r="F22230" s="68" t="s">
        <v>423</v>
      </c>
      <c r="G22230" s="67" t="s">
        <v>793</v>
      </c>
      <c r="H22230" s="69">
        <v>2.1543404146867395</v>
      </c>
    </row>
    <row r="22231" spans="6:8">
      <c r="F22231" s="68" t="s">
        <v>256</v>
      </c>
      <c r="G22231" s="67" t="s">
        <v>793</v>
      </c>
      <c r="H22231" s="69">
        <v>0.74333333333333329</v>
      </c>
    </row>
    <row r="22232" spans="6:8">
      <c r="F22232" s="68" t="s">
        <v>133</v>
      </c>
      <c r="G22232" s="67" t="s">
        <v>793</v>
      </c>
      <c r="H22232" s="69">
        <v>-0.65500000000000003</v>
      </c>
    </row>
    <row r="22233" spans="6:8">
      <c r="F22233" s="68" t="s">
        <v>132</v>
      </c>
      <c r="G22233" s="67" t="s">
        <v>793</v>
      </c>
      <c r="H22233" s="69">
        <v>-1.03</v>
      </c>
    </row>
    <row r="22234" spans="6:8">
      <c r="F22234" s="68" t="s">
        <v>424</v>
      </c>
      <c r="G22234" s="67" t="s">
        <v>793</v>
      </c>
      <c r="H22234" s="69">
        <v>2.7044651193584457</v>
      </c>
    </row>
    <row r="22235" spans="6:8">
      <c r="F22235" s="68" t="s">
        <v>258</v>
      </c>
      <c r="G22235" s="67" t="s">
        <v>793</v>
      </c>
      <c r="H22235" s="69">
        <v>0.15</v>
      </c>
    </row>
    <row r="22236" spans="6:8">
      <c r="F22236" s="68" t="s">
        <v>257</v>
      </c>
      <c r="G22236" s="67" t="s">
        <v>793</v>
      </c>
      <c r="H22236" s="69">
        <v>0.82599999999999996</v>
      </c>
    </row>
    <row r="22237" spans="6:8">
      <c r="F22237" s="68" t="s">
        <v>135</v>
      </c>
      <c r="G22237" s="67" t="s">
        <v>793</v>
      </c>
      <c r="H22237" s="69">
        <v>-0.85499999999999998</v>
      </c>
    </row>
    <row r="22238" spans="6:8">
      <c r="F22238" s="68" t="s">
        <v>134</v>
      </c>
      <c r="G22238" s="67" t="s">
        <v>793</v>
      </c>
      <c r="H22238" s="69">
        <v>-0.98499999999999999</v>
      </c>
    </row>
    <row r="22239" spans="6:8">
      <c r="F22239" s="68" t="s">
        <v>425</v>
      </c>
      <c r="G22239" s="67" t="s">
        <v>793</v>
      </c>
      <c r="H22239" s="69">
        <v>2.7260834652168331</v>
      </c>
    </row>
    <row r="22240" spans="6:8">
      <c r="F22240" s="68" t="s">
        <v>259</v>
      </c>
      <c r="G22240" s="67" t="s">
        <v>793</v>
      </c>
      <c r="H22240" s="69">
        <v>0.12166666666666666</v>
      </c>
    </row>
    <row r="22241" spans="6:8">
      <c r="F22241" s="68" t="s">
        <v>138</v>
      </c>
      <c r="G22241" s="67" t="s">
        <v>793</v>
      </c>
      <c r="H22241" s="69">
        <v>-0.81499999999999995</v>
      </c>
    </row>
    <row r="22242" spans="6:8">
      <c r="F22242" s="68" t="s">
        <v>137</v>
      </c>
      <c r="G22242" s="67" t="s">
        <v>793</v>
      </c>
      <c r="H22242" s="69">
        <v>-0.67500000000000004</v>
      </c>
    </row>
    <row r="22243" spans="6:8">
      <c r="F22243" s="68" t="s">
        <v>136</v>
      </c>
      <c r="G22243" s="67" t="s">
        <v>793</v>
      </c>
      <c r="H22243" s="69">
        <v>-1.115</v>
      </c>
    </row>
    <row r="22244" spans="6:8">
      <c r="F22244" s="68" t="s">
        <v>136</v>
      </c>
      <c r="G22244" s="67" t="s">
        <v>794</v>
      </c>
      <c r="H22244" s="69">
        <v>-1.1299999999999999</v>
      </c>
    </row>
    <row r="22245" spans="6:8">
      <c r="F22245" s="68" t="s">
        <v>137</v>
      </c>
      <c r="G22245" s="67" t="s">
        <v>794</v>
      </c>
      <c r="H22245" s="69">
        <v>-0.67500000000000004</v>
      </c>
    </row>
    <row r="22246" spans="6:8">
      <c r="F22246" s="68" t="s">
        <v>138</v>
      </c>
      <c r="G22246" s="67" t="s">
        <v>794</v>
      </c>
      <c r="H22246" s="69">
        <v>-0.81499999999999995</v>
      </c>
    </row>
    <row r="22247" spans="6:8">
      <c r="F22247" s="68" t="s">
        <v>259</v>
      </c>
      <c r="G22247" s="67" t="s">
        <v>794</v>
      </c>
      <c r="H22247" s="69">
        <v>0.12166666666666666</v>
      </c>
    </row>
    <row r="22248" spans="6:8">
      <c r="F22248" s="68" t="s">
        <v>425</v>
      </c>
      <c r="G22248" s="67" t="s">
        <v>794</v>
      </c>
      <c r="H22248" s="69">
        <v>2.7112985645000531</v>
      </c>
    </row>
    <row r="22249" spans="6:8">
      <c r="F22249" s="68" t="s">
        <v>134</v>
      </c>
      <c r="G22249" s="67" t="s">
        <v>794</v>
      </c>
      <c r="H22249" s="69">
        <v>-0.995</v>
      </c>
    </row>
    <row r="22250" spans="6:8">
      <c r="F22250" s="68" t="s">
        <v>135</v>
      </c>
      <c r="G22250" s="67" t="s">
        <v>794</v>
      </c>
      <c r="H22250" s="69">
        <v>-0.85499999999999998</v>
      </c>
    </row>
    <row r="22251" spans="6:8">
      <c r="F22251" s="68" t="s">
        <v>257</v>
      </c>
      <c r="G22251" s="67" t="s">
        <v>794</v>
      </c>
      <c r="H22251" s="69">
        <v>0.81799999999999995</v>
      </c>
    </row>
    <row r="22252" spans="6:8">
      <c r="F22252" s="68" t="s">
        <v>258</v>
      </c>
      <c r="G22252" s="67" t="s">
        <v>794</v>
      </c>
      <c r="H22252" s="69">
        <v>0.15</v>
      </c>
    </row>
    <row r="22253" spans="6:8">
      <c r="F22253" s="68" t="s">
        <v>424</v>
      </c>
      <c r="G22253" s="67" t="s">
        <v>794</v>
      </c>
      <c r="H22253" s="69">
        <v>2.6926441007253832</v>
      </c>
    </row>
    <row r="22254" spans="6:8">
      <c r="F22254" s="68" t="s">
        <v>132</v>
      </c>
      <c r="G22254" s="67" t="s">
        <v>794</v>
      </c>
      <c r="H22254" s="69">
        <v>-1.0350000000000001</v>
      </c>
    </row>
    <row r="22255" spans="6:8">
      <c r="F22255" s="68" t="s">
        <v>133</v>
      </c>
      <c r="G22255" s="67" t="s">
        <v>794</v>
      </c>
      <c r="H22255" s="69">
        <v>-0.65500000000000003</v>
      </c>
    </row>
    <row r="22256" spans="6:8">
      <c r="F22256" s="68" t="s">
        <v>256</v>
      </c>
      <c r="G22256" s="67" t="s">
        <v>794</v>
      </c>
      <c r="H22256" s="69">
        <v>0.73499999999999999</v>
      </c>
    </row>
    <row r="22257" spans="6:8">
      <c r="F22257" s="68" t="s">
        <v>423</v>
      </c>
      <c r="G22257" s="67" t="s">
        <v>794</v>
      </c>
      <c r="H22257" s="69">
        <v>2.1259168262786954</v>
      </c>
    </row>
    <row r="22258" spans="6:8">
      <c r="F22258" s="68" t="s">
        <v>569</v>
      </c>
      <c r="G22258" s="67" t="s">
        <v>794</v>
      </c>
      <c r="H22258" s="69">
        <v>-0.35499999999999998</v>
      </c>
    </row>
    <row r="22259" spans="6:8">
      <c r="F22259" s="68" t="s">
        <v>130</v>
      </c>
      <c r="G22259" s="67" t="s">
        <v>794</v>
      </c>
      <c r="H22259" s="69">
        <v>-1.1100000000000001</v>
      </c>
    </row>
    <row r="22260" spans="6:8">
      <c r="F22260" s="68" t="s">
        <v>131</v>
      </c>
      <c r="G22260" s="67" t="s">
        <v>794</v>
      </c>
      <c r="H22260" s="69">
        <v>-0.57499999999999996</v>
      </c>
    </row>
    <row r="22261" spans="6:8">
      <c r="F22261" s="68" t="s">
        <v>303</v>
      </c>
      <c r="G22261" s="67" t="s">
        <v>794</v>
      </c>
      <c r="H22261" s="69">
        <v>17.84375</v>
      </c>
    </row>
    <row r="22262" spans="6:8">
      <c r="F22262" s="68" t="s">
        <v>255</v>
      </c>
      <c r="G22262" s="67" t="s">
        <v>794</v>
      </c>
      <c r="H22262" s="69">
        <v>0.61833333333333329</v>
      </c>
    </row>
    <row r="22263" spans="6:8">
      <c r="F22263" s="68" t="s">
        <v>422</v>
      </c>
      <c r="G22263" s="67" t="s">
        <v>794</v>
      </c>
      <c r="H22263" s="69">
        <v>1.8452563558351898</v>
      </c>
    </row>
    <row r="22264" spans="6:8">
      <c r="F22264" s="68" t="s">
        <v>568</v>
      </c>
      <c r="G22264" s="67" t="s">
        <v>794</v>
      </c>
      <c r="H22264" s="69">
        <v>-0.67500000000000004</v>
      </c>
    </row>
    <row r="22265" spans="6:8">
      <c r="F22265" s="68" t="s">
        <v>128</v>
      </c>
      <c r="G22265" s="67" t="s">
        <v>794</v>
      </c>
      <c r="H22265" s="69">
        <v>-0.93500000000000005</v>
      </c>
    </row>
    <row r="22266" spans="6:8">
      <c r="F22266" s="68" t="s">
        <v>129</v>
      </c>
      <c r="G22266" s="67" t="s">
        <v>794</v>
      </c>
      <c r="H22266" s="69">
        <v>-0.745</v>
      </c>
    </row>
    <row r="22267" spans="6:8">
      <c r="F22267" s="68" t="s">
        <v>304</v>
      </c>
      <c r="G22267" s="67" t="s">
        <v>794</v>
      </c>
      <c r="H22267" s="69">
        <v>17.9375</v>
      </c>
    </row>
    <row r="22268" spans="6:8">
      <c r="F22268" s="68" t="s">
        <v>254</v>
      </c>
      <c r="G22268" s="67" t="s">
        <v>794</v>
      </c>
      <c r="H22268" s="69">
        <v>0.45166666666666666</v>
      </c>
    </row>
    <row r="22269" spans="6:8">
      <c r="F22269" s="68" t="s">
        <v>421</v>
      </c>
      <c r="G22269" s="67" t="s">
        <v>794</v>
      </c>
      <c r="H22269" s="69">
        <v>1.8394868386591323</v>
      </c>
    </row>
    <row r="22270" spans="6:8">
      <c r="F22270" s="68" t="s">
        <v>567</v>
      </c>
      <c r="G22270" s="67" t="s">
        <v>794</v>
      </c>
      <c r="H22270" s="69">
        <v>-1.17</v>
      </c>
    </row>
    <row r="22271" spans="6:8">
      <c r="F22271" s="68" t="s">
        <v>125</v>
      </c>
      <c r="G22271" s="67" t="s">
        <v>794</v>
      </c>
      <c r="H22271" s="69">
        <v>-0.72499999999999998</v>
      </c>
    </row>
    <row r="22272" spans="6:8">
      <c r="F22272" s="68" t="s">
        <v>126</v>
      </c>
      <c r="G22272" s="67" t="s">
        <v>794</v>
      </c>
      <c r="H22272" s="69">
        <v>-0.98</v>
      </c>
    </row>
    <row r="22273" spans="6:8">
      <c r="F22273" s="68" t="s">
        <v>127</v>
      </c>
      <c r="G22273" s="67" t="s">
        <v>794</v>
      </c>
      <c r="H22273" s="69">
        <v>-0.44500000000000006</v>
      </c>
    </row>
    <row r="22274" spans="6:8">
      <c r="F22274" s="68" t="s">
        <v>253</v>
      </c>
      <c r="G22274" s="67" t="s">
        <v>794</v>
      </c>
      <c r="H22274" s="69">
        <v>0.31666666666666671</v>
      </c>
    </row>
    <row r="22275" spans="6:8">
      <c r="F22275" s="68" t="s">
        <v>315</v>
      </c>
      <c r="G22275" s="67" t="s">
        <v>794</v>
      </c>
      <c r="H22275" s="69">
        <v>-0.36</v>
      </c>
    </row>
    <row r="22276" spans="6:8">
      <c r="F22276" s="68" t="s">
        <v>122</v>
      </c>
      <c r="G22276" s="67" t="s">
        <v>794</v>
      </c>
      <c r="H22276" s="69">
        <v>-1</v>
      </c>
    </row>
    <row r="22277" spans="6:8">
      <c r="F22277" s="68" t="s">
        <v>123</v>
      </c>
      <c r="G22277" s="67" t="s">
        <v>794</v>
      </c>
      <c r="H22277" s="69">
        <v>-1.0049999999999999</v>
      </c>
    </row>
    <row r="22278" spans="6:8">
      <c r="F22278" s="68" t="s">
        <v>124</v>
      </c>
      <c r="G22278" s="67" t="s">
        <v>794</v>
      </c>
      <c r="H22278" s="69">
        <v>-0.71</v>
      </c>
    </row>
    <row r="22279" spans="6:8">
      <c r="F22279" s="68" t="s">
        <v>252</v>
      </c>
      <c r="G22279" s="67" t="s">
        <v>794</v>
      </c>
      <c r="H22279" s="69">
        <v>0.19699999999999998</v>
      </c>
    </row>
    <row r="22280" spans="6:8">
      <c r="F22280" s="68" t="s">
        <v>314</v>
      </c>
      <c r="G22280" s="67" t="s">
        <v>794</v>
      </c>
      <c r="H22280" s="69">
        <v>-0.66500000000000004</v>
      </c>
    </row>
    <row r="22281" spans="6:8">
      <c r="F22281" s="68" t="s">
        <v>119</v>
      </c>
      <c r="G22281" s="67" t="s">
        <v>794</v>
      </c>
      <c r="H22281" s="69">
        <v>-1.04</v>
      </c>
    </row>
    <row r="22282" spans="6:8">
      <c r="F22282" s="68" t="s">
        <v>120</v>
      </c>
      <c r="G22282" s="67" t="s">
        <v>794</v>
      </c>
      <c r="H22282" s="69">
        <v>-0.81499999999999995</v>
      </c>
    </row>
    <row r="22283" spans="6:8">
      <c r="F22283" s="68" t="s">
        <v>121</v>
      </c>
      <c r="G22283" s="67" t="s">
        <v>794</v>
      </c>
      <c r="H22283" s="69">
        <v>-0.76</v>
      </c>
    </row>
    <row r="22284" spans="6:8">
      <c r="F22284" s="68" t="s">
        <v>251</v>
      </c>
      <c r="G22284" s="67" t="s">
        <v>794</v>
      </c>
      <c r="H22284" s="69">
        <v>0.14333333333333334</v>
      </c>
    </row>
    <row r="22285" spans="6:8">
      <c r="F22285" s="68" t="s">
        <v>420</v>
      </c>
      <c r="G22285" s="67" t="s">
        <v>794</v>
      </c>
      <c r="H22285" s="69">
        <v>2.8509071896825944</v>
      </c>
    </row>
    <row r="22286" spans="6:8">
      <c r="F22286" s="68" t="s">
        <v>420</v>
      </c>
      <c r="G22286" s="67" t="s">
        <v>795</v>
      </c>
      <c r="H22286" s="69">
        <v>2.8627480487152024</v>
      </c>
    </row>
    <row r="22287" spans="6:8">
      <c r="F22287" s="68" t="s">
        <v>251</v>
      </c>
      <c r="G22287" s="67" t="s">
        <v>795</v>
      </c>
      <c r="H22287" s="69">
        <v>0.14333333333333334</v>
      </c>
    </row>
    <row r="22288" spans="6:8">
      <c r="F22288" s="68" t="s">
        <v>121</v>
      </c>
      <c r="G22288" s="67" t="s">
        <v>795</v>
      </c>
      <c r="H22288" s="69">
        <v>-0.76</v>
      </c>
    </row>
    <row r="22289" spans="6:8">
      <c r="F22289" s="68" t="s">
        <v>120</v>
      </c>
      <c r="G22289" s="67" t="s">
        <v>795</v>
      </c>
      <c r="H22289" s="69">
        <v>-0.81499999999999995</v>
      </c>
    </row>
    <row r="22290" spans="6:8">
      <c r="F22290" s="68" t="s">
        <v>119</v>
      </c>
      <c r="G22290" s="67" t="s">
        <v>795</v>
      </c>
      <c r="H22290" s="69">
        <v>-1.04</v>
      </c>
    </row>
    <row r="22291" spans="6:8">
      <c r="F22291" s="68" t="s">
        <v>314</v>
      </c>
      <c r="G22291" s="67" t="s">
        <v>795</v>
      </c>
      <c r="H22291" s="69">
        <v>-0.66500000000000004</v>
      </c>
    </row>
    <row r="22292" spans="6:8">
      <c r="F22292" s="68" t="s">
        <v>252</v>
      </c>
      <c r="G22292" s="67" t="s">
        <v>795</v>
      </c>
      <c r="H22292" s="69">
        <v>0.19699999999999998</v>
      </c>
    </row>
    <row r="22293" spans="6:8">
      <c r="F22293" s="68" t="s">
        <v>124</v>
      </c>
      <c r="G22293" s="67" t="s">
        <v>795</v>
      </c>
      <c r="H22293" s="69">
        <v>-0.71</v>
      </c>
    </row>
    <row r="22294" spans="6:8">
      <c r="F22294" s="68" t="s">
        <v>123</v>
      </c>
      <c r="G22294" s="67" t="s">
        <v>795</v>
      </c>
      <c r="H22294" s="69">
        <v>-1.0049999999999999</v>
      </c>
    </row>
    <row r="22295" spans="6:8">
      <c r="F22295" s="68" t="s">
        <v>122</v>
      </c>
      <c r="G22295" s="67" t="s">
        <v>795</v>
      </c>
      <c r="H22295" s="69">
        <v>-1</v>
      </c>
    </row>
    <row r="22296" spans="6:8">
      <c r="F22296" s="68" t="s">
        <v>315</v>
      </c>
      <c r="G22296" s="67" t="s">
        <v>795</v>
      </c>
      <c r="H22296" s="69">
        <v>-0.36</v>
      </c>
    </row>
    <row r="22297" spans="6:8">
      <c r="F22297" s="68" t="s">
        <v>253</v>
      </c>
      <c r="G22297" s="67" t="s">
        <v>795</v>
      </c>
      <c r="H22297" s="69">
        <v>0.31666666666666671</v>
      </c>
    </row>
    <row r="22298" spans="6:8">
      <c r="F22298" s="68" t="s">
        <v>127</v>
      </c>
      <c r="G22298" s="67" t="s">
        <v>795</v>
      </c>
      <c r="H22298" s="69">
        <v>-0.44500000000000006</v>
      </c>
    </row>
    <row r="22299" spans="6:8">
      <c r="F22299" s="68" t="s">
        <v>126</v>
      </c>
      <c r="G22299" s="67" t="s">
        <v>795</v>
      </c>
      <c r="H22299" s="69">
        <v>-0.98</v>
      </c>
    </row>
    <row r="22300" spans="6:8">
      <c r="F22300" s="68" t="s">
        <v>125</v>
      </c>
      <c r="G22300" s="67" t="s">
        <v>795</v>
      </c>
      <c r="H22300" s="69">
        <v>-0.72499999999999998</v>
      </c>
    </row>
    <row r="22301" spans="6:8">
      <c r="F22301" s="68" t="s">
        <v>567</v>
      </c>
      <c r="G22301" s="67" t="s">
        <v>795</v>
      </c>
      <c r="H22301" s="69">
        <v>-1.17</v>
      </c>
    </row>
    <row r="22302" spans="6:8">
      <c r="F22302" s="68" t="s">
        <v>421</v>
      </c>
      <c r="G22302" s="67" t="s">
        <v>795</v>
      </c>
      <c r="H22302" s="69">
        <v>1.8362112942620357</v>
      </c>
    </row>
    <row r="22303" spans="6:8">
      <c r="F22303" s="68" t="s">
        <v>254</v>
      </c>
      <c r="G22303" s="67" t="s">
        <v>795</v>
      </c>
      <c r="H22303" s="69">
        <v>0.45166666666666666</v>
      </c>
    </row>
    <row r="22304" spans="6:8">
      <c r="F22304" s="68" t="s">
        <v>304</v>
      </c>
      <c r="G22304" s="67" t="s">
        <v>795</v>
      </c>
      <c r="H22304" s="69">
        <v>17.9375</v>
      </c>
    </row>
    <row r="22305" spans="6:8">
      <c r="F22305" s="68" t="s">
        <v>129</v>
      </c>
      <c r="G22305" s="67" t="s">
        <v>795</v>
      </c>
      <c r="H22305" s="69">
        <v>-0.745</v>
      </c>
    </row>
    <row r="22306" spans="6:8">
      <c r="F22306" s="68" t="s">
        <v>128</v>
      </c>
      <c r="G22306" s="67" t="s">
        <v>795</v>
      </c>
      <c r="H22306" s="69">
        <v>-0.93500000000000005</v>
      </c>
    </row>
    <row r="22307" spans="6:8">
      <c r="F22307" s="68" t="s">
        <v>568</v>
      </c>
      <c r="G22307" s="67" t="s">
        <v>795</v>
      </c>
      <c r="H22307" s="69">
        <v>-0.67500000000000004</v>
      </c>
    </row>
    <row r="22308" spans="6:8">
      <c r="F22308" s="68" t="s">
        <v>422</v>
      </c>
      <c r="G22308" s="67" t="s">
        <v>795</v>
      </c>
      <c r="H22308" s="69">
        <v>1.8420112713683157</v>
      </c>
    </row>
    <row r="22309" spans="6:8">
      <c r="F22309" s="68" t="s">
        <v>255</v>
      </c>
      <c r="G22309" s="67" t="s">
        <v>795</v>
      </c>
      <c r="H22309" s="69">
        <v>0.61833333333333329</v>
      </c>
    </row>
    <row r="22310" spans="6:8">
      <c r="F22310" s="68" t="s">
        <v>303</v>
      </c>
      <c r="G22310" s="67" t="s">
        <v>795</v>
      </c>
      <c r="H22310" s="69">
        <v>17.84375</v>
      </c>
    </row>
    <row r="22311" spans="6:8">
      <c r="F22311" s="68" t="s">
        <v>131</v>
      </c>
      <c r="G22311" s="67" t="s">
        <v>795</v>
      </c>
      <c r="H22311" s="69">
        <v>-0.57499999999999996</v>
      </c>
    </row>
    <row r="22312" spans="6:8">
      <c r="F22312" s="68" t="s">
        <v>130</v>
      </c>
      <c r="G22312" s="67" t="s">
        <v>795</v>
      </c>
      <c r="H22312" s="69">
        <v>-1.1100000000000001</v>
      </c>
    </row>
    <row r="22313" spans="6:8">
      <c r="F22313" s="68" t="s">
        <v>569</v>
      </c>
      <c r="G22313" s="67" t="s">
        <v>795</v>
      </c>
      <c r="H22313" s="69">
        <v>-0.35499999999999998</v>
      </c>
    </row>
    <row r="22314" spans="6:8">
      <c r="F22314" s="68" t="s">
        <v>423</v>
      </c>
      <c r="G22314" s="67" t="s">
        <v>795</v>
      </c>
      <c r="H22314" s="69">
        <v>2.1164091198959678</v>
      </c>
    </row>
    <row r="22315" spans="6:8">
      <c r="F22315" s="68" t="s">
        <v>256</v>
      </c>
      <c r="G22315" s="67" t="s">
        <v>795</v>
      </c>
      <c r="H22315" s="69">
        <v>0.73499999999999999</v>
      </c>
    </row>
    <row r="22316" spans="6:8">
      <c r="F22316" s="68" t="s">
        <v>133</v>
      </c>
      <c r="G22316" s="67" t="s">
        <v>795</v>
      </c>
      <c r="H22316" s="69">
        <v>-0.65500000000000003</v>
      </c>
    </row>
    <row r="22317" spans="6:8">
      <c r="F22317" s="68" t="s">
        <v>132</v>
      </c>
      <c r="G22317" s="67" t="s">
        <v>795</v>
      </c>
      <c r="H22317" s="69">
        <v>-1.0350000000000001</v>
      </c>
    </row>
    <row r="22318" spans="6:8">
      <c r="F22318" s="68" t="s">
        <v>424</v>
      </c>
      <c r="G22318" s="67" t="s">
        <v>795</v>
      </c>
      <c r="H22318" s="69">
        <v>2.7006731111696602</v>
      </c>
    </row>
    <row r="22319" spans="6:8">
      <c r="F22319" s="68" t="s">
        <v>258</v>
      </c>
      <c r="G22319" s="67" t="s">
        <v>795</v>
      </c>
      <c r="H22319" s="69">
        <v>0.15</v>
      </c>
    </row>
    <row r="22320" spans="6:8">
      <c r="F22320" s="68" t="s">
        <v>257</v>
      </c>
      <c r="G22320" s="67" t="s">
        <v>795</v>
      </c>
      <c r="H22320" s="69">
        <v>0.81799999999999995</v>
      </c>
    </row>
    <row r="22321" spans="6:8">
      <c r="F22321" s="68" t="s">
        <v>135</v>
      </c>
      <c r="G22321" s="67" t="s">
        <v>795</v>
      </c>
      <c r="H22321" s="69">
        <v>-0.85499999999999998</v>
      </c>
    </row>
    <row r="22322" spans="6:8">
      <c r="F22322" s="68" t="s">
        <v>134</v>
      </c>
      <c r="G22322" s="67" t="s">
        <v>795</v>
      </c>
      <c r="H22322" s="69">
        <v>-0.995</v>
      </c>
    </row>
    <row r="22323" spans="6:8">
      <c r="F22323" s="68" t="s">
        <v>425</v>
      </c>
      <c r="G22323" s="67" t="s">
        <v>795</v>
      </c>
      <c r="H22323" s="69">
        <v>2.7153971087841011</v>
      </c>
    </row>
    <row r="22324" spans="6:8">
      <c r="F22324" s="68" t="s">
        <v>259</v>
      </c>
      <c r="G22324" s="67" t="s">
        <v>795</v>
      </c>
      <c r="H22324" s="69">
        <v>0.12166666666666666</v>
      </c>
    </row>
    <row r="22325" spans="6:8">
      <c r="F22325" s="68" t="s">
        <v>138</v>
      </c>
      <c r="G22325" s="67" t="s">
        <v>795</v>
      </c>
      <c r="H22325" s="69">
        <v>-0.81499999999999995</v>
      </c>
    </row>
    <row r="22326" spans="6:8">
      <c r="F22326" s="68" t="s">
        <v>137</v>
      </c>
      <c r="G22326" s="67" t="s">
        <v>795</v>
      </c>
      <c r="H22326" s="69">
        <v>-0.67500000000000004</v>
      </c>
    </row>
    <row r="22327" spans="6:8">
      <c r="F22327" s="68" t="s">
        <v>136</v>
      </c>
      <c r="G22327" s="67" t="s">
        <v>795</v>
      </c>
      <c r="H22327" s="69">
        <v>-1.1299999999999999</v>
      </c>
    </row>
    <row r="22328" spans="6:8">
      <c r="F22328" s="68" t="s">
        <v>136</v>
      </c>
      <c r="G22328" s="67" t="s">
        <v>796</v>
      </c>
      <c r="H22328" s="69">
        <v>-1.1850000000000001</v>
      </c>
    </row>
    <row r="22329" spans="6:8">
      <c r="F22329" s="68" t="s">
        <v>137</v>
      </c>
      <c r="G22329" s="67" t="s">
        <v>796</v>
      </c>
      <c r="H22329" s="69">
        <v>-0.69</v>
      </c>
    </row>
    <row r="22330" spans="6:8">
      <c r="F22330" s="68" t="s">
        <v>138</v>
      </c>
      <c r="G22330" s="67" t="s">
        <v>796</v>
      </c>
      <c r="H22330" s="69">
        <v>-0.81499999999999995</v>
      </c>
    </row>
    <row r="22331" spans="6:8">
      <c r="F22331" s="68" t="s">
        <v>259</v>
      </c>
      <c r="G22331" s="67" t="s">
        <v>796</v>
      </c>
      <c r="H22331" s="69">
        <v>0.11333333333333334</v>
      </c>
    </row>
    <row r="22332" spans="6:8">
      <c r="F22332" s="68" t="s">
        <v>425</v>
      </c>
      <c r="G22332" s="67" t="s">
        <v>796</v>
      </c>
      <c r="H22332" s="69">
        <v>2.6618826044096267</v>
      </c>
    </row>
    <row r="22333" spans="6:8">
      <c r="F22333" s="68" t="s">
        <v>134</v>
      </c>
      <c r="G22333" s="67" t="s">
        <v>796</v>
      </c>
      <c r="H22333" s="69">
        <v>-1.01</v>
      </c>
    </row>
    <row r="22334" spans="6:8">
      <c r="F22334" s="68" t="s">
        <v>135</v>
      </c>
      <c r="G22334" s="67" t="s">
        <v>796</v>
      </c>
      <c r="H22334" s="69">
        <v>-0.86499999999999999</v>
      </c>
    </row>
    <row r="22335" spans="6:8">
      <c r="F22335" s="68" t="s">
        <v>257</v>
      </c>
      <c r="G22335" s="67" t="s">
        <v>796</v>
      </c>
      <c r="H22335" s="69">
        <v>0.82</v>
      </c>
    </row>
    <row r="22336" spans="6:8">
      <c r="F22336" s="68" t="s">
        <v>258</v>
      </c>
      <c r="G22336" s="67" t="s">
        <v>796</v>
      </c>
      <c r="H22336" s="69">
        <v>0.15</v>
      </c>
    </row>
    <row r="22337" spans="6:8">
      <c r="F22337" s="68" t="s">
        <v>424</v>
      </c>
      <c r="G22337" s="67" t="s">
        <v>796</v>
      </c>
      <c r="H22337" s="69">
        <v>2.6490082669469395</v>
      </c>
    </row>
    <row r="22338" spans="6:8">
      <c r="F22338" s="68" t="s">
        <v>132</v>
      </c>
      <c r="G22338" s="67" t="s">
        <v>796</v>
      </c>
      <c r="H22338" s="69">
        <v>-1.05</v>
      </c>
    </row>
    <row r="22339" spans="6:8">
      <c r="F22339" s="68" t="s">
        <v>133</v>
      </c>
      <c r="G22339" s="67" t="s">
        <v>796</v>
      </c>
      <c r="H22339" s="69">
        <v>-0.66500000000000004</v>
      </c>
    </row>
    <row r="22340" spans="6:8">
      <c r="F22340" s="68" t="s">
        <v>256</v>
      </c>
      <c r="G22340" s="67" t="s">
        <v>796</v>
      </c>
      <c r="H22340" s="69">
        <v>0.72333333333333327</v>
      </c>
    </row>
    <row r="22341" spans="6:8">
      <c r="F22341" s="68" t="s">
        <v>423</v>
      </c>
      <c r="G22341" s="67" t="s">
        <v>796</v>
      </c>
      <c r="H22341" s="69">
        <v>2.0545920787400807</v>
      </c>
    </row>
    <row r="22342" spans="6:8">
      <c r="F22342" s="68" t="s">
        <v>569</v>
      </c>
      <c r="G22342" s="67" t="s">
        <v>796</v>
      </c>
      <c r="H22342" s="69">
        <v>-0.38500000000000001</v>
      </c>
    </row>
    <row r="22343" spans="6:8">
      <c r="F22343" s="68" t="s">
        <v>130</v>
      </c>
      <c r="G22343" s="67" t="s">
        <v>796</v>
      </c>
      <c r="H22343" s="69">
        <v>-1.1200000000000001</v>
      </c>
    </row>
    <row r="22344" spans="6:8">
      <c r="F22344" s="68" t="s">
        <v>131</v>
      </c>
      <c r="G22344" s="67" t="s">
        <v>796</v>
      </c>
      <c r="H22344" s="69">
        <v>-0.58499999999999996</v>
      </c>
    </row>
    <row r="22345" spans="6:8">
      <c r="F22345" s="68" t="s">
        <v>303</v>
      </c>
      <c r="G22345" s="67" t="s">
        <v>796</v>
      </c>
      <c r="H22345" s="69">
        <v>17.65625</v>
      </c>
    </row>
    <row r="22346" spans="6:8">
      <c r="F22346" s="68" t="s">
        <v>255</v>
      </c>
      <c r="G22346" s="67" t="s">
        <v>796</v>
      </c>
      <c r="H22346" s="69">
        <v>0.60166666666666668</v>
      </c>
    </row>
    <row r="22347" spans="6:8">
      <c r="F22347" s="68" t="s">
        <v>422</v>
      </c>
      <c r="G22347" s="67" t="s">
        <v>796</v>
      </c>
      <c r="H22347" s="69">
        <v>1.7271282492976603</v>
      </c>
    </row>
    <row r="22348" spans="6:8">
      <c r="F22348" s="68" t="s">
        <v>568</v>
      </c>
      <c r="G22348" s="67" t="s">
        <v>796</v>
      </c>
      <c r="H22348" s="69">
        <v>-0.755</v>
      </c>
    </row>
    <row r="22349" spans="6:8">
      <c r="F22349" s="68" t="s">
        <v>128</v>
      </c>
      <c r="G22349" s="67" t="s">
        <v>796</v>
      </c>
      <c r="H22349" s="69">
        <v>-0.95</v>
      </c>
    </row>
    <row r="22350" spans="6:8">
      <c r="F22350" s="68" t="s">
        <v>129</v>
      </c>
      <c r="G22350" s="67" t="s">
        <v>796</v>
      </c>
      <c r="H22350" s="69">
        <v>-0.745</v>
      </c>
    </row>
    <row r="22351" spans="6:8">
      <c r="F22351" s="68" t="s">
        <v>304</v>
      </c>
      <c r="G22351" s="67" t="s">
        <v>796</v>
      </c>
      <c r="H22351" s="69">
        <v>17.802083333333332</v>
      </c>
    </row>
    <row r="22352" spans="6:8">
      <c r="F22352" s="68" t="s">
        <v>254</v>
      </c>
      <c r="G22352" s="67" t="s">
        <v>796</v>
      </c>
      <c r="H22352" s="69">
        <v>0.42666666666666658</v>
      </c>
    </row>
    <row r="22353" spans="6:8">
      <c r="F22353" s="68" t="s">
        <v>421</v>
      </c>
      <c r="G22353" s="67" t="s">
        <v>796</v>
      </c>
      <c r="H22353" s="69">
        <v>1.7214298809583806</v>
      </c>
    </row>
    <row r="22354" spans="6:8">
      <c r="F22354" s="68" t="s">
        <v>567</v>
      </c>
      <c r="G22354" s="67" t="s">
        <v>796</v>
      </c>
      <c r="H22354" s="69">
        <v>-1.27</v>
      </c>
    </row>
    <row r="22355" spans="6:8">
      <c r="F22355" s="68" t="s">
        <v>125</v>
      </c>
      <c r="G22355" s="67" t="s">
        <v>796</v>
      </c>
      <c r="H22355" s="69">
        <v>-0.80500000000000005</v>
      </c>
    </row>
    <row r="22356" spans="6:8">
      <c r="F22356" s="68" t="s">
        <v>126</v>
      </c>
      <c r="G22356" s="67" t="s">
        <v>796</v>
      </c>
      <c r="H22356" s="69">
        <v>-0.995</v>
      </c>
    </row>
    <row r="22357" spans="6:8">
      <c r="F22357" s="68" t="s">
        <v>127</v>
      </c>
      <c r="G22357" s="67" t="s">
        <v>796</v>
      </c>
      <c r="H22357" s="69">
        <v>-0.44500000000000006</v>
      </c>
    </row>
    <row r="22358" spans="6:8">
      <c r="F22358" s="68" t="s">
        <v>253</v>
      </c>
      <c r="G22358" s="67" t="s">
        <v>796</v>
      </c>
      <c r="H22358" s="69">
        <v>0.29833333333333334</v>
      </c>
    </row>
    <row r="22359" spans="6:8">
      <c r="F22359" s="68" t="s">
        <v>315</v>
      </c>
      <c r="G22359" s="67" t="s">
        <v>796</v>
      </c>
      <c r="H22359" s="69">
        <v>-0.39500000000000002</v>
      </c>
    </row>
    <row r="22360" spans="6:8">
      <c r="F22360" s="68" t="s">
        <v>122</v>
      </c>
      <c r="G22360" s="67" t="s">
        <v>796</v>
      </c>
      <c r="H22360" s="69">
        <v>-1.0699999999999998</v>
      </c>
    </row>
    <row r="22361" spans="6:8">
      <c r="F22361" s="68" t="s">
        <v>123</v>
      </c>
      <c r="G22361" s="67" t="s">
        <v>796</v>
      </c>
      <c r="H22361" s="69">
        <v>-1.02</v>
      </c>
    </row>
    <row r="22362" spans="6:8">
      <c r="F22362" s="68" t="s">
        <v>124</v>
      </c>
      <c r="G22362" s="67" t="s">
        <v>796</v>
      </c>
      <c r="H22362" s="69">
        <v>-0.71</v>
      </c>
    </row>
    <row r="22363" spans="6:8">
      <c r="F22363" s="68" t="s">
        <v>252</v>
      </c>
      <c r="G22363" s="67" t="s">
        <v>796</v>
      </c>
      <c r="H22363" s="69">
        <v>0.18200000000000002</v>
      </c>
    </row>
    <row r="22364" spans="6:8">
      <c r="F22364" s="68" t="s">
        <v>314</v>
      </c>
      <c r="G22364" s="67" t="s">
        <v>796</v>
      </c>
      <c r="H22364" s="69">
        <v>-0.74</v>
      </c>
    </row>
    <row r="22365" spans="6:8">
      <c r="F22365" s="68" t="s">
        <v>119</v>
      </c>
      <c r="G22365" s="67" t="s">
        <v>796</v>
      </c>
      <c r="H22365" s="69">
        <v>-1.105</v>
      </c>
    </row>
    <row r="22366" spans="6:8">
      <c r="F22366" s="68" t="s">
        <v>120</v>
      </c>
      <c r="G22366" s="67" t="s">
        <v>796</v>
      </c>
      <c r="H22366" s="69">
        <v>-0.83000000000000007</v>
      </c>
    </row>
    <row r="22367" spans="6:8">
      <c r="F22367" s="68" t="s">
        <v>121</v>
      </c>
      <c r="G22367" s="67" t="s">
        <v>796</v>
      </c>
      <c r="H22367" s="69">
        <v>-0.76</v>
      </c>
    </row>
    <row r="22368" spans="6:8">
      <c r="F22368" s="68" t="s">
        <v>251</v>
      </c>
      <c r="G22368" s="67" t="s">
        <v>796</v>
      </c>
      <c r="H22368" s="69">
        <v>0.13500000000000001</v>
      </c>
    </row>
    <row r="22369" spans="6:8">
      <c r="F22369" s="68" t="s">
        <v>420</v>
      </c>
      <c r="G22369" s="67" t="s">
        <v>796</v>
      </c>
      <c r="H22369" s="69">
        <v>2.7999266511638421</v>
      </c>
    </row>
    <row r="22370" spans="6:8">
      <c r="F22370" s="68" t="s">
        <v>420</v>
      </c>
      <c r="G22370" s="67" t="s">
        <v>797</v>
      </c>
      <c r="H22370" s="69">
        <v>2.8291749929655108</v>
      </c>
    </row>
    <row r="22371" spans="6:8">
      <c r="F22371" s="68" t="s">
        <v>251</v>
      </c>
      <c r="G22371" s="67" t="s">
        <v>797</v>
      </c>
      <c r="H22371" s="69">
        <v>0.13500000000000001</v>
      </c>
    </row>
    <row r="22372" spans="6:8">
      <c r="F22372" s="68" t="s">
        <v>121</v>
      </c>
      <c r="G22372" s="67" t="s">
        <v>797</v>
      </c>
      <c r="H22372" s="69">
        <v>-0.76</v>
      </c>
    </row>
    <row r="22373" spans="6:8">
      <c r="F22373" s="68" t="s">
        <v>120</v>
      </c>
      <c r="G22373" s="67" t="s">
        <v>797</v>
      </c>
      <c r="H22373" s="69">
        <v>-0.83000000000000007</v>
      </c>
    </row>
    <row r="22374" spans="6:8">
      <c r="F22374" s="68" t="s">
        <v>119</v>
      </c>
      <c r="G22374" s="67" t="s">
        <v>797</v>
      </c>
      <c r="H22374" s="69">
        <v>-1.105</v>
      </c>
    </row>
    <row r="22375" spans="6:8">
      <c r="F22375" s="68" t="s">
        <v>314</v>
      </c>
      <c r="G22375" s="67" t="s">
        <v>797</v>
      </c>
      <c r="H22375" s="69">
        <v>-0.74</v>
      </c>
    </row>
    <row r="22376" spans="6:8">
      <c r="F22376" s="68" t="s">
        <v>252</v>
      </c>
      <c r="G22376" s="67" t="s">
        <v>797</v>
      </c>
      <c r="H22376" s="69">
        <v>0.18200000000000002</v>
      </c>
    </row>
    <row r="22377" spans="6:8">
      <c r="F22377" s="68" t="s">
        <v>124</v>
      </c>
      <c r="G22377" s="67" t="s">
        <v>797</v>
      </c>
      <c r="H22377" s="69">
        <v>-0.71</v>
      </c>
    </row>
    <row r="22378" spans="6:8">
      <c r="F22378" s="68" t="s">
        <v>123</v>
      </c>
      <c r="G22378" s="67" t="s">
        <v>797</v>
      </c>
      <c r="H22378" s="69">
        <v>-1.02</v>
      </c>
    </row>
    <row r="22379" spans="6:8">
      <c r="F22379" s="68" t="s">
        <v>122</v>
      </c>
      <c r="G22379" s="67" t="s">
        <v>797</v>
      </c>
      <c r="H22379" s="69">
        <v>-1.0699999999999998</v>
      </c>
    </row>
    <row r="22380" spans="6:8">
      <c r="F22380" s="68" t="s">
        <v>315</v>
      </c>
      <c r="G22380" s="67" t="s">
        <v>797</v>
      </c>
      <c r="H22380" s="69">
        <v>-0.39500000000000002</v>
      </c>
    </row>
    <row r="22381" spans="6:8">
      <c r="F22381" s="68" t="s">
        <v>253</v>
      </c>
      <c r="G22381" s="67" t="s">
        <v>797</v>
      </c>
      <c r="H22381" s="69">
        <v>0.29833333333333334</v>
      </c>
    </row>
    <row r="22382" spans="6:8">
      <c r="F22382" s="68" t="s">
        <v>127</v>
      </c>
      <c r="G22382" s="67" t="s">
        <v>797</v>
      </c>
      <c r="H22382" s="69">
        <v>-0.44500000000000006</v>
      </c>
    </row>
    <row r="22383" spans="6:8">
      <c r="F22383" s="68" t="s">
        <v>126</v>
      </c>
      <c r="G22383" s="67" t="s">
        <v>797</v>
      </c>
      <c r="H22383" s="69">
        <v>-0.995</v>
      </c>
    </row>
    <row r="22384" spans="6:8">
      <c r="F22384" s="68" t="s">
        <v>125</v>
      </c>
      <c r="G22384" s="67" t="s">
        <v>797</v>
      </c>
      <c r="H22384" s="69">
        <v>-0.80500000000000005</v>
      </c>
    </row>
    <row r="22385" spans="6:8">
      <c r="F22385" s="68" t="s">
        <v>567</v>
      </c>
      <c r="G22385" s="67" t="s">
        <v>797</v>
      </c>
      <c r="H22385" s="69">
        <v>-1.27</v>
      </c>
    </row>
    <row r="22386" spans="6:8">
      <c r="F22386" s="68" t="s">
        <v>421</v>
      </c>
      <c r="G22386" s="67" t="s">
        <v>797</v>
      </c>
      <c r="H22386" s="69">
        <v>1.7604684117475067</v>
      </c>
    </row>
    <row r="22387" spans="6:8">
      <c r="F22387" s="68" t="s">
        <v>254</v>
      </c>
      <c r="G22387" s="67" t="s">
        <v>797</v>
      </c>
      <c r="H22387" s="69">
        <v>0.42666666666666658</v>
      </c>
    </row>
    <row r="22388" spans="6:8">
      <c r="F22388" s="68" t="s">
        <v>304</v>
      </c>
      <c r="G22388" s="67" t="s">
        <v>797</v>
      </c>
      <c r="H22388" s="69">
        <v>17.760416666666668</v>
      </c>
    </row>
    <row r="22389" spans="6:8">
      <c r="F22389" s="68" t="s">
        <v>129</v>
      </c>
      <c r="G22389" s="67" t="s">
        <v>797</v>
      </c>
      <c r="H22389" s="69">
        <v>-0.745</v>
      </c>
    </row>
    <row r="22390" spans="6:8">
      <c r="F22390" s="68" t="s">
        <v>128</v>
      </c>
      <c r="G22390" s="67" t="s">
        <v>797</v>
      </c>
      <c r="H22390" s="69">
        <v>-0.95</v>
      </c>
    </row>
    <row r="22391" spans="6:8">
      <c r="F22391" s="68" t="s">
        <v>568</v>
      </c>
      <c r="G22391" s="67" t="s">
        <v>797</v>
      </c>
      <c r="H22391" s="69">
        <v>-0.755</v>
      </c>
    </row>
    <row r="22392" spans="6:8">
      <c r="F22392" s="68" t="s">
        <v>422</v>
      </c>
      <c r="G22392" s="67" t="s">
        <v>797</v>
      </c>
      <c r="H22392" s="69">
        <v>1.7662323139326919</v>
      </c>
    </row>
    <row r="22393" spans="6:8">
      <c r="F22393" s="68" t="s">
        <v>255</v>
      </c>
      <c r="G22393" s="67" t="s">
        <v>797</v>
      </c>
      <c r="H22393" s="69">
        <v>0.60166666666666668</v>
      </c>
    </row>
    <row r="22394" spans="6:8">
      <c r="F22394" s="68" t="s">
        <v>303</v>
      </c>
      <c r="G22394" s="67" t="s">
        <v>797</v>
      </c>
      <c r="H22394" s="69">
        <v>17.604166666666668</v>
      </c>
    </row>
    <row r="22395" spans="6:8">
      <c r="F22395" s="68" t="s">
        <v>131</v>
      </c>
      <c r="G22395" s="67" t="s">
        <v>797</v>
      </c>
      <c r="H22395" s="69">
        <v>-0.58499999999999996</v>
      </c>
    </row>
    <row r="22396" spans="6:8">
      <c r="F22396" s="68" t="s">
        <v>130</v>
      </c>
      <c r="G22396" s="67" t="s">
        <v>797</v>
      </c>
      <c r="H22396" s="69">
        <v>-1.1200000000000001</v>
      </c>
    </row>
    <row r="22397" spans="6:8">
      <c r="F22397" s="68" t="s">
        <v>569</v>
      </c>
      <c r="G22397" s="67" t="s">
        <v>797</v>
      </c>
      <c r="H22397" s="69">
        <v>-0.38500000000000001</v>
      </c>
    </row>
    <row r="22398" spans="6:8">
      <c r="F22398" s="68" t="s">
        <v>423</v>
      </c>
      <c r="G22398" s="67" t="s">
        <v>797</v>
      </c>
      <c r="H22398" s="69">
        <v>2.0793799306434213</v>
      </c>
    </row>
    <row r="22399" spans="6:8">
      <c r="F22399" s="68" t="s">
        <v>256</v>
      </c>
      <c r="G22399" s="67" t="s">
        <v>797</v>
      </c>
      <c r="H22399" s="69">
        <v>0.72333333333333327</v>
      </c>
    </row>
    <row r="22400" spans="6:8">
      <c r="F22400" s="68" t="s">
        <v>133</v>
      </c>
      <c r="G22400" s="67" t="s">
        <v>797</v>
      </c>
      <c r="H22400" s="69">
        <v>-0.66500000000000004</v>
      </c>
    </row>
    <row r="22401" spans="6:8">
      <c r="F22401" s="68" t="s">
        <v>132</v>
      </c>
      <c r="G22401" s="67" t="s">
        <v>797</v>
      </c>
      <c r="H22401" s="69">
        <v>-1.05</v>
      </c>
    </row>
    <row r="22402" spans="6:8">
      <c r="F22402" s="68" t="s">
        <v>424</v>
      </c>
      <c r="G22402" s="67" t="s">
        <v>797</v>
      </c>
      <c r="H22402" s="69">
        <v>2.693117482173113</v>
      </c>
    </row>
    <row r="22403" spans="6:8">
      <c r="F22403" s="68" t="s">
        <v>258</v>
      </c>
      <c r="G22403" s="67" t="s">
        <v>797</v>
      </c>
      <c r="H22403" s="69">
        <v>0.15</v>
      </c>
    </row>
    <row r="22404" spans="6:8">
      <c r="F22404" s="68" t="s">
        <v>257</v>
      </c>
      <c r="G22404" s="67" t="s">
        <v>797</v>
      </c>
      <c r="H22404" s="69">
        <v>0.82</v>
      </c>
    </row>
    <row r="22405" spans="6:8">
      <c r="F22405" s="68" t="s">
        <v>135</v>
      </c>
      <c r="G22405" s="67" t="s">
        <v>797</v>
      </c>
      <c r="H22405" s="69">
        <v>-0.86499999999999999</v>
      </c>
    </row>
    <row r="22406" spans="6:8">
      <c r="F22406" s="68" t="s">
        <v>134</v>
      </c>
      <c r="G22406" s="67" t="s">
        <v>797</v>
      </c>
      <c r="H22406" s="69">
        <v>-1.01</v>
      </c>
    </row>
    <row r="22407" spans="6:8">
      <c r="F22407" s="68" t="s">
        <v>425</v>
      </c>
      <c r="G22407" s="67" t="s">
        <v>797</v>
      </c>
      <c r="H22407" s="69">
        <v>2.7028424919734562</v>
      </c>
    </row>
    <row r="22408" spans="6:8">
      <c r="F22408" s="68" t="s">
        <v>259</v>
      </c>
      <c r="G22408" s="67" t="s">
        <v>797</v>
      </c>
      <c r="H22408" s="69">
        <v>0.11333333333333334</v>
      </c>
    </row>
    <row r="22409" spans="6:8">
      <c r="F22409" s="68" t="s">
        <v>138</v>
      </c>
      <c r="G22409" s="67" t="s">
        <v>797</v>
      </c>
      <c r="H22409" s="69">
        <v>-0.81499999999999995</v>
      </c>
    </row>
    <row r="22410" spans="6:8">
      <c r="F22410" s="68" t="s">
        <v>137</v>
      </c>
      <c r="G22410" s="67" t="s">
        <v>797</v>
      </c>
      <c r="H22410" s="69">
        <v>-0.69</v>
      </c>
    </row>
    <row r="22411" spans="6:8">
      <c r="F22411" s="68" t="s">
        <v>136</v>
      </c>
      <c r="G22411" s="67" t="s">
        <v>797</v>
      </c>
      <c r="H22411" s="69">
        <v>-1.1850000000000001</v>
      </c>
    </row>
    <row r="22412" spans="6:8">
      <c r="F22412" s="68" t="s">
        <v>136</v>
      </c>
      <c r="G22412" s="67" t="s">
        <v>798</v>
      </c>
      <c r="H22412" s="69">
        <v>-1.2350000000000001</v>
      </c>
    </row>
    <row r="22413" spans="6:8">
      <c r="F22413" s="68" t="s">
        <v>137</v>
      </c>
      <c r="G22413" s="67" t="s">
        <v>798</v>
      </c>
      <c r="H22413" s="69">
        <v>-0.7</v>
      </c>
    </row>
    <row r="22414" spans="6:8">
      <c r="F22414" s="68" t="s">
        <v>138</v>
      </c>
      <c r="G22414" s="67" t="s">
        <v>798</v>
      </c>
      <c r="H22414" s="69">
        <v>-0.84000000000000008</v>
      </c>
    </row>
    <row r="22415" spans="6:8">
      <c r="F22415" s="68" t="s">
        <v>259</v>
      </c>
      <c r="G22415" s="67" t="s">
        <v>798</v>
      </c>
      <c r="H22415" s="69">
        <v>0.11333333333333334</v>
      </c>
    </row>
    <row r="22416" spans="6:8">
      <c r="F22416" s="68" t="s">
        <v>425</v>
      </c>
      <c r="G22416" s="67" t="s">
        <v>798</v>
      </c>
      <c r="H22416" s="69">
        <v>2.6677873266413688</v>
      </c>
    </row>
    <row r="22417" spans="6:8">
      <c r="F22417" s="68" t="s">
        <v>134</v>
      </c>
      <c r="G22417" s="67" t="s">
        <v>798</v>
      </c>
      <c r="H22417" s="69">
        <v>-1.0449999999999999</v>
      </c>
    </row>
    <row r="22418" spans="6:8">
      <c r="F22418" s="68" t="s">
        <v>135</v>
      </c>
      <c r="G22418" s="67" t="s">
        <v>798</v>
      </c>
      <c r="H22418" s="69">
        <v>-0.875</v>
      </c>
    </row>
    <row r="22419" spans="6:8">
      <c r="F22419" s="68" t="s">
        <v>257</v>
      </c>
      <c r="G22419" s="67" t="s">
        <v>798</v>
      </c>
      <c r="H22419" s="69">
        <v>0.82</v>
      </c>
    </row>
    <row r="22420" spans="6:8">
      <c r="F22420" s="68" t="s">
        <v>258</v>
      </c>
      <c r="G22420" s="67" t="s">
        <v>798</v>
      </c>
      <c r="H22420" s="69">
        <v>0.15</v>
      </c>
    </row>
    <row r="22421" spans="6:8">
      <c r="F22421" s="68" t="s">
        <v>424</v>
      </c>
      <c r="G22421" s="67" t="s">
        <v>798</v>
      </c>
      <c r="H22421" s="69">
        <v>2.6599448387209623</v>
      </c>
    </row>
    <row r="22422" spans="6:8">
      <c r="F22422" s="68" t="s">
        <v>132</v>
      </c>
      <c r="G22422" s="67" t="s">
        <v>798</v>
      </c>
      <c r="H22422" s="69">
        <v>-1.06</v>
      </c>
    </row>
    <row r="22423" spans="6:8">
      <c r="F22423" s="68" t="s">
        <v>133</v>
      </c>
      <c r="G22423" s="67" t="s">
        <v>798</v>
      </c>
      <c r="H22423" s="69">
        <v>-0.67500000000000004</v>
      </c>
    </row>
    <row r="22424" spans="6:8">
      <c r="F22424" s="68" t="s">
        <v>256</v>
      </c>
      <c r="G22424" s="67" t="s">
        <v>798</v>
      </c>
      <c r="H22424" s="69">
        <v>0.72333333333333327</v>
      </c>
    </row>
    <row r="22425" spans="6:8">
      <c r="F22425" s="68" t="s">
        <v>423</v>
      </c>
      <c r="G22425" s="67" t="s">
        <v>798</v>
      </c>
      <c r="H22425" s="69">
        <v>2.0467709208281448</v>
      </c>
    </row>
    <row r="22426" spans="6:8">
      <c r="F22426" s="68" t="s">
        <v>569</v>
      </c>
      <c r="G22426" s="67" t="s">
        <v>798</v>
      </c>
      <c r="H22426" s="69">
        <v>-0.435</v>
      </c>
    </row>
    <row r="22427" spans="6:8">
      <c r="F22427" s="68" t="s">
        <v>130</v>
      </c>
      <c r="G22427" s="67" t="s">
        <v>798</v>
      </c>
      <c r="H22427" s="69">
        <v>-1.1599999999999999</v>
      </c>
    </row>
    <row r="22428" spans="6:8">
      <c r="F22428" s="68" t="s">
        <v>131</v>
      </c>
      <c r="G22428" s="67" t="s">
        <v>798</v>
      </c>
      <c r="H22428" s="69">
        <v>-0.59</v>
      </c>
    </row>
    <row r="22429" spans="6:8">
      <c r="F22429" s="68" t="s">
        <v>303</v>
      </c>
      <c r="G22429" s="67" t="s">
        <v>798</v>
      </c>
      <c r="H22429" s="69">
        <v>17.776041666666668</v>
      </c>
    </row>
    <row r="22430" spans="6:8">
      <c r="F22430" s="68" t="s">
        <v>255</v>
      </c>
      <c r="G22430" s="67" t="s">
        <v>798</v>
      </c>
      <c r="H22430" s="69">
        <v>0.60166666666666668</v>
      </c>
    </row>
    <row r="22431" spans="6:8">
      <c r="F22431" s="68" t="s">
        <v>422</v>
      </c>
      <c r="G22431" s="67" t="s">
        <v>798</v>
      </c>
      <c r="H22431" s="69">
        <v>1.7022804478358022</v>
      </c>
    </row>
    <row r="22432" spans="6:8">
      <c r="F22432" s="68" t="s">
        <v>568</v>
      </c>
      <c r="G22432" s="67" t="s">
        <v>798</v>
      </c>
      <c r="H22432" s="69">
        <v>-0.85499999999999998</v>
      </c>
    </row>
    <row r="22433" spans="6:8">
      <c r="F22433" s="68" t="s">
        <v>128</v>
      </c>
      <c r="G22433" s="67" t="s">
        <v>798</v>
      </c>
      <c r="H22433" s="69">
        <v>-0.96500000000000008</v>
      </c>
    </row>
    <row r="22434" spans="6:8">
      <c r="F22434" s="68" t="s">
        <v>129</v>
      </c>
      <c r="G22434" s="67" t="s">
        <v>798</v>
      </c>
      <c r="H22434" s="69">
        <v>-0.75</v>
      </c>
    </row>
    <row r="22435" spans="6:8">
      <c r="F22435" s="68" t="s">
        <v>304</v>
      </c>
      <c r="G22435" s="67" t="s">
        <v>798</v>
      </c>
      <c r="H22435" s="69">
        <v>17.916666666666668</v>
      </c>
    </row>
    <row r="22436" spans="6:8">
      <c r="F22436" s="68" t="s">
        <v>254</v>
      </c>
      <c r="G22436" s="67" t="s">
        <v>798</v>
      </c>
      <c r="H22436" s="69">
        <v>0.42</v>
      </c>
    </row>
    <row r="22437" spans="6:8">
      <c r="F22437" s="68" t="s">
        <v>421</v>
      </c>
      <c r="G22437" s="67" t="s">
        <v>798</v>
      </c>
      <c r="H22437" s="69">
        <v>1.6966434952744525</v>
      </c>
    </row>
    <row r="22438" spans="6:8">
      <c r="F22438" s="68" t="s">
        <v>567</v>
      </c>
      <c r="G22438" s="67" t="s">
        <v>798</v>
      </c>
      <c r="H22438" s="69">
        <v>-1.3399999999999999</v>
      </c>
    </row>
    <row r="22439" spans="6:8">
      <c r="F22439" s="68" t="s">
        <v>125</v>
      </c>
      <c r="G22439" s="67" t="s">
        <v>798</v>
      </c>
      <c r="H22439" s="69">
        <v>-0.85499999999999998</v>
      </c>
    </row>
    <row r="22440" spans="6:8">
      <c r="F22440" s="68" t="s">
        <v>126</v>
      </c>
      <c r="G22440" s="67" t="s">
        <v>798</v>
      </c>
      <c r="H22440" s="69">
        <v>-1.0150000000000001</v>
      </c>
    </row>
    <row r="22441" spans="6:8">
      <c r="F22441" s="68" t="s">
        <v>127</v>
      </c>
      <c r="G22441" s="67" t="s">
        <v>798</v>
      </c>
      <c r="H22441" s="69">
        <v>-0.45500000000000002</v>
      </c>
    </row>
    <row r="22442" spans="6:8">
      <c r="F22442" s="68" t="s">
        <v>253</v>
      </c>
      <c r="G22442" s="67" t="s">
        <v>798</v>
      </c>
      <c r="H22442" s="69">
        <v>0.29833333333333334</v>
      </c>
    </row>
    <row r="22443" spans="6:8">
      <c r="F22443" s="68" t="s">
        <v>315</v>
      </c>
      <c r="G22443" s="67" t="s">
        <v>798</v>
      </c>
      <c r="H22443" s="69">
        <v>-0.44500000000000001</v>
      </c>
    </row>
    <row r="22444" spans="6:8">
      <c r="F22444" s="68" t="s">
        <v>122</v>
      </c>
      <c r="G22444" s="67" t="s">
        <v>798</v>
      </c>
      <c r="H22444" s="69">
        <v>-1.135</v>
      </c>
    </row>
    <row r="22445" spans="6:8">
      <c r="F22445" s="68" t="s">
        <v>123</v>
      </c>
      <c r="G22445" s="67" t="s">
        <v>798</v>
      </c>
      <c r="H22445" s="69">
        <v>-1.04</v>
      </c>
    </row>
    <row r="22446" spans="6:8">
      <c r="F22446" s="68" t="s">
        <v>124</v>
      </c>
      <c r="G22446" s="67" t="s">
        <v>798</v>
      </c>
      <c r="H22446" s="69">
        <v>-0.76</v>
      </c>
    </row>
    <row r="22447" spans="6:8">
      <c r="F22447" s="68" t="s">
        <v>252</v>
      </c>
      <c r="G22447" s="67" t="s">
        <v>798</v>
      </c>
      <c r="H22447" s="69">
        <v>0.18200000000000002</v>
      </c>
    </row>
    <row r="22448" spans="6:8">
      <c r="F22448" s="68" t="s">
        <v>314</v>
      </c>
      <c r="G22448" s="67" t="s">
        <v>798</v>
      </c>
      <c r="H22448" s="69">
        <v>-0.81499999999999995</v>
      </c>
    </row>
    <row r="22449" spans="6:8">
      <c r="F22449" s="68" t="s">
        <v>119</v>
      </c>
      <c r="G22449" s="67" t="s">
        <v>798</v>
      </c>
      <c r="H22449" s="69">
        <v>-1.1600000000000001</v>
      </c>
    </row>
    <row r="22450" spans="6:8">
      <c r="F22450" s="68" t="s">
        <v>120</v>
      </c>
      <c r="G22450" s="67" t="s">
        <v>798</v>
      </c>
      <c r="H22450" s="69">
        <v>-0.84499999999999997</v>
      </c>
    </row>
    <row r="22451" spans="6:8">
      <c r="F22451" s="68" t="s">
        <v>121</v>
      </c>
      <c r="G22451" s="67" t="s">
        <v>798</v>
      </c>
      <c r="H22451" s="69">
        <v>-0.81</v>
      </c>
    </row>
    <row r="22452" spans="6:8">
      <c r="F22452" s="68" t="s">
        <v>251</v>
      </c>
      <c r="G22452" s="67" t="s">
        <v>798</v>
      </c>
      <c r="H22452" s="69">
        <v>0.13</v>
      </c>
    </row>
    <row r="22453" spans="6:8">
      <c r="F22453" s="68" t="s">
        <v>420</v>
      </c>
      <c r="G22453" s="67" t="s">
        <v>798</v>
      </c>
      <c r="H22453" s="69">
        <v>2.7872489970639958</v>
      </c>
    </row>
    <row r="22454" spans="6:8">
      <c r="F22454" s="68" t="s">
        <v>420</v>
      </c>
      <c r="G22454" s="67" t="s">
        <v>799</v>
      </c>
      <c r="H22454" s="69">
        <v>2.8371501312702385</v>
      </c>
    </row>
    <row r="22455" spans="6:8">
      <c r="F22455" s="68" t="s">
        <v>251</v>
      </c>
      <c r="G22455" s="67" t="s">
        <v>799</v>
      </c>
      <c r="H22455" s="69">
        <v>0.13333333333333333</v>
      </c>
    </row>
    <row r="22456" spans="6:8">
      <c r="F22456" s="68" t="s">
        <v>121</v>
      </c>
      <c r="G22456" s="67" t="s">
        <v>799</v>
      </c>
      <c r="H22456" s="69">
        <v>-0.81</v>
      </c>
    </row>
    <row r="22457" spans="6:8">
      <c r="F22457" s="68" t="s">
        <v>120</v>
      </c>
      <c r="G22457" s="67" t="s">
        <v>799</v>
      </c>
      <c r="H22457" s="69">
        <v>-0.84499999999999997</v>
      </c>
    </row>
    <row r="22458" spans="6:8">
      <c r="F22458" s="68" t="s">
        <v>119</v>
      </c>
      <c r="G22458" s="67" t="s">
        <v>799</v>
      </c>
      <c r="H22458" s="69">
        <v>-1.1600000000000001</v>
      </c>
    </row>
    <row r="22459" spans="6:8">
      <c r="F22459" s="68" t="s">
        <v>314</v>
      </c>
      <c r="G22459" s="67" t="s">
        <v>799</v>
      </c>
      <c r="H22459" s="69">
        <v>-0.81499999999999995</v>
      </c>
    </row>
    <row r="22460" spans="6:8">
      <c r="F22460" s="68" t="s">
        <v>252</v>
      </c>
      <c r="G22460" s="67" t="s">
        <v>799</v>
      </c>
      <c r="H22460" s="69">
        <v>0.17</v>
      </c>
    </row>
    <row r="22461" spans="6:8">
      <c r="F22461" s="68" t="s">
        <v>124</v>
      </c>
      <c r="G22461" s="67" t="s">
        <v>799</v>
      </c>
      <c r="H22461" s="69">
        <v>-0.76</v>
      </c>
    </row>
    <row r="22462" spans="6:8">
      <c r="F22462" s="68" t="s">
        <v>123</v>
      </c>
      <c r="G22462" s="67" t="s">
        <v>799</v>
      </c>
      <c r="H22462" s="69">
        <v>-1.04</v>
      </c>
    </row>
    <row r="22463" spans="6:8">
      <c r="F22463" s="68" t="s">
        <v>122</v>
      </c>
      <c r="G22463" s="67" t="s">
        <v>799</v>
      </c>
      <c r="H22463" s="69">
        <v>-1.135</v>
      </c>
    </row>
    <row r="22464" spans="6:8">
      <c r="F22464" s="68" t="s">
        <v>315</v>
      </c>
      <c r="G22464" s="67" t="s">
        <v>799</v>
      </c>
      <c r="H22464" s="69">
        <v>-0.44500000000000001</v>
      </c>
    </row>
    <row r="22465" spans="6:8">
      <c r="F22465" s="68" t="s">
        <v>253</v>
      </c>
      <c r="G22465" s="67" t="s">
        <v>799</v>
      </c>
      <c r="H22465" s="69">
        <v>0.27833333333333332</v>
      </c>
    </row>
    <row r="22466" spans="6:8">
      <c r="F22466" s="68" t="s">
        <v>127</v>
      </c>
      <c r="G22466" s="67" t="s">
        <v>799</v>
      </c>
      <c r="H22466" s="69">
        <v>-0.45500000000000002</v>
      </c>
    </row>
    <row r="22467" spans="6:8">
      <c r="F22467" s="68" t="s">
        <v>126</v>
      </c>
      <c r="G22467" s="67" t="s">
        <v>799</v>
      </c>
      <c r="H22467" s="69">
        <v>-1.0150000000000001</v>
      </c>
    </row>
    <row r="22468" spans="6:8">
      <c r="F22468" s="68" t="s">
        <v>125</v>
      </c>
      <c r="G22468" s="67" t="s">
        <v>799</v>
      </c>
      <c r="H22468" s="69">
        <v>-0.85499999999999998</v>
      </c>
    </row>
    <row r="22469" spans="6:8">
      <c r="F22469" s="68" t="s">
        <v>567</v>
      </c>
      <c r="G22469" s="67" t="s">
        <v>799</v>
      </c>
      <c r="H22469" s="69">
        <v>-1.3399999999999999</v>
      </c>
    </row>
    <row r="22470" spans="6:8">
      <c r="F22470" s="68" t="s">
        <v>421</v>
      </c>
      <c r="G22470" s="67" t="s">
        <v>799</v>
      </c>
      <c r="H22470" s="69">
        <v>1.7308099658413845</v>
      </c>
    </row>
    <row r="22471" spans="6:8">
      <c r="F22471" s="68" t="s">
        <v>254</v>
      </c>
      <c r="G22471" s="67" t="s">
        <v>799</v>
      </c>
      <c r="H22471" s="69">
        <v>0.39999999999999997</v>
      </c>
    </row>
    <row r="22472" spans="6:8">
      <c r="F22472" s="68" t="s">
        <v>304</v>
      </c>
      <c r="G22472" s="67" t="s">
        <v>799</v>
      </c>
      <c r="H22472" s="69">
        <v>17.927083333333332</v>
      </c>
    </row>
    <row r="22473" spans="6:8">
      <c r="F22473" s="68" t="s">
        <v>129</v>
      </c>
      <c r="G22473" s="67" t="s">
        <v>799</v>
      </c>
      <c r="H22473" s="69">
        <v>-0.75</v>
      </c>
    </row>
    <row r="22474" spans="6:8">
      <c r="F22474" s="68" t="s">
        <v>128</v>
      </c>
      <c r="G22474" s="67" t="s">
        <v>799</v>
      </c>
      <c r="H22474" s="69">
        <v>-0.96500000000000008</v>
      </c>
    </row>
    <row r="22475" spans="6:8">
      <c r="F22475" s="68" t="s">
        <v>568</v>
      </c>
      <c r="G22475" s="67" t="s">
        <v>799</v>
      </c>
      <c r="H22475" s="69">
        <v>-0.85499999999999998</v>
      </c>
    </row>
    <row r="22476" spans="6:8">
      <c r="F22476" s="68" t="s">
        <v>422</v>
      </c>
      <c r="G22476" s="67" t="s">
        <v>799</v>
      </c>
      <c r="H22476" s="69">
        <v>1.7365823384702939</v>
      </c>
    </row>
    <row r="22477" spans="6:8">
      <c r="F22477" s="68" t="s">
        <v>255</v>
      </c>
      <c r="G22477" s="67" t="s">
        <v>799</v>
      </c>
      <c r="H22477" s="69">
        <v>0.57333333333333336</v>
      </c>
    </row>
    <row r="22478" spans="6:8">
      <c r="F22478" s="68" t="s">
        <v>303</v>
      </c>
      <c r="G22478" s="67" t="s">
        <v>799</v>
      </c>
      <c r="H22478" s="69">
        <v>17.744791666666668</v>
      </c>
    </row>
    <row r="22479" spans="6:8">
      <c r="F22479" s="68" t="s">
        <v>131</v>
      </c>
      <c r="G22479" s="67" t="s">
        <v>799</v>
      </c>
      <c r="H22479" s="69">
        <v>-0.59</v>
      </c>
    </row>
    <row r="22480" spans="6:8">
      <c r="F22480" s="68" t="s">
        <v>130</v>
      </c>
      <c r="G22480" s="67" t="s">
        <v>799</v>
      </c>
      <c r="H22480" s="69">
        <v>-1.1599999999999999</v>
      </c>
    </row>
    <row r="22481" spans="6:8">
      <c r="F22481" s="68" t="s">
        <v>569</v>
      </c>
      <c r="G22481" s="67" t="s">
        <v>799</v>
      </c>
      <c r="H22481" s="69">
        <v>-0.435</v>
      </c>
    </row>
    <row r="22482" spans="6:8">
      <c r="F22482" s="68" t="s">
        <v>423</v>
      </c>
      <c r="G22482" s="67" t="s">
        <v>799</v>
      </c>
      <c r="H22482" s="69">
        <v>2.1173624025050852</v>
      </c>
    </row>
    <row r="22483" spans="6:8">
      <c r="F22483" s="68" t="s">
        <v>256</v>
      </c>
      <c r="G22483" s="67" t="s">
        <v>799</v>
      </c>
      <c r="H22483" s="69">
        <v>0.70499999999999996</v>
      </c>
    </row>
    <row r="22484" spans="6:8">
      <c r="F22484" s="68" t="s">
        <v>133</v>
      </c>
      <c r="G22484" s="67" t="s">
        <v>799</v>
      </c>
      <c r="H22484" s="69">
        <v>-0.67500000000000004</v>
      </c>
    </row>
    <row r="22485" spans="6:8">
      <c r="F22485" s="68" t="s">
        <v>132</v>
      </c>
      <c r="G22485" s="67" t="s">
        <v>799</v>
      </c>
      <c r="H22485" s="69">
        <v>-1.06</v>
      </c>
    </row>
    <row r="22486" spans="6:8">
      <c r="F22486" s="68" t="s">
        <v>424</v>
      </c>
      <c r="G22486" s="67" t="s">
        <v>799</v>
      </c>
      <c r="H22486" s="69">
        <v>2.7052934294412356</v>
      </c>
    </row>
    <row r="22487" spans="6:8">
      <c r="F22487" s="68" t="s">
        <v>258</v>
      </c>
      <c r="G22487" s="67" t="s">
        <v>799</v>
      </c>
      <c r="H22487" s="69">
        <v>0.15</v>
      </c>
    </row>
    <row r="22488" spans="6:8">
      <c r="F22488" s="68" t="s">
        <v>257</v>
      </c>
      <c r="G22488" s="67" t="s">
        <v>799</v>
      </c>
      <c r="H22488" s="69">
        <v>0.80600000000000005</v>
      </c>
    </row>
    <row r="22489" spans="6:8">
      <c r="F22489" s="68" t="s">
        <v>135</v>
      </c>
      <c r="G22489" s="67" t="s">
        <v>799</v>
      </c>
      <c r="H22489" s="69">
        <v>-0.875</v>
      </c>
    </row>
    <row r="22490" spans="6:8">
      <c r="F22490" s="68" t="s">
        <v>134</v>
      </c>
      <c r="G22490" s="67" t="s">
        <v>799</v>
      </c>
      <c r="H22490" s="69">
        <v>-1.0449999999999999</v>
      </c>
    </row>
    <row r="22491" spans="6:8">
      <c r="F22491" s="68" t="s">
        <v>425</v>
      </c>
      <c r="G22491" s="67" t="s">
        <v>799</v>
      </c>
      <c r="H22491" s="69">
        <v>2.7121370634400677</v>
      </c>
    </row>
    <row r="22492" spans="6:8">
      <c r="F22492" s="68" t="s">
        <v>259</v>
      </c>
      <c r="G22492" s="67" t="s">
        <v>799</v>
      </c>
      <c r="H22492" s="69">
        <v>0.115</v>
      </c>
    </row>
    <row r="22493" spans="6:8">
      <c r="F22493" s="68" t="s">
        <v>138</v>
      </c>
      <c r="G22493" s="67" t="s">
        <v>799</v>
      </c>
      <c r="H22493" s="69">
        <v>-0.84000000000000008</v>
      </c>
    </row>
    <row r="22494" spans="6:8">
      <c r="F22494" s="68" t="s">
        <v>137</v>
      </c>
      <c r="G22494" s="67" t="s">
        <v>799</v>
      </c>
      <c r="H22494" s="69">
        <v>-0.7</v>
      </c>
    </row>
    <row r="22495" spans="6:8">
      <c r="F22495" s="68" t="s">
        <v>136</v>
      </c>
      <c r="G22495" s="67" t="s">
        <v>799</v>
      </c>
      <c r="H22495" s="69">
        <v>-1.2350000000000001</v>
      </c>
    </row>
    <row r="22496" spans="6:8">
      <c r="F22496" s="68" t="s">
        <v>136</v>
      </c>
      <c r="G22496" s="67" t="s">
        <v>800</v>
      </c>
      <c r="H22496" s="69">
        <v>-1.2350000000000001</v>
      </c>
    </row>
    <row r="22497" spans="6:8">
      <c r="F22497" s="68" t="s">
        <v>137</v>
      </c>
      <c r="G22497" s="67" t="s">
        <v>800</v>
      </c>
      <c r="H22497" s="69">
        <v>-0.7</v>
      </c>
    </row>
    <row r="22498" spans="6:8">
      <c r="F22498" s="68" t="s">
        <v>138</v>
      </c>
      <c r="G22498" s="67" t="s">
        <v>800</v>
      </c>
      <c r="H22498" s="69">
        <v>-0.84000000000000008</v>
      </c>
    </row>
    <row r="22499" spans="6:8">
      <c r="F22499" s="68" t="s">
        <v>259</v>
      </c>
      <c r="G22499" s="67" t="s">
        <v>800</v>
      </c>
      <c r="H22499" s="69">
        <v>0.115</v>
      </c>
    </row>
    <row r="22500" spans="6:8">
      <c r="F22500" s="68" t="s">
        <v>425</v>
      </c>
      <c r="G22500" s="67" t="s">
        <v>800</v>
      </c>
      <c r="H22500" s="69">
        <v>2.7226691558857929</v>
      </c>
    </row>
    <row r="22501" spans="6:8">
      <c r="F22501" s="68" t="s">
        <v>134</v>
      </c>
      <c r="G22501" s="67" t="s">
        <v>800</v>
      </c>
      <c r="H22501" s="69">
        <v>-1.0449999999999999</v>
      </c>
    </row>
    <row r="22502" spans="6:8">
      <c r="F22502" s="68" t="s">
        <v>135</v>
      </c>
      <c r="G22502" s="67" t="s">
        <v>800</v>
      </c>
      <c r="H22502" s="69">
        <v>-0.875</v>
      </c>
    </row>
    <row r="22503" spans="6:8">
      <c r="F22503" s="68" t="s">
        <v>257</v>
      </c>
      <c r="G22503" s="67" t="s">
        <v>800</v>
      </c>
      <c r="H22503" s="69">
        <v>0.80600000000000005</v>
      </c>
    </row>
    <row r="22504" spans="6:8">
      <c r="F22504" s="68" t="s">
        <v>258</v>
      </c>
      <c r="G22504" s="67" t="s">
        <v>800</v>
      </c>
      <c r="H22504" s="69">
        <v>0.15</v>
      </c>
    </row>
    <row r="22505" spans="6:8">
      <c r="F22505" s="68" t="s">
        <v>424</v>
      </c>
      <c r="G22505" s="67" t="s">
        <v>800</v>
      </c>
      <c r="H22505" s="69">
        <v>2.7160113915519091</v>
      </c>
    </row>
    <row r="22506" spans="6:8">
      <c r="F22506" s="68" t="s">
        <v>132</v>
      </c>
      <c r="G22506" s="67" t="s">
        <v>800</v>
      </c>
      <c r="H22506" s="69">
        <v>-1.06</v>
      </c>
    </row>
    <row r="22507" spans="6:8">
      <c r="F22507" s="68" t="s">
        <v>133</v>
      </c>
      <c r="G22507" s="67" t="s">
        <v>800</v>
      </c>
      <c r="H22507" s="69">
        <v>-0.67500000000000004</v>
      </c>
    </row>
    <row r="22508" spans="6:8">
      <c r="F22508" s="68" t="s">
        <v>256</v>
      </c>
      <c r="G22508" s="67" t="s">
        <v>800</v>
      </c>
      <c r="H22508" s="69">
        <v>0.70499999999999996</v>
      </c>
    </row>
    <row r="22509" spans="6:8">
      <c r="F22509" s="68" t="s">
        <v>423</v>
      </c>
      <c r="G22509" s="67" t="s">
        <v>800</v>
      </c>
      <c r="H22509" s="69">
        <v>2.0898967116866007</v>
      </c>
    </row>
    <row r="22510" spans="6:8">
      <c r="F22510" s="68" t="s">
        <v>569</v>
      </c>
      <c r="G22510" s="67" t="s">
        <v>800</v>
      </c>
      <c r="H22510" s="69">
        <v>-0.435</v>
      </c>
    </row>
    <row r="22511" spans="6:8">
      <c r="F22511" s="68" t="s">
        <v>130</v>
      </c>
      <c r="G22511" s="67" t="s">
        <v>800</v>
      </c>
      <c r="H22511" s="69">
        <v>-1.1599999999999999</v>
      </c>
    </row>
    <row r="22512" spans="6:8">
      <c r="F22512" s="68" t="s">
        <v>131</v>
      </c>
      <c r="G22512" s="67" t="s">
        <v>800</v>
      </c>
      <c r="H22512" s="69">
        <v>-0.59</v>
      </c>
    </row>
    <row r="22513" spans="6:8">
      <c r="F22513" s="68" t="s">
        <v>303</v>
      </c>
      <c r="G22513" s="67" t="s">
        <v>800</v>
      </c>
      <c r="H22513" s="69">
        <v>17.729166666666668</v>
      </c>
    </row>
    <row r="22514" spans="6:8">
      <c r="F22514" s="68" t="s">
        <v>255</v>
      </c>
      <c r="G22514" s="67" t="s">
        <v>800</v>
      </c>
      <c r="H22514" s="69">
        <v>0.57333333333333336</v>
      </c>
    </row>
    <row r="22515" spans="6:8">
      <c r="F22515" s="68" t="s">
        <v>422</v>
      </c>
      <c r="G22515" s="67" t="s">
        <v>800</v>
      </c>
      <c r="H22515" s="69">
        <v>1.7961182744278048</v>
      </c>
    </row>
    <row r="22516" spans="6:8">
      <c r="F22516" s="68" t="s">
        <v>568</v>
      </c>
      <c r="G22516" s="67" t="s">
        <v>800</v>
      </c>
      <c r="H22516" s="69">
        <v>-0.85499999999999998</v>
      </c>
    </row>
    <row r="22517" spans="6:8">
      <c r="F22517" s="68" t="s">
        <v>128</v>
      </c>
      <c r="G22517" s="67" t="s">
        <v>800</v>
      </c>
      <c r="H22517" s="69">
        <v>-0.96500000000000008</v>
      </c>
    </row>
    <row r="22518" spans="6:8">
      <c r="F22518" s="68" t="s">
        <v>129</v>
      </c>
      <c r="G22518" s="67" t="s">
        <v>800</v>
      </c>
      <c r="H22518" s="69">
        <v>-0.75</v>
      </c>
    </row>
    <row r="22519" spans="6:8">
      <c r="F22519" s="68" t="s">
        <v>304</v>
      </c>
      <c r="G22519" s="67" t="s">
        <v>800</v>
      </c>
      <c r="H22519" s="69">
        <v>17.947916666666668</v>
      </c>
    </row>
    <row r="22520" spans="6:8">
      <c r="F22520" s="68" t="s">
        <v>254</v>
      </c>
      <c r="G22520" s="67" t="s">
        <v>800</v>
      </c>
      <c r="H22520" s="69">
        <v>0.39999999999999997</v>
      </c>
    </row>
    <row r="22521" spans="6:8">
      <c r="F22521" s="68" t="s">
        <v>421</v>
      </c>
      <c r="G22521" s="67" t="s">
        <v>800</v>
      </c>
      <c r="H22521" s="69">
        <v>1.7903410133211839</v>
      </c>
    </row>
    <row r="22522" spans="6:8">
      <c r="F22522" s="68" t="s">
        <v>567</v>
      </c>
      <c r="G22522" s="67" t="s">
        <v>800</v>
      </c>
      <c r="H22522" s="69">
        <v>-1.3399999999999999</v>
      </c>
    </row>
    <row r="22523" spans="6:8">
      <c r="F22523" s="68" t="s">
        <v>125</v>
      </c>
      <c r="G22523" s="67" t="s">
        <v>800</v>
      </c>
      <c r="H22523" s="69">
        <v>-0.85499999999999998</v>
      </c>
    </row>
    <row r="22524" spans="6:8">
      <c r="F22524" s="68" t="s">
        <v>126</v>
      </c>
      <c r="G22524" s="67" t="s">
        <v>800</v>
      </c>
      <c r="H22524" s="69">
        <v>-1.0150000000000001</v>
      </c>
    </row>
    <row r="22525" spans="6:8">
      <c r="F22525" s="68" t="s">
        <v>127</v>
      </c>
      <c r="G22525" s="67" t="s">
        <v>800</v>
      </c>
      <c r="H22525" s="69">
        <v>-0.45500000000000002</v>
      </c>
    </row>
    <row r="22526" spans="6:8">
      <c r="F22526" s="68" t="s">
        <v>253</v>
      </c>
      <c r="G22526" s="67" t="s">
        <v>800</v>
      </c>
      <c r="H22526" s="69">
        <v>0.27833333333333332</v>
      </c>
    </row>
    <row r="22527" spans="6:8">
      <c r="F22527" s="68" t="s">
        <v>315</v>
      </c>
      <c r="G22527" s="67" t="s">
        <v>800</v>
      </c>
      <c r="H22527" s="69">
        <v>-0.44500000000000001</v>
      </c>
    </row>
    <row r="22528" spans="6:8">
      <c r="F22528" s="68" t="s">
        <v>122</v>
      </c>
      <c r="G22528" s="67" t="s">
        <v>800</v>
      </c>
      <c r="H22528" s="69">
        <v>-1.135</v>
      </c>
    </row>
    <row r="22529" spans="6:8">
      <c r="F22529" s="68" t="s">
        <v>123</v>
      </c>
      <c r="G22529" s="67" t="s">
        <v>800</v>
      </c>
      <c r="H22529" s="69">
        <v>-1.04</v>
      </c>
    </row>
    <row r="22530" spans="6:8">
      <c r="F22530" s="68" t="s">
        <v>124</v>
      </c>
      <c r="G22530" s="67" t="s">
        <v>800</v>
      </c>
      <c r="H22530" s="69">
        <v>-0.76</v>
      </c>
    </row>
    <row r="22531" spans="6:8">
      <c r="F22531" s="68" t="s">
        <v>252</v>
      </c>
      <c r="G22531" s="67" t="s">
        <v>800</v>
      </c>
      <c r="H22531" s="69">
        <v>0.17</v>
      </c>
    </row>
    <row r="22532" spans="6:8">
      <c r="F22532" s="68" t="s">
        <v>314</v>
      </c>
      <c r="G22532" s="67" t="s">
        <v>800</v>
      </c>
      <c r="H22532" s="69">
        <v>-0.81499999999999995</v>
      </c>
    </row>
    <row r="22533" spans="6:8">
      <c r="F22533" s="68" t="s">
        <v>119</v>
      </c>
      <c r="G22533" s="67" t="s">
        <v>800</v>
      </c>
      <c r="H22533" s="69">
        <v>-1.1600000000000001</v>
      </c>
    </row>
    <row r="22534" spans="6:8">
      <c r="F22534" s="68" t="s">
        <v>120</v>
      </c>
      <c r="G22534" s="67" t="s">
        <v>800</v>
      </c>
      <c r="H22534" s="69">
        <v>-0.84499999999999997</v>
      </c>
    </row>
    <row r="22535" spans="6:8">
      <c r="F22535" s="68" t="s">
        <v>121</v>
      </c>
      <c r="G22535" s="67" t="s">
        <v>800</v>
      </c>
      <c r="H22535" s="69">
        <v>-0.81</v>
      </c>
    </row>
    <row r="22536" spans="6:8">
      <c r="F22536" s="68" t="s">
        <v>251</v>
      </c>
      <c r="G22536" s="67" t="s">
        <v>800</v>
      </c>
      <c r="H22536" s="69">
        <v>0.13333333333333333</v>
      </c>
    </row>
    <row r="22537" spans="6:8">
      <c r="F22537" s="68" t="s">
        <v>420</v>
      </c>
      <c r="G22537" s="67" t="s">
        <v>800</v>
      </c>
      <c r="H22537" s="69">
        <v>2.8582300067965249</v>
      </c>
    </row>
    <row r="22538" spans="6:8">
      <c r="F22538" s="68" t="s">
        <v>420</v>
      </c>
      <c r="G22538" s="67" t="s">
        <v>801</v>
      </c>
      <c r="H22538" s="69">
        <v>2.8337398573021755</v>
      </c>
    </row>
    <row r="22539" spans="6:8">
      <c r="F22539" s="68" t="s">
        <v>251</v>
      </c>
      <c r="G22539" s="67" t="s">
        <v>801</v>
      </c>
      <c r="H22539" s="69">
        <v>0.13500000000000001</v>
      </c>
    </row>
    <row r="22540" spans="6:8">
      <c r="F22540" s="68" t="s">
        <v>121</v>
      </c>
      <c r="G22540" s="67" t="s">
        <v>801</v>
      </c>
      <c r="H22540" s="69">
        <v>-0.81</v>
      </c>
    </row>
    <row r="22541" spans="6:8">
      <c r="F22541" s="68" t="s">
        <v>120</v>
      </c>
      <c r="G22541" s="67" t="s">
        <v>801</v>
      </c>
      <c r="H22541" s="69">
        <v>-0.83000000000000007</v>
      </c>
    </row>
    <row r="22542" spans="6:8">
      <c r="F22542" s="68" t="s">
        <v>119</v>
      </c>
      <c r="G22542" s="67" t="s">
        <v>801</v>
      </c>
      <c r="H22542" s="69">
        <v>-1.1400000000000001</v>
      </c>
    </row>
    <row r="22543" spans="6:8">
      <c r="F22543" s="68" t="s">
        <v>314</v>
      </c>
      <c r="G22543" s="67" t="s">
        <v>801</v>
      </c>
      <c r="H22543" s="69">
        <v>-0.8</v>
      </c>
    </row>
    <row r="22544" spans="6:8">
      <c r="F22544" s="68" t="s">
        <v>252</v>
      </c>
      <c r="G22544" s="67" t="s">
        <v>801</v>
      </c>
      <c r="H22544" s="69">
        <v>0.17333333333333334</v>
      </c>
    </row>
    <row r="22545" spans="6:8">
      <c r="F22545" s="68" t="s">
        <v>124</v>
      </c>
      <c r="G22545" s="67" t="s">
        <v>801</v>
      </c>
      <c r="H22545" s="69">
        <v>-0.76</v>
      </c>
    </row>
    <row r="22546" spans="6:8">
      <c r="F22546" s="68" t="s">
        <v>123</v>
      </c>
      <c r="G22546" s="67" t="s">
        <v>801</v>
      </c>
      <c r="H22546" s="69">
        <v>-1.0249999999999999</v>
      </c>
    </row>
    <row r="22547" spans="6:8">
      <c r="F22547" s="68" t="s">
        <v>122</v>
      </c>
      <c r="G22547" s="67" t="s">
        <v>801</v>
      </c>
      <c r="H22547" s="69">
        <v>-1.1099999999999999</v>
      </c>
    </row>
    <row r="22548" spans="6:8">
      <c r="F22548" s="68" t="s">
        <v>315</v>
      </c>
      <c r="G22548" s="67" t="s">
        <v>801</v>
      </c>
      <c r="H22548" s="69">
        <v>-0.435</v>
      </c>
    </row>
    <row r="22549" spans="6:8">
      <c r="F22549" s="68" t="s">
        <v>253</v>
      </c>
      <c r="G22549" s="67" t="s">
        <v>801</v>
      </c>
      <c r="H22549" s="69">
        <v>0.28166666666666668</v>
      </c>
    </row>
    <row r="22550" spans="6:8">
      <c r="F22550" s="68" t="s">
        <v>127</v>
      </c>
      <c r="G22550" s="67" t="s">
        <v>801</v>
      </c>
      <c r="H22550" s="69">
        <v>-0.48</v>
      </c>
    </row>
    <row r="22551" spans="6:8">
      <c r="F22551" s="68" t="s">
        <v>126</v>
      </c>
      <c r="G22551" s="67" t="s">
        <v>801</v>
      </c>
      <c r="H22551" s="69">
        <v>-1.0049999999999999</v>
      </c>
    </row>
    <row r="22552" spans="6:8">
      <c r="F22552" s="68" t="s">
        <v>125</v>
      </c>
      <c r="G22552" s="67" t="s">
        <v>801</v>
      </c>
      <c r="H22552" s="69">
        <v>-0.84</v>
      </c>
    </row>
    <row r="22553" spans="6:8">
      <c r="F22553" s="68" t="s">
        <v>567</v>
      </c>
      <c r="G22553" s="67" t="s">
        <v>801</v>
      </c>
      <c r="H22553" s="69">
        <v>-1.3149999999999999</v>
      </c>
    </row>
    <row r="22554" spans="6:8">
      <c r="F22554" s="68" t="s">
        <v>421</v>
      </c>
      <c r="G22554" s="67" t="s">
        <v>801</v>
      </c>
      <c r="H22554" s="69">
        <v>1.757362545558161</v>
      </c>
    </row>
    <row r="22555" spans="6:8">
      <c r="F22555" s="68" t="s">
        <v>254</v>
      </c>
      <c r="G22555" s="67" t="s">
        <v>801</v>
      </c>
      <c r="H22555" s="69">
        <v>0.40833333333333338</v>
      </c>
    </row>
    <row r="22556" spans="6:8">
      <c r="F22556" s="68" t="s">
        <v>304</v>
      </c>
      <c r="G22556" s="67" t="s">
        <v>801</v>
      </c>
      <c r="H22556" s="69">
        <v>17.927083333333332</v>
      </c>
    </row>
    <row r="22557" spans="6:8">
      <c r="F22557" s="68" t="s">
        <v>129</v>
      </c>
      <c r="G22557" s="67" t="s">
        <v>801</v>
      </c>
      <c r="H22557" s="69">
        <v>-0.77</v>
      </c>
    </row>
    <row r="22558" spans="6:8">
      <c r="F22558" s="68" t="s">
        <v>128</v>
      </c>
      <c r="G22558" s="67" t="s">
        <v>801</v>
      </c>
      <c r="H22558" s="69">
        <v>-0.95500000000000007</v>
      </c>
    </row>
    <row r="22559" spans="6:8">
      <c r="F22559" s="68" t="s">
        <v>568</v>
      </c>
      <c r="G22559" s="67" t="s">
        <v>801</v>
      </c>
      <c r="H22559" s="69">
        <v>-0.84499999999999997</v>
      </c>
    </row>
    <row r="22560" spans="6:8">
      <c r="F22560" s="68" t="s">
        <v>422</v>
      </c>
      <c r="G22560" s="67" t="s">
        <v>801</v>
      </c>
      <c r="H22560" s="69">
        <v>1.7631587853983444</v>
      </c>
    </row>
    <row r="22561" spans="6:8">
      <c r="F22561" s="68" t="s">
        <v>255</v>
      </c>
      <c r="G22561" s="67" t="s">
        <v>801</v>
      </c>
      <c r="H22561" s="69">
        <v>0.58666666666666678</v>
      </c>
    </row>
    <row r="22562" spans="6:8">
      <c r="F22562" s="68" t="s">
        <v>303</v>
      </c>
      <c r="G22562" s="67" t="s">
        <v>801</v>
      </c>
      <c r="H22562" s="69">
        <v>17.708333333333332</v>
      </c>
    </row>
    <row r="22563" spans="6:8">
      <c r="F22563" s="68" t="s">
        <v>131</v>
      </c>
      <c r="G22563" s="67" t="s">
        <v>801</v>
      </c>
      <c r="H22563" s="69">
        <v>-0.58499999999999996</v>
      </c>
    </row>
    <row r="22564" spans="6:8">
      <c r="F22564" s="68" t="s">
        <v>130</v>
      </c>
      <c r="G22564" s="67" t="s">
        <v>801</v>
      </c>
      <c r="H22564" s="69">
        <v>-1.1749999999999998</v>
      </c>
    </row>
    <row r="22565" spans="6:8">
      <c r="F22565" s="68" t="s">
        <v>569</v>
      </c>
      <c r="G22565" s="67" t="s">
        <v>801</v>
      </c>
      <c r="H22565" s="69">
        <v>-0.42500000000000004</v>
      </c>
    </row>
    <row r="22566" spans="6:8">
      <c r="F22566" s="68" t="s">
        <v>423</v>
      </c>
      <c r="G22566" s="67" t="s">
        <v>801</v>
      </c>
      <c r="H22566" s="69">
        <v>2.0767849283971351</v>
      </c>
    </row>
    <row r="22567" spans="6:8">
      <c r="F22567" s="68" t="s">
        <v>256</v>
      </c>
      <c r="G22567" s="67" t="s">
        <v>801</v>
      </c>
      <c r="H22567" s="69">
        <v>0.71833333333333327</v>
      </c>
    </row>
    <row r="22568" spans="6:8">
      <c r="F22568" s="68" t="s">
        <v>133</v>
      </c>
      <c r="G22568" s="67" t="s">
        <v>801</v>
      </c>
      <c r="H22568" s="69">
        <v>-0.66500000000000004</v>
      </c>
    </row>
    <row r="22569" spans="6:8">
      <c r="F22569" s="68" t="s">
        <v>132</v>
      </c>
      <c r="G22569" s="67" t="s">
        <v>801</v>
      </c>
      <c r="H22569" s="69">
        <v>-1.08</v>
      </c>
    </row>
    <row r="22570" spans="6:8">
      <c r="F22570" s="68" t="s">
        <v>424</v>
      </c>
      <c r="G22570" s="67" t="s">
        <v>801</v>
      </c>
      <c r="H22570" s="69">
        <v>2.6978791636410815</v>
      </c>
    </row>
    <row r="22571" spans="6:8">
      <c r="F22571" s="68" t="s">
        <v>258</v>
      </c>
      <c r="G22571" s="67" t="s">
        <v>801</v>
      </c>
      <c r="H22571" s="69">
        <v>0.15</v>
      </c>
    </row>
    <row r="22572" spans="6:8">
      <c r="F22572" s="68" t="s">
        <v>257</v>
      </c>
      <c r="G22572" s="67" t="s">
        <v>801</v>
      </c>
      <c r="H22572" s="69">
        <v>0.82</v>
      </c>
    </row>
    <row r="22573" spans="6:8">
      <c r="F22573" s="68" t="s">
        <v>135</v>
      </c>
      <c r="G22573" s="67" t="s">
        <v>801</v>
      </c>
      <c r="H22573" s="69">
        <v>-0.86499999999999999</v>
      </c>
    </row>
    <row r="22574" spans="6:8">
      <c r="F22574" s="68" t="s">
        <v>134</v>
      </c>
      <c r="G22574" s="67" t="s">
        <v>801</v>
      </c>
      <c r="H22574" s="69">
        <v>-1.0649999999999999</v>
      </c>
    </row>
    <row r="22575" spans="6:8">
      <c r="F22575" s="68" t="s">
        <v>425</v>
      </c>
      <c r="G22575" s="67" t="s">
        <v>801</v>
      </c>
      <c r="H22575" s="69">
        <v>2.703875279493051</v>
      </c>
    </row>
    <row r="22576" spans="6:8">
      <c r="F22576" s="68" t="s">
        <v>259</v>
      </c>
      <c r="G22576" s="67" t="s">
        <v>801</v>
      </c>
      <c r="H22576" s="69">
        <v>0.11666666666666668</v>
      </c>
    </row>
    <row r="22577" spans="6:8">
      <c r="F22577" s="68" t="s">
        <v>138</v>
      </c>
      <c r="G22577" s="67" t="s">
        <v>801</v>
      </c>
      <c r="H22577" s="69">
        <v>-0.84000000000000008</v>
      </c>
    </row>
    <row r="22578" spans="6:8">
      <c r="F22578" s="68" t="s">
        <v>137</v>
      </c>
      <c r="G22578" s="67" t="s">
        <v>801</v>
      </c>
      <c r="H22578" s="69">
        <v>-0.69</v>
      </c>
    </row>
    <row r="22579" spans="6:8">
      <c r="F22579" s="68" t="s">
        <v>136</v>
      </c>
      <c r="G22579" s="67" t="s">
        <v>801</v>
      </c>
      <c r="H22579" s="69">
        <v>-1.2150000000000001</v>
      </c>
    </row>
    <row r="22580" spans="6:8">
      <c r="F22580" s="68" t="s">
        <v>136</v>
      </c>
      <c r="G22580" s="67" t="s">
        <v>802</v>
      </c>
      <c r="H22580" s="69">
        <v>-1.2150000000000001</v>
      </c>
    </row>
    <row r="22581" spans="6:8">
      <c r="F22581" s="68" t="s">
        <v>137</v>
      </c>
      <c r="G22581" s="67" t="s">
        <v>802</v>
      </c>
      <c r="H22581" s="69">
        <v>-0.69</v>
      </c>
    </row>
    <row r="22582" spans="6:8">
      <c r="F22582" s="68" t="s">
        <v>138</v>
      </c>
      <c r="G22582" s="67" t="s">
        <v>802</v>
      </c>
      <c r="H22582" s="69">
        <v>-0.84000000000000008</v>
      </c>
    </row>
    <row r="22583" spans="6:8">
      <c r="F22583" s="68" t="s">
        <v>259</v>
      </c>
      <c r="G22583" s="67" t="s">
        <v>802</v>
      </c>
      <c r="H22583" s="69">
        <v>0.11666666666666668</v>
      </c>
    </row>
    <row r="22584" spans="6:8">
      <c r="F22584" s="68" t="s">
        <v>425</v>
      </c>
      <c r="G22584" s="67" t="s">
        <v>802</v>
      </c>
      <c r="H22584" s="69">
        <v>2.7003716194645921</v>
      </c>
    </row>
    <row r="22585" spans="6:8">
      <c r="F22585" s="68" t="s">
        <v>134</v>
      </c>
      <c r="G22585" s="67" t="s">
        <v>802</v>
      </c>
      <c r="H22585" s="69">
        <v>-1.0649999999999999</v>
      </c>
    </row>
    <row r="22586" spans="6:8">
      <c r="F22586" s="68" t="s">
        <v>135</v>
      </c>
      <c r="G22586" s="67" t="s">
        <v>802</v>
      </c>
      <c r="H22586" s="69">
        <v>-0.86499999999999999</v>
      </c>
    </row>
    <row r="22587" spans="6:8">
      <c r="F22587" s="68" t="s">
        <v>257</v>
      </c>
      <c r="G22587" s="67" t="s">
        <v>802</v>
      </c>
      <c r="H22587" s="69">
        <v>0.82</v>
      </c>
    </row>
    <row r="22588" spans="6:8">
      <c r="F22588" s="68" t="s">
        <v>258</v>
      </c>
      <c r="G22588" s="67" t="s">
        <v>802</v>
      </c>
      <c r="H22588" s="69">
        <v>0.15</v>
      </c>
    </row>
    <row r="22589" spans="6:8">
      <c r="F22589" s="68" t="s">
        <v>424</v>
      </c>
      <c r="G22589" s="67" t="s">
        <v>802</v>
      </c>
      <c r="H22589" s="69">
        <v>2.6961534434976286</v>
      </c>
    </row>
    <row r="22590" spans="6:8">
      <c r="F22590" s="68" t="s">
        <v>132</v>
      </c>
      <c r="G22590" s="67" t="s">
        <v>802</v>
      </c>
      <c r="H22590" s="69">
        <v>-1.08</v>
      </c>
    </row>
    <row r="22591" spans="6:8">
      <c r="F22591" s="68" t="s">
        <v>133</v>
      </c>
      <c r="G22591" s="67" t="s">
        <v>802</v>
      </c>
      <c r="H22591" s="69">
        <v>-0.66500000000000004</v>
      </c>
    </row>
    <row r="22592" spans="6:8">
      <c r="F22592" s="68" t="s">
        <v>256</v>
      </c>
      <c r="G22592" s="67" t="s">
        <v>802</v>
      </c>
      <c r="H22592" s="69">
        <v>0.71833333333333327</v>
      </c>
    </row>
    <row r="22593" spans="6:8">
      <c r="F22593" s="68" t="s">
        <v>423</v>
      </c>
      <c r="G22593" s="67" t="s">
        <v>802</v>
      </c>
      <c r="H22593" s="69">
        <v>2.0848043454303689</v>
      </c>
    </row>
    <row r="22594" spans="6:8">
      <c r="F22594" s="68" t="s">
        <v>569</v>
      </c>
      <c r="G22594" s="67" t="s">
        <v>802</v>
      </c>
      <c r="H22594" s="69">
        <v>-0.42500000000000004</v>
      </c>
    </row>
    <row r="22595" spans="6:8">
      <c r="F22595" s="68" t="s">
        <v>130</v>
      </c>
      <c r="G22595" s="67" t="s">
        <v>802</v>
      </c>
      <c r="H22595" s="69">
        <v>-1.1749999999999998</v>
      </c>
    </row>
    <row r="22596" spans="6:8">
      <c r="F22596" s="68" t="s">
        <v>131</v>
      </c>
      <c r="G22596" s="67" t="s">
        <v>802</v>
      </c>
      <c r="H22596" s="69">
        <v>-0.58499999999999996</v>
      </c>
    </row>
    <row r="22597" spans="6:8">
      <c r="F22597" s="68" t="s">
        <v>303</v>
      </c>
      <c r="G22597" s="67" t="s">
        <v>802</v>
      </c>
      <c r="H22597" s="69">
        <v>17.677083333333332</v>
      </c>
    </row>
    <row r="22598" spans="6:8">
      <c r="F22598" s="68" t="s">
        <v>255</v>
      </c>
      <c r="G22598" s="67" t="s">
        <v>802</v>
      </c>
      <c r="H22598" s="69">
        <v>0.58666666666666678</v>
      </c>
    </row>
    <row r="22599" spans="6:8">
      <c r="F22599" s="68" t="s">
        <v>422</v>
      </c>
      <c r="G22599" s="67" t="s">
        <v>802</v>
      </c>
      <c r="H22599" s="69">
        <v>1.7779438833640082</v>
      </c>
    </row>
    <row r="22600" spans="6:8">
      <c r="F22600" s="68" t="s">
        <v>568</v>
      </c>
      <c r="G22600" s="67" t="s">
        <v>802</v>
      </c>
      <c r="H22600" s="69">
        <v>-0.84499999999999997</v>
      </c>
    </row>
    <row r="22601" spans="6:8">
      <c r="F22601" s="68" t="s">
        <v>128</v>
      </c>
      <c r="G22601" s="67" t="s">
        <v>802</v>
      </c>
      <c r="H22601" s="69">
        <v>-0.95500000000000007</v>
      </c>
    </row>
    <row r="22602" spans="6:8">
      <c r="F22602" s="68" t="s">
        <v>129</v>
      </c>
      <c r="G22602" s="67" t="s">
        <v>802</v>
      </c>
      <c r="H22602" s="69">
        <v>-0.77</v>
      </c>
    </row>
    <row r="22603" spans="6:8">
      <c r="F22603" s="68" t="s">
        <v>304</v>
      </c>
      <c r="G22603" s="67" t="s">
        <v>802</v>
      </c>
      <c r="H22603" s="69">
        <v>17.90625</v>
      </c>
    </row>
    <row r="22604" spans="6:8">
      <c r="F22604" s="68" t="s">
        <v>254</v>
      </c>
      <c r="G22604" s="67" t="s">
        <v>802</v>
      </c>
      <c r="H22604" s="69">
        <v>0.40833333333333338</v>
      </c>
    </row>
    <row r="22605" spans="6:8">
      <c r="F22605" s="68" t="s">
        <v>421</v>
      </c>
      <c r="G22605" s="67" t="s">
        <v>802</v>
      </c>
      <c r="H22605" s="69">
        <v>1.7721203187807344</v>
      </c>
    </row>
    <row r="22606" spans="6:8">
      <c r="F22606" s="68" t="s">
        <v>567</v>
      </c>
      <c r="G22606" s="67" t="s">
        <v>802</v>
      </c>
      <c r="H22606" s="69">
        <v>-1.3149999999999999</v>
      </c>
    </row>
    <row r="22607" spans="6:8">
      <c r="F22607" s="68" t="s">
        <v>125</v>
      </c>
      <c r="G22607" s="67" t="s">
        <v>802</v>
      </c>
      <c r="H22607" s="69">
        <v>-0.84</v>
      </c>
    </row>
    <row r="22608" spans="6:8">
      <c r="F22608" s="68" t="s">
        <v>126</v>
      </c>
      <c r="G22608" s="67" t="s">
        <v>802</v>
      </c>
      <c r="H22608" s="69">
        <v>-1.0049999999999999</v>
      </c>
    </row>
    <row r="22609" spans="6:8">
      <c r="F22609" s="68" t="s">
        <v>127</v>
      </c>
      <c r="G22609" s="67" t="s">
        <v>802</v>
      </c>
      <c r="H22609" s="69">
        <v>-0.48</v>
      </c>
    </row>
    <row r="22610" spans="6:8">
      <c r="F22610" s="68" t="s">
        <v>253</v>
      </c>
      <c r="G22610" s="67" t="s">
        <v>802</v>
      </c>
      <c r="H22610" s="69">
        <v>0.28166666666666668</v>
      </c>
    </row>
    <row r="22611" spans="6:8">
      <c r="F22611" s="68" t="s">
        <v>315</v>
      </c>
      <c r="G22611" s="67" t="s">
        <v>802</v>
      </c>
      <c r="H22611" s="69">
        <v>-0.435</v>
      </c>
    </row>
    <row r="22612" spans="6:8">
      <c r="F22612" s="68" t="s">
        <v>122</v>
      </c>
      <c r="G22612" s="67" t="s">
        <v>802</v>
      </c>
      <c r="H22612" s="69">
        <v>-1.1099999999999999</v>
      </c>
    </row>
    <row r="22613" spans="6:8">
      <c r="F22613" s="68" t="s">
        <v>123</v>
      </c>
      <c r="G22613" s="67" t="s">
        <v>802</v>
      </c>
      <c r="H22613" s="69">
        <v>-1.0249999999999999</v>
      </c>
    </row>
    <row r="22614" spans="6:8">
      <c r="F22614" s="68" t="s">
        <v>124</v>
      </c>
      <c r="G22614" s="67" t="s">
        <v>802</v>
      </c>
      <c r="H22614" s="69">
        <v>-0.76</v>
      </c>
    </row>
    <row r="22615" spans="6:8">
      <c r="F22615" s="68" t="s">
        <v>252</v>
      </c>
      <c r="G22615" s="67" t="s">
        <v>802</v>
      </c>
      <c r="H22615" s="69">
        <v>0.17333333333333334</v>
      </c>
    </row>
    <row r="22616" spans="6:8">
      <c r="F22616" s="68" t="s">
        <v>314</v>
      </c>
      <c r="G22616" s="67" t="s">
        <v>802</v>
      </c>
      <c r="H22616" s="69">
        <v>-0.8</v>
      </c>
    </row>
    <row r="22617" spans="6:8">
      <c r="F22617" s="68" t="s">
        <v>119</v>
      </c>
      <c r="G22617" s="67" t="s">
        <v>802</v>
      </c>
      <c r="H22617" s="69">
        <v>-1.1400000000000001</v>
      </c>
    </row>
    <row r="22618" spans="6:8">
      <c r="F22618" s="68" t="s">
        <v>120</v>
      </c>
      <c r="G22618" s="67" t="s">
        <v>802</v>
      </c>
      <c r="H22618" s="69">
        <v>-0.83000000000000007</v>
      </c>
    </row>
    <row r="22619" spans="6:8">
      <c r="F22619" s="68" t="s">
        <v>121</v>
      </c>
      <c r="G22619" s="67" t="s">
        <v>802</v>
      </c>
      <c r="H22619" s="69">
        <v>-0.81</v>
      </c>
    </row>
    <row r="22620" spans="6:8">
      <c r="F22620" s="68" t="s">
        <v>251</v>
      </c>
      <c r="G22620" s="67" t="s">
        <v>802</v>
      </c>
      <c r="H22620" s="69">
        <v>0.13500000000000001</v>
      </c>
    </row>
    <row r="22621" spans="6:8">
      <c r="F22621" s="68" t="s">
        <v>420</v>
      </c>
      <c r="G22621" s="67" t="s">
        <v>802</v>
      </c>
      <c r="H22621" s="69">
        <v>2.8256441971088897</v>
      </c>
    </row>
    <row r="22622" spans="6:8">
      <c r="F22622" s="68" t="s">
        <v>420</v>
      </c>
      <c r="G22622" s="67" t="s">
        <v>803</v>
      </c>
      <c r="H22622" s="69">
        <v>2.9103244043575227</v>
      </c>
    </row>
    <row r="22623" spans="6:8">
      <c r="F22623" s="68" t="s">
        <v>251</v>
      </c>
      <c r="G22623" s="67" t="s">
        <v>803</v>
      </c>
      <c r="H22623" s="69">
        <v>0.13500000000000001</v>
      </c>
    </row>
    <row r="22624" spans="6:8">
      <c r="F22624" s="68" t="s">
        <v>121</v>
      </c>
      <c r="G22624" s="67" t="s">
        <v>803</v>
      </c>
      <c r="H22624" s="69">
        <v>-0.81</v>
      </c>
    </row>
    <row r="22625" spans="6:8">
      <c r="F22625" s="68" t="s">
        <v>120</v>
      </c>
      <c r="G22625" s="67" t="s">
        <v>803</v>
      </c>
      <c r="H22625" s="69">
        <v>-0.83000000000000007</v>
      </c>
    </row>
    <row r="22626" spans="6:8">
      <c r="F22626" s="68" t="s">
        <v>119</v>
      </c>
      <c r="G22626" s="67" t="s">
        <v>803</v>
      </c>
      <c r="H22626" s="69">
        <v>-1.1400000000000001</v>
      </c>
    </row>
    <row r="22627" spans="6:8">
      <c r="F22627" s="68" t="s">
        <v>314</v>
      </c>
      <c r="G22627" s="67" t="s">
        <v>803</v>
      </c>
      <c r="H22627" s="69">
        <v>-0.8</v>
      </c>
    </row>
    <row r="22628" spans="6:8">
      <c r="F22628" s="68" t="s">
        <v>252</v>
      </c>
      <c r="G22628" s="67" t="s">
        <v>803</v>
      </c>
      <c r="H22628" s="69">
        <v>0.17333333333333334</v>
      </c>
    </row>
    <row r="22629" spans="6:8">
      <c r="F22629" s="68" t="s">
        <v>124</v>
      </c>
      <c r="G22629" s="67" t="s">
        <v>803</v>
      </c>
      <c r="H22629" s="69">
        <v>-0.76</v>
      </c>
    </row>
    <row r="22630" spans="6:8">
      <c r="F22630" s="68" t="s">
        <v>123</v>
      </c>
      <c r="G22630" s="67" t="s">
        <v>803</v>
      </c>
      <c r="H22630" s="69">
        <v>-1.0249999999999999</v>
      </c>
    </row>
    <row r="22631" spans="6:8">
      <c r="F22631" s="68" t="s">
        <v>122</v>
      </c>
      <c r="G22631" s="67" t="s">
        <v>803</v>
      </c>
      <c r="H22631" s="69">
        <v>-1.1099999999999999</v>
      </c>
    </row>
    <row r="22632" spans="6:8">
      <c r="F22632" s="68" t="s">
        <v>315</v>
      </c>
      <c r="G22632" s="67" t="s">
        <v>803</v>
      </c>
      <c r="H22632" s="69">
        <v>-0.435</v>
      </c>
    </row>
    <row r="22633" spans="6:8">
      <c r="F22633" s="68" t="s">
        <v>253</v>
      </c>
      <c r="G22633" s="67" t="s">
        <v>803</v>
      </c>
      <c r="H22633" s="69">
        <v>0.28166666666666668</v>
      </c>
    </row>
    <row r="22634" spans="6:8">
      <c r="F22634" s="68" t="s">
        <v>127</v>
      </c>
      <c r="G22634" s="67" t="s">
        <v>803</v>
      </c>
      <c r="H22634" s="69">
        <v>-0.48</v>
      </c>
    </row>
    <row r="22635" spans="6:8">
      <c r="F22635" s="68" t="s">
        <v>126</v>
      </c>
      <c r="G22635" s="67" t="s">
        <v>803</v>
      </c>
      <c r="H22635" s="69">
        <v>-1.0049999999999999</v>
      </c>
    </row>
    <row r="22636" spans="6:8">
      <c r="F22636" s="68" t="s">
        <v>125</v>
      </c>
      <c r="G22636" s="67" t="s">
        <v>803</v>
      </c>
      <c r="H22636" s="69">
        <v>-0.84</v>
      </c>
    </row>
    <row r="22637" spans="6:8">
      <c r="F22637" s="68" t="s">
        <v>567</v>
      </c>
      <c r="G22637" s="67" t="s">
        <v>803</v>
      </c>
      <c r="H22637" s="69">
        <v>-1.3149999999999999</v>
      </c>
    </row>
    <row r="22638" spans="6:8">
      <c r="F22638" s="68" t="s">
        <v>421</v>
      </c>
      <c r="G22638" s="67" t="s">
        <v>803</v>
      </c>
      <c r="H22638" s="69">
        <v>1.8650428545923692</v>
      </c>
    </row>
    <row r="22639" spans="6:8">
      <c r="F22639" s="68" t="s">
        <v>254</v>
      </c>
      <c r="G22639" s="67" t="s">
        <v>803</v>
      </c>
      <c r="H22639" s="69">
        <v>0.40833333333333338</v>
      </c>
    </row>
    <row r="22640" spans="6:8">
      <c r="F22640" s="68" t="s">
        <v>304</v>
      </c>
      <c r="G22640" s="67" t="s">
        <v>803</v>
      </c>
      <c r="H22640" s="69">
        <v>17.9375</v>
      </c>
    </row>
    <row r="22641" spans="6:8">
      <c r="F22641" s="68" t="s">
        <v>129</v>
      </c>
      <c r="G22641" s="67" t="s">
        <v>803</v>
      </c>
      <c r="H22641" s="69">
        <v>-0.77</v>
      </c>
    </row>
    <row r="22642" spans="6:8">
      <c r="F22642" s="68" t="s">
        <v>128</v>
      </c>
      <c r="G22642" s="67" t="s">
        <v>803</v>
      </c>
      <c r="H22642" s="69">
        <v>-0.95500000000000007</v>
      </c>
    </row>
    <row r="22643" spans="6:8">
      <c r="F22643" s="68" t="s">
        <v>568</v>
      </c>
      <c r="G22643" s="67" t="s">
        <v>803</v>
      </c>
      <c r="H22643" s="69">
        <v>-0.84499999999999997</v>
      </c>
    </row>
    <row r="22644" spans="6:8">
      <c r="F22644" s="68" t="s">
        <v>422</v>
      </c>
      <c r="G22644" s="67" t="s">
        <v>803</v>
      </c>
      <c r="H22644" s="69">
        <v>1.870913468706048</v>
      </c>
    </row>
    <row r="22645" spans="6:8">
      <c r="F22645" s="68" t="s">
        <v>255</v>
      </c>
      <c r="G22645" s="67" t="s">
        <v>803</v>
      </c>
      <c r="H22645" s="69">
        <v>0.58666666666666678</v>
      </c>
    </row>
    <row r="22646" spans="6:8">
      <c r="F22646" s="68" t="s">
        <v>303</v>
      </c>
      <c r="G22646" s="67" t="s">
        <v>803</v>
      </c>
      <c r="H22646" s="69">
        <v>17.71875</v>
      </c>
    </row>
    <row r="22647" spans="6:8">
      <c r="F22647" s="68" t="s">
        <v>131</v>
      </c>
      <c r="G22647" s="67" t="s">
        <v>803</v>
      </c>
      <c r="H22647" s="69">
        <v>-0.58499999999999996</v>
      </c>
    </row>
    <row r="22648" spans="6:8">
      <c r="F22648" s="68" t="s">
        <v>130</v>
      </c>
      <c r="G22648" s="67" t="s">
        <v>803</v>
      </c>
      <c r="H22648" s="69">
        <v>-1.1749999999999998</v>
      </c>
    </row>
    <row r="22649" spans="6:8">
      <c r="F22649" s="68" t="s">
        <v>569</v>
      </c>
      <c r="G22649" s="67" t="s">
        <v>803</v>
      </c>
      <c r="H22649" s="69">
        <v>-0.42500000000000004</v>
      </c>
    </row>
    <row r="22650" spans="6:8">
      <c r="F22650" s="68" t="s">
        <v>423</v>
      </c>
      <c r="G22650" s="67" t="s">
        <v>803</v>
      </c>
      <c r="H22650" s="69">
        <v>2.1456835224223703</v>
      </c>
    </row>
    <row r="22651" spans="6:8">
      <c r="F22651" s="68" t="s">
        <v>256</v>
      </c>
      <c r="G22651" s="67" t="s">
        <v>803</v>
      </c>
      <c r="H22651" s="69">
        <v>0.71833333333333327</v>
      </c>
    </row>
    <row r="22652" spans="6:8">
      <c r="F22652" s="68" t="s">
        <v>133</v>
      </c>
      <c r="G22652" s="67" t="s">
        <v>803</v>
      </c>
      <c r="H22652" s="69">
        <v>-0.66500000000000004</v>
      </c>
    </row>
    <row r="22653" spans="6:8">
      <c r="F22653" s="68" t="s">
        <v>132</v>
      </c>
      <c r="G22653" s="67" t="s">
        <v>803</v>
      </c>
      <c r="H22653" s="69">
        <v>-1.08</v>
      </c>
    </row>
    <row r="22654" spans="6:8">
      <c r="F22654" s="68" t="s">
        <v>424</v>
      </c>
      <c r="G22654" s="67" t="s">
        <v>803</v>
      </c>
      <c r="H22654" s="69">
        <v>2.771123711696788</v>
      </c>
    </row>
    <row r="22655" spans="6:8">
      <c r="F22655" s="68" t="s">
        <v>258</v>
      </c>
      <c r="G22655" s="67" t="s">
        <v>803</v>
      </c>
      <c r="H22655" s="69">
        <v>0.15</v>
      </c>
    </row>
    <row r="22656" spans="6:8">
      <c r="F22656" s="68" t="s">
        <v>257</v>
      </c>
      <c r="G22656" s="67" t="s">
        <v>803</v>
      </c>
      <c r="H22656" s="69">
        <v>0.82</v>
      </c>
    </row>
    <row r="22657" spans="6:8">
      <c r="F22657" s="68" t="s">
        <v>135</v>
      </c>
      <c r="G22657" s="67" t="s">
        <v>803</v>
      </c>
      <c r="H22657" s="69">
        <v>-0.86499999999999999</v>
      </c>
    </row>
    <row r="22658" spans="6:8">
      <c r="F22658" s="68" t="s">
        <v>134</v>
      </c>
      <c r="G22658" s="67" t="s">
        <v>803</v>
      </c>
      <c r="H22658" s="69">
        <v>-1.0649999999999999</v>
      </c>
    </row>
    <row r="22659" spans="6:8">
      <c r="F22659" s="68" t="s">
        <v>425</v>
      </c>
      <c r="G22659" s="67" t="s">
        <v>803</v>
      </c>
      <c r="H22659" s="69">
        <v>2.7731040021951703</v>
      </c>
    </row>
    <row r="22660" spans="6:8">
      <c r="F22660" s="68" t="s">
        <v>259</v>
      </c>
      <c r="G22660" s="67" t="s">
        <v>803</v>
      </c>
      <c r="H22660" s="69">
        <v>0.11666666666666668</v>
      </c>
    </row>
    <row r="22661" spans="6:8">
      <c r="F22661" s="68" t="s">
        <v>138</v>
      </c>
      <c r="G22661" s="67" t="s">
        <v>803</v>
      </c>
      <c r="H22661" s="69">
        <v>-0.84000000000000008</v>
      </c>
    </row>
    <row r="22662" spans="6:8">
      <c r="F22662" s="68" t="s">
        <v>137</v>
      </c>
      <c r="G22662" s="67" t="s">
        <v>803</v>
      </c>
      <c r="H22662" s="69">
        <v>-0.69</v>
      </c>
    </row>
    <row r="22663" spans="6:8">
      <c r="F22663" s="68" t="s">
        <v>136</v>
      </c>
      <c r="G22663" s="67" t="s">
        <v>803</v>
      </c>
      <c r="H22663" s="69">
        <v>-1.2150000000000001</v>
      </c>
    </row>
    <row r="22664" spans="6:8">
      <c r="F22664" s="68" t="s">
        <v>136</v>
      </c>
      <c r="G22664" s="67" t="s">
        <v>804</v>
      </c>
      <c r="H22664" s="69">
        <v>-1.2150000000000001</v>
      </c>
    </row>
    <row r="22665" spans="6:8">
      <c r="F22665" s="68" t="s">
        <v>137</v>
      </c>
      <c r="G22665" s="67" t="s">
        <v>804</v>
      </c>
      <c r="H22665" s="69">
        <v>-0.69</v>
      </c>
    </row>
    <row r="22666" spans="6:8">
      <c r="F22666" s="68" t="s">
        <v>138</v>
      </c>
      <c r="G22666" s="67" t="s">
        <v>804</v>
      </c>
      <c r="H22666" s="69">
        <v>-0.84000000000000008</v>
      </c>
    </row>
    <row r="22667" spans="6:8">
      <c r="F22667" s="68" t="s">
        <v>259</v>
      </c>
      <c r="G22667" s="67" t="s">
        <v>804</v>
      </c>
      <c r="H22667" s="69">
        <v>0.11666666666666668</v>
      </c>
    </row>
    <row r="22668" spans="6:8">
      <c r="F22668" s="68" t="s">
        <v>425</v>
      </c>
      <c r="G22668" s="67" t="s">
        <v>804</v>
      </c>
      <c r="H22668" s="69">
        <v>2.7740054868273578</v>
      </c>
    </row>
    <row r="22669" spans="6:8">
      <c r="F22669" s="68" t="s">
        <v>134</v>
      </c>
      <c r="G22669" s="67" t="s">
        <v>804</v>
      </c>
      <c r="H22669" s="69">
        <v>-1.0649999999999999</v>
      </c>
    </row>
    <row r="22670" spans="6:8">
      <c r="F22670" s="68" t="s">
        <v>135</v>
      </c>
      <c r="G22670" s="67" t="s">
        <v>804</v>
      </c>
      <c r="H22670" s="69">
        <v>-0.86499999999999999</v>
      </c>
    </row>
    <row r="22671" spans="6:8">
      <c r="F22671" s="68" t="s">
        <v>257</v>
      </c>
      <c r="G22671" s="67" t="s">
        <v>804</v>
      </c>
      <c r="H22671" s="69">
        <v>0.82</v>
      </c>
    </row>
    <row r="22672" spans="6:8">
      <c r="F22672" s="68" t="s">
        <v>258</v>
      </c>
      <c r="G22672" s="67" t="s">
        <v>804</v>
      </c>
      <c r="H22672" s="69">
        <v>0.15</v>
      </c>
    </row>
    <row r="22673" spans="6:8">
      <c r="F22673" s="68" t="s">
        <v>424</v>
      </c>
      <c r="G22673" s="67" t="s">
        <v>804</v>
      </c>
      <c r="H22673" s="69">
        <v>2.7729224657747853</v>
      </c>
    </row>
    <row r="22674" spans="6:8">
      <c r="F22674" s="68" t="s">
        <v>132</v>
      </c>
      <c r="G22674" s="67" t="s">
        <v>804</v>
      </c>
      <c r="H22674" s="69">
        <v>-1.08</v>
      </c>
    </row>
    <row r="22675" spans="6:8">
      <c r="F22675" s="68" t="s">
        <v>133</v>
      </c>
      <c r="G22675" s="67" t="s">
        <v>804</v>
      </c>
      <c r="H22675" s="69">
        <v>-0.66500000000000004</v>
      </c>
    </row>
    <row r="22676" spans="6:8">
      <c r="F22676" s="68" t="s">
        <v>256</v>
      </c>
      <c r="G22676" s="67" t="s">
        <v>804</v>
      </c>
      <c r="H22676" s="69">
        <v>0.71833333333333327</v>
      </c>
    </row>
    <row r="22677" spans="6:8">
      <c r="F22677" s="68" t="s">
        <v>423</v>
      </c>
      <c r="G22677" s="67" t="s">
        <v>804</v>
      </c>
      <c r="H22677" s="69">
        <v>2.1422638911841485</v>
      </c>
    </row>
    <row r="22678" spans="6:8">
      <c r="F22678" s="68" t="s">
        <v>569</v>
      </c>
      <c r="G22678" s="67" t="s">
        <v>804</v>
      </c>
      <c r="H22678" s="69">
        <v>-0.42500000000000004</v>
      </c>
    </row>
    <row r="22679" spans="6:8">
      <c r="F22679" s="68" t="s">
        <v>130</v>
      </c>
      <c r="G22679" s="67" t="s">
        <v>804</v>
      </c>
      <c r="H22679" s="69">
        <v>-1.1749999999999998</v>
      </c>
    </row>
    <row r="22680" spans="6:8">
      <c r="F22680" s="68" t="s">
        <v>131</v>
      </c>
      <c r="G22680" s="67" t="s">
        <v>804</v>
      </c>
      <c r="H22680" s="69">
        <v>-0.58499999999999996</v>
      </c>
    </row>
    <row r="22681" spans="6:8">
      <c r="F22681" s="68" t="s">
        <v>303</v>
      </c>
      <c r="G22681" s="67" t="s">
        <v>804</v>
      </c>
      <c r="H22681" s="69">
        <v>17.729166666666668</v>
      </c>
    </row>
    <row r="22682" spans="6:8">
      <c r="F22682" s="68" t="s">
        <v>255</v>
      </c>
      <c r="G22682" s="67" t="s">
        <v>804</v>
      </c>
      <c r="H22682" s="69">
        <v>0.58666666666666678</v>
      </c>
    </row>
    <row r="22683" spans="6:8">
      <c r="F22683" s="68" t="s">
        <v>422</v>
      </c>
      <c r="G22683" s="67" t="s">
        <v>804</v>
      </c>
      <c r="H22683" s="69">
        <v>1.859621574620629</v>
      </c>
    </row>
    <row r="22684" spans="6:8">
      <c r="F22684" s="68" t="s">
        <v>568</v>
      </c>
      <c r="G22684" s="67" t="s">
        <v>804</v>
      </c>
      <c r="H22684" s="69">
        <v>-0.84499999999999997</v>
      </c>
    </row>
    <row r="22685" spans="6:8">
      <c r="F22685" s="68" t="s">
        <v>128</v>
      </c>
      <c r="G22685" s="67" t="s">
        <v>804</v>
      </c>
      <c r="H22685" s="69">
        <v>-0.95500000000000007</v>
      </c>
    </row>
    <row r="22686" spans="6:8">
      <c r="F22686" s="68" t="s">
        <v>129</v>
      </c>
      <c r="G22686" s="67" t="s">
        <v>804</v>
      </c>
      <c r="H22686" s="69">
        <v>-0.77</v>
      </c>
    </row>
    <row r="22687" spans="6:8">
      <c r="F22687" s="68" t="s">
        <v>304</v>
      </c>
      <c r="G22687" s="67" t="s">
        <v>804</v>
      </c>
      <c r="H22687" s="69">
        <v>17.947916666666668</v>
      </c>
    </row>
    <row r="22688" spans="6:8">
      <c r="F22688" s="68" t="s">
        <v>254</v>
      </c>
      <c r="G22688" s="67" t="s">
        <v>804</v>
      </c>
      <c r="H22688" s="69">
        <v>0.40833333333333338</v>
      </c>
    </row>
    <row r="22689" spans="6:8">
      <c r="F22689" s="68" t="s">
        <v>421</v>
      </c>
      <c r="G22689" s="67" t="s">
        <v>804</v>
      </c>
      <c r="H22689" s="69">
        <v>1.8537032807562248</v>
      </c>
    </row>
    <row r="22690" spans="6:8">
      <c r="F22690" s="68" t="s">
        <v>567</v>
      </c>
      <c r="G22690" s="67" t="s">
        <v>804</v>
      </c>
      <c r="H22690" s="69">
        <v>-1.3149999999999999</v>
      </c>
    </row>
    <row r="22691" spans="6:8">
      <c r="F22691" s="68" t="s">
        <v>125</v>
      </c>
      <c r="G22691" s="67" t="s">
        <v>804</v>
      </c>
      <c r="H22691" s="69">
        <v>-0.84</v>
      </c>
    </row>
    <row r="22692" spans="6:8">
      <c r="F22692" s="68" t="s">
        <v>126</v>
      </c>
      <c r="G22692" s="67" t="s">
        <v>804</v>
      </c>
      <c r="H22692" s="69">
        <v>-1.0049999999999999</v>
      </c>
    </row>
    <row r="22693" spans="6:8">
      <c r="F22693" s="68" t="s">
        <v>127</v>
      </c>
      <c r="G22693" s="67" t="s">
        <v>804</v>
      </c>
      <c r="H22693" s="69">
        <v>-0.48</v>
      </c>
    </row>
    <row r="22694" spans="6:8">
      <c r="F22694" s="68" t="s">
        <v>253</v>
      </c>
      <c r="G22694" s="67" t="s">
        <v>804</v>
      </c>
      <c r="H22694" s="69">
        <v>0.28166666666666668</v>
      </c>
    </row>
    <row r="22695" spans="6:8">
      <c r="F22695" s="68" t="s">
        <v>315</v>
      </c>
      <c r="G22695" s="67" t="s">
        <v>804</v>
      </c>
      <c r="H22695" s="69">
        <v>-0.435</v>
      </c>
    </row>
    <row r="22696" spans="6:8">
      <c r="F22696" s="68" t="s">
        <v>122</v>
      </c>
      <c r="G22696" s="67" t="s">
        <v>804</v>
      </c>
      <c r="H22696" s="69">
        <v>-1.1099999999999999</v>
      </c>
    </row>
    <row r="22697" spans="6:8">
      <c r="F22697" s="68" t="s">
        <v>123</v>
      </c>
      <c r="G22697" s="67" t="s">
        <v>804</v>
      </c>
      <c r="H22697" s="69">
        <v>-1.0249999999999999</v>
      </c>
    </row>
    <row r="22698" spans="6:8">
      <c r="F22698" s="68" t="s">
        <v>124</v>
      </c>
      <c r="G22698" s="67" t="s">
        <v>804</v>
      </c>
      <c r="H22698" s="69">
        <v>-0.76</v>
      </c>
    </row>
    <row r="22699" spans="6:8">
      <c r="F22699" s="68" t="s">
        <v>252</v>
      </c>
      <c r="G22699" s="67" t="s">
        <v>804</v>
      </c>
      <c r="H22699" s="69">
        <v>0.17333333333333334</v>
      </c>
    </row>
    <row r="22700" spans="6:8">
      <c r="F22700" s="68" t="s">
        <v>314</v>
      </c>
      <c r="G22700" s="67" t="s">
        <v>804</v>
      </c>
      <c r="H22700" s="69">
        <v>-0.8</v>
      </c>
    </row>
    <row r="22701" spans="6:8">
      <c r="F22701" s="68" t="s">
        <v>119</v>
      </c>
      <c r="G22701" s="67" t="s">
        <v>804</v>
      </c>
      <c r="H22701" s="69">
        <v>-1.1400000000000001</v>
      </c>
    </row>
    <row r="22702" spans="6:8">
      <c r="F22702" s="68" t="s">
        <v>120</v>
      </c>
      <c r="G22702" s="67" t="s">
        <v>804</v>
      </c>
      <c r="H22702" s="69">
        <v>-0.83000000000000007</v>
      </c>
    </row>
    <row r="22703" spans="6:8">
      <c r="F22703" s="68" t="s">
        <v>121</v>
      </c>
      <c r="G22703" s="67" t="s">
        <v>804</v>
      </c>
      <c r="H22703" s="69">
        <v>-0.81</v>
      </c>
    </row>
    <row r="22704" spans="6:8">
      <c r="F22704" s="68" t="s">
        <v>251</v>
      </c>
      <c r="G22704" s="67" t="s">
        <v>804</v>
      </c>
      <c r="H22704" s="69">
        <v>0.13500000000000001</v>
      </c>
    </row>
    <row r="22705" spans="6:8">
      <c r="F22705" s="68" t="s">
        <v>420</v>
      </c>
      <c r="G22705" s="67" t="s">
        <v>804</v>
      </c>
      <c r="H22705" s="69">
        <v>2.9097527502783826</v>
      </c>
    </row>
    <row r="22706" spans="6:8">
      <c r="F22706" s="68" t="s">
        <v>420</v>
      </c>
      <c r="G22706" s="67" t="s">
        <v>805</v>
      </c>
      <c r="H22706" s="69">
        <v>2.8912427168811927</v>
      </c>
    </row>
    <row r="22707" spans="6:8">
      <c r="F22707" s="68" t="s">
        <v>251</v>
      </c>
      <c r="G22707" s="67" t="s">
        <v>805</v>
      </c>
      <c r="H22707" s="69">
        <v>0.13500000000000001</v>
      </c>
    </row>
    <row r="22708" spans="6:8">
      <c r="F22708" s="68" t="s">
        <v>121</v>
      </c>
      <c r="G22708" s="67" t="s">
        <v>805</v>
      </c>
      <c r="H22708" s="69">
        <v>-0.81</v>
      </c>
    </row>
    <row r="22709" spans="6:8">
      <c r="F22709" s="68" t="s">
        <v>120</v>
      </c>
      <c r="G22709" s="67" t="s">
        <v>805</v>
      </c>
      <c r="H22709" s="69">
        <v>-0.83000000000000007</v>
      </c>
    </row>
    <row r="22710" spans="6:8">
      <c r="F22710" s="68" t="s">
        <v>119</v>
      </c>
      <c r="G22710" s="67" t="s">
        <v>805</v>
      </c>
      <c r="H22710" s="69">
        <v>-1.1400000000000001</v>
      </c>
    </row>
    <row r="22711" spans="6:8">
      <c r="F22711" s="68" t="s">
        <v>314</v>
      </c>
      <c r="G22711" s="67" t="s">
        <v>805</v>
      </c>
      <c r="H22711" s="69">
        <v>-0.8</v>
      </c>
    </row>
    <row r="22712" spans="6:8">
      <c r="F22712" s="68" t="s">
        <v>252</v>
      </c>
      <c r="G22712" s="67" t="s">
        <v>805</v>
      </c>
      <c r="H22712" s="69">
        <v>0.17333333333333334</v>
      </c>
    </row>
    <row r="22713" spans="6:8">
      <c r="F22713" s="68" t="s">
        <v>124</v>
      </c>
      <c r="G22713" s="67" t="s">
        <v>805</v>
      </c>
      <c r="H22713" s="69">
        <v>-0.76</v>
      </c>
    </row>
    <row r="22714" spans="6:8">
      <c r="F22714" s="68" t="s">
        <v>123</v>
      </c>
      <c r="G22714" s="67" t="s">
        <v>805</v>
      </c>
      <c r="H22714" s="69">
        <v>-1.0249999999999999</v>
      </c>
    </row>
    <row r="22715" spans="6:8">
      <c r="F22715" s="68" t="s">
        <v>122</v>
      </c>
      <c r="G22715" s="67" t="s">
        <v>805</v>
      </c>
      <c r="H22715" s="69">
        <v>-1.1099999999999999</v>
      </c>
    </row>
    <row r="22716" spans="6:8">
      <c r="F22716" s="68" t="s">
        <v>315</v>
      </c>
      <c r="G22716" s="67" t="s">
        <v>805</v>
      </c>
      <c r="H22716" s="69">
        <v>-0.435</v>
      </c>
    </row>
    <row r="22717" spans="6:8">
      <c r="F22717" s="68" t="s">
        <v>253</v>
      </c>
      <c r="G22717" s="67" t="s">
        <v>805</v>
      </c>
      <c r="H22717" s="69">
        <v>0.28166666666666668</v>
      </c>
    </row>
    <row r="22718" spans="6:8">
      <c r="F22718" s="68" t="s">
        <v>127</v>
      </c>
      <c r="G22718" s="67" t="s">
        <v>805</v>
      </c>
      <c r="H22718" s="69">
        <v>-0.48</v>
      </c>
    </row>
    <row r="22719" spans="6:8">
      <c r="F22719" s="68" t="s">
        <v>126</v>
      </c>
      <c r="G22719" s="67" t="s">
        <v>805</v>
      </c>
      <c r="H22719" s="69">
        <v>-1.0049999999999999</v>
      </c>
    </row>
    <row r="22720" spans="6:8">
      <c r="F22720" s="68" t="s">
        <v>125</v>
      </c>
      <c r="G22720" s="67" t="s">
        <v>805</v>
      </c>
      <c r="H22720" s="69">
        <v>-0.84</v>
      </c>
    </row>
    <row r="22721" spans="6:8">
      <c r="F22721" s="68" t="s">
        <v>567</v>
      </c>
      <c r="G22721" s="67" t="s">
        <v>805</v>
      </c>
      <c r="H22721" s="69">
        <v>-1.3149999999999999</v>
      </c>
    </row>
    <row r="22722" spans="6:8">
      <c r="F22722" s="68" t="s">
        <v>421</v>
      </c>
      <c r="G22722" s="67" t="s">
        <v>805</v>
      </c>
      <c r="H22722" s="69">
        <v>1.851844711937245</v>
      </c>
    </row>
    <row r="22723" spans="6:8">
      <c r="F22723" s="68" t="s">
        <v>254</v>
      </c>
      <c r="G22723" s="67" t="s">
        <v>805</v>
      </c>
      <c r="H22723" s="69">
        <v>0.40833333333333338</v>
      </c>
    </row>
    <row r="22724" spans="6:8">
      <c r="F22724" s="68" t="s">
        <v>304</v>
      </c>
      <c r="G22724" s="67" t="s">
        <v>805</v>
      </c>
      <c r="H22724" s="69">
        <v>17.9375</v>
      </c>
    </row>
    <row r="22725" spans="6:8">
      <c r="F22725" s="68" t="s">
        <v>129</v>
      </c>
      <c r="G22725" s="67" t="s">
        <v>805</v>
      </c>
      <c r="H22725" s="69">
        <v>-0.77</v>
      </c>
    </row>
    <row r="22726" spans="6:8">
      <c r="F22726" s="68" t="s">
        <v>128</v>
      </c>
      <c r="G22726" s="67" t="s">
        <v>805</v>
      </c>
      <c r="H22726" s="69">
        <v>-0.95500000000000007</v>
      </c>
    </row>
    <row r="22727" spans="6:8">
      <c r="F22727" s="68" t="s">
        <v>568</v>
      </c>
      <c r="G22727" s="67" t="s">
        <v>805</v>
      </c>
      <c r="H22727" s="69">
        <v>-0.84499999999999997</v>
      </c>
    </row>
    <row r="22728" spans="6:8">
      <c r="F22728" s="68" t="s">
        <v>422</v>
      </c>
      <c r="G22728" s="67" t="s">
        <v>805</v>
      </c>
      <c r="H22728" s="69">
        <v>1.8577359689678108</v>
      </c>
    </row>
    <row r="22729" spans="6:8">
      <c r="F22729" s="68" t="s">
        <v>255</v>
      </c>
      <c r="G22729" s="67" t="s">
        <v>805</v>
      </c>
      <c r="H22729" s="69">
        <v>0.58666666666666678</v>
      </c>
    </row>
    <row r="22730" spans="6:8">
      <c r="F22730" s="68" t="s">
        <v>303</v>
      </c>
      <c r="G22730" s="67" t="s">
        <v>805</v>
      </c>
      <c r="H22730" s="69">
        <v>17.71875</v>
      </c>
    </row>
    <row r="22731" spans="6:8">
      <c r="F22731" s="68" t="s">
        <v>131</v>
      </c>
      <c r="G22731" s="67" t="s">
        <v>805</v>
      </c>
      <c r="H22731" s="69">
        <v>-0.58499999999999996</v>
      </c>
    </row>
    <row r="22732" spans="6:8">
      <c r="F22732" s="68" t="s">
        <v>130</v>
      </c>
      <c r="G22732" s="67" t="s">
        <v>805</v>
      </c>
      <c r="H22732" s="69">
        <v>-1.1749999999999998</v>
      </c>
    </row>
    <row r="22733" spans="6:8">
      <c r="F22733" s="68" t="s">
        <v>569</v>
      </c>
      <c r="G22733" s="67" t="s">
        <v>805</v>
      </c>
      <c r="H22733" s="69">
        <v>-0.42500000000000004</v>
      </c>
    </row>
    <row r="22734" spans="6:8">
      <c r="F22734" s="68" t="s">
        <v>423</v>
      </c>
      <c r="G22734" s="67" t="s">
        <v>805</v>
      </c>
      <c r="H22734" s="69">
        <v>2.1340166355820589</v>
      </c>
    </row>
    <row r="22735" spans="6:8">
      <c r="F22735" s="68" t="s">
        <v>256</v>
      </c>
      <c r="G22735" s="67" t="s">
        <v>805</v>
      </c>
      <c r="H22735" s="69">
        <v>0.71833333333333327</v>
      </c>
    </row>
    <row r="22736" spans="6:8">
      <c r="F22736" s="68" t="s">
        <v>133</v>
      </c>
      <c r="G22736" s="67" t="s">
        <v>805</v>
      </c>
      <c r="H22736" s="69">
        <v>-0.66500000000000004</v>
      </c>
    </row>
    <row r="22737" spans="6:8">
      <c r="F22737" s="68" t="s">
        <v>132</v>
      </c>
      <c r="G22737" s="67" t="s">
        <v>805</v>
      </c>
      <c r="H22737" s="69">
        <v>-1.08</v>
      </c>
    </row>
    <row r="22738" spans="6:8">
      <c r="F22738" s="68" t="s">
        <v>424</v>
      </c>
      <c r="G22738" s="67" t="s">
        <v>805</v>
      </c>
      <c r="H22738" s="69">
        <v>2.7569318031273493</v>
      </c>
    </row>
    <row r="22739" spans="6:8">
      <c r="F22739" s="68" t="s">
        <v>258</v>
      </c>
      <c r="G22739" s="67" t="s">
        <v>805</v>
      </c>
      <c r="H22739" s="69">
        <v>0.15</v>
      </c>
    </row>
    <row r="22740" spans="6:8">
      <c r="F22740" s="68" t="s">
        <v>257</v>
      </c>
      <c r="G22740" s="67" t="s">
        <v>805</v>
      </c>
      <c r="H22740" s="69">
        <v>0.82</v>
      </c>
    </row>
    <row r="22741" spans="6:8">
      <c r="F22741" s="68" t="s">
        <v>135</v>
      </c>
      <c r="G22741" s="67" t="s">
        <v>805</v>
      </c>
      <c r="H22741" s="69">
        <v>-0.86499999999999999</v>
      </c>
    </row>
    <row r="22742" spans="6:8">
      <c r="F22742" s="68" t="s">
        <v>134</v>
      </c>
      <c r="G22742" s="67" t="s">
        <v>805</v>
      </c>
      <c r="H22742" s="69">
        <v>-1.0649999999999999</v>
      </c>
    </row>
    <row r="22743" spans="6:8">
      <c r="F22743" s="68" t="s">
        <v>425</v>
      </c>
      <c r="G22743" s="67" t="s">
        <v>805</v>
      </c>
      <c r="H22743" s="69">
        <v>2.7573606447708343</v>
      </c>
    </row>
    <row r="22744" spans="6:8">
      <c r="F22744" s="68" t="s">
        <v>259</v>
      </c>
      <c r="G22744" s="67" t="s">
        <v>805</v>
      </c>
      <c r="H22744" s="69">
        <v>0.11666666666666668</v>
      </c>
    </row>
    <row r="22745" spans="6:8">
      <c r="F22745" s="68" t="s">
        <v>138</v>
      </c>
      <c r="G22745" s="67" t="s">
        <v>805</v>
      </c>
      <c r="H22745" s="69">
        <v>-0.84000000000000008</v>
      </c>
    </row>
    <row r="22746" spans="6:8">
      <c r="F22746" s="68" t="s">
        <v>137</v>
      </c>
      <c r="G22746" s="67" t="s">
        <v>805</v>
      </c>
      <c r="H22746" s="69">
        <v>-0.69</v>
      </c>
    </row>
    <row r="22747" spans="6:8">
      <c r="F22747" s="68" t="s">
        <v>136</v>
      </c>
      <c r="G22747" s="67" t="s">
        <v>805</v>
      </c>
      <c r="H22747" s="69">
        <v>-1.2150000000000001</v>
      </c>
    </row>
    <row r="22748" spans="6:8">
      <c r="F22748" s="68" t="s">
        <v>136</v>
      </c>
      <c r="G22748" s="67" t="s">
        <v>806</v>
      </c>
      <c r="H22748" s="69">
        <v>-1.1800000000000002</v>
      </c>
    </row>
    <row r="22749" spans="6:8">
      <c r="F22749" s="68" t="s">
        <v>137</v>
      </c>
      <c r="G22749" s="67" t="s">
        <v>806</v>
      </c>
      <c r="H22749" s="69">
        <v>-0.67500000000000004</v>
      </c>
    </row>
    <row r="22750" spans="6:8">
      <c r="F22750" s="68" t="s">
        <v>138</v>
      </c>
      <c r="G22750" s="67" t="s">
        <v>806</v>
      </c>
      <c r="H22750" s="69">
        <v>-0.84000000000000008</v>
      </c>
    </row>
    <row r="22751" spans="6:8">
      <c r="F22751" s="68" t="s">
        <v>259</v>
      </c>
      <c r="G22751" s="67" t="s">
        <v>806</v>
      </c>
      <c r="H22751" s="69">
        <v>0.11000000000000001</v>
      </c>
    </row>
    <row r="22752" spans="6:8">
      <c r="F22752" s="68" t="s">
        <v>425</v>
      </c>
      <c r="G22752" s="67" t="s">
        <v>806</v>
      </c>
      <c r="H22752" s="69">
        <v>2.7324292055505239</v>
      </c>
    </row>
    <row r="22753" spans="6:8">
      <c r="F22753" s="68" t="s">
        <v>134</v>
      </c>
      <c r="G22753" s="67" t="s">
        <v>806</v>
      </c>
      <c r="H22753" s="69">
        <v>-1.0449999999999999</v>
      </c>
    </row>
    <row r="22754" spans="6:8">
      <c r="F22754" s="68" t="s">
        <v>135</v>
      </c>
      <c r="G22754" s="67" t="s">
        <v>806</v>
      </c>
      <c r="H22754" s="69">
        <v>-0.84499999999999997</v>
      </c>
    </row>
    <row r="22755" spans="6:8">
      <c r="F22755" s="68" t="s">
        <v>257</v>
      </c>
      <c r="G22755" s="67" t="s">
        <v>806</v>
      </c>
      <c r="H22755" s="69">
        <v>0.8125</v>
      </c>
    </row>
    <row r="22756" spans="6:8">
      <c r="F22756" s="68" t="s">
        <v>258</v>
      </c>
      <c r="G22756" s="67" t="s">
        <v>806</v>
      </c>
      <c r="H22756" s="69">
        <v>0.15</v>
      </c>
    </row>
    <row r="22757" spans="6:8">
      <c r="F22757" s="68" t="s">
        <v>424</v>
      </c>
      <c r="G22757" s="67" t="s">
        <v>806</v>
      </c>
      <c r="H22757" s="69">
        <v>2.7344498001978135</v>
      </c>
    </row>
    <row r="22758" spans="6:8">
      <c r="F22758" s="68" t="s">
        <v>132</v>
      </c>
      <c r="G22758" s="67" t="s">
        <v>806</v>
      </c>
      <c r="H22758" s="69">
        <v>-1.0550000000000002</v>
      </c>
    </row>
    <row r="22759" spans="6:8">
      <c r="F22759" s="68" t="s">
        <v>133</v>
      </c>
      <c r="G22759" s="67" t="s">
        <v>806</v>
      </c>
      <c r="H22759" s="69">
        <v>-0.64999999999999991</v>
      </c>
    </row>
    <row r="22760" spans="6:8">
      <c r="F22760" s="68" t="s">
        <v>256</v>
      </c>
      <c r="G22760" s="67" t="s">
        <v>806</v>
      </c>
      <c r="H22760" s="69">
        <v>0.71399999999999986</v>
      </c>
    </row>
    <row r="22761" spans="6:8">
      <c r="F22761" s="68" t="s">
        <v>423</v>
      </c>
      <c r="G22761" s="67" t="s">
        <v>806</v>
      </c>
      <c r="H22761" s="69">
        <v>2.1022734153754996</v>
      </c>
    </row>
    <row r="22762" spans="6:8">
      <c r="F22762" s="68" t="s">
        <v>569</v>
      </c>
      <c r="G22762" s="67" t="s">
        <v>806</v>
      </c>
      <c r="H22762" s="69">
        <v>-0.40500000000000003</v>
      </c>
    </row>
    <row r="22763" spans="6:8">
      <c r="F22763" s="68" t="s">
        <v>130</v>
      </c>
      <c r="G22763" s="67" t="s">
        <v>806</v>
      </c>
      <c r="H22763" s="69">
        <v>-1.1499999999999999</v>
      </c>
    </row>
    <row r="22764" spans="6:8">
      <c r="F22764" s="68" t="s">
        <v>131</v>
      </c>
      <c r="G22764" s="67" t="s">
        <v>806</v>
      </c>
      <c r="H22764" s="69">
        <v>-0.57000000000000006</v>
      </c>
    </row>
    <row r="22765" spans="6:8">
      <c r="F22765" s="68" t="s">
        <v>303</v>
      </c>
      <c r="G22765" s="67" t="s">
        <v>806</v>
      </c>
      <c r="H22765" s="69">
        <v>17.6875</v>
      </c>
    </row>
    <row r="22766" spans="6:8">
      <c r="F22766" s="68" t="s">
        <v>255</v>
      </c>
      <c r="G22766" s="67" t="s">
        <v>806</v>
      </c>
      <c r="H22766" s="69">
        <v>0.59000000000000008</v>
      </c>
    </row>
    <row r="22767" spans="6:8">
      <c r="F22767" s="68" t="s">
        <v>422</v>
      </c>
      <c r="G22767" s="67" t="s">
        <v>806</v>
      </c>
      <c r="H22767" s="69">
        <v>1.8170405876701601</v>
      </c>
    </row>
    <row r="22768" spans="6:8">
      <c r="F22768" s="68" t="s">
        <v>568</v>
      </c>
      <c r="G22768" s="67" t="s">
        <v>806</v>
      </c>
      <c r="H22768" s="69">
        <v>-0.82000000000000006</v>
      </c>
    </row>
    <row r="22769" spans="6:8">
      <c r="F22769" s="68" t="s">
        <v>128</v>
      </c>
      <c r="G22769" s="67" t="s">
        <v>806</v>
      </c>
      <c r="H22769" s="69">
        <v>-0.92999999999999994</v>
      </c>
    </row>
    <row r="22770" spans="6:8">
      <c r="F22770" s="68" t="s">
        <v>129</v>
      </c>
      <c r="G22770" s="67" t="s">
        <v>806</v>
      </c>
      <c r="H22770" s="69">
        <v>-0.755</v>
      </c>
    </row>
    <row r="22771" spans="6:8">
      <c r="F22771" s="68" t="s">
        <v>304</v>
      </c>
      <c r="G22771" s="67" t="s">
        <v>806</v>
      </c>
      <c r="H22771" s="69">
        <v>17.916666666666668</v>
      </c>
    </row>
    <row r="22772" spans="6:8">
      <c r="F22772" s="68" t="s">
        <v>254</v>
      </c>
      <c r="G22772" s="67" t="s">
        <v>806</v>
      </c>
      <c r="H22772" s="69">
        <v>0.41400000000000003</v>
      </c>
    </row>
    <row r="22773" spans="6:8">
      <c r="F22773" s="68" t="s">
        <v>421</v>
      </c>
      <c r="G22773" s="67" t="s">
        <v>806</v>
      </c>
      <c r="H22773" s="69">
        <v>1.811216775219604</v>
      </c>
    </row>
    <row r="22774" spans="6:8">
      <c r="F22774" s="68" t="s">
        <v>567</v>
      </c>
      <c r="G22774" s="67" t="s">
        <v>806</v>
      </c>
      <c r="H22774" s="69">
        <v>-1.28</v>
      </c>
    </row>
    <row r="22775" spans="6:8">
      <c r="F22775" s="68" t="s">
        <v>125</v>
      </c>
      <c r="G22775" s="67" t="s">
        <v>806</v>
      </c>
      <c r="H22775" s="69">
        <v>-0.81</v>
      </c>
    </row>
    <row r="22776" spans="6:8">
      <c r="F22776" s="68" t="s">
        <v>126</v>
      </c>
      <c r="G22776" s="67" t="s">
        <v>806</v>
      </c>
      <c r="H22776" s="69">
        <v>-0.98</v>
      </c>
    </row>
    <row r="22777" spans="6:8">
      <c r="F22777" s="68" t="s">
        <v>127</v>
      </c>
      <c r="G22777" s="67" t="s">
        <v>806</v>
      </c>
      <c r="H22777" s="69">
        <v>-0.46499999999999997</v>
      </c>
    </row>
    <row r="22778" spans="6:8">
      <c r="F22778" s="68" t="s">
        <v>253</v>
      </c>
      <c r="G22778" s="67" t="s">
        <v>806</v>
      </c>
      <c r="H22778" s="69">
        <v>0.28999999999999998</v>
      </c>
    </row>
    <row r="22779" spans="6:8">
      <c r="F22779" s="68" t="s">
        <v>315</v>
      </c>
      <c r="G22779" s="67" t="s">
        <v>806</v>
      </c>
      <c r="H22779" s="69">
        <v>-0.41000000000000003</v>
      </c>
    </row>
    <row r="22780" spans="6:8">
      <c r="F22780" s="68" t="s">
        <v>122</v>
      </c>
      <c r="G22780" s="67" t="s">
        <v>806</v>
      </c>
      <c r="H22780" s="69">
        <v>-1.0750000000000002</v>
      </c>
    </row>
    <row r="22781" spans="6:8">
      <c r="F22781" s="68" t="s">
        <v>123</v>
      </c>
      <c r="G22781" s="67" t="s">
        <v>806</v>
      </c>
      <c r="H22781" s="69">
        <v>-1</v>
      </c>
    </row>
    <row r="22782" spans="6:8">
      <c r="F22782" s="68" t="s">
        <v>124</v>
      </c>
      <c r="G22782" s="67" t="s">
        <v>806</v>
      </c>
      <c r="H22782" s="69">
        <v>-0.76</v>
      </c>
    </row>
    <row r="22783" spans="6:8">
      <c r="F22783" s="68" t="s">
        <v>252</v>
      </c>
      <c r="G22783" s="67" t="s">
        <v>806</v>
      </c>
      <c r="H22783" s="69">
        <v>0.17</v>
      </c>
    </row>
    <row r="22784" spans="6:8">
      <c r="F22784" s="68" t="s">
        <v>314</v>
      </c>
      <c r="G22784" s="67" t="s">
        <v>806</v>
      </c>
      <c r="H22784" s="69">
        <v>-0.78</v>
      </c>
    </row>
    <row r="22785" spans="6:8">
      <c r="F22785" s="68" t="s">
        <v>119</v>
      </c>
      <c r="G22785" s="67" t="s">
        <v>806</v>
      </c>
      <c r="H22785" s="69">
        <v>-1.1000000000000001</v>
      </c>
    </row>
    <row r="22786" spans="6:8">
      <c r="F22786" s="68" t="s">
        <v>120</v>
      </c>
      <c r="G22786" s="67" t="s">
        <v>806</v>
      </c>
      <c r="H22786" s="69">
        <v>-0.81</v>
      </c>
    </row>
    <row r="22787" spans="6:8">
      <c r="F22787" s="68" t="s">
        <v>121</v>
      </c>
      <c r="G22787" s="67" t="s">
        <v>806</v>
      </c>
      <c r="H22787" s="69">
        <v>-0.81</v>
      </c>
    </row>
    <row r="22788" spans="6:8">
      <c r="F22788" s="68" t="s">
        <v>251</v>
      </c>
      <c r="G22788" s="67" t="s">
        <v>806</v>
      </c>
      <c r="H22788" s="69">
        <v>0.128</v>
      </c>
    </row>
    <row r="22789" spans="6:8">
      <c r="F22789" s="68" t="s">
        <v>420</v>
      </c>
      <c r="G22789" s="67" t="s">
        <v>806</v>
      </c>
      <c r="H22789" s="69">
        <v>2.8609798255384788</v>
      </c>
    </row>
    <row r="22790" spans="6:8">
      <c r="F22790" s="68" t="s">
        <v>420</v>
      </c>
      <c r="G22790" s="67" t="s">
        <v>807</v>
      </c>
      <c r="H22790" s="69">
        <v>2.8519980737177431</v>
      </c>
    </row>
    <row r="22791" spans="6:8">
      <c r="F22791" s="68" t="s">
        <v>251</v>
      </c>
      <c r="G22791" s="67" t="s">
        <v>807</v>
      </c>
      <c r="H22791" s="69">
        <v>0.128</v>
      </c>
    </row>
    <row r="22792" spans="6:8">
      <c r="F22792" s="68" t="s">
        <v>121</v>
      </c>
      <c r="G22792" s="67" t="s">
        <v>807</v>
      </c>
      <c r="H22792" s="69">
        <v>-0.81</v>
      </c>
    </row>
    <row r="22793" spans="6:8">
      <c r="F22793" s="68" t="s">
        <v>120</v>
      </c>
      <c r="G22793" s="67" t="s">
        <v>807</v>
      </c>
      <c r="H22793" s="69">
        <v>-0.81</v>
      </c>
    </row>
    <row r="22794" spans="6:8">
      <c r="F22794" s="68" t="s">
        <v>119</v>
      </c>
      <c r="G22794" s="67" t="s">
        <v>807</v>
      </c>
      <c r="H22794" s="69">
        <v>-1.1000000000000001</v>
      </c>
    </row>
    <row r="22795" spans="6:8">
      <c r="F22795" s="68" t="s">
        <v>314</v>
      </c>
      <c r="G22795" s="67" t="s">
        <v>807</v>
      </c>
      <c r="H22795" s="69">
        <v>-0.78</v>
      </c>
    </row>
    <row r="22796" spans="6:8">
      <c r="F22796" s="68" t="s">
        <v>252</v>
      </c>
      <c r="G22796" s="67" t="s">
        <v>807</v>
      </c>
      <c r="H22796" s="69">
        <v>0.17</v>
      </c>
    </row>
    <row r="22797" spans="6:8">
      <c r="F22797" s="68" t="s">
        <v>124</v>
      </c>
      <c r="G22797" s="67" t="s">
        <v>807</v>
      </c>
      <c r="H22797" s="69">
        <v>-0.76</v>
      </c>
    </row>
    <row r="22798" spans="6:8">
      <c r="F22798" s="68" t="s">
        <v>123</v>
      </c>
      <c r="G22798" s="67" t="s">
        <v>807</v>
      </c>
      <c r="H22798" s="69">
        <v>-1</v>
      </c>
    </row>
    <row r="22799" spans="6:8">
      <c r="F22799" s="68" t="s">
        <v>122</v>
      </c>
      <c r="G22799" s="67" t="s">
        <v>807</v>
      </c>
      <c r="H22799" s="69">
        <v>-1.0750000000000002</v>
      </c>
    </row>
    <row r="22800" spans="6:8">
      <c r="F22800" s="68" t="s">
        <v>315</v>
      </c>
      <c r="G22800" s="67" t="s">
        <v>807</v>
      </c>
      <c r="H22800" s="69">
        <v>-0.41000000000000003</v>
      </c>
    </row>
    <row r="22801" spans="6:8">
      <c r="F22801" s="68" t="s">
        <v>253</v>
      </c>
      <c r="G22801" s="67" t="s">
        <v>807</v>
      </c>
      <c r="H22801" s="69">
        <v>0.28999999999999998</v>
      </c>
    </row>
    <row r="22802" spans="6:8">
      <c r="F22802" s="68" t="s">
        <v>127</v>
      </c>
      <c r="G22802" s="67" t="s">
        <v>807</v>
      </c>
      <c r="H22802" s="69">
        <v>-0.46499999999999997</v>
      </c>
    </row>
    <row r="22803" spans="6:8">
      <c r="F22803" s="68" t="s">
        <v>126</v>
      </c>
      <c r="G22803" s="67" t="s">
        <v>807</v>
      </c>
      <c r="H22803" s="69">
        <v>-0.98</v>
      </c>
    </row>
    <row r="22804" spans="6:8">
      <c r="F22804" s="68" t="s">
        <v>125</v>
      </c>
      <c r="G22804" s="67" t="s">
        <v>807</v>
      </c>
      <c r="H22804" s="69">
        <v>-0.81</v>
      </c>
    </row>
    <row r="22805" spans="6:8">
      <c r="F22805" s="68" t="s">
        <v>567</v>
      </c>
      <c r="G22805" s="67" t="s">
        <v>807</v>
      </c>
      <c r="H22805" s="69">
        <v>-1.28</v>
      </c>
    </row>
    <row r="22806" spans="6:8">
      <c r="F22806" s="68" t="s">
        <v>421</v>
      </c>
      <c r="G22806" s="67" t="s">
        <v>807</v>
      </c>
      <c r="H22806" s="69">
        <v>1.7814973762447117</v>
      </c>
    </row>
    <row r="22807" spans="6:8">
      <c r="F22807" s="68" t="s">
        <v>254</v>
      </c>
      <c r="G22807" s="67" t="s">
        <v>807</v>
      </c>
      <c r="H22807" s="69">
        <v>0.41400000000000003</v>
      </c>
    </row>
    <row r="22808" spans="6:8">
      <c r="F22808" s="68" t="s">
        <v>304</v>
      </c>
      <c r="G22808" s="67" t="s">
        <v>807</v>
      </c>
      <c r="H22808" s="69">
        <v>17.895833333333332</v>
      </c>
    </row>
    <row r="22809" spans="6:8">
      <c r="F22809" s="68" t="s">
        <v>129</v>
      </c>
      <c r="G22809" s="67" t="s">
        <v>807</v>
      </c>
      <c r="H22809" s="69">
        <v>-0.755</v>
      </c>
    </row>
    <row r="22810" spans="6:8">
      <c r="F22810" s="68" t="s">
        <v>128</v>
      </c>
      <c r="G22810" s="67" t="s">
        <v>807</v>
      </c>
      <c r="H22810" s="69">
        <v>-0.92999999999999994</v>
      </c>
    </row>
    <row r="22811" spans="6:8">
      <c r="F22811" s="68" t="s">
        <v>568</v>
      </c>
      <c r="G22811" s="67" t="s">
        <v>807</v>
      </c>
      <c r="H22811" s="69">
        <v>-0.82000000000000006</v>
      </c>
    </row>
    <row r="22812" spans="6:8">
      <c r="F22812" s="68" t="s">
        <v>422</v>
      </c>
      <c r="G22812" s="67" t="s">
        <v>807</v>
      </c>
      <c r="H22812" s="69">
        <v>1.7873303852246281</v>
      </c>
    </row>
    <row r="22813" spans="6:8">
      <c r="F22813" s="68" t="s">
        <v>255</v>
      </c>
      <c r="G22813" s="67" t="s">
        <v>807</v>
      </c>
      <c r="H22813" s="69">
        <v>0.59000000000000008</v>
      </c>
    </row>
    <row r="22814" spans="6:8">
      <c r="F22814" s="68" t="s">
        <v>303</v>
      </c>
      <c r="G22814" s="67" t="s">
        <v>807</v>
      </c>
      <c r="H22814" s="69">
        <v>17.65625</v>
      </c>
    </row>
    <row r="22815" spans="6:8">
      <c r="F22815" s="68" t="s">
        <v>131</v>
      </c>
      <c r="G22815" s="67" t="s">
        <v>807</v>
      </c>
      <c r="H22815" s="69">
        <v>-0.57000000000000006</v>
      </c>
    </row>
    <row r="22816" spans="6:8">
      <c r="F22816" s="68" t="s">
        <v>130</v>
      </c>
      <c r="G22816" s="67" t="s">
        <v>807</v>
      </c>
      <c r="H22816" s="69">
        <v>-1.1499999999999999</v>
      </c>
    </row>
    <row r="22817" spans="6:8">
      <c r="F22817" s="68" t="s">
        <v>569</v>
      </c>
      <c r="G22817" s="67" t="s">
        <v>807</v>
      </c>
      <c r="H22817" s="69">
        <v>-0.40500000000000003</v>
      </c>
    </row>
    <row r="22818" spans="6:8">
      <c r="F22818" s="68" t="s">
        <v>423</v>
      </c>
      <c r="G22818" s="67" t="s">
        <v>807</v>
      </c>
      <c r="H22818" s="69">
        <v>2.0828968826420269</v>
      </c>
    </row>
    <row r="22819" spans="6:8">
      <c r="F22819" s="68" t="s">
        <v>256</v>
      </c>
      <c r="G22819" s="67" t="s">
        <v>807</v>
      </c>
      <c r="H22819" s="69">
        <v>0.71399999999999986</v>
      </c>
    </row>
    <row r="22820" spans="6:8">
      <c r="F22820" s="68" t="s">
        <v>133</v>
      </c>
      <c r="G22820" s="67" t="s">
        <v>807</v>
      </c>
      <c r="H22820" s="69">
        <v>-0.64999999999999991</v>
      </c>
    </row>
    <row r="22821" spans="6:8">
      <c r="F22821" s="68" t="s">
        <v>132</v>
      </c>
      <c r="G22821" s="67" t="s">
        <v>807</v>
      </c>
      <c r="H22821" s="69">
        <v>-1.0550000000000002</v>
      </c>
    </row>
    <row r="22822" spans="6:8">
      <c r="F22822" s="68" t="s">
        <v>424</v>
      </c>
      <c r="G22822" s="67" t="s">
        <v>807</v>
      </c>
      <c r="H22822" s="69">
        <v>2.7284598755759948</v>
      </c>
    </row>
    <row r="22823" spans="6:8">
      <c r="F22823" s="68" t="s">
        <v>258</v>
      </c>
      <c r="G22823" s="67" t="s">
        <v>807</v>
      </c>
      <c r="H22823" s="69">
        <v>0.15</v>
      </c>
    </row>
    <row r="22824" spans="6:8">
      <c r="F22824" s="68" t="s">
        <v>257</v>
      </c>
      <c r="G22824" s="67" t="s">
        <v>807</v>
      </c>
      <c r="H22824" s="69">
        <v>0.8125</v>
      </c>
    </row>
    <row r="22825" spans="6:8">
      <c r="F22825" s="68" t="s">
        <v>135</v>
      </c>
      <c r="G22825" s="67" t="s">
        <v>807</v>
      </c>
      <c r="H22825" s="69">
        <v>-0.84499999999999997</v>
      </c>
    </row>
    <row r="22826" spans="6:8">
      <c r="F22826" s="68" t="s">
        <v>134</v>
      </c>
      <c r="G22826" s="67" t="s">
        <v>807</v>
      </c>
      <c r="H22826" s="69">
        <v>-1.0449999999999999</v>
      </c>
    </row>
    <row r="22827" spans="6:8">
      <c r="F22827" s="68" t="s">
        <v>425</v>
      </c>
      <c r="G22827" s="67" t="s">
        <v>807</v>
      </c>
      <c r="H22827" s="69">
        <v>2.7247586551375047</v>
      </c>
    </row>
    <row r="22828" spans="6:8">
      <c r="F22828" s="68" t="s">
        <v>259</v>
      </c>
      <c r="G22828" s="67" t="s">
        <v>807</v>
      </c>
      <c r="H22828" s="69">
        <v>0.11000000000000001</v>
      </c>
    </row>
    <row r="22829" spans="6:8">
      <c r="F22829" s="68" t="s">
        <v>138</v>
      </c>
      <c r="G22829" s="67" t="s">
        <v>807</v>
      </c>
      <c r="H22829" s="69">
        <v>-0.84000000000000008</v>
      </c>
    </row>
    <row r="22830" spans="6:8">
      <c r="F22830" s="68" t="s">
        <v>137</v>
      </c>
      <c r="G22830" s="67" t="s">
        <v>807</v>
      </c>
      <c r="H22830" s="69">
        <v>-0.67500000000000004</v>
      </c>
    </row>
    <row r="22831" spans="6:8">
      <c r="F22831" s="68" t="s">
        <v>136</v>
      </c>
      <c r="G22831" s="67" t="s">
        <v>807</v>
      </c>
      <c r="H22831" s="69">
        <v>-1.1800000000000002</v>
      </c>
    </row>
    <row r="22832" spans="6:8">
      <c r="F22832" s="68" t="s">
        <v>136</v>
      </c>
      <c r="G22832" s="67" t="s">
        <v>808</v>
      </c>
      <c r="H22832" s="69">
        <v>-1.1800000000000002</v>
      </c>
    </row>
    <row r="22833" spans="6:8">
      <c r="F22833" s="68" t="s">
        <v>137</v>
      </c>
      <c r="G22833" s="67" t="s">
        <v>808</v>
      </c>
      <c r="H22833" s="69">
        <v>-0.67500000000000004</v>
      </c>
    </row>
    <row r="22834" spans="6:8">
      <c r="F22834" s="68" t="s">
        <v>138</v>
      </c>
      <c r="G22834" s="67" t="s">
        <v>808</v>
      </c>
      <c r="H22834" s="69">
        <v>-0.84000000000000008</v>
      </c>
    </row>
    <row r="22835" spans="6:8">
      <c r="F22835" s="68" t="s">
        <v>259</v>
      </c>
      <c r="G22835" s="67" t="s">
        <v>808</v>
      </c>
      <c r="H22835" s="69">
        <v>0.11000000000000001</v>
      </c>
    </row>
    <row r="22836" spans="6:8">
      <c r="F22836" s="68" t="s">
        <v>425</v>
      </c>
      <c r="G22836" s="67" t="s">
        <v>808</v>
      </c>
      <c r="H22836" s="69">
        <v>2.7081348482425049</v>
      </c>
    </row>
    <row r="22837" spans="6:8">
      <c r="F22837" s="68" t="s">
        <v>134</v>
      </c>
      <c r="G22837" s="67" t="s">
        <v>808</v>
      </c>
      <c r="H22837" s="69">
        <v>-1.0449999999999999</v>
      </c>
    </row>
    <row r="22838" spans="6:8">
      <c r="F22838" s="68" t="s">
        <v>135</v>
      </c>
      <c r="G22838" s="67" t="s">
        <v>808</v>
      </c>
      <c r="H22838" s="69">
        <v>-0.84499999999999997</v>
      </c>
    </row>
    <row r="22839" spans="6:8">
      <c r="F22839" s="68" t="s">
        <v>257</v>
      </c>
      <c r="G22839" s="67" t="s">
        <v>808</v>
      </c>
      <c r="H22839" s="69">
        <v>0.8125</v>
      </c>
    </row>
    <row r="22840" spans="6:8">
      <c r="F22840" s="68" t="s">
        <v>258</v>
      </c>
      <c r="G22840" s="67" t="s">
        <v>808</v>
      </c>
      <c r="H22840" s="69">
        <v>0.15</v>
      </c>
    </row>
    <row r="22841" spans="6:8">
      <c r="F22841" s="68" t="s">
        <v>424</v>
      </c>
      <c r="G22841" s="67" t="s">
        <v>808</v>
      </c>
      <c r="H22841" s="69">
        <v>2.7125788938437534</v>
      </c>
    </row>
    <row r="22842" spans="6:8">
      <c r="F22842" s="68" t="s">
        <v>132</v>
      </c>
      <c r="G22842" s="67" t="s">
        <v>808</v>
      </c>
      <c r="H22842" s="69">
        <v>-1.0550000000000002</v>
      </c>
    </row>
    <row r="22843" spans="6:8">
      <c r="F22843" s="68" t="s">
        <v>133</v>
      </c>
      <c r="G22843" s="67" t="s">
        <v>808</v>
      </c>
      <c r="H22843" s="69">
        <v>-0.64999999999999991</v>
      </c>
    </row>
    <row r="22844" spans="6:8">
      <c r="F22844" s="68" t="s">
        <v>256</v>
      </c>
      <c r="G22844" s="67" t="s">
        <v>808</v>
      </c>
      <c r="H22844" s="69">
        <v>0.71399999999999986</v>
      </c>
    </row>
    <row r="22845" spans="6:8">
      <c r="F22845" s="68" t="s">
        <v>423</v>
      </c>
      <c r="G22845" s="67" t="s">
        <v>808</v>
      </c>
      <c r="H22845" s="69">
        <v>2.0585508134788544</v>
      </c>
    </row>
    <row r="22846" spans="6:8">
      <c r="F22846" s="68" t="s">
        <v>569</v>
      </c>
      <c r="G22846" s="67" t="s">
        <v>808</v>
      </c>
      <c r="H22846" s="69">
        <v>-0.40500000000000003</v>
      </c>
    </row>
    <row r="22847" spans="6:8">
      <c r="F22847" s="68" t="s">
        <v>130</v>
      </c>
      <c r="G22847" s="67" t="s">
        <v>808</v>
      </c>
      <c r="H22847" s="69">
        <v>-1.1499999999999999</v>
      </c>
    </row>
    <row r="22848" spans="6:8">
      <c r="F22848" s="68" t="s">
        <v>131</v>
      </c>
      <c r="G22848" s="67" t="s">
        <v>808</v>
      </c>
      <c r="H22848" s="69">
        <v>-0.57000000000000006</v>
      </c>
    </row>
    <row r="22849" spans="6:8">
      <c r="F22849" s="68" t="s">
        <v>303</v>
      </c>
      <c r="G22849" s="67" t="s">
        <v>808</v>
      </c>
      <c r="H22849" s="69">
        <v>17.65625</v>
      </c>
    </row>
    <row r="22850" spans="6:8">
      <c r="F22850" s="68" t="s">
        <v>255</v>
      </c>
      <c r="G22850" s="67" t="s">
        <v>808</v>
      </c>
      <c r="H22850" s="69">
        <v>0.59000000000000008</v>
      </c>
    </row>
    <row r="22851" spans="6:8">
      <c r="F22851" s="68" t="s">
        <v>422</v>
      </c>
      <c r="G22851" s="67" t="s">
        <v>808</v>
      </c>
      <c r="H22851" s="69">
        <v>1.7611681805997925</v>
      </c>
    </row>
    <row r="22852" spans="6:8">
      <c r="F22852" s="68" t="s">
        <v>568</v>
      </c>
      <c r="G22852" s="67" t="s">
        <v>808</v>
      </c>
      <c r="H22852" s="69">
        <v>-0.82000000000000006</v>
      </c>
    </row>
    <row r="22853" spans="6:8">
      <c r="F22853" s="68" t="s">
        <v>128</v>
      </c>
      <c r="G22853" s="67" t="s">
        <v>808</v>
      </c>
      <c r="H22853" s="69">
        <v>-0.92999999999999994</v>
      </c>
    </row>
    <row r="22854" spans="6:8">
      <c r="F22854" s="68" t="s">
        <v>129</v>
      </c>
      <c r="G22854" s="67" t="s">
        <v>808</v>
      </c>
      <c r="H22854" s="69">
        <v>-0.755</v>
      </c>
    </row>
    <row r="22855" spans="6:8">
      <c r="F22855" s="68" t="s">
        <v>304</v>
      </c>
      <c r="G22855" s="67" t="s">
        <v>808</v>
      </c>
      <c r="H22855" s="69">
        <v>17.90625</v>
      </c>
    </row>
    <row r="22856" spans="6:8">
      <c r="F22856" s="68" t="s">
        <v>254</v>
      </c>
      <c r="G22856" s="67" t="s">
        <v>808</v>
      </c>
      <c r="H22856" s="69">
        <v>0.41400000000000003</v>
      </c>
    </row>
    <row r="22857" spans="6:8">
      <c r="F22857" s="68" t="s">
        <v>421</v>
      </c>
      <c r="G22857" s="67" t="s">
        <v>808</v>
      </c>
      <c r="H22857" s="69">
        <v>1.7553785083919138</v>
      </c>
    </row>
    <row r="22858" spans="6:8">
      <c r="F22858" s="68" t="s">
        <v>567</v>
      </c>
      <c r="G22858" s="67" t="s">
        <v>808</v>
      </c>
      <c r="H22858" s="69">
        <v>-1.28</v>
      </c>
    </row>
    <row r="22859" spans="6:8">
      <c r="F22859" s="68" t="s">
        <v>125</v>
      </c>
      <c r="G22859" s="67" t="s">
        <v>808</v>
      </c>
      <c r="H22859" s="69">
        <v>-0.81</v>
      </c>
    </row>
    <row r="22860" spans="6:8">
      <c r="F22860" s="68" t="s">
        <v>126</v>
      </c>
      <c r="G22860" s="67" t="s">
        <v>808</v>
      </c>
      <c r="H22860" s="69">
        <v>-0.98</v>
      </c>
    </row>
    <row r="22861" spans="6:8">
      <c r="F22861" s="68" t="s">
        <v>127</v>
      </c>
      <c r="G22861" s="67" t="s">
        <v>808</v>
      </c>
      <c r="H22861" s="69">
        <v>-0.46499999999999997</v>
      </c>
    </row>
    <row r="22862" spans="6:8">
      <c r="F22862" s="68" t="s">
        <v>253</v>
      </c>
      <c r="G22862" s="67" t="s">
        <v>808</v>
      </c>
      <c r="H22862" s="69">
        <v>0.28999999999999998</v>
      </c>
    </row>
    <row r="22863" spans="6:8">
      <c r="F22863" s="68" t="s">
        <v>315</v>
      </c>
      <c r="G22863" s="67" t="s">
        <v>808</v>
      </c>
      <c r="H22863" s="69">
        <v>-0.41000000000000003</v>
      </c>
    </row>
    <row r="22864" spans="6:8">
      <c r="F22864" s="68" t="s">
        <v>122</v>
      </c>
      <c r="G22864" s="67" t="s">
        <v>808</v>
      </c>
      <c r="H22864" s="69">
        <v>-1.0750000000000002</v>
      </c>
    </row>
    <row r="22865" spans="6:8">
      <c r="F22865" s="68" t="s">
        <v>123</v>
      </c>
      <c r="G22865" s="67" t="s">
        <v>808</v>
      </c>
      <c r="H22865" s="69">
        <v>-1</v>
      </c>
    </row>
    <row r="22866" spans="6:8">
      <c r="F22866" s="68" t="s">
        <v>124</v>
      </c>
      <c r="G22866" s="67" t="s">
        <v>808</v>
      </c>
      <c r="H22866" s="69">
        <v>-0.76</v>
      </c>
    </row>
    <row r="22867" spans="6:8">
      <c r="F22867" s="68" t="s">
        <v>252</v>
      </c>
      <c r="G22867" s="67" t="s">
        <v>808</v>
      </c>
      <c r="H22867" s="69">
        <v>0.17</v>
      </c>
    </row>
    <row r="22868" spans="6:8">
      <c r="F22868" s="68" t="s">
        <v>314</v>
      </c>
      <c r="G22868" s="67" t="s">
        <v>808</v>
      </c>
      <c r="H22868" s="69">
        <v>-0.78</v>
      </c>
    </row>
    <row r="22869" spans="6:8">
      <c r="F22869" s="68" t="s">
        <v>119</v>
      </c>
      <c r="G22869" s="67" t="s">
        <v>808</v>
      </c>
      <c r="H22869" s="69">
        <v>-1.1000000000000001</v>
      </c>
    </row>
    <row r="22870" spans="6:8">
      <c r="F22870" s="68" t="s">
        <v>120</v>
      </c>
      <c r="G22870" s="67" t="s">
        <v>808</v>
      </c>
      <c r="H22870" s="69">
        <v>-0.81</v>
      </c>
    </row>
    <row r="22871" spans="6:8">
      <c r="F22871" s="68" t="s">
        <v>121</v>
      </c>
      <c r="G22871" s="67" t="s">
        <v>808</v>
      </c>
      <c r="H22871" s="69">
        <v>-0.81</v>
      </c>
    </row>
    <row r="22872" spans="6:8">
      <c r="F22872" s="68" t="s">
        <v>251</v>
      </c>
      <c r="G22872" s="67" t="s">
        <v>808</v>
      </c>
      <c r="H22872" s="69">
        <v>0.128</v>
      </c>
    </row>
    <row r="22873" spans="6:8">
      <c r="F22873" s="68" t="s">
        <v>420</v>
      </c>
      <c r="G22873" s="67" t="s">
        <v>808</v>
      </c>
      <c r="H22873" s="69">
        <v>2.8338661414623711</v>
      </c>
    </row>
    <row r="22874" spans="6:8">
      <c r="F22874" s="68" t="s">
        <v>420</v>
      </c>
      <c r="G22874" s="67" t="s">
        <v>809</v>
      </c>
      <c r="H22874" s="69">
        <v>2.785445242397655</v>
      </c>
    </row>
    <row r="22875" spans="6:8">
      <c r="F22875" s="68" t="s">
        <v>251</v>
      </c>
      <c r="G22875" s="67" t="s">
        <v>809</v>
      </c>
      <c r="H22875" s="69">
        <v>0.12833333333333333</v>
      </c>
    </row>
    <row r="22876" spans="6:8">
      <c r="F22876" s="68" t="s">
        <v>121</v>
      </c>
      <c r="G22876" s="67" t="s">
        <v>809</v>
      </c>
      <c r="H22876" s="69">
        <v>-0.79499999999999993</v>
      </c>
    </row>
    <row r="22877" spans="6:8">
      <c r="F22877" s="68" t="s">
        <v>120</v>
      </c>
      <c r="G22877" s="67" t="s">
        <v>809</v>
      </c>
      <c r="H22877" s="69">
        <v>-0.82000000000000006</v>
      </c>
    </row>
    <row r="22878" spans="6:8">
      <c r="F22878" s="68" t="s">
        <v>119</v>
      </c>
      <c r="G22878" s="67" t="s">
        <v>809</v>
      </c>
      <c r="H22878" s="69">
        <v>-1.1400000000000001</v>
      </c>
    </row>
    <row r="22879" spans="6:8">
      <c r="F22879" s="68" t="s">
        <v>314</v>
      </c>
      <c r="G22879" s="67" t="s">
        <v>809</v>
      </c>
      <c r="H22879" s="69">
        <v>-0.78</v>
      </c>
    </row>
    <row r="22880" spans="6:8">
      <c r="F22880" s="68" t="s">
        <v>252</v>
      </c>
      <c r="G22880" s="67" t="s">
        <v>809</v>
      </c>
      <c r="H22880" s="69">
        <v>0.16833333333333333</v>
      </c>
    </row>
    <row r="22881" spans="6:8">
      <c r="F22881" s="68" t="s">
        <v>124</v>
      </c>
      <c r="G22881" s="67" t="s">
        <v>809</v>
      </c>
      <c r="H22881" s="69">
        <v>-0.745</v>
      </c>
    </row>
    <row r="22882" spans="6:8">
      <c r="F22882" s="68" t="s">
        <v>123</v>
      </c>
      <c r="G22882" s="67" t="s">
        <v>809</v>
      </c>
      <c r="H22882" s="69">
        <v>-1.01</v>
      </c>
    </row>
    <row r="22883" spans="6:8">
      <c r="F22883" s="68" t="s">
        <v>122</v>
      </c>
      <c r="G22883" s="67" t="s">
        <v>809</v>
      </c>
      <c r="H22883" s="69">
        <v>-1.125</v>
      </c>
    </row>
    <row r="22884" spans="6:8">
      <c r="F22884" s="68" t="s">
        <v>315</v>
      </c>
      <c r="G22884" s="67" t="s">
        <v>809</v>
      </c>
      <c r="H22884" s="69">
        <v>-0.44500000000000001</v>
      </c>
    </row>
    <row r="22885" spans="6:8">
      <c r="F22885" s="68" t="s">
        <v>253</v>
      </c>
      <c r="G22885" s="67" t="s">
        <v>809</v>
      </c>
      <c r="H22885" s="69">
        <v>0.28333333333333333</v>
      </c>
    </row>
    <row r="22886" spans="6:8">
      <c r="F22886" s="68" t="s">
        <v>127</v>
      </c>
      <c r="G22886" s="67" t="s">
        <v>809</v>
      </c>
      <c r="H22886" s="69">
        <v>-0.45499999999999996</v>
      </c>
    </row>
    <row r="22887" spans="6:8">
      <c r="F22887" s="68" t="s">
        <v>126</v>
      </c>
      <c r="G22887" s="67" t="s">
        <v>809</v>
      </c>
      <c r="H22887" s="69">
        <v>-0.99</v>
      </c>
    </row>
    <row r="22888" spans="6:8">
      <c r="F22888" s="68" t="s">
        <v>125</v>
      </c>
      <c r="G22888" s="67" t="s">
        <v>809</v>
      </c>
      <c r="H22888" s="69">
        <v>-0.82499999999999996</v>
      </c>
    </row>
    <row r="22889" spans="6:8">
      <c r="F22889" s="68" t="s">
        <v>567</v>
      </c>
      <c r="G22889" s="67" t="s">
        <v>809</v>
      </c>
      <c r="H22889" s="69">
        <v>-1.35</v>
      </c>
    </row>
    <row r="22890" spans="6:8">
      <c r="F22890" s="68" t="s">
        <v>421</v>
      </c>
      <c r="G22890" s="67" t="s">
        <v>809</v>
      </c>
      <c r="H22890" s="69">
        <v>1.6908838933468839</v>
      </c>
    </row>
    <row r="22891" spans="6:8">
      <c r="F22891" s="68" t="s">
        <v>254</v>
      </c>
      <c r="G22891" s="67" t="s">
        <v>809</v>
      </c>
      <c r="H22891" s="69">
        <v>0.40666666666666673</v>
      </c>
    </row>
    <row r="22892" spans="6:8">
      <c r="F22892" s="68" t="s">
        <v>304</v>
      </c>
      <c r="G22892" s="67" t="s">
        <v>809</v>
      </c>
      <c r="H22892" s="69">
        <v>17.84375</v>
      </c>
    </row>
    <row r="22893" spans="6:8">
      <c r="F22893" s="68" t="s">
        <v>129</v>
      </c>
      <c r="G22893" s="67" t="s">
        <v>809</v>
      </c>
      <c r="H22893" s="69">
        <v>-0.74</v>
      </c>
    </row>
    <row r="22894" spans="6:8">
      <c r="F22894" s="68" t="s">
        <v>128</v>
      </c>
      <c r="G22894" s="67" t="s">
        <v>809</v>
      </c>
      <c r="H22894" s="69">
        <v>-0.94500000000000006</v>
      </c>
    </row>
    <row r="22895" spans="6:8">
      <c r="F22895" s="68" t="s">
        <v>568</v>
      </c>
      <c r="G22895" s="67" t="s">
        <v>809</v>
      </c>
      <c r="H22895" s="69">
        <v>-0.83000000000000007</v>
      </c>
    </row>
    <row r="22896" spans="6:8">
      <c r="F22896" s="68" t="s">
        <v>422</v>
      </c>
      <c r="G22896" s="67" t="s">
        <v>809</v>
      </c>
      <c r="H22896" s="69">
        <v>1.6966082462561705</v>
      </c>
    </row>
    <row r="22897" spans="6:8">
      <c r="F22897" s="68" t="s">
        <v>255</v>
      </c>
      <c r="G22897" s="67" t="s">
        <v>809</v>
      </c>
      <c r="H22897" s="69">
        <v>0.58666666666666678</v>
      </c>
    </row>
    <row r="22898" spans="6:8">
      <c r="F22898" s="68" t="s">
        <v>303</v>
      </c>
      <c r="G22898" s="67" t="s">
        <v>809</v>
      </c>
      <c r="H22898" s="69">
        <v>17.583333333333332</v>
      </c>
    </row>
    <row r="22899" spans="6:8">
      <c r="F22899" s="68" t="s">
        <v>131</v>
      </c>
      <c r="G22899" s="67" t="s">
        <v>809</v>
      </c>
      <c r="H22899" s="69">
        <v>-0.57000000000000006</v>
      </c>
    </row>
    <row r="22900" spans="6:8">
      <c r="F22900" s="68" t="s">
        <v>130</v>
      </c>
      <c r="G22900" s="67" t="s">
        <v>809</v>
      </c>
      <c r="H22900" s="69">
        <v>-1.135</v>
      </c>
    </row>
    <row r="22901" spans="6:8">
      <c r="F22901" s="68" t="s">
        <v>569</v>
      </c>
      <c r="G22901" s="67" t="s">
        <v>809</v>
      </c>
      <c r="H22901" s="69">
        <v>-0.435</v>
      </c>
    </row>
    <row r="22902" spans="6:8">
      <c r="F22902" s="68" t="s">
        <v>423</v>
      </c>
      <c r="G22902" s="67" t="s">
        <v>809</v>
      </c>
      <c r="H22902" s="69">
        <v>2.0068988851277947</v>
      </c>
    </row>
    <row r="22903" spans="6:8">
      <c r="F22903" s="68" t="s">
        <v>256</v>
      </c>
      <c r="G22903" s="67" t="s">
        <v>809</v>
      </c>
      <c r="H22903" s="69">
        <v>0.71833333333333327</v>
      </c>
    </row>
    <row r="22904" spans="6:8">
      <c r="F22904" s="68" t="s">
        <v>133</v>
      </c>
      <c r="G22904" s="67" t="s">
        <v>809</v>
      </c>
      <c r="H22904" s="69">
        <v>-0.64500000000000002</v>
      </c>
    </row>
    <row r="22905" spans="6:8">
      <c r="F22905" s="68" t="s">
        <v>132</v>
      </c>
      <c r="G22905" s="67" t="s">
        <v>809</v>
      </c>
      <c r="H22905" s="69">
        <v>-1.04</v>
      </c>
    </row>
    <row r="22906" spans="6:8">
      <c r="F22906" s="68" t="s">
        <v>424</v>
      </c>
      <c r="G22906" s="67" t="s">
        <v>809</v>
      </c>
      <c r="H22906" s="69">
        <v>2.6651710235782833</v>
      </c>
    </row>
    <row r="22907" spans="6:8">
      <c r="F22907" s="68" t="s">
        <v>258</v>
      </c>
      <c r="G22907" s="67" t="s">
        <v>809</v>
      </c>
      <c r="H22907" s="69">
        <v>0.15</v>
      </c>
    </row>
    <row r="22908" spans="6:8">
      <c r="F22908" s="68" t="s">
        <v>257</v>
      </c>
      <c r="G22908" s="67" t="s">
        <v>809</v>
      </c>
      <c r="H22908" s="69">
        <v>0.82000000000000006</v>
      </c>
    </row>
    <row r="22909" spans="6:8">
      <c r="F22909" s="68" t="s">
        <v>135</v>
      </c>
      <c r="G22909" s="67" t="s">
        <v>809</v>
      </c>
      <c r="H22909" s="69">
        <v>-0.84</v>
      </c>
    </row>
    <row r="22910" spans="6:8">
      <c r="F22910" s="68" t="s">
        <v>134</v>
      </c>
      <c r="G22910" s="67" t="s">
        <v>809</v>
      </c>
      <c r="H22910" s="69">
        <v>-1.03</v>
      </c>
    </row>
    <row r="22911" spans="6:8">
      <c r="F22911" s="68" t="s">
        <v>425</v>
      </c>
      <c r="G22911" s="67" t="s">
        <v>809</v>
      </c>
      <c r="H22911" s="69">
        <v>2.6594789922904649</v>
      </c>
    </row>
    <row r="22912" spans="6:8">
      <c r="F22912" s="68" t="s">
        <v>259</v>
      </c>
      <c r="G22912" s="67" t="s">
        <v>809</v>
      </c>
      <c r="H22912" s="69">
        <v>0.11333333333333334</v>
      </c>
    </row>
    <row r="22913" spans="6:8">
      <c r="F22913" s="68" t="s">
        <v>138</v>
      </c>
      <c r="G22913" s="67" t="s">
        <v>809</v>
      </c>
      <c r="H22913" s="69">
        <v>-0.82499999999999996</v>
      </c>
    </row>
    <row r="22914" spans="6:8">
      <c r="F22914" s="68" t="s">
        <v>137</v>
      </c>
      <c r="G22914" s="67" t="s">
        <v>809</v>
      </c>
      <c r="H22914" s="69">
        <v>-0.68500000000000005</v>
      </c>
    </row>
    <row r="22915" spans="6:8">
      <c r="F22915" s="68" t="s">
        <v>136</v>
      </c>
      <c r="G22915" s="67" t="s">
        <v>809</v>
      </c>
      <c r="H22915" s="69">
        <v>-1.21</v>
      </c>
    </row>
    <row r="22916" spans="6:8">
      <c r="F22916" s="68" t="s">
        <v>136</v>
      </c>
      <c r="G22916" s="67" t="s">
        <v>810</v>
      </c>
      <c r="H22916" s="69">
        <v>-1.21</v>
      </c>
    </row>
    <row r="22917" spans="6:8">
      <c r="F22917" s="68" t="s">
        <v>137</v>
      </c>
      <c r="G22917" s="67" t="s">
        <v>810</v>
      </c>
      <c r="H22917" s="69">
        <v>-0.68500000000000005</v>
      </c>
    </row>
    <row r="22918" spans="6:8">
      <c r="F22918" s="68" t="s">
        <v>138</v>
      </c>
      <c r="G22918" s="67" t="s">
        <v>810</v>
      </c>
      <c r="H22918" s="69">
        <v>-0.82499999999999996</v>
      </c>
    </row>
    <row r="22919" spans="6:8">
      <c r="F22919" s="68" t="s">
        <v>259</v>
      </c>
      <c r="G22919" s="67" t="s">
        <v>810</v>
      </c>
      <c r="H22919" s="69">
        <v>0.11333333333333334</v>
      </c>
    </row>
    <row r="22920" spans="6:8">
      <c r="F22920" s="68" t="s">
        <v>425</v>
      </c>
      <c r="G22920" s="67" t="s">
        <v>810</v>
      </c>
      <c r="H22920" s="69">
        <v>2.5774087423799941</v>
      </c>
    </row>
    <row r="22921" spans="6:8">
      <c r="F22921" s="68" t="s">
        <v>134</v>
      </c>
      <c r="G22921" s="67" t="s">
        <v>810</v>
      </c>
      <c r="H22921" s="69">
        <v>-1.03</v>
      </c>
    </row>
    <row r="22922" spans="6:8">
      <c r="F22922" s="68" t="s">
        <v>135</v>
      </c>
      <c r="G22922" s="67" t="s">
        <v>810</v>
      </c>
      <c r="H22922" s="69">
        <v>-0.84</v>
      </c>
    </row>
    <row r="22923" spans="6:8">
      <c r="F22923" s="68" t="s">
        <v>257</v>
      </c>
      <c r="G22923" s="67" t="s">
        <v>810</v>
      </c>
      <c r="H22923" s="69">
        <v>0.82000000000000006</v>
      </c>
    </row>
    <row r="22924" spans="6:8">
      <c r="F22924" s="68" t="s">
        <v>258</v>
      </c>
      <c r="G22924" s="67" t="s">
        <v>810</v>
      </c>
      <c r="H22924" s="69">
        <v>0.15</v>
      </c>
    </row>
    <row r="22925" spans="6:8">
      <c r="F22925" s="68" t="s">
        <v>424</v>
      </c>
      <c r="G22925" s="67" t="s">
        <v>810</v>
      </c>
      <c r="H22925" s="69">
        <v>2.5846127104708572</v>
      </c>
    </row>
    <row r="22926" spans="6:8">
      <c r="F22926" s="68" t="s">
        <v>132</v>
      </c>
      <c r="G22926" s="67" t="s">
        <v>810</v>
      </c>
      <c r="H22926" s="69">
        <v>-1.04</v>
      </c>
    </row>
    <row r="22927" spans="6:8">
      <c r="F22927" s="68" t="s">
        <v>133</v>
      </c>
      <c r="G22927" s="67" t="s">
        <v>810</v>
      </c>
      <c r="H22927" s="69">
        <v>-0.64500000000000002</v>
      </c>
    </row>
    <row r="22928" spans="6:8">
      <c r="F22928" s="68" t="s">
        <v>256</v>
      </c>
      <c r="G22928" s="67" t="s">
        <v>810</v>
      </c>
      <c r="H22928" s="69">
        <v>0.71833333333333327</v>
      </c>
    </row>
    <row r="22929" spans="6:8">
      <c r="F22929" s="68" t="s">
        <v>423</v>
      </c>
      <c r="G22929" s="67" t="s">
        <v>810</v>
      </c>
      <c r="H22929" s="69">
        <v>1.9043554380926864</v>
      </c>
    </row>
    <row r="22930" spans="6:8">
      <c r="F22930" s="68" t="s">
        <v>569</v>
      </c>
      <c r="G22930" s="67" t="s">
        <v>810</v>
      </c>
      <c r="H22930" s="69">
        <v>-0.435</v>
      </c>
    </row>
    <row r="22931" spans="6:8">
      <c r="F22931" s="68" t="s">
        <v>130</v>
      </c>
      <c r="G22931" s="67" t="s">
        <v>810</v>
      </c>
      <c r="H22931" s="69">
        <v>-1.135</v>
      </c>
    </row>
    <row r="22932" spans="6:8">
      <c r="F22932" s="68" t="s">
        <v>131</v>
      </c>
      <c r="G22932" s="67" t="s">
        <v>810</v>
      </c>
      <c r="H22932" s="69">
        <v>-0.57000000000000006</v>
      </c>
    </row>
    <row r="22933" spans="6:8">
      <c r="F22933" s="68" t="s">
        <v>303</v>
      </c>
      <c r="G22933" s="67" t="s">
        <v>810</v>
      </c>
      <c r="H22933" s="69">
        <v>17.1875</v>
      </c>
    </row>
    <row r="22934" spans="6:8">
      <c r="F22934" s="68" t="s">
        <v>255</v>
      </c>
      <c r="G22934" s="67" t="s">
        <v>810</v>
      </c>
      <c r="H22934" s="69">
        <v>0.58666666666666678</v>
      </c>
    </row>
    <row r="22935" spans="6:8">
      <c r="F22935" s="68" t="s">
        <v>422</v>
      </c>
      <c r="G22935" s="67" t="s">
        <v>810</v>
      </c>
      <c r="H22935" s="69">
        <v>1.5962705779262176</v>
      </c>
    </row>
    <row r="22936" spans="6:8">
      <c r="F22936" s="68" t="s">
        <v>568</v>
      </c>
      <c r="G22936" s="67" t="s">
        <v>810</v>
      </c>
      <c r="H22936" s="69">
        <v>-0.83000000000000007</v>
      </c>
    </row>
    <row r="22937" spans="6:8">
      <c r="F22937" s="68" t="s">
        <v>128</v>
      </c>
      <c r="G22937" s="67" t="s">
        <v>810</v>
      </c>
      <c r="H22937" s="69">
        <v>-0.94500000000000006</v>
      </c>
    </row>
    <row r="22938" spans="6:8">
      <c r="F22938" s="68" t="s">
        <v>129</v>
      </c>
      <c r="G22938" s="67" t="s">
        <v>810</v>
      </c>
      <c r="H22938" s="69">
        <v>-0.74</v>
      </c>
    </row>
    <row r="22939" spans="6:8">
      <c r="F22939" s="68" t="s">
        <v>304</v>
      </c>
      <c r="G22939" s="67" t="s">
        <v>810</v>
      </c>
      <c r="H22939" s="69">
        <v>17.645833333333332</v>
      </c>
    </row>
    <row r="22940" spans="6:8">
      <c r="F22940" s="68" t="s">
        <v>254</v>
      </c>
      <c r="G22940" s="67" t="s">
        <v>810</v>
      </c>
      <c r="H22940" s="69">
        <v>0.40666666666666673</v>
      </c>
    </row>
    <row r="22941" spans="6:8">
      <c r="F22941" s="68" t="s">
        <v>421</v>
      </c>
      <c r="G22941" s="67" t="s">
        <v>810</v>
      </c>
      <c r="H22941" s="69">
        <v>1.5906521078951741</v>
      </c>
    </row>
    <row r="22942" spans="6:8">
      <c r="F22942" s="68" t="s">
        <v>567</v>
      </c>
      <c r="G22942" s="67" t="s">
        <v>810</v>
      </c>
      <c r="H22942" s="69">
        <v>-1.35</v>
      </c>
    </row>
    <row r="22943" spans="6:8">
      <c r="F22943" s="68" t="s">
        <v>125</v>
      </c>
      <c r="G22943" s="67" t="s">
        <v>810</v>
      </c>
      <c r="H22943" s="69">
        <v>-0.82499999999999996</v>
      </c>
    </row>
    <row r="22944" spans="6:8">
      <c r="F22944" s="68" t="s">
        <v>126</v>
      </c>
      <c r="G22944" s="67" t="s">
        <v>810</v>
      </c>
      <c r="H22944" s="69">
        <v>-0.99</v>
      </c>
    </row>
    <row r="22945" spans="6:8">
      <c r="F22945" s="68" t="s">
        <v>127</v>
      </c>
      <c r="G22945" s="67" t="s">
        <v>810</v>
      </c>
      <c r="H22945" s="69">
        <v>-0.45499999999999996</v>
      </c>
    </row>
    <row r="22946" spans="6:8">
      <c r="F22946" s="68" t="s">
        <v>253</v>
      </c>
      <c r="G22946" s="67" t="s">
        <v>810</v>
      </c>
      <c r="H22946" s="69">
        <v>0.28333333333333333</v>
      </c>
    </row>
    <row r="22947" spans="6:8">
      <c r="F22947" s="68" t="s">
        <v>315</v>
      </c>
      <c r="G22947" s="67" t="s">
        <v>810</v>
      </c>
      <c r="H22947" s="69">
        <v>-0.44500000000000001</v>
      </c>
    </row>
    <row r="22948" spans="6:8">
      <c r="F22948" s="68" t="s">
        <v>122</v>
      </c>
      <c r="G22948" s="67" t="s">
        <v>810</v>
      </c>
      <c r="H22948" s="69">
        <v>-1.125</v>
      </c>
    </row>
    <row r="22949" spans="6:8">
      <c r="F22949" s="68" t="s">
        <v>123</v>
      </c>
      <c r="G22949" s="67" t="s">
        <v>810</v>
      </c>
      <c r="H22949" s="69">
        <v>-1.01</v>
      </c>
    </row>
    <row r="22950" spans="6:8">
      <c r="F22950" s="68" t="s">
        <v>124</v>
      </c>
      <c r="G22950" s="67" t="s">
        <v>810</v>
      </c>
      <c r="H22950" s="69">
        <v>-0.745</v>
      </c>
    </row>
    <row r="22951" spans="6:8">
      <c r="F22951" s="68" t="s">
        <v>252</v>
      </c>
      <c r="G22951" s="67" t="s">
        <v>810</v>
      </c>
      <c r="H22951" s="69">
        <v>0.16833333333333333</v>
      </c>
    </row>
    <row r="22952" spans="6:8">
      <c r="F22952" s="68" t="s">
        <v>314</v>
      </c>
      <c r="G22952" s="67" t="s">
        <v>810</v>
      </c>
      <c r="H22952" s="69">
        <v>-0.78</v>
      </c>
    </row>
    <row r="22953" spans="6:8">
      <c r="F22953" s="68" t="s">
        <v>119</v>
      </c>
      <c r="G22953" s="67" t="s">
        <v>810</v>
      </c>
      <c r="H22953" s="69">
        <v>-1.1400000000000001</v>
      </c>
    </row>
    <row r="22954" spans="6:8">
      <c r="F22954" s="68" t="s">
        <v>120</v>
      </c>
      <c r="G22954" s="67" t="s">
        <v>810</v>
      </c>
      <c r="H22954" s="69">
        <v>-0.82000000000000006</v>
      </c>
    </row>
    <row r="22955" spans="6:8">
      <c r="F22955" s="68" t="s">
        <v>121</v>
      </c>
      <c r="G22955" s="67" t="s">
        <v>810</v>
      </c>
      <c r="H22955" s="69">
        <v>-0.79499999999999993</v>
      </c>
    </row>
    <row r="22956" spans="6:8">
      <c r="F22956" s="68" t="s">
        <v>251</v>
      </c>
      <c r="G22956" s="67" t="s">
        <v>810</v>
      </c>
      <c r="H22956" s="69">
        <v>0.12833333333333333</v>
      </c>
    </row>
    <row r="22957" spans="6:8">
      <c r="F22957" s="68" t="s">
        <v>420</v>
      </c>
      <c r="G22957" s="67" t="s">
        <v>810</v>
      </c>
      <c r="H22957" s="69">
        <v>2.6962701266687539</v>
      </c>
    </row>
    <row r="22958" spans="6:8">
      <c r="F22958" s="68" t="s">
        <v>420</v>
      </c>
      <c r="G22958" s="67" t="s">
        <v>811</v>
      </c>
      <c r="H22958" s="69">
        <v>2.6163645370934852</v>
      </c>
    </row>
    <row r="22959" spans="6:8">
      <c r="F22959" s="68" t="s">
        <v>251</v>
      </c>
      <c r="G22959" s="67" t="s">
        <v>811</v>
      </c>
      <c r="H22959" s="69">
        <v>0.12833333333333333</v>
      </c>
    </row>
    <row r="22960" spans="6:8">
      <c r="F22960" s="68" t="s">
        <v>121</v>
      </c>
      <c r="G22960" s="67" t="s">
        <v>811</v>
      </c>
      <c r="H22960" s="69">
        <v>-0.79499999999999993</v>
      </c>
    </row>
    <row r="22961" spans="6:8">
      <c r="F22961" s="68" t="s">
        <v>120</v>
      </c>
      <c r="G22961" s="67" t="s">
        <v>811</v>
      </c>
      <c r="H22961" s="69">
        <v>-0.82000000000000006</v>
      </c>
    </row>
    <row r="22962" spans="6:8">
      <c r="F22962" s="68" t="s">
        <v>119</v>
      </c>
      <c r="G22962" s="67" t="s">
        <v>811</v>
      </c>
      <c r="H22962" s="69">
        <v>-1.1400000000000001</v>
      </c>
    </row>
    <row r="22963" spans="6:8">
      <c r="F22963" s="68" t="s">
        <v>314</v>
      </c>
      <c r="G22963" s="67" t="s">
        <v>811</v>
      </c>
      <c r="H22963" s="69">
        <v>-0.78</v>
      </c>
    </row>
    <row r="22964" spans="6:8">
      <c r="F22964" s="68" t="s">
        <v>252</v>
      </c>
      <c r="G22964" s="67" t="s">
        <v>811</v>
      </c>
      <c r="H22964" s="69">
        <v>0.16833333333333333</v>
      </c>
    </row>
    <row r="22965" spans="6:8">
      <c r="F22965" s="68" t="s">
        <v>124</v>
      </c>
      <c r="G22965" s="67" t="s">
        <v>811</v>
      </c>
      <c r="H22965" s="69">
        <v>-0.745</v>
      </c>
    </row>
    <row r="22966" spans="6:8">
      <c r="F22966" s="68" t="s">
        <v>123</v>
      </c>
      <c r="G22966" s="67" t="s">
        <v>811</v>
      </c>
      <c r="H22966" s="69">
        <v>-1.01</v>
      </c>
    </row>
    <row r="22967" spans="6:8">
      <c r="F22967" s="68" t="s">
        <v>122</v>
      </c>
      <c r="G22967" s="67" t="s">
        <v>811</v>
      </c>
      <c r="H22967" s="69">
        <v>-1.125</v>
      </c>
    </row>
    <row r="22968" spans="6:8">
      <c r="F22968" s="68" t="s">
        <v>315</v>
      </c>
      <c r="G22968" s="67" t="s">
        <v>811</v>
      </c>
      <c r="H22968" s="69">
        <v>-0.44500000000000001</v>
      </c>
    </row>
    <row r="22969" spans="6:8">
      <c r="F22969" s="68" t="s">
        <v>253</v>
      </c>
      <c r="G22969" s="67" t="s">
        <v>811</v>
      </c>
      <c r="H22969" s="69">
        <v>0.28333333333333333</v>
      </c>
    </row>
    <row r="22970" spans="6:8">
      <c r="F22970" s="68" t="s">
        <v>127</v>
      </c>
      <c r="G22970" s="67" t="s">
        <v>811</v>
      </c>
      <c r="H22970" s="69">
        <v>-0.45499999999999996</v>
      </c>
    </row>
    <row r="22971" spans="6:8">
      <c r="F22971" s="68" t="s">
        <v>126</v>
      </c>
      <c r="G22971" s="67" t="s">
        <v>811</v>
      </c>
      <c r="H22971" s="69">
        <v>-0.99</v>
      </c>
    </row>
    <row r="22972" spans="6:8">
      <c r="F22972" s="68" t="s">
        <v>125</v>
      </c>
      <c r="G22972" s="67" t="s">
        <v>811</v>
      </c>
      <c r="H22972" s="69">
        <v>-0.82499999999999996</v>
      </c>
    </row>
    <row r="22973" spans="6:8">
      <c r="F22973" s="68" t="s">
        <v>567</v>
      </c>
      <c r="G22973" s="67" t="s">
        <v>811</v>
      </c>
      <c r="H22973" s="69">
        <v>-1.35</v>
      </c>
    </row>
    <row r="22974" spans="6:8">
      <c r="F22974" s="68" t="s">
        <v>421</v>
      </c>
      <c r="G22974" s="67" t="s">
        <v>811</v>
      </c>
      <c r="H22974" s="69">
        <v>1.5251714259205684</v>
      </c>
    </row>
    <row r="22975" spans="6:8">
      <c r="F22975" s="68" t="s">
        <v>254</v>
      </c>
      <c r="G22975" s="67" t="s">
        <v>811</v>
      </c>
      <c r="H22975" s="69">
        <v>0.40666666666666673</v>
      </c>
    </row>
    <row r="22976" spans="6:8">
      <c r="F22976" s="68" t="s">
        <v>304</v>
      </c>
      <c r="G22976" s="67" t="s">
        <v>811</v>
      </c>
      <c r="H22976" s="69">
        <v>17.541666666666668</v>
      </c>
    </row>
    <row r="22977" spans="6:8">
      <c r="F22977" s="68" t="s">
        <v>129</v>
      </c>
      <c r="G22977" s="67" t="s">
        <v>811</v>
      </c>
      <c r="H22977" s="69">
        <v>-0.74</v>
      </c>
    </row>
    <row r="22978" spans="6:8">
      <c r="F22978" s="68" t="s">
        <v>128</v>
      </c>
      <c r="G22978" s="67" t="s">
        <v>811</v>
      </c>
      <c r="H22978" s="69">
        <v>-0.94500000000000006</v>
      </c>
    </row>
    <row r="22979" spans="6:8">
      <c r="F22979" s="68" t="s">
        <v>568</v>
      </c>
      <c r="G22979" s="67" t="s">
        <v>811</v>
      </c>
      <c r="H22979" s="69">
        <v>-0.83000000000000007</v>
      </c>
    </row>
    <row r="22980" spans="6:8">
      <c r="F22980" s="68" t="s">
        <v>422</v>
      </c>
      <c r="G22980" s="67" t="s">
        <v>811</v>
      </c>
      <c r="H22980" s="69">
        <v>1.5306666976591998</v>
      </c>
    </row>
    <row r="22981" spans="6:8">
      <c r="F22981" s="68" t="s">
        <v>255</v>
      </c>
      <c r="G22981" s="67" t="s">
        <v>811</v>
      </c>
      <c r="H22981" s="69">
        <v>0.58666666666666678</v>
      </c>
    </row>
    <row r="22982" spans="6:8">
      <c r="F22982" s="68" t="s">
        <v>303</v>
      </c>
      <c r="G22982" s="67" t="s">
        <v>811</v>
      </c>
      <c r="H22982" s="69">
        <v>17.020833333333332</v>
      </c>
    </row>
    <row r="22983" spans="6:8">
      <c r="F22983" s="68" t="s">
        <v>131</v>
      </c>
      <c r="G22983" s="67" t="s">
        <v>811</v>
      </c>
      <c r="H22983" s="69">
        <v>-0.57000000000000006</v>
      </c>
    </row>
    <row r="22984" spans="6:8">
      <c r="F22984" s="68" t="s">
        <v>130</v>
      </c>
      <c r="G22984" s="67" t="s">
        <v>811</v>
      </c>
      <c r="H22984" s="69">
        <v>-1.135</v>
      </c>
    </row>
    <row r="22985" spans="6:8">
      <c r="F22985" s="68" t="s">
        <v>569</v>
      </c>
      <c r="G22985" s="67" t="s">
        <v>811</v>
      </c>
      <c r="H22985" s="69">
        <v>-0.435</v>
      </c>
    </row>
    <row r="22986" spans="6:8">
      <c r="F22986" s="68" t="s">
        <v>423</v>
      </c>
      <c r="G22986" s="67" t="s">
        <v>811</v>
      </c>
      <c r="H22986" s="69">
        <v>1.8438254612139104</v>
      </c>
    </row>
    <row r="22987" spans="6:8">
      <c r="F22987" s="68" t="s">
        <v>256</v>
      </c>
      <c r="G22987" s="67" t="s">
        <v>811</v>
      </c>
      <c r="H22987" s="69">
        <v>0.71833333333333327</v>
      </c>
    </row>
    <row r="22988" spans="6:8">
      <c r="F22988" s="68" t="s">
        <v>133</v>
      </c>
      <c r="G22988" s="67" t="s">
        <v>811</v>
      </c>
      <c r="H22988" s="69">
        <v>-0.64500000000000002</v>
      </c>
    </row>
    <row r="22989" spans="6:8">
      <c r="F22989" s="68" t="s">
        <v>132</v>
      </c>
      <c r="G22989" s="67" t="s">
        <v>811</v>
      </c>
      <c r="H22989" s="69">
        <v>-1.04</v>
      </c>
    </row>
    <row r="22990" spans="6:8">
      <c r="F22990" s="68" t="s">
        <v>424</v>
      </c>
      <c r="G22990" s="67" t="s">
        <v>811</v>
      </c>
      <c r="H22990" s="69">
        <v>2.5091038815428401</v>
      </c>
    </row>
    <row r="22991" spans="6:8">
      <c r="F22991" s="68" t="s">
        <v>258</v>
      </c>
      <c r="G22991" s="67" t="s">
        <v>811</v>
      </c>
      <c r="H22991" s="69">
        <v>0.15</v>
      </c>
    </row>
    <row r="22992" spans="6:8">
      <c r="F22992" s="68" t="s">
        <v>257</v>
      </c>
      <c r="G22992" s="67" t="s">
        <v>811</v>
      </c>
      <c r="H22992" s="69">
        <v>0.82000000000000006</v>
      </c>
    </row>
    <row r="22993" spans="6:8">
      <c r="F22993" s="68" t="s">
        <v>135</v>
      </c>
      <c r="G22993" s="67" t="s">
        <v>811</v>
      </c>
      <c r="H22993" s="69">
        <v>-0.84</v>
      </c>
    </row>
    <row r="22994" spans="6:8">
      <c r="F22994" s="68" t="s">
        <v>134</v>
      </c>
      <c r="G22994" s="67" t="s">
        <v>811</v>
      </c>
      <c r="H22994" s="69">
        <v>-1.03</v>
      </c>
    </row>
    <row r="22995" spans="6:8">
      <c r="F22995" s="68" t="s">
        <v>425</v>
      </c>
      <c r="G22995" s="67" t="s">
        <v>811</v>
      </c>
      <c r="H22995" s="69">
        <v>2.501343739282369</v>
      </c>
    </row>
    <row r="22996" spans="6:8">
      <c r="F22996" s="68" t="s">
        <v>259</v>
      </c>
      <c r="G22996" s="67" t="s">
        <v>811</v>
      </c>
      <c r="H22996" s="69">
        <v>0.11333333333333334</v>
      </c>
    </row>
    <row r="22997" spans="6:8">
      <c r="F22997" s="68" t="s">
        <v>138</v>
      </c>
      <c r="G22997" s="67" t="s">
        <v>811</v>
      </c>
      <c r="H22997" s="69">
        <v>-0.82499999999999996</v>
      </c>
    </row>
    <row r="22998" spans="6:8">
      <c r="F22998" s="68" t="s">
        <v>137</v>
      </c>
      <c r="G22998" s="67" t="s">
        <v>811</v>
      </c>
      <c r="H22998" s="69">
        <v>-0.68500000000000005</v>
      </c>
    </row>
    <row r="22999" spans="6:8">
      <c r="F22999" s="68" t="s">
        <v>136</v>
      </c>
      <c r="G22999" s="67" t="s">
        <v>811</v>
      </c>
      <c r="H22999" s="69">
        <v>-1.21</v>
      </c>
    </row>
    <row r="23000" spans="6:8">
      <c r="F23000" s="68" t="s">
        <v>136</v>
      </c>
      <c r="G23000" s="67" t="s">
        <v>812</v>
      </c>
      <c r="H23000" s="69">
        <v>-0.91795156714850146</v>
      </c>
    </row>
    <row r="23001" spans="6:8">
      <c r="F23001" s="68" t="s">
        <v>137</v>
      </c>
      <c r="G23001" s="67" t="s">
        <v>812</v>
      </c>
      <c r="H23001" s="69">
        <v>-0.51966679627828394</v>
      </c>
    </row>
    <row r="23002" spans="6:8">
      <c r="F23002" s="68" t="s">
        <v>138</v>
      </c>
      <c r="G23002" s="67" t="s">
        <v>812</v>
      </c>
      <c r="H23002" s="69">
        <v>-0.62587606851034183</v>
      </c>
    </row>
    <row r="23003" spans="6:8">
      <c r="F23003" s="68" t="s">
        <v>259</v>
      </c>
      <c r="G23003" s="67" t="s">
        <v>812</v>
      </c>
      <c r="H23003" s="69">
        <v>0.11333333333333334</v>
      </c>
    </row>
    <row r="23004" spans="6:8">
      <c r="F23004" s="68" t="s">
        <v>425</v>
      </c>
      <c r="G23004" s="67" t="s">
        <v>812</v>
      </c>
      <c r="H23004" s="69">
        <v>2.5222447093450562</v>
      </c>
    </row>
    <row r="23005" spans="6:8">
      <c r="F23005" s="68" t="s">
        <v>134</v>
      </c>
      <c r="G23005" s="67" t="s">
        <v>812</v>
      </c>
      <c r="H23005" s="69">
        <v>-0.78139678856442696</v>
      </c>
    </row>
    <row r="23006" spans="6:8">
      <c r="F23006" s="68" t="s">
        <v>135</v>
      </c>
      <c r="G23006" s="67" t="s">
        <v>812</v>
      </c>
      <c r="H23006" s="69">
        <v>-0.63725563339234814</v>
      </c>
    </row>
    <row r="23007" spans="6:8">
      <c r="F23007" s="68" t="s">
        <v>257</v>
      </c>
      <c r="G23007" s="67" t="s">
        <v>812</v>
      </c>
      <c r="H23007" s="69">
        <v>0.82000000000000006</v>
      </c>
    </row>
    <row r="23008" spans="6:8">
      <c r="F23008" s="68" t="s">
        <v>258</v>
      </c>
      <c r="G23008" s="67" t="s">
        <v>812</v>
      </c>
      <c r="H23008" s="69">
        <v>0.15</v>
      </c>
    </row>
    <row r="23009" spans="6:8">
      <c r="F23009" s="68" t="s">
        <v>424</v>
      </c>
      <c r="G23009" s="67" t="s">
        <v>812</v>
      </c>
      <c r="H23009" s="69">
        <v>2.5317419056562596</v>
      </c>
    </row>
    <row r="23010" spans="6:8">
      <c r="F23010" s="68" t="s">
        <v>132</v>
      </c>
      <c r="G23010" s="67" t="s">
        <v>812</v>
      </c>
      <c r="H23010" s="69">
        <v>-0.78898316515243105</v>
      </c>
    </row>
    <row r="23011" spans="6:8">
      <c r="F23011" s="68" t="s">
        <v>133</v>
      </c>
      <c r="G23011" s="67" t="s">
        <v>812</v>
      </c>
      <c r="H23011" s="69">
        <v>-0.48932128992626733</v>
      </c>
    </row>
    <row r="23012" spans="6:8">
      <c r="F23012" s="68" t="s">
        <v>256</v>
      </c>
      <c r="G23012" s="67" t="s">
        <v>812</v>
      </c>
      <c r="H23012" s="69">
        <v>0.71833333333333327</v>
      </c>
    </row>
    <row r="23013" spans="6:8">
      <c r="F23013" s="68" t="s">
        <v>423</v>
      </c>
      <c r="G23013" s="67" t="s">
        <v>812</v>
      </c>
      <c r="H23013" s="69">
        <v>1.8221900593871521</v>
      </c>
    </row>
    <row r="23014" spans="6:8">
      <c r="F23014" s="68" t="s">
        <v>569</v>
      </c>
      <c r="G23014" s="67" t="s">
        <v>812</v>
      </c>
      <c r="H23014" s="69">
        <v>-0.33000738157818027</v>
      </c>
    </row>
    <row r="23015" spans="6:8">
      <c r="F23015" s="68" t="s">
        <v>130</v>
      </c>
      <c r="G23015" s="67" t="s">
        <v>812</v>
      </c>
      <c r="H23015" s="69">
        <v>-0.86105374273847046</v>
      </c>
    </row>
    <row r="23016" spans="6:8">
      <c r="F23016" s="68" t="s">
        <v>131</v>
      </c>
      <c r="G23016" s="67" t="s">
        <v>812</v>
      </c>
      <c r="H23016" s="69">
        <v>-0.43242346551623628</v>
      </c>
    </row>
    <row r="23017" spans="6:8">
      <c r="F23017" s="68" t="s">
        <v>303</v>
      </c>
      <c r="G23017" s="67" t="s">
        <v>812</v>
      </c>
      <c r="H23017" s="69">
        <v>15.75</v>
      </c>
    </row>
    <row r="23018" spans="6:8">
      <c r="F23018" s="68" t="s">
        <v>255</v>
      </c>
      <c r="G23018" s="67" t="s">
        <v>812</v>
      </c>
      <c r="H23018" s="69">
        <v>0.58666666666666678</v>
      </c>
    </row>
    <row r="23019" spans="6:8">
      <c r="F23019" s="68" t="s">
        <v>422</v>
      </c>
      <c r="G23019" s="67" t="s">
        <v>812</v>
      </c>
      <c r="H23019" s="69">
        <v>1.499679753421912</v>
      </c>
    </row>
    <row r="23020" spans="6:8">
      <c r="F23020" s="68" t="s">
        <v>568</v>
      </c>
      <c r="G23020" s="67" t="s">
        <v>812</v>
      </c>
      <c r="H23020" s="69">
        <v>-0.62966925680434405</v>
      </c>
    </row>
    <row r="23021" spans="6:8">
      <c r="F23021" s="68" t="s">
        <v>128</v>
      </c>
      <c r="G23021" s="67" t="s">
        <v>812</v>
      </c>
      <c r="H23021" s="69">
        <v>-0.71691258756639176</v>
      </c>
    </row>
    <row r="23022" spans="6:8">
      <c r="F23022" s="68" t="s">
        <v>129</v>
      </c>
      <c r="G23022" s="67" t="s">
        <v>812</v>
      </c>
      <c r="H23022" s="69">
        <v>-0.56139186751230663</v>
      </c>
    </row>
    <row r="23023" spans="6:8">
      <c r="F23023" s="68" t="s">
        <v>304</v>
      </c>
      <c r="G23023" s="67" t="s">
        <v>812</v>
      </c>
      <c r="H23023" s="69">
        <v>16.25</v>
      </c>
    </row>
    <row r="23024" spans="6:8">
      <c r="F23024" s="68" t="s">
        <v>254</v>
      </c>
      <c r="G23024" s="67" t="s">
        <v>812</v>
      </c>
      <c r="H23024" s="69">
        <v>0.40666666666666673</v>
      </c>
    </row>
    <row r="23025" spans="6:8">
      <c r="F23025" s="68" t="s">
        <v>421</v>
      </c>
      <c r="G23025" s="67" t="s">
        <v>812</v>
      </c>
      <c r="H23025" s="69">
        <v>1.4941399500210562</v>
      </c>
    </row>
    <row r="23026" spans="6:8">
      <c r="F23026" s="68" t="s">
        <v>567</v>
      </c>
      <c r="G23026" s="67" t="s">
        <v>812</v>
      </c>
      <c r="H23026" s="69">
        <v>-1.0241608393805597</v>
      </c>
    </row>
    <row r="23027" spans="6:8">
      <c r="F23027" s="68" t="s">
        <v>125</v>
      </c>
      <c r="G23027" s="67" t="s">
        <v>812</v>
      </c>
      <c r="H23027" s="69">
        <v>-0.62587606851034183</v>
      </c>
    </row>
    <row r="23028" spans="6:8">
      <c r="F23028" s="68" t="s">
        <v>126</v>
      </c>
      <c r="G23028" s="67" t="s">
        <v>812</v>
      </c>
      <c r="H23028" s="69">
        <v>-0.75105128221241024</v>
      </c>
    </row>
    <row r="23029" spans="6:8">
      <c r="F23029" s="68" t="s">
        <v>127</v>
      </c>
      <c r="G23029" s="67" t="s">
        <v>812</v>
      </c>
      <c r="H23029" s="69">
        <v>-0.34518013475418852</v>
      </c>
    </row>
    <row r="23030" spans="6:8">
      <c r="F23030" s="68" t="s">
        <v>253</v>
      </c>
      <c r="G23030" s="67" t="s">
        <v>812</v>
      </c>
      <c r="H23030" s="69">
        <v>0.28333333333333333</v>
      </c>
    </row>
    <row r="23031" spans="6:8">
      <c r="F23031" s="68" t="s">
        <v>315</v>
      </c>
      <c r="G23031" s="67" t="s">
        <v>812</v>
      </c>
      <c r="H23031" s="69">
        <v>-0.33759375816618442</v>
      </c>
    </row>
    <row r="23032" spans="6:8">
      <c r="F23032" s="68" t="s">
        <v>122</v>
      </c>
      <c r="G23032" s="67" t="s">
        <v>812</v>
      </c>
      <c r="H23032" s="69">
        <v>-0.85346736615046626</v>
      </c>
    </row>
    <row r="23033" spans="6:8">
      <c r="F23033" s="68" t="s">
        <v>123</v>
      </c>
      <c r="G23033" s="67" t="s">
        <v>812</v>
      </c>
      <c r="H23033" s="69">
        <v>-0.76622403538841866</v>
      </c>
    </row>
    <row r="23034" spans="6:8">
      <c r="F23034" s="68" t="s">
        <v>124</v>
      </c>
      <c r="G23034" s="67" t="s">
        <v>812</v>
      </c>
      <c r="H23034" s="69">
        <v>-0.56518505580630873</v>
      </c>
    </row>
    <row r="23035" spans="6:8">
      <c r="F23035" s="68" t="s">
        <v>252</v>
      </c>
      <c r="G23035" s="67" t="s">
        <v>812</v>
      </c>
      <c r="H23035" s="69">
        <v>0.16833333333333333</v>
      </c>
    </row>
    <row r="23036" spans="6:8">
      <c r="F23036" s="68" t="s">
        <v>314</v>
      </c>
      <c r="G23036" s="67" t="s">
        <v>812</v>
      </c>
      <c r="H23036" s="69">
        <v>-0.59173737386432335</v>
      </c>
    </row>
    <row r="23037" spans="6:8">
      <c r="F23037" s="68" t="s">
        <v>119</v>
      </c>
      <c r="G23037" s="67" t="s">
        <v>812</v>
      </c>
      <c r="H23037" s="69">
        <v>-0.86484693103247257</v>
      </c>
    </row>
    <row r="23038" spans="6:8">
      <c r="F23038" s="68" t="s">
        <v>120</v>
      </c>
      <c r="G23038" s="67" t="s">
        <v>812</v>
      </c>
      <c r="H23038" s="69">
        <v>-0.62208288021633995</v>
      </c>
    </row>
    <row r="23039" spans="6:8">
      <c r="F23039" s="68" t="s">
        <v>121</v>
      </c>
      <c r="G23039" s="67" t="s">
        <v>812</v>
      </c>
      <c r="H23039" s="69">
        <v>-0.60311693874632943</v>
      </c>
    </row>
    <row r="23040" spans="6:8">
      <c r="F23040" s="68" t="s">
        <v>251</v>
      </c>
      <c r="G23040" s="67" t="s">
        <v>812</v>
      </c>
      <c r="H23040" s="69">
        <v>0.12833333333333333</v>
      </c>
    </row>
    <row r="23041" spans="6:8">
      <c r="F23041" s="68" t="s">
        <v>420</v>
      </c>
      <c r="G23041" s="67" t="s">
        <v>812</v>
      </c>
      <c r="H23041" s="69">
        <v>2.6248431051869581</v>
      </c>
    </row>
    <row r="23042" spans="6:8">
      <c r="F23042" s="68" t="s">
        <v>420</v>
      </c>
      <c r="G23042" s="67" t="s">
        <v>813</v>
      </c>
      <c r="H23042" s="69">
        <v>2.6774292062275329</v>
      </c>
    </row>
    <row r="23043" spans="6:8">
      <c r="F23043" s="68" t="s">
        <v>251</v>
      </c>
      <c r="G23043" s="67" t="s">
        <v>813</v>
      </c>
      <c r="H23043" s="69">
        <v>0.12833333333333333</v>
      </c>
    </row>
    <row r="23044" spans="6:8">
      <c r="F23044" s="68" t="s">
        <v>121</v>
      </c>
      <c r="G23044" s="67" t="s">
        <v>813</v>
      </c>
      <c r="H23044" s="69">
        <v>-0.60622910830952936</v>
      </c>
    </row>
    <row r="23045" spans="6:8">
      <c r="F23045" s="68" t="s">
        <v>120</v>
      </c>
      <c r="G23045" s="67" t="s">
        <v>813</v>
      </c>
      <c r="H23045" s="69">
        <v>-0.62529291674693599</v>
      </c>
    </row>
    <row r="23046" spans="6:8">
      <c r="F23046" s="68" t="s">
        <v>119</v>
      </c>
      <c r="G23046" s="67" t="s">
        <v>813</v>
      </c>
      <c r="H23046" s="69">
        <v>-0.86930966474574034</v>
      </c>
    </row>
    <row r="23047" spans="6:8">
      <c r="F23047" s="68" t="s">
        <v>314</v>
      </c>
      <c r="G23047" s="67" t="s">
        <v>813</v>
      </c>
      <c r="H23047" s="69">
        <v>-0.59479082324708543</v>
      </c>
    </row>
    <row r="23048" spans="6:8">
      <c r="F23048" s="68" t="s">
        <v>252</v>
      </c>
      <c r="G23048" s="67" t="s">
        <v>813</v>
      </c>
      <c r="H23048" s="69">
        <v>0.16833333333333333</v>
      </c>
    </row>
    <row r="23049" spans="6:8">
      <c r="F23049" s="68" t="s">
        <v>124</v>
      </c>
      <c r="G23049" s="67" t="s">
        <v>813</v>
      </c>
      <c r="H23049" s="69">
        <v>-0.56810149143471622</v>
      </c>
    </row>
    <row r="23050" spans="6:8">
      <c r="F23050" s="68" t="s">
        <v>123</v>
      </c>
      <c r="G23050" s="67" t="s">
        <v>813</v>
      </c>
      <c r="H23050" s="69">
        <v>-0.77017786087122608</v>
      </c>
    </row>
    <row r="23051" spans="6:8">
      <c r="F23051" s="68" t="s">
        <v>122</v>
      </c>
      <c r="G23051" s="67" t="s">
        <v>813</v>
      </c>
      <c r="H23051" s="69">
        <v>-0.8578713796832963</v>
      </c>
    </row>
    <row r="23052" spans="6:8">
      <c r="F23052" s="68" t="s">
        <v>315</v>
      </c>
      <c r="G23052" s="67" t="s">
        <v>813</v>
      </c>
      <c r="H23052" s="69">
        <v>-0.3393357901858372</v>
      </c>
    </row>
    <row r="23053" spans="6:8">
      <c r="F23053" s="68" t="s">
        <v>253</v>
      </c>
      <c r="G23053" s="67" t="s">
        <v>813</v>
      </c>
      <c r="H23053" s="69">
        <v>0.28333333333333333</v>
      </c>
    </row>
    <row r="23054" spans="6:8">
      <c r="F23054" s="68" t="s">
        <v>127</v>
      </c>
      <c r="G23054" s="67" t="s">
        <v>813</v>
      </c>
      <c r="H23054" s="69">
        <v>-0.34696131356079979</v>
      </c>
    </row>
    <row r="23055" spans="6:8">
      <c r="F23055" s="68" t="s">
        <v>126</v>
      </c>
      <c r="G23055" s="67" t="s">
        <v>813</v>
      </c>
      <c r="H23055" s="69">
        <v>-0.75492681412130069</v>
      </c>
    </row>
    <row r="23056" spans="6:8">
      <c r="F23056" s="68" t="s">
        <v>125</v>
      </c>
      <c r="G23056" s="67" t="s">
        <v>813</v>
      </c>
      <c r="H23056" s="69">
        <v>-0.62910567843441723</v>
      </c>
    </row>
    <row r="23057" spans="6:8">
      <c r="F23057" s="68" t="s">
        <v>567</v>
      </c>
      <c r="G23057" s="67" t="s">
        <v>813</v>
      </c>
      <c r="H23057" s="69">
        <v>-1.0294456556199556</v>
      </c>
    </row>
    <row r="23058" spans="6:8">
      <c r="F23058" s="68" t="s">
        <v>421</v>
      </c>
      <c r="G23058" s="67" t="s">
        <v>813</v>
      </c>
      <c r="H23058" s="69">
        <v>1.5306553670386691</v>
      </c>
    </row>
    <row r="23059" spans="6:8">
      <c r="F23059" s="68" t="s">
        <v>254</v>
      </c>
      <c r="G23059" s="67" t="s">
        <v>813</v>
      </c>
      <c r="H23059" s="69">
        <v>0.40666666666666673</v>
      </c>
    </row>
    <row r="23060" spans="6:8">
      <c r="F23060" s="68" t="s">
        <v>304</v>
      </c>
      <c r="G23060" s="67" t="s">
        <v>813</v>
      </c>
      <c r="H23060" s="69">
        <v>16.541666666666668</v>
      </c>
    </row>
    <row r="23061" spans="6:8">
      <c r="F23061" s="68" t="s">
        <v>129</v>
      </c>
      <c r="G23061" s="67" t="s">
        <v>813</v>
      </c>
      <c r="H23061" s="69">
        <v>-0.56428872974723487</v>
      </c>
    </row>
    <row r="23062" spans="6:8">
      <c r="F23062" s="68" t="s">
        <v>128</v>
      </c>
      <c r="G23062" s="67" t="s">
        <v>813</v>
      </c>
      <c r="H23062" s="69">
        <v>-0.7206119589339689</v>
      </c>
    </row>
    <row r="23063" spans="6:8">
      <c r="F23063" s="68" t="s">
        <v>568</v>
      </c>
      <c r="G23063" s="67" t="s">
        <v>813</v>
      </c>
      <c r="H23063" s="69">
        <v>-0.63291844012189868</v>
      </c>
    </row>
    <row r="23064" spans="6:8">
      <c r="F23064" s="68" t="s">
        <v>422</v>
      </c>
      <c r="G23064" s="67" t="s">
        <v>813</v>
      </c>
      <c r="H23064" s="69">
        <v>1.5361928338012643</v>
      </c>
    </row>
    <row r="23065" spans="6:8">
      <c r="F23065" s="68" t="s">
        <v>255</v>
      </c>
      <c r="G23065" s="67" t="s">
        <v>813</v>
      </c>
      <c r="H23065" s="69">
        <v>0.58666666666666678</v>
      </c>
    </row>
    <row r="23066" spans="6:8">
      <c r="F23066" s="68" t="s">
        <v>303</v>
      </c>
      <c r="G23066" s="67" t="s">
        <v>813</v>
      </c>
      <c r="H23066" s="69">
        <v>15.9375</v>
      </c>
    </row>
    <row r="23067" spans="6:8">
      <c r="F23067" s="68" t="s">
        <v>131</v>
      </c>
      <c r="G23067" s="67" t="s">
        <v>813</v>
      </c>
      <c r="H23067" s="69">
        <v>-0.43465483237287017</v>
      </c>
    </row>
    <row r="23068" spans="6:8">
      <c r="F23068" s="68" t="s">
        <v>130</v>
      </c>
      <c r="G23068" s="67" t="s">
        <v>813</v>
      </c>
      <c r="H23068" s="69">
        <v>-0.86549690305825899</v>
      </c>
    </row>
    <row r="23069" spans="6:8">
      <c r="F23069" s="68" t="s">
        <v>569</v>
      </c>
      <c r="G23069" s="67" t="s">
        <v>813</v>
      </c>
      <c r="H23069" s="69">
        <v>-0.33171026681087457</v>
      </c>
    </row>
    <row r="23070" spans="6:8">
      <c r="F23070" s="68" t="s">
        <v>423</v>
      </c>
      <c r="G23070" s="67" t="s">
        <v>813</v>
      </c>
      <c r="H23070" s="69">
        <v>1.8500515998286282</v>
      </c>
    </row>
    <row r="23071" spans="6:8">
      <c r="F23071" s="68" t="s">
        <v>256</v>
      </c>
      <c r="G23071" s="67" t="s">
        <v>813</v>
      </c>
      <c r="H23071" s="69">
        <v>0.71833333333333327</v>
      </c>
    </row>
    <row r="23072" spans="6:8">
      <c r="F23072" s="68" t="s">
        <v>133</v>
      </c>
      <c r="G23072" s="67" t="s">
        <v>813</v>
      </c>
      <c r="H23072" s="69">
        <v>-0.49184625768508988</v>
      </c>
    </row>
    <row r="23073" spans="6:8">
      <c r="F23073" s="68" t="s">
        <v>132</v>
      </c>
      <c r="G23073" s="67" t="s">
        <v>813</v>
      </c>
      <c r="H23073" s="69">
        <v>-0.79305443099611395</v>
      </c>
    </row>
    <row r="23074" spans="6:8">
      <c r="F23074" s="68" t="s">
        <v>424</v>
      </c>
      <c r="G23074" s="67" t="s">
        <v>813</v>
      </c>
      <c r="H23074" s="69">
        <v>2.5698330151933568</v>
      </c>
    </row>
    <row r="23075" spans="6:8">
      <c r="F23075" s="68" t="s">
        <v>258</v>
      </c>
      <c r="G23075" s="67" t="s">
        <v>813</v>
      </c>
      <c r="H23075" s="69">
        <v>0.15</v>
      </c>
    </row>
    <row r="23076" spans="6:8">
      <c r="F23076" s="68" t="s">
        <v>257</v>
      </c>
      <c r="G23076" s="67" t="s">
        <v>813</v>
      </c>
      <c r="H23076" s="69">
        <v>0.82000000000000006</v>
      </c>
    </row>
    <row r="23077" spans="6:8">
      <c r="F23077" s="68" t="s">
        <v>135</v>
      </c>
      <c r="G23077" s="67" t="s">
        <v>813</v>
      </c>
      <c r="H23077" s="69">
        <v>-0.64054396349686127</v>
      </c>
    </row>
    <row r="23078" spans="6:8">
      <c r="F23078" s="68" t="s">
        <v>134</v>
      </c>
      <c r="G23078" s="67" t="s">
        <v>813</v>
      </c>
      <c r="H23078" s="69">
        <v>-0.78542890762115136</v>
      </c>
    </row>
    <row r="23079" spans="6:8">
      <c r="F23079" s="68" t="s">
        <v>425</v>
      </c>
      <c r="G23079" s="67" t="s">
        <v>813</v>
      </c>
      <c r="H23079" s="69">
        <v>2.559789883380903</v>
      </c>
    </row>
    <row r="23080" spans="6:8">
      <c r="F23080" s="68" t="s">
        <v>259</v>
      </c>
      <c r="G23080" s="67" t="s">
        <v>813</v>
      </c>
      <c r="H23080" s="69">
        <v>0.11333333333333334</v>
      </c>
    </row>
    <row r="23081" spans="6:8">
      <c r="F23081" s="68" t="s">
        <v>138</v>
      </c>
      <c r="G23081" s="67" t="s">
        <v>813</v>
      </c>
      <c r="H23081" s="69">
        <v>-0.62910567843441723</v>
      </c>
    </row>
    <row r="23082" spans="6:8">
      <c r="F23082" s="68" t="s">
        <v>137</v>
      </c>
      <c r="G23082" s="67" t="s">
        <v>813</v>
      </c>
      <c r="H23082" s="69">
        <v>-0.5223483511849405</v>
      </c>
    </row>
    <row r="23083" spans="6:8">
      <c r="F23083" s="68" t="s">
        <v>136</v>
      </c>
      <c r="G23083" s="67" t="s">
        <v>813</v>
      </c>
      <c r="H23083" s="69">
        <v>-0.92268832837047865</v>
      </c>
    </row>
    <row r="23084" spans="6:8">
      <c r="F23084" s="68" t="s">
        <v>136</v>
      </c>
      <c r="G23084" s="67" t="s">
        <v>814</v>
      </c>
      <c r="H23084" s="69">
        <v>-0.94232852277802037</v>
      </c>
    </row>
    <row r="23085" spans="6:8">
      <c r="F23085" s="68" t="s">
        <v>137</v>
      </c>
      <c r="G23085" s="67" t="s">
        <v>814</v>
      </c>
      <c r="H23085" s="69">
        <v>-0.53346697363879669</v>
      </c>
    </row>
    <row r="23086" spans="6:8">
      <c r="F23086" s="68" t="s">
        <v>138</v>
      </c>
      <c r="G23086" s="67" t="s">
        <v>814</v>
      </c>
      <c r="H23086" s="69">
        <v>-0.64249672007592296</v>
      </c>
    </row>
    <row r="23087" spans="6:8">
      <c r="F23087" s="68" t="s">
        <v>259</v>
      </c>
      <c r="G23087" s="67" t="s">
        <v>814</v>
      </c>
      <c r="H23087" s="69">
        <v>0.11333333333333334</v>
      </c>
    </row>
    <row r="23088" spans="6:8">
      <c r="F23088" s="68" t="s">
        <v>425</v>
      </c>
      <c r="G23088" s="67" t="s">
        <v>814</v>
      </c>
      <c r="H23088" s="69">
        <v>2.5148493878854428</v>
      </c>
    </row>
    <row r="23089" spans="6:8">
      <c r="F23089" s="68" t="s">
        <v>134</v>
      </c>
      <c r="G23089" s="67" t="s">
        <v>814</v>
      </c>
      <c r="H23089" s="69">
        <v>-0.80214742021600083</v>
      </c>
    </row>
    <row r="23090" spans="6:8">
      <c r="F23090" s="68" t="s">
        <v>135</v>
      </c>
      <c r="G23090" s="67" t="s">
        <v>814</v>
      </c>
      <c r="H23090" s="69">
        <v>-0.65417847862275791</v>
      </c>
    </row>
    <row r="23091" spans="6:8">
      <c r="F23091" s="68" t="s">
        <v>257</v>
      </c>
      <c r="G23091" s="67" t="s">
        <v>814</v>
      </c>
      <c r="H23091" s="69">
        <v>0.82000000000000006</v>
      </c>
    </row>
    <row r="23092" spans="6:8">
      <c r="F23092" s="68" t="s">
        <v>258</v>
      </c>
      <c r="G23092" s="67" t="s">
        <v>814</v>
      </c>
      <c r="H23092" s="69">
        <v>0.15</v>
      </c>
    </row>
    <row r="23093" spans="6:8">
      <c r="F23093" s="68" t="s">
        <v>424</v>
      </c>
      <c r="G23093" s="67" t="s">
        <v>814</v>
      </c>
      <c r="H23093" s="69">
        <v>2.5255431017447094</v>
      </c>
    </row>
    <row r="23094" spans="6:8">
      <c r="F23094" s="68" t="s">
        <v>132</v>
      </c>
      <c r="G23094" s="67" t="s">
        <v>814</v>
      </c>
      <c r="H23094" s="69">
        <v>-0.8099352592472242</v>
      </c>
    </row>
    <row r="23095" spans="6:8">
      <c r="F23095" s="68" t="s">
        <v>133</v>
      </c>
      <c r="G23095" s="67" t="s">
        <v>814</v>
      </c>
      <c r="H23095" s="69">
        <v>-0.50231561751390341</v>
      </c>
    </row>
    <row r="23096" spans="6:8">
      <c r="F23096" s="68" t="s">
        <v>256</v>
      </c>
      <c r="G23096" s="67" t="s">
        <v>814</v>
      </c>
      <c r="H23096" s="69">
        <v>0.71833333333333327</v>
      </c>
    </row>
    <row r="23097" spans="6:8">
      <c r="F23097" s="68" t="s">
        <v>423</v>
      </c>
      <c r="G23097" s="67" t="s">
        <v>814</v>
      </c>
      <c r="H23097" s="69">
        <v>1.7872474773174662</v>
      </c>
    </row>
    <row r="23098" spans="6:8">
      <c r="F23098" s="68" t="s">
        <v>569</v>
      </c>
      <c r="G23098" s="67" t="s">
        <v>814</v>
      </c>
      <c r="H23098" s="69">
        <v>-0.33877099785821396</v>
      </c>
    </row>
    <row r="23099" spans="6:8">
      <c r="F23099" s="68" t="s">
        <v>130</v>
      </c>
      <c r="G23099" s="67" t="s">
        <v>814</v>
      </c>
      <c r="H23099" s="69">
        <v>-0.88391973004384561</v>
      </c>
    </row>
    <row r="23100" spans="6:8">
      <c r="F23100" s="68" t="s">
        <v>131</v>
      </c>
      <c r="G23100" s="67" t="s">
        <v>814</v>
      </c>
      <c r="H23100" s="69">
        <v>-0.44390682477972865</v>
      </c>
    </row>
    <row r="23101" spans="6:8">
      <c r="F23101" s="68" t="s">
        <v>303</v>
      </c>
      <c r="G23101" s="67" t="s">
        <v>814</v>
      </c>
      <c r="H23101" s="69">
        <v>15.958333333333332</v>
      </c>
    </row>
    <row r="23102" spans="6:8">
      <c r="F23102" s="68" t="s">
        <v>255</v>
      </c>
      <c r="G23102" s="67" t="s">
        <v>814</v>
      </c>
      <c r="H23102" s="69">
        <v>0.58666666666666678</v>
      </c>
    </row>
    <row r="23103" spans="6:8">
      <c r="F23103" s="68" t="s">
        <v>422</v>
      </c>
      <c r="G23103" s="67" t="s">
        <v>814</v>
      </c>
      <c r="H23103" s="69">
        <v>1.4653234952496597</v>
      </c>
    </row>
    <row r="23104" spans="6:8">
      <c r="F23104" s="68" t="s">
        <v>568</v>
      </c>
      <c r="G23104" s="67" t="s">
        <v>814</v>
      </c>
      <c r="H23104" s="69">
        <v>-0.64639063959153475</v>
      </c>
    </row>
    <row r="23105" spans="6:8">
      <c r="F23105" s="68" t="s">
        <v>128</v>
      </c>
      <c r="G23105" s="67" t="s">
        <v>814</v>
      </c>
      <c r="H23105" s="69">
        <v>-0.7359507884506028</v>
      </c>
    </row>
    <row r="23106" spans="6:8">
      <c r="F23106" s="68" t="s">
        <v>129</v>
      </c>
      <c r="G23106" s="67" t="s">
        <v>814</v>
      </c>
      <c r="H23106" s="69">
        <v>-0.57630008831052493</v>
      </c>
    </row>
    <row r="23107" spans="6:8">
      <c r="F23107" s="68" t="s">
        <v>304</v>
      </c>
      <c r="G23107" s="67" t="s">
        <v>814</v>
      </c>
      <c r="H23107" s="69">
        <v>16.208333333333332</v>
      </c>
    </row>
    <row r="23108" spans="6:8">
      <c r="F23108" s="68" t="s">
        <v>254</v>
      </c>
      <c r="G23108" s="67" t="s">
        <v>814</v>
      </c>
      <c r="H23108" s="69">
        <v>0.40666666666666673</v>
      </c>
    </row>
    <row r="23109" spans="6:8">
      <c r="F23109" s="68" t="s">
        <v>421</v>
      </c>
      <c r="G23109" s="67" t="s">
        <v>814</v>
      </c>
      <c r="H23109" s="69">
        <v>1.4598884682940572</v>
      </c>
    </row>
    <row r="23110" spans="6:8">
      <c r="F23110" s="68" t="s">
        <v>567</v>
      </c>
      <c r="G23110" s="67" t="s">
        <v>814</v>
      </c>
      <c r="H23110" s="69">
        <v>-1.0513582692151469</v>
      </c>
    </row>
    <row r="23111" spans="6:8">
      <c r="F23111" s="68" t="s">
        <v>125</v>
      </c>
      <c r="G23111" s="67" t="s">
        <v>814</v>
      </c>
      <c r="H23111" s="69">
        <v>-0.64249672007592296</v>
      </c>
    </row>
    <row r="23112" spans="6:8">
      <c r="F23112" s="68" t="s">
        <v>126</v>
      </c>
      <c r="G23112" s="67" t="s">
        <v>814</v>
      </c>
      <c r="H23112" s="69">
        <v>-0.77099606409110766</v>
      </c>
    </row>
    <row r="23113" spans="6:8">
      <c r="F23113" s="68" t="s">
        <v>127</v>
      </c>
      <c r="G23113" s="67" t="s">
        <v>814</v>
      </c>
      <c r="H23113" s="69">
        <v>-0.35434667592066055</v>
      </c>
    </row>
    <row r="23114" spans="6:8">
      <c r="F23114" s="68" t="s">
        <v>253</v>
      </c>
      <c r="G23114" s="67" t="s">
        <v>814</v>
      </c>
      <c r="H23114" s="69">
        <v>0.28333333333333333</v>
      </c>
    </row>
    <row r="23115" spans="6:8">
      <c r="F23115" s="68" t="s">
        <v>315</v>
      </c>
      <c r="G23115" s="67" t="s">
        <v>814</v>
      </c>
      <c r="H23115" s="69">
        <v>-0.34655883688943728</v>
      </c>
    </row>
    <row r="23116" spans="6:8">
      <c r="F23116" s="68" t="s">
        <v>122</v>
      </c>
      <c r="G23116" s="67" t="s">
        <v>814</v>
      </c>
      <c r="H23116" s="69">
        <v>-0.87613189101262234</v>
      </c>
    </row>
    <row r="23117" spans="6:8">
      <c r="F23117" s="68" t="s">
        <v>123</v>
      </c>
      <c r="G23117" s="67" t="s">
        <v>814</v>
      </c>
      <c r="H23117" s="69">
        <v>-0.78657174215355419</v>
      </c>
    </row>
    <row r="23118" spans="6:8">
      <c r="F23118" s="68" t="s">
        <v>124</v>
      </c>
      <c r="G23118" s="67" t="s">
        <v>814</v>
      </c>
      <c r="H23118" s="69">
        <v>-0.5801940078261365</v>
      </c>
    </row>
    <row r="23119" spans="6:8">
      <c r="F23119" s="68" t="s">
        <v>252</v>
      </c>
      <c r="G23119" s="67" t="s">
        <v>814</v>
      </c>
      <c r="H23119" s="69">
        <v>0.16833333333333333</v>
      </c>
    </row>
    <row r="23120" spans="6:8">
      <c r="F23120" s="68" t="s">
        <v>314</v>
      </c>
      <c r="G23120" s="67" t="s">
        <v>814</v>
      </c>
      <c r="H23120" s="69">
        <v>-0.6074514444354181</v>
      </c>
    </row>
    <row r="23121" spans="6:8">
      <c r="F23121" s="68" t="s">
        <v>119</v>
      </c>
      <c r="G23121" s="67" t="s">
        <v>814</v>
      </c>
      <c r="H23121" s="69">
        <v>-0.8878136495594573</v>
      </c>
    </row>
    <row r="23122" spans="6:8">
      <c r="F23122" s="68" t="s">
        <v>120</v>
      </c>
      <c r="G23122" s="67" t="s">
        <v>814</v>
      </c>
      <c r="H23122" s="69">
        <v>-0.63860280056031138</v>
      </c>
    </row>
    <row r="23123" spans="6:8">
      <c r="F23123" s="68" t="s">
        <v>121</v>
      </c>
      <c r="G23123" s="67" t="s">
        <v>814</v>
      </c>
      <c r="H23123" s="69">
        <v>-0.61913320298225305</v>
      </c>
    </row>
    <row r="23124" spans="6:8">
      <c r="F23124" s="68" t="s">
        <v>251</v>
      </c>
      <c r="G23124" s="67" t="s">
        <v>814</v>
      </c>
      <c r="H23124" s="69">
        <v>0.12833333333333333</v>
      </c>
    </row>
    <row r="23125" spans="6:8">
      <c r="F23125" s="68" t="s">
        <v>420</v>
      </c>
      <c r="G23125" s="67" t="s">
        <v>814</v>
      </c>
      <c r="H23125" s="69">
        <v>2.6462920309129334</v>
      </c>
    </row>
    <row r="23126" spans="6:8">
      <c r="F23126" s="68" t="s">
        <v>420</v>
      </c>
      <c r="G23126" s="67" t="s">
        <v>815</v>
      </c>
      <c r="H23126" s="69">
        <v>2.5936190223084132</v>
      </c>
    </row>
    <row r="23127" spans="6:8">
      <c r="F23127" s="68" t="s">
        <v>251</v>
      </c>
      <c r="G23127" s="67" t="s">
        <v>815</v>
      </c>
      <c r="H23127" s="69">
        <v>0.12833333333333333</v>
      </c>
    </row>
    <row r="23128" spans="6:8">
      <c r="F23128" s="68" t="s">
        <v>121</v>
      </c>
      <c r="G23128" s="67" t="s">
        <v>815</v>
      </c>
      <c r="H23128" s="69">
        <v>-0.60933567384213039</v>
      </c>
    </row>
    <row r="23129" spans="6:8">
      <c r="F23129" s="68" t="s">
        <v>120</v>
      </c>
      <c r="G23129" s="67" t="s">
        <v>815</v>
      </c>
      <c r="H23129" s="69">
        <v>-0.62849717301955599</v>
      </c>
    </row>
    <row r="23130" spans="6:8">
      <c r="F23130" s="68" t="s">
        <v>119</v>
      </c>
      <c r="G23130" s="67" t="s">
        <v>815</v>
      </c>
      <c r="H23130" s="69">
        <v>-0.8737643624906023</v>
      </c>
    </row>
    <row r="23131" spans="6:8">
      <c r="F23131" s="68" t="s">
        <v>314</v>
      </c>
      <c r="G23131" s="67" t="s">
        <v>815</v>
      </c>
      <c r="H23131" s="69">
        <v>-0.59783877433567523</v>
      </c>
    </row>
    <row r="23132" spans="6:8">
      <c r="F23132" s="68" t="s">
        <v>252</v>
      </c>
      <c r="G23132" s="67" t="s">
        <v>815</v>
      </c>
      <c r="H23132" s="69">
        <v>0.16833333333333333</v>
      </c>
    </row>
    <row r="23133" spans="6:8">
      <c r="F23133" s="68" t="s">
        <v>124</v>
      </c>
      <c r="G23133" s="67" t="s">
        <v>815</v>
      </c>
      <c r="H23133" s="69">
        <v>-0.57101267548727952</v>
      </c>
    </row>
    <row r="23134" spans="6:8">
      <c r="F23134" s="68" t="s">
        <v>123</v>
      </c>
      <c r="G23134" s="67" t="s">
        <v>815</v>
      </c>
      <c r="H23134" s="69">
        <v>-0.77412456676798969</v>
      </c>
    </row>
    <row r="23135" spans="6:8">
      <c r="F23135" s="68" t="s">
        <v>122</v>
      </c>
      <c r="G23135" s="67" t="s">
        <v>815</v>
      </c>
      <c r="H23135" s="69">
        <v>-0.86226746298414692</v>
      </c>
    </row>
    <row r="23136" spans="6:8">
      <c r="F23136" s="68" t="s">
        <v>315</v>
      </c>
      <c r="G23136" s="67" t="s">
        <v>815</v>
      </c>
      <c r="H23136" s="69">
        <v>-0.34107468535817365</v>
      </c>
    </row>
    <row r="23137" spans="6:8">
      <c r="F23137" s="68" t="s">
        <v>253</v>
      </c>
      <c r="G23137" s="67" t="s">
        <v>815</v>
      </c>
      <c r="H23137" s="69">
        <v>0.28333333333333333</v>
      </c>
    </row>
    <row r="23138" spans="6:8">
      <c r="F23138" s="68" t="s">
        <v>127</v>
      </c>
      <c r="G23138" s="67" t="s">
        <v>815</v>
      </c>
      <c r="H23138" s="69">
        <v>-0.34873928502914381</v>
      </c>
    </row>
    <row r="23139" spans="6:8">
      <c r="F23139" s="68" t="s">
        <v>126</v>
      </c>
      <c r="G23139" s="67" t="s">
        <v>815</v>
      </c>
      <c r="H23139" s="69">
        <v>-0.75879536742604925</v>
      </c>
    </row>
    <row r="23140" spans="6:8">
      <c r="F23140" s="68" t="s">
        <v>125</v>
      </c>
      <c r="G23140" s="67" t="s">
        <v>815</v>
      </c>
      <c r="H23140" s="69">
        <v>-0.63232947285504104</v>
      </c>
    </row>
    <row r="23141" spans="6:8">
      <c r="F23141" s="68" t="s">
        <v>567</v>
      </c>
      <c r="G23141" s="67" t="s">
        <v>815</v>
      </c>
      <c r="H23141" s="69">
        <v>-1.0347209555809764</v>
      </c>
    </row>
    <row r="23142" spans="6:8">
      <c r="F23142" s="68" t="s">
        <v>421</v>
      </c>
      <c r="G23142" s="67" t="s">
        <v>815</v>
      </c>
      <c r="H23142" s="69">
        <v>1.3958616505902466</v>
      </c>
    </row>
    <row r="23143" spans="6:8">
      <c r="F23143" s="68" t="s">
        <v>254</v>
      </c>
      <c r="G23143" s="67" t="s">
        <v>815</v>
      </c>
      <c r="H23143" s="69">
        <v>0.40666666666666673</v>
      </c>
    </row>
    <row r="23144" spans="6:8">
      <c r="F23144" s="68" t="s">
        <v>304</v>
      </c>
      <c r="G23144" s="67" t="s">
        <v>815</v>
      </c>
      <c r="H23144" s="69">
        <v>16.104166666666668</v>
      </c>
    </row>
    <row r="23145" spans="6:8">
      <c r="F23145" s="68" t="s">
        <v>129</v>
      </c>
      <c r="G23145" s="67" t="s">
        <v>815</v>
      </c>
      <c r="H23145" s="69">
        <v>-0.56718037565179436</v>
      </c>
    </row>
    <row r="23146" spans="6:8">
      <c r="F23146" s="68" t="s">
        <v>128</v>
      </c>
      <c r="G23146" s="67" t="s">
        <v>815</v>
      </c>
      <c r="H23146" s="69">
        <v>-0.72430466890668344</v>
      </c>
    </row>
    <row r="23147" spans="6:8">
      <c r="F23147" s="68" t="s">
        <v>568</v>
      </c>
      <c r="G23147" s="67" t="s">
        <v>815</v>
      </c>
      <c r="H23147" s="69">
        <v>-0.63616177269052621</v>
      </c>
    </row>
    <row r="23148" spans="6:8">
      <c r="F23148" s="68" t="s">
        <v>422</v>
      </c>
      <c r="G23148" s="67" t="s">
        <v>815</v>
      </c>
      <c r="H23148" s="69">
        <v>1.4011684181148176</v>
      </c>
    </row>
    <row r="23149" spans="6:8">
      <c r="F23149" s="68" t="s">
        <v>255</v>
      </c>
      <c r="G23149" s="67" t="s">
        <v>815</v>
      </c>
      <c r="H23149" s="69">
        <v>0.58666666666666678</v>
      </c>
    </row>
    <row r="23150" spans="6:8">
      <c r="F23150" s="68" t="s">
        <v>303</v>
      </c>
      <c r="G23150" s="67" t="s">
        <v>815</v>
      </c>
      <c r="H23150" s="69">
        <v>15.875</v>
      </c>
    </row>
    <row r="23151" spans="6:8">
      <c r="F23151" s="68" t="s">
        <v>131</v>
      </c>
      <c r="G23151" s="67" t="s">
        <v>815</v>
      </c>
      <c r="H23151" s="69">
        <v>-0.43688218124530115</v>
      </c>
    </row>
    <row r="23152" spans="6:8">
      <c r="F23152" s="68" t="s">
        <v>130</v>
      </c>
      <c r="G23152" s="67" t="s">
        <v>815</v>
      </c>
      <c r="H23152" s="69">
        <v>-0.86993206265511713</v>
      </c>
    </row>
    <row r="23153" spans="6:8">
      <c r="F23153" s="68" t="s">
        <v>569</v>
      </c>
      <c r="G23153" s="67" t="s">
        <v>815</v>
      </c>
      <c r="H23153" s="69">
        <v>-0.33341008568720348</v>
      </c>
    </row>
    <row r="23154" spans="6:8">
      <c r="F23154" s="68" t="s">
        <v>423</v>
      </c>
      <c r="G23154" s="67" t="s">
        <v>815</v>
      </c>
      <c r="H23154" s="69">
        <v>1.7320269717142178</v>
      </c>
    </row>
    <row r="23155" spans="6:8">
      <c r="F23155" s="68" t="s">
        <v>256</v>
      </c>
      <c r="G23155" s="67" t="s">
        <v>815</v>
      </c>
      <c r="H23155" s="69">
        <v>0.71833333333333327</v>
      </c>
    </row>
    <row r="23156" spans="6:8">
      <c r="F23156" s="68" t="s">
        <v>133</v>
      </c>
      <c r="G23156" s="67" t="s">
        <v>815</v>
      </c>
      <c r="H23156" s="69">
        <v>-0.49436667877757756</v>
      </c>
    </row>
    <row r="23157" spans="6:8">
      <c r="F23157" s="68" t="s">
        <v>132</v>
      </c>
      <c r="G23157" s="67" t="s">
        <v>815</v>
      </c>
      <c r="H23157" s="69">
        <v>-0.79711836578090023</v>
      </c>
    </row>
    <row r="23158" spans="6:8">
      <c r="F23158" s="68" t="s">
        <v>424</v>
      </c>
      <c r="G23158" s="67" t="s">
        <v>815</v>
      </c>
      <c r="H23158" s="69">
        <v>2.4731191129075736</v>
      </c>
    </row>
    <row r="23159" spans="6:8">
      <c r="F23159" s="68" t="s">
        <v>258</v>
      </c>
      <c r="G23159" s="67" t="s">
        <v>815</v>
      </c>
      <c r="H23159" s="69">
        <v>0.15</v>
      </c>
    </row>
    <row r="23160" spans="6:8">
      <c r="F23160" s="68" t="s">
        <v>257</v>
      </c>
      <c r="G23160" s="67" t="s">
        <v>815</v>
      </c>
      <c r="H23160" s="69">
        <v>0.82000000000000006</v>
      </c>
    </row>
    <row r="23161" spans="6:8">
      <c r="F23161" s="68" t="s">
        <v>135</v>
      </c>
      <c r="G23161" s="67" t="s">
        <v>815</v>
      </c>
      <c r="H23161" s="69">
        <v>-0.64382637236149631</v>
      </c>
    </row>
    <row r="23162" spans="6:8">
      <c r="F23162" s="68" t="s">
        <v>134</v>
      </c>
      <c r="G23162" s="67" t="s">
        <v>815</v>
      </c>
      <c r="H23162" s="69">
        <v>-0.78945376610993012</v>
      </c>
    </row>
    <row r="23163" spans="6:8">
      <c r="F23163" s="68" t="s">
        <v>425</v>
      </c>
      <c r="G23163" s="67" t="s">
        <v>815</v>
      </c>
      <c r="H23163" s="69">
        <v>2.4623054975821734</v>
      </c>
    </row>
    <row r="23164" spans="6:8">
      <c r="F23164" s="68" t="s">
        <v>259</v>
      </c>
      <c r="G23164" s="67" t="s">
        <v>815</v>
      </c>
      <c r="H23164" s="69">
        <v>0.11333333333333334</v>
      </c>
    </row>
    <row r="23165" spans="6:8">
      <c r="F23165" s="68" t="s">
        <v>138</v>
      </c>
      <c r="G23165" s="67" t="s">
        <v>815</v>
      </c>
      <c r="H23165" s="69">
        <v>-0.63232947285504104</v>
      </c>
    </row>
    <row r="23166" spans="6:8">
      <c r="F23166" s="68" t="s">
        <v>137</v>
      </c>
      <c r="G23166" s="67" t="s">
        <v>815</v>
      </c>
      <c r="H23166" s="69">
        <v>-0.52502507746145832</v>
      </c>
    </row>
    <row r="23167" spans="6:8">
      <c r="F23167" s="68" t="s">
        <v>136</v>
      </c>
      <c r="G23167" s="67" t="s">
        <v>815</v>
      </c>
      <c r="H23167" s="69">
        <v>-0.92741656018739349</v>
      </c>
    </row>
    <row r="23168" spans="6:8">
      <c r="F23168" s="68" t="s">
        <v>136</v>
      </c>
      <c r="G23168" s="67" t="s">
        <v>816</v>
      </c>
      <c r="H23168" s="69">
        <v>-1.0830767737431011</v>
      </c>
    </row>
    <row r="23169" spans="6:8">
      <c r="F23169" s="68" t="s">
        <v>137</v>
      </c>
      <c r="G23169" s="67" t="s">
        <v>816</v>
      </c>
      <c r="H23169" s="69">
        <v>-0.61611296466369592</v>
      </c>
    </row>
    <row r="23170" spans="6:8">
      <c r="F23170" s="68" t="s">
        <v>138</v>
      </c>
      <c r="G23170" s="67" t="s">
        <v>816</v>
      </c>
      <c r="H23170" s="69">
        <v>-0.74489422389298099</v>
      </c>
    </row>
    <row r="23171" spans="6:8">
      <c r="F23171" s="68" t="s">
        <v>259</v>
      </c>
      <c r="G23171" s="67" t="s">
        <v>816</v>
      </c>
      <c r="H23171" s="69">
        <v>0.105</v>
      </c>
    </row>
    <row r="23172" spans="6:8">
      <c r="F23172" s="68" t="s">
        <v>425</v>
      </c>
      <c r="G23172" s="67" t="s">
        <v>816</v>
      </c>
      <c r="H23172" s="69">
        <v>2.491105324694276</v>
      </c>
    </row>
    <row r="23173" spans="6:8">
      <c r="F23173" s="68" t="s">
        <v>134</v>
      </c>
      <c r="G23173" s="67" t="s">
        <v>816</v>
      </c>
      <c r="H23173" s="69">
        <v>-0.96587606929828684</v>
      </c>
    </row>
    <row r="23174" spans="6:8">
      <c r="F23174" s="68" t="s">
        <v>135</v>
      </c>
      <c r="G23174" s="67" t="s">
        <v>816</v>
      </c>
      <c r="H23174" s="69">
        <v>-0.70160376909755506</v>
      </c>
    </row>
    <row r="23175" spans="6:8">
      <c r="F23175" s="68" t="s">
        <v>257</v>
      </c>
      <c r="G23175" s="67" t="s">
        <v>816</v>
      </c>
      <c r="H23175" s="69">
        <v>0.76200000000000001</v>
      </c>
    </row>
    <row r="23176" spans="6:8">
      <c r="F23176" s="68" t="s">
        <v>258</v>
      </c>
      <c r="G23176" s="67" t="s">
        <v>816</v>
      </c>
      <c r="H23176" s="69">
        <v>0.15</v>
      </c>
    </row>
    <row r="23177" spans="6:8">
      <c r="F23177" s="68" t="s">
        <v>424</v>
      </c>
      <c r="G23177" s="67" t="s">
        <v>816</v>
      </c>
      <c r="H23177" s="69">
        <v>2.4837157740049687</v>
      </c>
    </row>
    <row r="23178" spans="6:8">
      <c r="F23178" s="68" t="s">
        <v>132</v>
      </c>
      <c r="G23178" s="67" t="s">
        <v>816</v>
      </c>
      <c r="H23178" s="69">
        <v>-0.9847794087248698</v>
      </c>
    </row>
    <row r="23179" spans="6:8">
      <c r="F23179" s="68" t="s">
        <v>133</v>
      </c>
      <c r="G23179" s="67" t="s">
        <v>816</v>
      </c>
      <c r="H23179" s="69">
        <v>-0.56086750331236945</v>
      </c>
    </row>
    <row r="23180" spans="6:8">
      <c r="F23180" s="68" t="s">
        <v>256</v>
      </c>
      <c r="G23180" s="67" t="s">
        <v>816</v>
      </c>
      <c r="H23180" s="69">
        <v>0.65666666666666662</v>
      </c>
    </row>
    <row r="23181" spans="6:8">
      <c r="F23181" s="68" t="s">
        <v>423</v>
      </c>
      <c r="G23181" s="67" t="s">
        <v>816</v>
      </c>
      <c r="H23181" s="69">
        <v>1.6918484519418797</v>
      </c>
    </row>
    <row r="23182" spans="6:8">
      <c r="F23182" s="68" t="s">
        <v>569</v>
      </c>
      <c r="G23182" s="67" t="s">
        <v>816</v>
      </c>
      <c r="H23182" s="69">
        <v>-0.545744831771103</v>
      </c>
    </row>
    <row r="23183" spans="6:8">
      <c r="F23183" s="68" t="s">
        <v>130</v>
      </c>
      <c r="G23183" s="67" t="s">
        <v>816</v>
      </c>
      <c r="H23183" s="69">
        <v>-1.032463534305563</v>
      </c>
    </row>
    <row r="23184" spans="6:8">
      <c r="F23184" s="68" t="s">
        <v>131</v>
      </c>
      <c r="G23184" s="67" t="s">
        <v>816</v>
      </c>
      <c r="H23184" s="69">
        <v>-0.48062192369224921</v>
      </c>
    </row>
    <row r="23185" spans="6:8">
      <c r="F23185" s="68" t="s">
        <v>303</v>
      </c>
      <c r="G23185" s="67" t="s">
        <v>816</v>
      </c>
      <c r="H23185" s="69">
        <v>16</v>
      </c>
    </row>
    <row r="23186" spans="6:8">
      <c r="F23186" s="68" t="s">
        <v>255</v>
      </c>
      <c r="G23186" s="67" t="s">
        <v>816</v>
      </c>
      <c r="H23186" s="69">
        <v>0.51666666666666661</v>
      </c>
    </row>
    <row r="23187" spans="6:8">
      <c r="F23187" s="68" t="s">
        <v>422</v>
      </c>
      <c r="G23187" s="67" t="s">
        <v>816</v>
      </c>
      <c r="H23187" s="69">
        <v>1.3577935381667849</v>
      </c>
    </row>
    <row r="23188" spans="6:8">
      <c r="F23188" s="68" t="s">
        <v>568</v>
      </c>
      <c r="G23188" s="67" t="s">
        <v>816</v>
      </c>
      <c r="H23188" s="69">
        <v>-0.86209492833779555</v>
      </c>
    </row>
    <row r="23189" spans="6:8">
      <c r="F23189" s="68" t="s">
        <v>128</v>
      </c>
      <c r="G23189" s="67" t="s">
        <v>816</v>
      </c>
      <c r="H23189" s="69">
        <v>-0.85306903563873981</v>
      </c>
    </row>
    <row r="23190" spans="6:8">
      <c r="F23190" s="68" t="s">
        <v>129</v>
      </c>
      <c r="G23190" s="67" t="s">
        <v>816</v>
      </c>
      <c r="H23190" s="69">
        <v>-0.6123322967783793</v>
      </c>
    </row>
    <row r="23191" spans="6:8">
      <c r="F23191" s="68" t="s">
        <v>304</v>
      </c>
      <c r="G23191" s="67" t="s">
        <v>816</v>
      </c>
      <c r="H23191" s="69">
        <v>16.1875</v>
      </c>
    </row>
    <row r="23192" spans="6:8">
      <c r="F23192" s="68" t="s">
        <v>254</v>
      </c>
      <c r="G23192" s="67" t="s">
        <v>816</v>
      </c>
      <c r="H23192" s="69">
        <v>0.33499999999999996</v>
      </c>
    </row>
    <row r="23193" spans="6:8">
      <c r="F23193" s="68" t="s">
        <v>421</v>
      </c>
      <c r="G23193" s="67" t="s">
        <v>816</v>
      </c>
      <c r="H23193" s="69">
        <v>1.3525851257164323</v>
      </c>
    </row>
    <row r="23194" spans="6:8">
      <c r="F23194" s="68" t="s">
        <v>567</v>
      </c>
      <c r="G23194" s="67" t="s">
        <v>816</v>
      </c>
      <c r="H23194" s="69">
        <v>-1.2866198366502466</v>
      </c>
    </row>
    <row r="23195" spans="6:8">
      <c r="F23195" s="68" t="s">
        <v>125</v>
      </c>
      <c r="G23195" s="67" t="s">
        <v>816</v>
      </c>
      <c r="H23195" s="69">
        <v>-0.86587559622311205</v>
      </c>
    </row>
    <row r="23196" spans="6:8">
      <c r="F23196" s="68" t="s">
        <v>126</v>
      </c>
      <c r="G23196" s="67" t="s">
        <v>816</v>
      </c>
      <c r="H23196" s="69">
        <v>-0.89697249333411633</v>
      </c>
    </row>
    <row r="23197" spans="6:8">
      <c r="F23197" s="68" t="s">
        <v>127</v>
      </c>
      <c r="G23197" s="67" t="s">
        <v>816</v>
      </c>
      <c r="H23197" s="69">
        <v>-0.40878923387123395</v>
      </c>
    </row>
    <row r="23198" spans="6:8">
      <c r="F23198" s="68" t="s">
        <v>253</v>
      </c>
      <c r="G23198" s="67" t="s">
        <v>816</v>
      </c>
      <c r="H23198" s="69">
        <v>0.22499999999999998</v>
      </c>
    </row>
    <row r="23199" spans="6:8">
      <c r="F23199" s="68" t="s">
        <v>315</v>
      </c>
      <c r="G23199" s="67" t="s">
        <v>816</v>
      </c>
      <c r="H23199" s="69">
        <v>-0.54952549965641961</v>
      </c>
    </row>
    <row r="23200" spans="6:8">
      <c r="F23200" s="68" t="s">
        <v>122</v>
      </c>
      <c r="G23200" s="67" t="s">
        <v>816</v>
      </c>
      <c r="H23200" s="69">
        <v>-0.98624396565329231</v>
      </c>
    </row>
    <row r="23201" spans="6:8">
      <c r="F23201" s="68" t="s">
        <v>123</v>
      </c>
      <c r="G23201" s="67" t="s">
        <v>816</v>
      </c>
      <c r="H23201" s="69">
        <v>-0.87343693199374539</v>
      </c>
    </row>
    <row r="23202" spans="6:8">
      <c r="F23202" s="68" t="s">
        <v>124</v>
      </c>
      <c r="G23202" s="67" t="s">
        <v>816</v>
      </c>
      <c r="H23202" s="69">
        <v>-0.67220998004349397</v>
      </c>
    </row>
    <row r="23203" spans="6:8">
      <c r="F23203" s="68" t="s">
        <v>252</v>
      </c>
      <c r="G23203" s="67" t="s">
        <v>816</v>
      </c>
      <c r="H23203" s="69">
        <v>0.13500000000000001</v>
      </c>
    </row>
    <row r="23204" spans="6:8">
      <c r="F23204" s="68" t="s">
        <v>314</v>
      </c>
      <c r="G23204" s="67" t="s">
        <v>816</v>
      </c>
      <c r="H23204" s="69">
        <v>-0.81441080275710209</v>
      </c>
    </row>
    <row r="23205" spans="6:8">
      <c r="F23205" s="68" t="s">
        <v>119</v>
      </c>
      <c r="G23205" s="67" t="s">
        <v>816</v>
      </c>
      <c r="H23205" s="69">
        <v>-0.99758596930924193</v>
      </c>
    </row>
    <row r="23206" spans="6:8">
      <c r="F23206" s="68" t="s">
        <v>120</v>
      </c>
      <c r="G23206" s="67" t="s">
        <v>816</v>
      </c>
      <c r="H23206" s="69">
        <v>-0.73038455525166535</v>
      </c>
    </row>
    <row r="23207" spans="6:8">
      <c r="F23207" s="68" t="s">
        <v>121</v>
      </c>
      <c r="G23207" s="67" t="s">
        <v>816</v>
      </c>
      <c r="H23207" s="69">
        <v>-0.72221021658108142</v>
      </c>
    </row>
    <row r="23208" spans="6:8">
      <c r="F23208" s="68" t="s">
        <v>251</v>
      </c>
      <c r="G23208" s="67" t="s">
        <v>816</v>
      </c>
      <c r="H23208" s="69">
        <v>0.11166666666666669</v>
      </c>
    </row>
    <row r="23209" spans="6:8">
      <c r="F23209" s="68" t="s">
        <v>420</v>
      </c>
      <c r="G23209" s="67" t="s">
        <v>816</v>
      </c>
      <c r="H23209" s="69">
        <v>2.5795437942179422</v>
      </c>
    </row>
    <row r="23210" spans="6:8">
      <c r="F23210" s="68" t="s">
        <v>251</v>
      </c>
      <c r="G23210" s="67" t="s">
        <v>817</v>
      </c>
      <c r="H23210" s="69">
        <v>0.11166666666666669</v>
      </c>
    </row>
    <row r="23211" spans="6:8">
      <c r="F23211" s="68" t="s">
        <v>121</v>
      </c>
      <c r="G23211" s="67" t="s">
        <v>817</v>
      </c>
      <c r="H23211" s="69">
        <v>-0.72042098679010136</v>
      </c>
    </row>
    <row r="23212" spans="6:8">
      <c r="F23212" s="68" t="s">
        <v>120</v>
      </c>
      <c r="G23212" s="67" t="s">
        <v>817</v>
      </c>
      <c r="H23212" s="69">
        <v>-0.72857507405751321</v>
      </c>
    </row>
    <row r="23213" spans="6:8">
      <c r="F23213" s="68" t="s">
        <v>119</v>
      </c>
      <c r="G23213" s="67" t="s">
        <v>817</v>
      </c>
      <c r="H23213" s="69">
        <v>-0.99511451363834114</v>
      </c>
    </row>
    <row r="23214" spans="6:8">
      <c r="F23214" s="68" t="s">
        <v>314</v>
      </c>
      <c r="G23214" s="67" t="s">
        <v>817</v>
      </c>
      <c r="H23214" s="69">
        <v>-0.81239315188906647</v>
      </c>
    </row>
    <row r="23215" spans="6:8">
      <c r="F23215" s="68" t="s">
        <v>252</v>
      </c>
      <c r="G23215" s="67" t="s">
        <v>817</v>
      </c>
      <c r="H23215" s="69">
        <v>0.13500000000000001</v>
      </c>
    </row>
    <row r="23216" spans="6:8">
      <c r="F23216" s="68" t="s">
        <v>124</v>
      </c>
      <c r="G23216" s="67" t="s">
        <v>817</v>
      </c>
      <c r="H23216" s="69">
        <v>-0.6705446226524262</v>
      </c>
    </row>
    <row r="23217" spans="6:8">
      <c r="F23217" s="68" t="s">
        <v>123</v>
      </c>
      <c r="G23217" s="67" t="s">
        <v>817</v>
      </c>
      <c r="H23217" s="69">
        <v>-0.87127304765178248</v>
      </c>
    </row>
    <row r="23218" spans="6:8">
      <c r="F23218" s="68" t="s">
        <v>122</v>
      </c>
      <c r="G23218" s="67" t="s">
        <v>817</v>
      </c>
      <c r="H23218" s="69">
        <v>-0.98380060907371514</v>
      </c>
    </row>
    <row r="23219" spans="6:8">
      <c r="F23219" s="68" t="s">
        <v>315</v>
      </c>
      <c r="G23219" s="67" t="s">
        <v>817</v>
      </c>
      <c r="H23219" s="69">
        <v>-0.54816408524782401</v>
      </c>
    </row>
    <row r="23220" spans="6:8">
      <c r="F23220" s="68" t="s">
        <v>253</v>
      </c>
      <c r="G23220" s="67" t="s">
        <v>817</v>
      </c>
      <c r="H23220" s="69">
        <v>0.22499999999999998</v>
      </c>
    </row>
    <row r="23221" spans="6:8">
      <c r="F23221" s="68" t="s">
        <v>127</v>
      </c>
      <c r="G23221" s="67" t="s">
        <v>817</v>
      </c>
      <c r="H23221" s="69">
        <v>-0.40777648459314031</v>
      </c>
    </row>
    <row r="23222" spans="6:8">
      <c r="F23222" s="68" t="s">
        <v>126</v>
      </c>
      <c r="G23222" s="67" t="s">
        <v>817</v>
      </c>
      <c r="H23222" s="69">
        <v>-0.89475030113866305</v>
      </c>
    </row>
    <row r="23223" spans="6:8">
      <c r="F23223" s="68" t="s">
        <v>125</v>
      </c>
      <c r="G23223" s="67" t="s">
        <v>817</v>
      </c>
      <c r="H23223" s="69">
        <v>-0.86373044460869819</v>
      </c>
    </row>
    <row r="23224" spans="6:8">
      <c r="F23224" s="68" t="s">
        <v>567</v>
      </c>
      <c r="G23224" s="67" t="s">
        <v>817</v>
      </c>
      <c r="H23224" s="69">
        <v>-1.2834323179907925</v>
      </c>
    </row>
    <row r="23225" spans="6:8">
      <c r="F23225" s="68" t="s">
        <v>421</v>
      </c>
      <c r="G23225" s="67" t="s">
        <v>817</v>
      </c>
      <c r="H23225" s="69">
        <v>1.2571887145315763</v>
      </c>
    </row>
    <row r="23226" spans="6:8">
      <c r="F23226" s="68" t="s">
        <v>254</v>
      </c>
      <c r="G23226" s="67" t="s">
        <v>817</v>
      </c>
      <c r="H23226" s="69">
        <v>0.33499999999999996</v>
      </c>
    </row>
    <row r="23227" spans="6:8">
      <c r="F23227" s="68" t="s">
        <v>304</v>
      </c>
      <c r="G23227" s="67" t="s">
        <v>817</v>
      </c>
      <c r="H23227" s="69">
        <v>16.020833333333332</v>
      </c>
    </row>
    <row r="23228" spans="6:8">
      <c r="F23228" s="68" t="s">
        <v>129</v>
      </c>
      <c r="G23228" s="67" t="s">
        <v>817</v>
      </c>
      <c r="H23228" s="69">
        <v>-0.61081528253208184</v>
      </c>
    </row>
    <row r="23229" spans="6:8">
      <c r="F23229" s="68" t="s">
        <v>128</v>
      </c>
      <c r="G23229" s="67" t="s">
        <v>817</v>
      </c>
      <c r="H23229" s="69">
        <v>-0.85095561146211551</v>
      </c>
    </row>
    <row r="23230" spans="6:8">
      <c r="F23230" s="68" t="s">
        <v>568</v>
      </c>
      <c r="G23230" s="67" t="s">
        <v>817</v>
      </c>
      <c r="H23230" s="69">
        <v>-0.85995914308715626</v>
      </c>
    </row>
    <row r="23231" spans="6:8">
      <c r="F23231" s="68" t="s">
        <v>422</v>
      </c>
      <c r="G23231" s="67" t="s">
        <v>817</v>
      </c>
      <c r="H23231" s="69">
        <v>1.2621576187368255</v>
      </c>
    </row>
    <row r="23232" spans="6:8">
      <c r="F23232" s="68" t="s">
        <v>255</v>
      </c>
      <c r="G23232" s="67" t="s">
        <v>817</v>
      </c>
      <c r="H23232" s="69">
        <v>0.51666666666666661</v>
      </c>
    </row>
    <row r="23233" spans="6:8">
      <c r="F23233" s="68" t="s">
        <v>303</v>
      </c>
      <c r="G23233" s="67" t="s">
        <v>817</v>
      </c>
      <c r="H23233" s="69">
        <v>15.875</v>
      </c>
    </row>
    <row r="23234" spans="6:8">
      <c r="F23234" s="68" t="s">
        <v>131</v>
      </c>
      <c r="G23234" s="67" t="s">
        <v>817</v>
      </c>
      <c r="H23234" s="69">
        <v>-0.47943121350243872</v>
      </c>
    </row>
    <row r="23235" spans="6:8">
      <c r="F23235" s="68" t="s">
        <v>130</v>
      </c>
      <c r="G23235" s="67" t="s">
        <v>817</v>
      </c>
      <c r="H23235" s="69">
        <v>-1.029905671689848</v>
      </c>
    </row>
    <row r="23236" spans="6:8">
      <c r="F23236" s="68" t="s">
        <v>569</v>
      </c>
      <c r="G23236" s="67" t="s">
        <v>817</v>
      </c>
      <c r="H23236" s="69">
        <v>-0.54439278372628197</v>
      </c>
    </row>
    <row r="23237" spans="6:8">
      <c r="F23237" s="68" t="s">
        <v>423</v>
      </c>
      <c r="G23237" s="67" t="s">
        <v>817</v>
      </c>
      <c r="H23237" s="69">
        <v>1.6063633310047454</v>
      </c>
    </row>
    <row r="23238" spans="6:8">
      <c r="F23238" s="68" t="s">
        <v>256</v>
      </c>
      <c r="G23238" s="67" t="s">
        <v>817</v>
      </c>
      <c r="H23238" s="69">
        <v>0.65666666666666662</v>
      </c>
    </row>
    <row r="23239" spans="6:8">
      <c r="F23239" s="68" t="s">
        <v>133</v>
      </c>
      <c r="G23239" s="67" t="s">
        <v>817</v>
      </c>
      <c r="H23239" s="69">
        <v>-0.55947798981245001</v>
      </c>
    </row>
    <row r="23240" spans="6:8">
      <c r="F23240" s="68" t="s">
        <v>132</v>
      </c>
      <c r="G23240" s="67" t="s">
        <v>817</v>
      </c>
      <c r="H23240" s="69">
        <v>-0.98233968049175846</v>
      </c>
    </row>
    <row r="23241" spans="6:8">
      <c r="F23241" s="68" t="s">
        <v>424</v>
      </c>
      <c r="G23241" s="67" t="s">
        <v>817</v>
      </c>
      <c r="H23241" s="69">
        <v>2.4597755174620595</v>
      </c>
    </row>
    <row r="23242" spans="6:8">
      <c r="F23242" s="68" t="s">
        <v>258</v>
      </c>
      <c r="G23242" s="67" t="s">
        <v>817</v>
      </c>
      <c r="H23242" s="69">
        <v>0.15</v>
      </c>
    </row>
    <row r="23243" spans="6:8">
      <c r="F23243" s="68" t="s">
        <v>257</v>
      </c>
      <c r="G23243" s="67" t="s">
        <v>817</v>
      </c>
      <c r="H23243" s="69">
        <v>0.76200000000000001</v>
      </c>
    </row>
    <row r="23244" spans="6:8">
      <c r="F23244" s="68" t="s">
        <v>135</v>
      </c>
      <c r="G23244" s="67" t="s">
        <v>817</v>
      </c>
      <c r="H23244" s="69">
        <v>-0.69986559046713359</v>
      </c>
    </row>
    <row r="23245" spans="6:8">
      <c r="F23245" s="68" t="s">
        <v>134</v>
      </c>
      <c r="G23245" s="67" t="s">
        <v>817</v>
      </c>
      <c r="H23245" s="69">
        <v>-0.96348317288404839</v>
      </c>
    </row>
    <row r="23246" spans="6:8">
      <c r="F23246" s="68" t="s">
        <v>259</v>
      </c>
      <c r="G23246" s="67" t="s">
        <v>817</v>
      </c>
      <c r="H23246" s="69">
        <v>0.105</v>
      </c>
    </row>
    <row r="23247" spans="6:8">
      <c r="F23247" s="68" t="s">
        <v>138</v>
      </c>
      <c r="G23247" s="67" t="s">
        <v>817</v>
      </c>
      <c r="H23247" s="69">
        <v>-0.74304879591935347</v>
      </c>
    </row>
    <row r="23248" spans="6:8">
      <c r="F23248" s="68" t="s">
        <v>137</v>
      </c>
      <c r="G23248" s="67" t="s">
        <v>817</v>
      </c>
      <c r="H23248" s="69">
        <v>-0.61458658405362376</v>
      </c>
    </row>
    <row r="23249" spans="6:8">
      <c r="F23249" s="68" t="s">
        <v>136</v>
      </c>
      <c r="G23249" s="67" t="s">
        <v>817</v>
      </c>
      <c r="H23249" s="69">
        <v>-1.0803935200518511</v>
      </c>
    </row>
    <row r="23250" spans="6:8">
      <c r="F23250" s="68" t="s">
        <v>136</v>
      </c>
      <c r="G23250" s="67" t="s">
        <v>818</v>
      </c>
      <c r="H23250" s="69">
        <v>-1.23</v>
      </c>
    </row>
    <row r="23251" spans="6:8">
      <c r="F23251" s="68" t="s">
        <v>137</v>
      </c>
      <c r="G23251" s="67" t="s">
        <v>818</v>
      </c>
      <c r="H23251" s="69">
        <v>-0.745</v>
      </c>
    </row>
    <row r="23252" spans="6:8">
      <c r="F23252" s="68" t="s">
        <v>138</v>
      </c>
      <c r="G23252" s="67" t="s">
        <v>818</v>
      </c>
      <c r="H23252" s="69">
        <v>-0.84000000000000008</v>
      </c>
    </row>
    <row r="23253" spans="6:8">
      <c r="F23253" s="68" t="s">
        <v>259</v>
      </c>
      <c r="G23253" s="67" t="s">
        <v>818</v>
      </c>
      <c r="H23253" s="69">
        <v>9.6666666666666679E-2</v>
      </c>
    </row>
    <row r="23254" spans="6:8">
      <c r="F23254" s="68" t="s">
        <v>134</v>
      </c>
      <c r="G23254" s="67" t="s">
        <v>818</v>
      </c>
      <c r="H23254" s="69">
        <v>-1.08</v>
      </c>
    </row>
    <row r="23255" spans="6:8">
      <c r="F23255" s="68" t="s">
        <v>135</v>
      </c>
      <c r="G23255" s="67" t="s">
        <v>818</v>
      </c>
      <c r="H23255" s="69">
        <v>-0.84</v>
      </c>
    </row>
    <row r="23256" spans="6:8">
      <c r="F23256" s="68" t="s">
        <v>257</v>
      </c>
      <c r="G23256" s="67" t="s">
        <v>818</v>
      </c>
      <c r="H23256" s="69">
        <v>0.74600000000000011</v>
      </c>
    </row>
    <row r="23257" spans="6:8">
      <c r="F23257" s="68" t="s">
        <v>258</v>
      </c>
      <c r="G23257" s="67" t="s">
        <v>818</v>
      </c>
      <c r="H23257" s="69">
        <v>0.15</v>
      </c>
    </row>
    <row r="23258" spans="6:8">
      <c r="F23258" s="68" t="s">
        <v>424</v>
      </c>
      <c r="G23258" s="67" t="s">
        <v>818</v>
      </c>
      <c r="H23258" s="69">
        <v>2.4550021233838315</v>
      </c>
    </row>
    <row r="23259" spans="6:8">
      <c r="F23259" s="68" t="s">
        <v>132</v>
      </c>
      <c r="G23259" s="67" t="s">
        <v>818</v>
      </c>
      <c r="H23259" s="69">
        <v>-1.115</v>
      </c>
    </row>
    <row r="23260" spans="6:8">
      <c r="F23260" s="68" t="s">
        <v>133</v>
      </c>
      <c r="G23260" s="67" t="s">
        <v>818</v>
      </c>
      <c r="H23260" s="69">
        <v>-0.66500000000000004</v>
      </c>
    </row>
    <row r="23261" spans="6:8">
      <c r="F23261" s="68" t="s">
        <v>256</v>
      </c>
      <c r="G23261" s="67" t="s">
        <v>818</v>
      </c>
      <c r="H23261" s="69">
        <v>0.60833333333333339</v>
      </c>
    </row>
    <row r="23262" spans="6:8">
      <c r="F23262" s="68" t="s">
        <v>423</v>
      </c>
      <c r="G23262" s="67" t="s">
        <v>818</v>
      </c>
      <c r="H23262" s="69">
        <v>1.5044995105675252</v>
      </c>
    </row>
    <row r="23263" spans="6:8">
      <c r="F23263" s="68" t="s">
        <v>569</v>
      </c>
      <c r="G23263" s="67" t="s">
        <v>818</v>
      </c>
      <c r="H23263" s="69">
        <v>-0.64500000000000002</v>
      </c>
    </row>
    <row r="23264" spans="6:8">
      <c r="F23264" s="68" t="s">
        <v>130</v>
      </c>
      <c r="G23264" s="67" t="s">
        <v>818</v>
      </c>
      <c r="H23264" s="69">
        <v>-1.165</v>
      </c>
    </row>
    <row r="23265" spans="6:8">
      <c r="F23265" s="68" t="s">
        <v>131</v>
      </c>
      <c r="G23265" s="67" t="s">
        <v>818</v>
      </c>
      <c r="H23265" s="69">
        <v>-0.57499999999999996</v>
      </c>
    </row>
    <row r="23266" spans="6:8">
      <c r="F23266" s="68" t="s">
        <v>303</v>
      </c>
      <c r="G23266" s="67" t="s">
        <v>818</v>
      </c>
      <c r="H23266" s="69">
        <v>15.729166666666666</v>
      </c>
    </row>
    <row r="23267" spans="6:8">
      <c r="F23267" s="68" t="s">
        <v>255</v>
      </c>
      <c r="G23267" s="67" t="s">
        <v>818</v>
      </c>
      <c r="H23267" s="69">
        <v>0.46</v>
      </c>
    </row>
    <row r="23268" spans="6:8">
      <c r="F23268" s="68" t="s">
        <v>422</v>
      </c>
      <c r="G23268" s="67" t="s">
        <v>818</v>
      </c>
      <c r="H23268" s="69">
        <v>1.1482679452107902</v>
      </c>
    </row>
    <row r="23269" spans="6:8">
      <c r="F23269" s="68" t="s">
        <v>568</v>
      </c>
      <c r="G23269" s="67" t="s">
        <v>818</v>
      </c>
      <c r="H23269" s="69">
        <v>-1.02</v>
      </c>
    </row>
    <row r="23270" spans="6:8">
      <c r="F23270" s="68" t="s">
        <v>128</v>
      </c>
      <c r="G23270" s="67" t="s">
        <v>818</v>
      </c>
      <c r="H23270" s="69">
        <v>-0.96</v>
      </c>
    </row>
    <row r="23271" spans="6:8">
      <c r="F23271" s="68" t="s">
        <v>129</v>
      </c>
      <c r="G23271" s="67" t="s">
        <v>818</v>
      </c>
      <c r="H23271" s="69">
        <v>-0.73</v>
      </c>
    </row>
    <row r="23272" spans="6:8">
      <c r="F23272" s="68" t="s">
        <v>304</v>
      </c>
      <c r="G23272" s="67" t="s">
        <v>818</v>
      </c>
      <c r="H23272" s="69">
        <v>15.895833333333332</v>
      </c>
    </row>
    <row r="23273" spans="6:8">
      <c r="F23273" s="68" t="s">
        <v>254</v>
      </c>
      <c r="G23273" s="67" t="s">
        <v>818</v>
      </c>
      <c r="H23273" s="69">
        <v>0.31333333333333335</v>
      </c>
    </row>
    <row r="23274" spans="6:8">
      <c r="F23274" s="68" t="s">
        <v>421</v>
      </c>
      <c r="G23274" s="67" t="s">
        <v>818</v>
      </c>
      <c r="H23274" s="69">
        <v>1.1436042595269758</v>
      </c>
    </row>
    <row r="23275" spans="6:8">
      <c r="F23275" s="68" t="s">
        <v>567</v>
      </c>
      <c r="G23275" s="67" t="s">
        <v>818</v>
      </c>
      <c r="H23275" s="69">
        <v>-1.4950000000000001</v>
      </c>
    </row>
    <row r="23276" spans="6:8">
      <c r="F23276" s="68" t="s">
        <v>125</v>
      </c>
      <c r="G23276" s="67" t="s">
        <v>818</v>
      </c>
      <c r="H23276" s="69">
        <v>-0.99500000000000011</v>
      </c>
    </row>
    <row r="23277" spans="6:8">
      <c r="F23277" s="68" t="s">
        <v>126</v>
      </c>
      <c r="G23277" s="67" t="s">
        <v>818</v>
      </c>
      <c r="H23277" s="69">
        <v>-1.02</v>
      </c>
    </row>
    <row r="23278" spans="6:8">
      <c r="F23278" s="68" t="s">
        <v>127</v>
      </c>
      <c r="G23278" s="67" t="s">
        <v>818</v>
      </c>
      <c r="H23278" s="69">
        <v>-0.48499999999999999</v>
      </c>
    </row>
    <row r="23279" spans="6:8">
      <c r="F23279" s="68" t="s">
        <v>253</v>
      </c>
      <c r="G23279" s="67" t="s">
        <v>818</v>
      </c>
      <c r="H23279" s="69">
        <v>0.21166666666666667</v>
      </c>
    </row>
    <row r="23280" spans="6:8">
      <c r="F23280" s="68" t="s">
        <v>315</v>
      </c>
      <c r="G23280" s="67" t="s">
        <v>818</v>
      </c>
      <c r="H23280" s="69">
        <v>-0.64999999999999991</v>
      </c>
    </row>
    <row r="23281" spans="6:8">
      <c r="F23281" s="68" t="s">
        <v>122</v>
      </c>
      <c r="G23281" s="67" t="s">
        <v>818</v>
      </c>
      <c r="H23281" s="69">
        <v>-1.1200000000000001</v>
      </c>
    </row>
    <row r="23282" spans="6:8">
      <c r="F23282" s="68" t="s">
        <v>123</v>
      </c>
      <c r="G23282" s="67" t="s">
        <v>818</v>
      </c>
      <c r="H23282" s="69">
        <v>-1.0449999999999999</v>
      </c>
    </row>
    <row r="23283" spans="6:8">
      <c r="F23283" s="68" t="s">
        <v>124</v>
      </c>
      <c r="G23283" s="67" t="s">
        <v>818</v>
      </c>
      <c r="H23283" s="69">
        <v>-0.76</v>
      </c>
    </row>
    <row r="23284" spans="6:8">
      <c r="F23284" s="68" t="s">
        <v>252</v>
      </c>
      <c r="G23284" s="67" t="s">
        <v>818</v>
      </c>
      <c r="H23284" s="69">
        <v>0.12833333333333333</v>
      </c>
    </row>
    <row r="23285" spans="6:8">
      <c r="F23285" s="68" t="s">
        <v>314</v>
      </c>
      <c r="G23285" s="67" t="s">
        <v>818</v>
      </c>
      <c r="H23285" s="69">
        <v>-0.97</v>
      </c>
    </row>
    <row r="23286" spans="6:8">
      <c r="F23286" s="68" t="s">
        <v>119</v>
      </c>
      <c r="G23286" s="67" t="s">
        <v>818</v>
      </c>
      <c r="H23286" s="69">
        <v>-1.135</v>
      </c>
    </row>
    <row r="23287" spans="6:8">
      <c r="F23287" s="68" t="s">
        <v>120</v>
      </c>
      <c r="G23287" s="67" t="s">
        <v>818</v>
      </c>
      <c r="H23287" s="69">
        <v>-0.88</v>
      </c>
    </row>
    <row r="23288" spans="6:8">
      <c r="F23288" s="68" t="s">
        <v>121</v>
      </c>
      <c r="G23288" s="67" t="s">
        <v>818</v>
      </c>
      <c r="H23288" s="69">
        <v>-0.81</v>
      </c>
    </row>
    <row r="23289" spans="6:8">
      <c r="F23289" s="68" t="s">
        <v>251</v>
      </c>
      <c r="G23289" s="67" t="s">
        <v>818</v>
      </c>
      <c r="H23289" s="69">
        <v>0.10666666666666669</v>
      </c>
    </row>
    <row r="23290" spans="6:8">
      <c r="F23290" s="68" t="s">
        <v>251</v>
      </c>
      <c r="G23290" s="67" t="s">
        <v>819</v>
      </c>
      <c r="H23290" s="69">
        <v>0.10666666666666669</v>
      </c>
    </row>
    <row r="23291" spans="6:8">
      <c r="F23291" s="68" t="s">
        <v>121</v>
      </c>
      <c r="G23291" s="67" t="s">
        <v>819</v>
      </c>
      <c r="H23291" s="69">
        <v>-0.81</v>
      </c>
    </row>
    <row r="23292" spans="6:8">
      <c r="F23292" s="68" t="s">
        <v>120</v>
      </c>
      <c r="G23292" s="67" t="s">
        <v>819</v>
      </c>
      <c r="H23292" s="69">
        <v>-0.88</v>
      </c>
    </row>
    <row r="23293" spans="6:8">
      <c r="F23293" s="68" t="s">
        <v>119</v>
      </c>
      <c r="G23293" s="67" t="s">
        <v>819</v>
      </c>
      <c r="H23293" s="69">
        <v>-1.135</v>
      </c>
    </row>
    <row r="23294" spans="6:8">
      <c r="F23294" s="68" t="s">
        <v>420</v>
      </c>
      <c r="G23294" s="67" t="s">
        <v>819</v>
      </c>
      <c r="H23294" s="69">
        <v>2.545479482064561</v>
      </c>
    </row>
    <row r="23295" spans="6:8">
      <c r="F23295" s="68" t="s">
        <v>314</v>
      </c>
      <c r="G23295" s="67" t="s">
        <v>819</v>
      </c>
      <c r="H23295" s="69">
        <v>-0.97</v>
      </c>
    </row>
    <row r="23296" spans="6:8">
      <c r="F23296" s="68" t="s">
        <v>252</v>
      </c>
      <c r="G23296" s="67" t="s">
        <v>819</v>
      </c>
      <c r="H23296" s="69">
        <v>0.12833333333333333</v>
      </c>
    </row>
    <row r="23297" spans="6:8">
      <c r="F23297" s="68" t="s">
        <v>124</v>
      </c>
      <c r="G23297" s="67" t="s">
        <v>819</v>
      </c>
      <c r="H23297" s="69">
        <v>-0.76</v>
      </c>
    </row>
    <row r="23298" spans="6:8">
      <c r="F23298" s="68" t="s">
        <v>123</v>
      </c>
      <c r="G23298" s="67" t="s">
        <v>819</v>
      </c>
      <c r="H23298" s="69">
        <v>-1.0449999999999999</v>
      </c>
    </row>
    <row r="23299" spans="6:8">
      <c r="F23299" s="68" t="s">
        <v>122</v>
      </c>
      <c r="G23299" s="67" t="s">
        <v>819</v>
      </c>
      <c r="H23299" s="69">
        <v>-1.1200000000000001</v>
      </c>
    </row>
    <row r="23300" spans="6:8">
      <c r="F23300" s="68" t="s">
        <v>315</v>
      </c>
      <c r="G23300" s="67" t="s">
        <v>819</v>
      </c>
      <c r="H23300" s="69">
        <v>-0.64999999999999991</v>
      </c>
    </row>
    <row r="23301" spans="6:8">
      <c r="F23301" s="68" t="s">
        <v>253</v>
      </c>
      <c r="G23301" s="67" t="s">
        <v>819</v>
      </c>
      <c r="H23301" s="69">
        <v>0.21166666666666667</v>
      </c>
    </row>
    <row r="23302" spans="6:8">
      <c r="F23302" s="68" t="s">
        <v>127</v>
      </c>
      <c r="G23302" s="67" t="s">
        <v>819</v>
      </c>
      <c r="H23302" s="69">
        <v>-0.48499999999999999</v>
      </c>
    </row>
    <row r="23303" spans="6:8">
      <c r="F23303" s="68" t="s">
        <v>126</v>
      </c>
      <c r="G23303" s="67" t="s">
        <v>819</v>
      </c>
      <c r="H23303" s="69">
        <v>-1.02</v>
      </c>
    </row>
    <row r="23304" spans="6:8">
      <c r="F23304" s="68" t="s">
        <v>125</v>
      </c>
      <c r="G23304" s="67" t="s">
        <v>819</v>
      </c>
      <c r="H23304" s="69">
        <v>-0.99500000000000011</v>
      </c>
    </row>
    <row r="23305" spans="6:8">
      <c r="F23305" s="68" t="s">
        <v>567</v>
      </c>
      <c r="G23305" s="67" t="s">
        <v>819</v>
      </c>
      <c r="H23305" s="69">
        <v>-1.4950000000000001</v>
      </c>
    </row>
    <row r="23306" spans="6:8">
      <c r="F23306" s="68" t="s">
        <v>421</v>
      </c>
      <c r="G23306" s="67" t="s">
        <v>819</v>
      </c>
      <c r="H23306" s="69">
        <v>1.307149481383485</v>
      </c>
    </row>
    <row r="23307" spans="6:8">
      <c r="F23307" s="68" t="s">
        <v>254</v>
      </c>
      <c r="G23307" s="67" t="s">
        <v>819</v>
      </c>
      <c r="H23307" s="69">
        <v>0.31333333333333335</v>
      </c>
    </row>
    <row r="23308" spans="6:8">
      <c r="F23308" s="68" t="s">
        <v>304</v>
      </c>
      <c r="G23308" s="67" t="s">
        <v>819</v>
      </c>
      <c r="H23308" s="69">
        <v>15.9375</v>
      </c>
    </row>
    <row r="23309" spans="6:8">
      <c r="F23309" s="68" t="s">
        <v>129</v>
      </c>
      <c r="G23309" s="67" t="s">
        <v>819</v>
      </c>
      <c r="H23309" s="69">
        <v>-0.73</v>
      </c>
    </row>
    <row r="23310" spans="6:8">
      <c r="F23310" s="68" t="s">
        <v>128</v>
      </c>
      <c r="G23310" s="67" t="s">
        <v>819</v>
      </c>
      <c r="H23310" s="69">
        <v>-0.96</v>
      </c>
    </row>
    <row r="23311" spans="6:8">
      <c r="F23311" s="68" t="s">
        <v>568</v>
      </c>
      <c r="G23311" s="67" t="s">
        <v>819</v>
      </c>
      <c r="H23311" s="69">
        <v>-1.02</v>
      </c>
    </row>
    <row r="23312" spans="6:8">
      <c r="F23312" s="68" t="s">
        <v>422</v>
      </c>
      <c r="G23312" s="67" t="s">
        <v>819</v>
      </c>
      <c r="H23312" s="69">
        <v>1.3122709599206583</v>
      </c>
    </row>
    <row r="23313" spans="6:8">
      <c r="F23313" s="68" t="s">
        <v>255</v>
      </c>
      <c r="G23313" s="67" t="s">
        <v>819</v>
      </c>
      <c r="H23313" s="69">
        <v>0.46</v>
      </c>
    </row>
    <row r="23314" spans="6:8">
      <c r="F23314" s="68" t="s">
        <v>303</v>
      </c>
      <c r="G23314" s="67" t="s">
        <v>819</v>
      </c>
      <c r="H23314" s="69">
        <v>15.8125</v>
      </c>
    </row>
    <row r="23315" spans="6:8">
      <c r="F23315" s="68" t="s">
        <v>131</v>
      </c>
      <c r="G23315" s="67" t="s">
        <v>819</v>
      </c>
      <c r="H23315" s="69">
        <v>-0.57499999999999996</v>
      </c>
    </row>
    <row r="23316" spans="6:8">
      <c r="F23316" s="68" t="s">
        <v>130</v>
      </c>
      <c r="G23316" s="67" t="s">
        <v>819</v>
      </c>
      <c r="H23316" s="69">
        <v>-1.165</v>
      </c>
    </row>
    <row r="23317" spans="6:8">
      <c r="F23317" s="68" t="s">
        <v>569</v>
      </c>
      <c r="G23317" s="67" t="s">
        <v>819</v>
      </c>
      <c r="H23317" s="69">
        <v>-0.64500000000000002</v>
      </c>
    </row>
    <row r="23318" spans="6:8">
      <c r="F23318" s="68" t="s">
        <v>423</v>
      </c>
      <c r="G23318" s="67" t="s">
        <v>819</v>
      </c>
      <c r="H23318" s="69">
        <v>1.6535063292129948</v>
      </c>
    </row>
    <row r="23319" spans="6:8">
      <c r="F23319" s="68" t="s">
        <v>256</v>
      </c>
      <c r="G23319" s="67" t="s">
        <v>819</v>
      </c>
      <c r="H23319" s="69">
        <v>0.60833333333333339</v>
      </c>
    </row>
    <row r="23320" spans="6:8">
      <c r="F23320" s="68" t="s">
        <v>133</v>
      </c>
      <c r="G23320" s="67" t="s">
        <v>819</v>
      </c>
      <c r="H23320" s="69">
        <v>-0.66500000000000004</v>
      </c>
    </row>
    <row r="23321" spans="6:8">
      <c r="F23321" s="68" t="s">
        <v>132</v>
      </c>
      <c r="G23321" s="67" t="s">
        <v>819</v>
      </c>
      <c r="H23321" s="69">
        <v>-1.115</v>
      </c>
    </row>
    <row r="23322" spans="6:8">
      <c r="F23322" s="68" t="s">
        <v>424</v>
      </c>
      <c r="G23322" s="67" t="s">
        <v>819</v>
      </c>
      <c r="H23322" s="69">
        <v>2.4917925201021429</v>
      </c>
    </row>
    <row r="23323" spans="6:8">
      <c r="F23323" s="68" t="s">
        <v>258</v>
      </c>
      <c r="G23323" s="67" t="s">
        <v>819</v>
      </c>
      <c r="H23323" s="69">
        <v>0.15</v>
      </c>
    </row>
    <row r="23324" spans="6:8">
      <c r="F23324" s="68" t="s">
        <v>257</v>
      </c>
      <c r="G23324" s="67" t="s">
        <v>819</v>
      </c>
      <c r="H23324" s="69">
        <v>0.74600000000000011</v>
      </c>
    </row>
    <row r="23325" spans="6:8">
      <c r="F23325" s="68" t="s">
        <v>135</v>
      </c>
      <c r="G23325" s="67" t="s">
        <v>819</v>
      </c>
      <c r="H23325" s="69">
        <v>-0.84</v>
      </c>
    </row>
    <row r="23326" spans="6:8">
      <c r="F23326" s="68" t="s">
        <v>134</v>
      </c>
      <c r="G23326" s="67" t="s">
        <v>819</v>
      </c>
      <c r="H23326" s="69">
        <v>-1.08</v>
      </c>
    </row>
    <row r="23327" spans="6:8">
      <c r="F23327" s="68" t="s">
        <v>259</v>
      </c>
      <c r="G23327" s="67" t="s">
        <v>819</v>
      </c>
      <c r="H23327" s="69">
        <v>9.6666666666666679E-2</v>
      </c>
    </row>
    <row r="23328" spans="6:8">
      <c r="F23328" s="68" t="s">
        <v>138</v>
      </c>
      <c r="G23328" s="67" t="s">
        <v>819</v>
      </c>
      <c r="H23328" s="69">
        <v>-0.84000000000000008</v>
      </c>
    </row>
    <row r="23329" spans="6:8">
      <c r="F23329" s="68" t="s">
        <v>137</v>
      </c>
      <c r="G23329" s="67" t="s">
        <v>819</v>
      </c>
      <c r="H23329" s="69">
        <v>-0.745</v>
      </c>
    </row>
    <row r="23330" spans="6:8">
      <c r="F23330" s="68" t="s">
        <v>136</v>
      </c>
      <c r="G23330" s="67" t="s">
        <v>819</v>
      </c>
      <c r="H23330" s="69">
        <v>-1.23</v>
      </c>
    </row>
    <row r="23331" spans="6:8">
      <c r="F23331" s="68" t="s">
        <v>425</v>
      </c>
      <c r="G23331" s="67" t="s">
        <v>819</v>
      </c>
      <c r="H23331" s="69">
        <v>2.4911061991812034</v>
      </c>
    </row>
    <row r="23332" spans="6:8">
      <c r="F23332" s="68" t="s">
        <v>425</v>
      </c>
      <c r="G23332" s="67" t="s">
        <v>820</v>
      </c>
      <c r="H23332" s="69">
        <v>2.5175650648188164</v>
      </c>
    </row>
    <row r="23333" spans="6:8">
      <c r="F23333" s="68" t="s">
        <v>136</v>
      </c>
      <c r="G23333" s="67" t="s">
        <v>820</v>
      </c>
      <c r="H23333" s="69">
        <v>-1.2150000000000001</v>
      </c>
    </row>
    <row r="23334" spans="6:8">
      <c r="F23334" s="68" t="s">
        <v>137</v>
      </c>
      <c r="G23334" s="67" t="s">
        <v>820</v>
      </c>
      <c r="H23334" s="69">
        <v>-0.72500000000000009</v>
      </c>
    </row>
    <row r="23335" spans="6:8">
      <c r="F23335" s="68" t="s">
        <v>138</v>
      </c>
      <c r="G23335" s="67" t="s">
        <v>820</v>
      </c>
      <c r="H23335" s="69">
        <v>-0.84000000000000008</v>
      </c>
    </row>
    <row r="23336" spans="6:8">
      <c r="F23336" s="68" t="s">
        <v>259</v>
      </c>
      <c r="G23336" s="67" t="s">
        <v>820</v>
      </c>
      <c r="H23336" s="69">
        <v>9.6666666666666679E-2</v>
      </c>
    </row>
    <row r="23337" spans="6:8">
      <c r="F23337" s="68" t="s">
        <v>134</v>
      </c>
      <c r="G23337" s="67" t="s">
        <v>820</v>
      </c>
      <c r="H23337" s="69">
        <v>-1.0649999999999999</v>
      </c>
    </row>
    <row r="23338" spans="6:8">
      <c r="F23338" s="68" t="s">
        <v>135</v>
      </c>
      <c r="G23338" s="67" t="s">
        <v>820</v>
      </c>
      <c r="H23338" s="69">
        <v>-0.83</v>
      </c>
    </row>
    <row r="23339" spans="6:8">
      <c r="F23339" s="68" t="s">
        <v>257</v>
      </c>
      <c r="G23339" s="67" t="s">
        <v>820</v>
      </c>
      <c r="H23339" s="69">
        <v>0.74600000000000011</v>
      </c>
    </row>
    <row r="23340" spans="6:8">
      <c r="F23340" s="68" t="s">
        <v>258</v>
      </c>
      <c r="G23340" s="67" t="s">
        <v>820</v>
      </c>
      <c r="H23340" s="69">
        <v>0.15</v>
      </c>
    </row>
    <row r="23341" spans="6:8">
      <c r="F23341" s="68" t="s">
        <v>424</v>
      </c>
      <c r="G23341" s="67" t="s">
        <v>820</v>
      </c>
      <c r="H23341" s="69">
        <v>2.521706561483672</v>
      </c>
    </row>
    <row r="23342" spans="6:8">
      <c r="F23342" s="68" t="s">
        <v>132</v>
      </c>
      <c r="G23342" s="67" t="s">
        <v>820</v>
      </c>
      <c r="H23342" s="69">
        <v>-1.0950000000000002</v>
      </c>
    </row>
    <row r="23343" spans="6:8">
      <c r="F23343" s="68" t="s">
        <v>133</v>
      </c>
      <c r="G23343" s="67" t="s">
        <v>820</v>
      </c>
      <c r="H23343" s="69">
        <v>-0.65500000000000003</v>
      </c>
    </row>
    <row r="23344" spans="6:8">
      <c r="F23344" s="68" t="s">
        <v>256</v>
      </c>
      <c r="G23344" s="67" t="s">
        <v>820</v>
      </c>
      <c r="H23344" s="69">
        <v>0.62</v>
      </c>
    </row>
    <row r="23345" spans="6:8">
      <c r="F23345" s="68" t="s">
        <v>423</v>
      </c>
      <c r="G23345" s="67" t="s">
        <v>820</v>
      </c>
      <c r="H23345" s="69">
        <v>1.693812237004666</v>
      </c>
    </row>
    <row r="23346" spans="6:8">
      <c r="F23346" s="68" t="s">
        <v>569</v>
      </c>
      <c r="G23346" s="67" t="s">
        <v>820</v>
      </c>
      <c r="H23346" s="69">
        <v>-0.61</v>
      </c>
    </row>
    <row r="23347" spans="6:8">
      <c r="F23347" s="68" t="s">
        <v>130</v>
      </c>
      <c r="G23347" s="67" t="s">
        <v>820</v>
      </c>
      <c r="H23347" s="69">
        <v>-1.1499999999999999</v>
      </c>
    </row>
    <row r="23348" spans="6:8">
      <c r="F23348" s="68" t="s">
        <v>131</v>
      </c>
      <c r="G23348" s="67" t="s">
        <v>820</v>
      </c>
      <c r="H23348" s="69">
        <v>-0.57000000000000006</v>
      </c>
    </row>
    <row r="23349" spans="6:8">
      <c r="F23349" s="68" t="s">
        <v>303</v>
      </c>
      <c r="G23349" s="67" t="s">
        <v>820</v>
      </c>
      <c r="H23349" s="69">
        <v>15.75</v>
      </c>
    </row>
    <row r="23350" spans="6:8">
      <c r="F23350" s="68" t="s">
        <v>255</v>
      </c>
      <c r="G23350" s="67" t="s">
        <v>820</v>
      </c>
      <c r="H23350" s="69">
        <v>0.46</v>
      </c>
    </row>
    <row r="23351" spans="6:8">
      <c r="F23351" s="68" t="s">
        <v>422</v>
      </c>
      <c r="G23351" s="67" t="s">
        <v>820</v>
      </c>
      <c r="H23351" s="69">
        <v>1.1771489054619888</v>
      </c>
    </row>
    <row r="23352" spans="6:8">
      <c r="F23352" s="68" t="s">
        <v>568</v>
      </c>
      <c r="G23352" s="67" t="s">
        <v>820</v>
      </c>
      <c r="H23352" s="69">
        <v>-0.98</v>
      </c>
    </row>
    <row r="23353" spans="6:8">
      <c r="F23353" s="68" t="s">
        <v>128</v>
      </c>
      <c r="G23353" s="67" t="s">
        <v>820</v>
      </c>
      <c r="H23353" s="69">
        <v>-0.94499999999999995</v>
      </c>
    </row>
    <row r="23354" spans="6:8">
      <c r="F23354" s="68" t="s">
        <v>129</v>
      </c>
      <c r="G23354" s="67" t="s">
        <v>820</v>
      </c>
      <c r="H23354" s="69">
        <v>-0.72</v>
      </c>
    </row>
    <row r="23355" spans="6:8">
      <c r="F23355" s="68" t="s">
        <v>304</v>
      </c>
      <c r="G23355" s="67" t="s">
        <v>820</v>
      </c>
      <c r="H23355" s="69">
        <v>15.916666666666668</v>
      </c>
    </row>
    <row r="23356" spans="6:8">
      <c r="F23356" s="68" t="s">
        <v>254</v>
      </c>
      <c r="G23356" s="67" t="s">
        <v>820</v>
      </c>
      <c r="H23356" s="69">
        <v>0.31333333333333335</v>
      </c>
    </row>
    <row r="23357" spans="6:8">
      <c r="F23357" s="68" t="s">
        <v>421</v>
      </c>
      <c r="G23357" s="67" t="s">
        <v>820</v>
      </c>
      <c r="H23357" s="69">
        <v>1.1719402697471626</v>
      </c>
    </row>
    <row r="23358" spans="6:8">
      <c r="F23358" s="68" t="s">
        <v>567</v>
      </c>
      <c r="G23358" s="67" t="s">
        <v>820</v>
      </c>
      <c r="H23358" s="69">
        <v>-1.4649999999999999</v>
      </c>
    </row>
    <row r="23359" spans="6:8">
      <c r="F23359" s="68" t="s">
        <v>125</v>
      </c>
      <c r="G23359" s="67" t="s">
        <v>820</v>
      </c>
      <c r="H23359" s="69">
        <v>-0.97</v>
      </c>
    </row>
    <row r="23360" spans="6:8">
      <c r="F23360" s="68" t="s">
        <v>126</v>
      </c>
      <c r="G23360" s="67" t="s">
        <v>820</v>
      </c>
      <c r="H23360" s="69">
        <v>-1</v>
      </c>
    </row>
    <row r="23361" spans="6:8">
      <c r="F23361" s="68" t="s">
        <v>127</v>
      </c>
      <c r="G23361" s="67" t="s">
        <v>820</v>
      </c>
      <c r="H23361" s="69">
        <v>-0.47499999999999998</v>
      </c>
    </row>
    <row r="23362" spans="6:8">
      <c r="F23362" s="68" t="s">
        <v>253</v>
      </c>
      <c r="G23362" s="67" t="s">
        <v>820</v>
      </c>
      <c r="H23362" s="69">
        <v>0.22</v>
      </c>
    </row>
    <row r="23363" spans="6:8">
      <c r="F23363" s="68" t="s">
        <v>315</v>
      </c>
      <c r="G23363" s="67" t="s">
        <v>820</v>
      </c>
      <c r="H23363" s="69">
        <v>-0.61499999999999999</v>
      </c>
    </row>
    <row r="23364" spans="6:8">
      <c r="F23364" s="68" t="s">
        <v>122</v>
      </c>
      <c r="G23364" s="67" t="s">
        <v>820</v>
      </c>
      <c r="H23364" s="69">
        <v>-1.1000000000000001</v>
      </c>
    </row>
    <row r="23365" spans="6:8">
      <c r="F23365" s="68" t="s">
        <v>123</v>
      </c>
      <c r="G23365" s="67" t="s">
        <v>820</v>
      </c>
      <c r="H23365" s="69">
        <v>-1.0249999999999999</v>
      </c>
    </row>
    <row r="23366" spans="6:8">
      <c r="F23366" s="68" t="s">
        <v>124</v>
      </c>
      <c r="G23366" s="67" t="s">
        <v>820</v>
      </c>
      <c r="H23366" s="69">
        <v>-0.76</v>
      </c>
    </row>
    <row r="23367" spans="6:8">
      <c r="F23367" s="68" t="s">
        <v>252</v>
      </c>
      <c r="G23367" s="67" t="s">
        <v>820</v>
      </c>
      <c r="H23367" s="69">
        <v>0.12833333333333333</v>
      </c>
    </row>
    <row r="23368" spans="6:8">
      <c r="F23368" s="68" t="s">
        <v>314</v>
      </c>
      <c r="G23368" s="67" t="s">
        <v>820</v>
      </c>
      <c r="H23368" s="69">
        <v>-0.92999999999999994</v>
      </c>
    </row>
    <row r="23369" spans="6:8">
      <c r="F23369" s="68" t="s">
        <v>420</v>
      </c>
      <c r="G23369" s="67" t="s">
        <v>820</v>
      </c>
      <c r="H23369" s="69">
        <v>2.5573717918142336</v>
      </c>
    </row>
    <row r="23370" spans="6:8">
      <c r="F23370" s="68" t="s">
        <v>119</v>
      </c>
      <c r="G23370" s="67" t="s">
        <v>820</v>
      </c>
      <c r="H23370" s="69">
        <v>-1.115</v>
      </c>
    </row>
    <row r="23371" spans="6:8">
      <c r="F23371" s="68" t="s">
        <v>120</v>
      </c>
      <c r="G23371" s="67" t="s">
        <v>820</v>
      </c>
      <c r="H23371" s="69">
        <v>-0.86499999999999999</v>
      </c>
    </row>
    <row r="23372" spans="6:8">
      <c r="F23372" s="68" t="s">
        <v>121</v>
      </c>
      <c r="G23372" s="67" t="s">
        <v>820</v>
      </c>
      <c r="H23372" s="69">
        <v>-0.81</v>
      </c>
    </row>
    <row r="23373" spans="6:8">
      <c r="F23373" s="68" t="s">
        <v>251</v>
      </c>
      <c r="G23373" s="67" t="s">
        <v>820</v>
      </c>
      <c r="H23373" s="69">
        <v>0.10666666666666669</v>
      </c>
    </row>
    <row r="23374" spans="6:8">
      <c r="F23374" s="68" t="s">
        <v>251</v>
      </c>
      <c r="G23374" s="67" t="s">
        <v>821</v>
      </c>
      <c r="H23374" s="69">
        <v>0.11000000000000003</v>
      </c>
    </row>
    <row r="23375" spans="6:8">
      <c r="F23375" s="68" t="s">
        <v>121</v>
      </c>
      <c r="G23375" s="67" t="s">
        <v>821</v>
      </c>
      <c r="H23375" s="69">
        <v>-0.81</v>
      </c>
    </row>
    <row r="23376" spans="6:8">
      <c r="F23376" s="68" t="s">
        <v>120</v>
      </c>
      <c r="G23376" s="67" t="s">
        <v>821</v>
      </c>
      <c r="H23376" s="69">
        <v>-0.86</v>
      </c>
    </row>
    <row r="23377" spans="6:8">
      <c r="F23377" s="68" t="s">
        <v>119</v>
      </c>
      <c r="G23377" s="67" t="s">
        <v>821</v>
      </c>
      <c r="H23377" s="69">
        <v>-1.1099999999999999</v>
      </c>
    </row>
    <row r="23378" spans="6:8">
      <c r="F23378" s="68" t="s">
        <v>420</v>
      </c>
      <c r="G23378" s="67" t="s">
        <v>821</v>
      </c>
      <c r="H23378" s="69">
        <v>2.6084944348331085</v>
      </c>
    </row>
    <row r="23379" spans="6:8">
      <c r="F23379" s="68" t="s">
        <v>314</v>
      </c>
      <c r="G23379" s="67" t="s">
        <v>821</v>
      </c>
      <c r="H23379" s="69">
        <v>-0.92500000000000004</v>
      </c>
    </row>
    <row r="23380" spans="6:8">
      <c r="F23380" s="68" t="s">
        <v>252</v>
      </c>
      <c r="G23380" s="67" t="s">
        <v>821</v>
      </c>
      <c r="H23380" s="69">
        <v>0.13500000000000001</v>
      </c>
    </row>
    <row r="23381" spans="6:8">
      <c r="F23381" s="68" t="s">
        <v>124</v>
      </c>
      <c r="G23381" s="67" t="s">
        <v>821</v>
      </c>
      <c r="H23381" s="69">
        <v>-0.76</v>
      </c>
    </row>
    <row r="23382" spans="6:8">
      <c r="F23382" s="68" t="s">
        <v>123</v>
      </c>
      <c r="G23382" s="67" t="s">
        <v>821</v>
      </c>
      <c r="H23382" s="69">
        <v>-1.02</v>
      </c>
    </row>
    <row r="23383" spans="6:8">
      <c r="F23383" s="68" t="s">
        <v>122</v>
      </c>
      <c r="G23383" s="67" t="s">
        <v>821</v>
      </c>
      <c r="H23383" s="69">
        <v>-1.095</v>
      </c>
    </row>
    <row r="23384" spans="6:8">
      <c r="F23384" s="68" t="s">
        <v>315</v>
      </c>
      <c r="G23384" s="67" t="s">
        <v>821</v>
      </c>
      <c r="H23384" s="69">
        <v>-0.61</v>
      </c>
    </row>
    <row r="23385" spans="6:8">
      <c r="F23385" s="68" t="s">
        <v>253</v>
      </c>
      <c r="G23385" s="67" t="s">
        <v>821</v>
      </c>
      <c r="H23385" s="69">
        <v>0.215</v>
      </c>
    </row>
    <row r="23386" spans="6:8">
      <c r="F23386" s="68" t="s">
        <v>127</v>
      </c>
      <c r="G23386" s="67" t="s">
        <v>821</v>
      </c>
      <c r="H23386" s="69">
        <v>-0.47</v>
      </c>
    </row>
    <row r="23387" spans="6:8">
      <c r="F23387" s="68" t="s">
        <v>126</v>
      </c>
      <c r="G23387" s="67" t="s">
        <v>821</v>
      </c>
      <c r="H23387" s="69">
        <v>-0.995</v>
      </c>
    </row>
    <row r="23388" spans="6:8">
      <c r="F23388" s="68" t="s">
        <v>125</v>
      </c>
      <c r="G23388" s="67" t="s">
        <v>821</v>
      </c>
      <c r="H23388" s="69">
        <v>-0.96500000000000008</v>
      </c>
    </row>
    <row r="23389" spans="6:8">
      <c r="F23389" s="68" t="s">
        <v>567</v>
      </c>
      <c r="G23389" s="67" t="s">
        <v>821</v>
      </c>
      <c r="H23389" s="69">
        <v>-1.4550000000000001</v>
      </c>
    </row>
    <row r="23390" spans="6:8">
      <c r="F23390" s="68" t="s">
        <v>421</v>
      </c>
      <c r="G23390" s="67" t="s">
        <v>821</v>
      </c>
      <c r="H23390" s="69">
        <v>1.2587085293676026</v>
      </c>
    </row>
    <row r="23391" spans="6:8">
      <c r="F23391" s="68" t="s">
        <v>254</v>
      </c>
      <c r="G23391" s="67" t="s">
        <v>821</v>
      </c>
      <c r="H23391" s="69">
        <v>0.3116666666666667</v>
      </c>
    </row>
    <row r="23392" spans="6:8">
      <c r="F23392" s="68" t="s">
        <v>304</v>
      </c>
      <c r="G23392" s="67" t="s">
        <v>821</v>
      </c>
      <c r="H23392" s="69">
        <v>15.9375</v>
      </c>
    </row>
    <row r="23393" spans="6:8">
      <c r="F23393" s="68" t="s">
        <v>129</v>
      </c>
      <c r="G23393" s="67" t="s">
        <v>821</v>
      </c>
      <c r="H23393" s="69">
        <v>-0.71500000000000008</v>
      </c>
    </row>
    <row r="23394" spans="6:8">
      <c r="F23394" s="68" t="s">
        <v>128</v>
      </c>
      <c r="G23394" s="67" t="s">
        <v>821</v>
      </c>
      <c r="H23394" s="69">
        <v>-0.94</v>
      </c>
    </row>
    <row r="23395" spans="6:8">
      <c r="F23395" s="68" t="s">
        <v>568</v>
      </c>
      <c r="G23395" s="67" t="s">
        <v>821</v>
      </c>
      <c r="H23395" s="69">
        <v>-0.97500000000000009</v>
      </c>
    </row>
    <row r="23396" spans="6:8">
      <c r="F23396" s="68" t="s">
        <v>422</v>
      </c>
      <c r="G23396" s="67" t="s">
        <v>821</v>
      </c>
      <c r="H23396" s="69">
        <v>1.2640891103074647</v>
      </c>
    </row>
    <row r="23397" spans="6:8">
      <c r="F23397" s="68" t="s">
        <v>255</v>
      </c>
      <c r="G23397" s="67" t="s">
        <v>821</v>
      </c>
      <c r="H23397" s="69">
        <v>0.45833333333333331</v>
      </c>
    </row>
    <row r="23398" spans="6:8">
      <c r="F23398" s="68" t="s">
        <v>303</v>
      </c>
      <c r="G23398" s="67" t="s">
        <v>821</v>
      </c>
      <c r="H23398" s="69">
        <v>15.833333333333334</v>
      </c>
    </row>
    <row r="23399" spans="6:8">
      <c r="F23399" s="68" t="s">
        <v>131</v>
      </c>
      <c r="G23399" s="67" t="s">
        <v>821</v>
      </c>
      <c r="H23399" s="69">
        <v>-0.57000000000000006</v>
      </c>
    </row>
    <row r="23400" spans="6:8">
      <c r="F23400" s="68" t="s">
        <v>130</v>
      </c>
      <c r="G23400" s="67" t="s">
        <v>821</v>
      </c>
      <c r="H23400" s="69">
        <v>-1.145</v>
      </c>
    </row>
    <row r="23401" spans="6:8">
      <c r="F23401" s="68" t="s">
        <v>569</v>
      </c>
      <c r="G23401" s="67" t="s">
        <v>821</v>
      </c>
      <c r="H23401" s="69">
        <v>-0.60499999999999998</v>
      </c>
    </row>
    <row r="23402" spans="6:8">
      <c r="F23402" s="68" t="s">
        <v>423</v>
      </c>
      <c r="G23402" s="67" t="s">
        <v>821</v>
      </c>
      <c r="H23402" s="69">
        <v>1.7517051761432256</v>
      </c>
    </row>
    <row r="23403" spans="6:8">
      <c r="F23403" s="68" t="s">
        <v>256</v>
      </c>
      <c r="G23403" s="67" t="s">
        <v>821</v>
      </c>
      <c r="H23403" s="69">
        <v>0.61166666666666669</v>
      </c>
    </row>
    <row r="23404" spans="6:8">
      <c r="F23404" s="68" t="s">
        <v>133</v>
      </c>
      <c r="G23404" s="67" t="s">
        <v>821</v>
      </c>
      <c r="H23404" s="69">
        <v>-0.64999999999999991</v>
      </c>
    </row>
    <row r="23405" spans="6:8">
      <c r="F23405" s="68" t="s">
        <v>132</v>
      </c>
      <c r="G23405" s="67" t="s">
        <v>821</v>
      </c>
      <c r="H23405" s="69">
        <v>-1.0900000000000001</v>
      </c>
    </row>
    <row r="23406" spans="6:8">
      <c r="F23406" s="68" t="s">
        <v>424</v>
      </c>
      <c r="G23406" s="67" t="s">
        <v>821</v>
      </c>
      <c r="H23406" s="69">
        <v>2.5689048182628405</v>
      </c>
    </row>
    <row r="23407" spans="6:8">
      <c r="F23407" s="68" t="s">
        <v>258</v>
      </c>
      <c r="G23407" s="67" t="s">
        <v>821</v>
      </c>
      <c r="H23407" s="69">
        <v>0.15</v>
      </c>
    </row>
    <row r="23408" spans="6:8">
      <c r="F23408" s="68" t="s">
        <v>257</v>
      </c>
      <c r="G23408" s="67" t="s">
        <v>821</v>
      </c>
      <c r="H23408" s="69">
        <v>0.746</v>
      </c>
    </row>
    <row r="23409" spans="6:8">
      <c r="F23409" s="68" t="s">
        <v>135</v>
      </c>
      <c r="G23409" s="67" t="s">
        <v>821</v>
      </c>
      <c r="H23409" s="69">
        <v>-0.83</v>
      </c>
    </row>
    <row r="23410" spans="6:8">
      <c r="F23410" s="68" t="s">
        <v>134</v>
      </c>
      <c r="G23410" s="67" t="s">
        <v>821</v>
      </c>
      <c r="H23410" s="69">
        <v>-1.06</v>
      </c>
    </row>
    <row r="23411" spans="6:8">
      <c r="F23411" s="68" t="s">
        <v>259</v>
      </c>
      <c r="G23411" s="67" t="s">
        <v>821</v>
      </c>
      <c r="H23411" s="69">
        <v>0.10000000000000002</v>
      </c>
    </row>
    <row r="23412" spans="6:8">
      <c r="F23412" s="68" t="s">
        <v>138</v>
      </c>
      <c r="G23412" s="67" t="s">
        <v>821</v>
      </c>
      <c r="H23412" s="69">
        <v>-0.84000000000000008</v>
      </c>
    </row>
    <row r="23413" spans="6:8">
      <c r="F23413" s="68" t="s">
        <v>137</v>
      </c>
      <c r="G23413" s="67" t="s">
        <v>821</v>
      </c>
      <c r="H23413" s="69">
        <v>-0.72</v>
      </c>
    </row>
    <row r="23414" spans="6:8">
      <c r="F23414" s="68" t="s">
        <v>136</v>
      </c>
      <c r="G23414" s="67" t="s">
        <v>821</v>
      </c>
      <c r="H23414" s="69">
        <v>-1.21</v>
      </c>
    </row>
    <row r="23415" spans="6:8">
      <c r="F23415" s="68" t="s">
        <v>425</v>
      </c>
      <c r="G23415" s="67" t="s">
        <v>821</v>
      </c>
      <c r="H23415" s="69">
        <v>2.5660259321592438</v>
      </c>
    </row>
    <row r="23416" spans="6:8">
      <c r="F23416" s="68" t="s">
        <v>425</v>
      </c>
      <c r="G23416" s="67" t="s">
        <v>822</v>
      </c>
      <c r="H23416" s="69">
        <v>2.5709186659547356</v>
      </c>
    </row>
    <row r="23417" spans="6:8">
      <c r="F23417" s="68" t="s">
        <v>136</v>
      </c>
      <c r="G23417" s="67" t="s">
        <v>822</v>
      </c>
      <c r="H23417" s="69">
        <v>-1.2000000000000002</v>
      </c>
    </row>
    <row r="23418" spans="6:8">
      <c r="F23418" s="68" t="s">
        <v>137</v>
      </c>
      <c r="G23418" s="67" t="s">
        <v>822</v>
      </c>
      <c r="H23418" s="69">
        <v>-0.71</v>
      </c>
    </row>
    <row r="23419" spans="6:8">
      <c r="F23419" s="68" t="s">
        <v>138</v>
      </c>
      <c r="G23419" s="67" t="s">
        <v>822</v>
      </c>
      <c r="H23419" s="69">
        <v>-0.84000000000000008</v>
      </c>
    </row>
    <row r="23420" spans="6:8">
      <c r="F23420" s="68" t="s">
        <v>259</v>
      </c>
      <c r="G23420" s="67" t="s">
        <v>822</v>
      </c>
      <c r="H23420" s="69">
        <v>0.10000000000000002</v>
      </c>
    </row>
    <row r="23421" spans="6:8">
      <c r="F23421" s="68" t="s">
        <v>134</v>
      </c>
      <c r="G23421" s="67" t="s">
        <v>822</v>
      </c>
      <c r="H23421" s="69">
        <v>-1.0550000000000002</v>
      </c>
    </row>
    <row r="23422" spans="6:8">
      <c r="F23422" s="68" t="s">
        <v>135</v>
      </c>
      <c r="G23422" s="67" t="s">
        <v>822</v>
      </c>
      <c r="H23422" s="69">
        <v>-0.82499999999999996</v>
      </c>
    </row>
    <row r="23423" spans="6:8">
      <c r="F23423" s="68" t="s">
        <v>257</v>
      </c>
      <c r="G23423" s="67" t="s">
        <v>822</v>
      </c>
      <c r="H23423" s="69">
        <v>0.746</v>
      </c>
    </row>
    <row r="23424" spans="6:8">
      <c r="F23424" s="68" t="s">
        <v>258</v>
      </c>
      <c r="G23424" s="67" t="s">
        <v>822</v>
      </c>
      <c r="H23424" s="69">
        <v>0.15</v>
      </c>
    </row>
    <row r="23425" spans="6:8">
      <c r="F23425" s="68" t="s">
        <v>424</v>
      </c>
      <c r="G23425" s="67" t="s">
        <v>822</v>
      </c>
      <c r="H23425" s="69">
        <v>2.574426559523646</v>
      </c>
    </row>
    <row r="23426" spans="6:8">
      <c r="F23426" s="68" t="s">
        <v>132</v>
      </c>
      <c r="G23426" s="67" t="s">
        <v>822</v>
      </c>
      <c r="H23426" s="69">
        <v>-1.08</v>
      </c>
    </row>
    <row r="23427" spans="6:8">
      <c r="F23427" s="68" t="s">
        <v>133</v>
      </c>
      <c r="G23427" s="67" t="s">
        <v>822</v>
      </c>
      <c r="H23427" s="69">
        <v>-0.64500000000000002</v>
      </c>
    </row>
    <row r="23428" spans="6:8">
      <c r="F23428" s="68" t="s">
        <v>256</v>
      </c>
      <c r="G23428" s="67" t="s">
        <v>822</v>
      </c>
      <c r="H23428" s="69">
        <v>0.62</v>
      </c>
    </row>
    <row r="23429" spans="6:8">
      <c r="F23429" s="68" t="s">
        <v>423</v>
      </c>
      <c r="G23429" s="67" t="s">
        <v>822</v>
      </c>
      <c r="H23429" s="69">
        <v>1.7818278687257383</v>
      </c>
    </row>
    <row r="23430" spans="6:8">
      <c r="F23430" s="68" t="s">
        <v>569</v>
      </c>
      <c r="G23430" s="67" t="s">
        <v>822</v>
      </c>
      <c r="H23430" s="69">
        <v>-0.59</v>
      </c>
    </row>
    <row r="23431" spans="6:8">
      <c r="F23431" s="68" t="s">
        <v>130</v>
      </c>
      <c r="G23431" s="67" t="s">
        <v>822</v>
      </c>
      <c r="H23431" s="69">
        <v>-1.135</v>
      </c>
    </row>
    <row r="23432" spans="6:8">
      <c r="F23432" s="68" t="s">
        <v>131</v>
      </c>
      <c r="G23432" s="67" t="s">
        <v>822</v>
      </c>
      <c r="H23432" s="69">
        <v>-0.56499999999999995</v>
      </c>
    </row>
    <row r="23433" spans="6:8">
      <c r="F23433" s="68" t="s">
        <v>303</v>
      </c>
      <c r="G23433" s="67" t="s">
        <v>822</v>
      </c>
      <c r="H23433" s="69">
        <v>15.885416666666668</v>
      </c>
    </row>
    <row r="23434" spans="6:8">
      <c r="F23434" s="68" t="s">
        <v>255</v>
      </c>
      <c r="G23434" s="67" t="s">
        <v>822</v>
      </c>
      <c r="H23434" s="69">
        <v>0.47</v>
      </c>
    </row>
    <row r="23435" spans="6:8">
      <c r="F23435" s="68" t="s">
        <v>422</v>
      </c>
      <c r="G23435" s="67" t="s">
        <v>822</v>
      </c>
      <c r="H23435" s="69">
        <v>1.3167631340638586</v>
      </c>
    </row>
    <row r="23436" spans="6:8">
      <c r="F23436" s="68" t="s">
        <v>568</v>
      </c>
      <c r="G23436" s="67" t="s">
        <v>822</v>
      </c>
      <c r="H23436" s="69">
        <v>-0.96</v>
      </c>
    </row>
    <row r="23437" spans="6:8">
      <c r="F23437" s="68" t="s">
        <v>128</v>
      </c>
      <c r="G23437" s="67" t="s">
        <v>822</v>
      </c>
      <c r="H23437" s="69">
        <v>-0.92999999999999994</v>
      </c>
    </row>
    <row r="23438" spans="6:8">
      <c r="F23438" s="68" t="s">
        <v>129</v>
      </c>
      <c r="G23438" s="67" t="s">
        <v>822</v>
      </c>
      <c r="H23438" s="69">
        <v>-0.71</v>
      </c>
    </row>
    <row r="23439" spans="6:8">
      <c r="F23439" s="68" t="s">
        <v>304</v>
      </c>
      <c r="G23439" s="67" t="s">
        <v>822</v>
      </c>
      <c r="H23439" s="69">
        <v>15.989583333333332</v>
      </c>
    </row>
    <row r="23440" spans="6:8">
      <c r="F23440" s="68" t="s">
        <v>254</v>
      </c>
      <c r="G23440" s="67" t="s">
        <v>822</v>
      </c>
      <c r="H23440" s="69">
        <v>0.32</v>
      </c>
    </row>
    <row r="23441" spans="6:8">
      <c r="F23441" s="68" t="s">
        <v>421</v>
      </c>
      <c r="G23441" s="67" t="s">
        <v>822</v>
      </c>
      <c r="H23441" s="69">
        <v>1.3113640280209893</v>
      </c>
    </row>
    <row r="23442" spans="6:8">
      <c r="F23442" s="68" t="s">
        <v>567</v>
      </c>
      <c r="G23442" s="67" t="s">
        <v>822</v>
      </c>
      <c r="H23442" s="69">
        <v>-1.44</v>
      </c>
    </row>
    <row r="23443" spans="6:8">
      <c r="F23443" s="68" t="s">
        <v>125</v>
      </c>
      <c r="G23443" s="67" t="s">
        <v>822</v>
      </c>
      <c r="H23443" s="69">
        <v>-0.95</v>
      </c>
    </row>
    <row r="23444" spans="6:8">
      <c r="F23444" s="68" t="s">
        <v>126</v>
      </c>
      <c r="G23444" s="67" t="s">
        <v>822</v>
      </c>
      <c r="H23444" s="69">
        <v>-0.98499999999999999</v>
      </c>
    </row>
    <row r="23445" spans="6:8">
      <c r="F23445" s="68" t="s">
        <v>127</v>
      </c>
      <c r="G23445" s="67" t="s">
        <v>822</v>
      </c>
      <c r="H23445" s="69">
        <v>-0.45999999999999996</v>
      </c>
    </row>
    <row r="23446" spans="6:8">
      <c r="F23446" s="68" t="s">
        <v>253</v>
      </c>
      <c r="G23446" s="67" t="s">
        <v>822</v>
      </c>
      <c r="H23446" s="69">
        <v>0.215</v>
      </c>
    </row>
    <row r="23447" spans="6:8">
      <c r="F23447" s="68" t="s">
        <v>315</v>
      </c>
      <c r="G23447" s="67" t="s">
        <v>822</v>
      </c>
      <c r="H23447" s="69">
        <v>-0.59499999999999997</v>
      </c>
    </row>
    <row r="23448" spans="6:8">
      <c r="F23448" s="68" t="s">
        <v>122</v>
      </c>
      <c r="G23448" s="67" t="s">
        <v>822</v>
      </c>
      <c r="H23448" s="69">
        <v>-1.08</v>
      </c>
    </row>
    <row r="23449" spans="6:8">
      <c r="F23449" s="68" t="s">
        <v>123</v>
      </c>
      <c r="G23449" s="67" t="s">
        <v>822</v>
      </c>
      <c r="H23449" s="69">
        <v>-1.01</v>
      </c>
    </row>
    <row r="23450" spans="6:8">
      <c r="F23450" s="68" t="s">
        <v>124</v>
      </c>
      <c r="G23450" s="67" t="s">
        <v>822</v>
      </c>
      <c r="H23450" s="69">
        <v>-0.76</v>
      </c>
    </row>
    <row r="23451" spans="6:8">
      <c r="F23451" s="68" t="s">
        <v>252</v>
      </c>
      <c r="G23451" s="67" t="s">
        <v>822</v>
      </c>
      <c r="H23451" s="69">
        <v>0.13500000000000001</v>
      </c>
    </row>
    <row r="23452" spans="6:8">
      <c r="F23452" s="68" t="s">
        <v>314</v>
      </c>
      <c r="G23452" s="67" t="s">
        <v>822</v>
      </c>
      <c r="H23452" s="69">
        <v>-0.90500000000000003</v>
      </c>
    </row>
    <row r="23453" spans="6:8">
      <c r="F23453" s="68" t="s">
        <v>420</v>
      </c>
      <c r="G23453" s="67" t="s">
        <v>822</v>
      </c>
      <c r="H23453" s="69">
        <v>2.6170205733531571</v>
      </c>
    </row>
    <row r="23454" spans="6:8">
      <c r="F23454" s="68" t="s">
        <v>119</v>
      </c>
      <c r="G23454" s="67" t="s">
        <v>822</v>
      </c>
      <c r="H23454" s="69">
        <v>-1.095</v>
      </c>
    </row>
    <row r="23455" spans="6:8">
      <c r="F23455" s="68" t="s">
        <v>120</v>
      </c>
      <c r="G23455" s="67" t="s">
        <v>822</v>
      </c>
      <c r="H23455" s="69">
        <v>-0.85</v>
      </c>
    </row>
    <row r="23456" spans="6:8">
      <c r="F23456" s="68" t="s">
        <v>121</v>
      </c>
      <c r="G23456" s="67" t="s">
        <v>822</v>
      </c>
      <c r="H23456" s="69">
        <v>-0.81</v>
      </c>
    </row>
    <row r="23457" spans="6:8">
      <c r="F23457" s="68" t="s">
        <v>251</v>
      </c>
      <c r="G23457" s="67" t="s">
        <v>822</v>
      </c>
      <c r="H23457" s="69">
        <v>0.11000000000000003</v>
      </c>
    </row>
    <row r="23458" spans="6:8">
      <c r="F23458" s="68" t="s">
        <v>251</v>
      </c>
      <c r="G23458" s="67" t="s">
        <v>823</v>
      </c>
      <c r="H23458" s="69">
        <v>0.11000000000000003</v>
      </c>
    </row>
    <row r="23459" spans="6:8">
      <c r="F23459" s="68" t="s">
        <v>121</v>
      </c>
      <c r="G23459" s="67" t="s">
        <v>823</v>
      </c>
      <c r="H23459" s="69">
        <v>-0.81</v>
      </c>
    </row>
    <row r="23460" spans="6:8">
      <c r="F23460" s="68" t="s">
        <v>120</v>
      </c>
      <c r="G23460" s="67" t="s">
        <v>823</v>
      </c>
      <c r="H23460" s="69">
        <v>-0.84000000000000008</v>
      </c>
    </row>
    <row r="23461" spans="6:8">
      <c r="F23461" s="68" t="s">
        <v>119</v>
      </c>
      <c r="G23461" s="67" t="s">
        <v>823</v>
      </c>
      <c r="H23461" s="69">
        <v>-1.0899999999999999</v>
      </c>
    </row>
    <row r="23462" spans="6:8">
      <c r="F23462" s="68" t="s">
        <v>420</v>
      </c>
      <c r="G23462" s="67" t="s">
        <v>823</v>
      </c>
      <c r="H23462" s="69">
        <v>2.5688065849413189</v>
      </c>
    </row>
    <row r="23463" spans="6:8">
      <c r="F23463" s="68" t="s">
        <v>314</v>
      </c>
      <c r="G23463" s="67" t="s">
        <v>823</v>
      </c>
      <c r="H23463" s="69">
        <v>-0.89500000000000002</v>
      </c>
    </row>
    <row r="23464" spans="6:8">
      <c r="F23464" s="68" t="s">
        <v>252</v>
      </c>
      <c r="G23464" s="67" t="s">
        <v>823</v>
      </c>
      <c r="H23464" s="69">
        <v>0.13500000000000001</v>
      </c>
    </row>
    <row r="23465" spans="6:8">
      <c r="F23465" s="68" t="s">
        <v>124</v>
      </c>
      <c r="G23465" s="67" t="s">
        <v>823</v>
      </c>
      <c r="H23465" s="69">
        <v>-0.76</v>
      </c>
    </row>
    <row r="23466" spans="6:8">
      <c r="F23466" s="68" t="s">
        <v>123</v>
      </c>
      <c r="G23466" s="67" t="s">
        <v>823</v>
      </c>
      <c r="H23466" s="69">
        <v>-1</v>
      </c>
    </row>
    <row r="23467" spans="6:8">
      <c r="F23467" s="68" t="s">
        <v>122</v>
      </c>
      <c r="G23467" s="67" t="s">
        <v>823</v>
      </c>
      <c r="H23467" s="69">
        <v>-1.0750000000000002</v>
      </c>
    </row>
    <row r="23468" spans="6:8">
      <c r="F23468" s="68" t="s">
        <v>315</v>
      </c>
      <c r="G23468" s="67" t="s">
        <v>823</v>
      </c>
      <c r="H23468" s="69">
        <v>-0.59</v>
      </c>
    </row>
    <row r="23469" spans="6:8">
      <c r="F23469" s="68" t="s">
        <v>253</v>
      </c>
      <c r="G23469" s="67" t="s">
        <v>823</v>
      </c>
      <c r="H23469" s="69">
        <v>0.215</v>
      </c>
    </row>
    <row r="23470" spans="6:8">
      <c r="F23470" s="68" t="s">
        <v>127</v>
      </c>
      <c r="G23470" s="67" t="s">
        <v>823</v>
      </c>
      <c r="H23470" s="69">
        <v>-0.45499999999999996</v>
      </c>
    </row>
    <row r="23471" spans="6:8">
      <c r="F23471" s="68" t="s">
        <v>126</v>
      </c>
      <c r="G23471" s="67" t="s">
        <v>823</v>
      </c>
      <c r="H23471" s="69">
        <v>-0.97499999999999998</v>
      </c>
    </row>
    <row r="23472" spans="6:8">
      <c r="F23472" s="68" t="s">
        <v>125</v>
      </c>
      <c r="G23472" s="67" t="s">
        <v>823</v>
      </c>
      <c r="H23472" s="69">
        <v>-0.94500000000000006</v>
      </c>
    </row>
    <row r="23473" spans="6:8">
      <c r="F23473" s="68" t="s">
        <v>567</v>
      </c>
      <c r="G23473" s="67" t="s">
        <v>823</v>
      </c>
      <c r="H23473" s="69">
        <v>-1.4350000000000001</v>
      </c>
    </row>
    <row r="23474" spans="6:8">
      <c r="F23474" s="68" t="s">
        <v>421</v>
      </c>
      <c r="G23474" s="67" t="s">
        <v>823</v>
      </c>
      <c r="H23474" s="69">
        <v>1.2233606910573069</v>
      </c>
    </row>
    <row r="23475" spans="6:8">
      <c r="F23475" s="68" t="s">
        <v>254</v>
      </c>
      <c r="G23475" s="67" t="s">
        <v>823</v>
      </c>
      <c r="H23475" s="69">
        <v>0.32</v>
      </c>
    </row>
    <row r="23476" spans="6:8">
      <c r="F23476" s="68" t="s">
        <v>304</v>
      </c>
      <c r="G23476" s="67" t="s">
        <v>823</v>
      </c>
      <c r="H23476" s="69">
        <v>15.8125</v>
      </c>
    </row>
    <row r="23477" spans="6:8">
      <c r="F23477" s="68" t="s">
        <v>129</v>
      </c>
      <c r="G23477" s="67" t="s">
        <v>823</v>
      </c>
      <c r="H23477" s="69">
        <v>-0.7</v>
      </c>
    </row>
    <row r="23478" spans="6:8">
      <c r="F23478" s="68" t="s">
        <v>128</v>
      </c>
      <c r="G23478" s="67" t="s">
        <v>823</v>
      </c>
      <c r="H23478" s="69">
        <v>-0.92500000000000004</v>
      </c>
    </row>
    <row r="23479" spans="6:8">
      <c r="F23479" s="68" t="s">
        <v>568</v>
      </c>
      <c r="G23479" s="67" t="s">
        <v>823</v>
      </c>
      <c r="H23479" s="69">
        <v>-0.95</v>
      </c>
    </row>
    <row r="23480" spans="6:8">
      <c r="F23480" s="68" t="s">
        <v>422</v>
      </c>
      <c r="G23480" s="67" t="s">
        <v>823</v>
      </c>
      <c r="H23480" s="69">
        <v>1.2285648242100766</v>
      </c>
    </row>
    <row r="23481" spans="6:8">
      <c r="F23481" s="68" t="s">
        <v>255</v>
      </c>
      <c r="G23481" s="67" t="s">
        <v>823</v>
      </c>
      <c r="H23481" s="69">
        <v>0.47</v>
      </c>
    </row>
    <row r="23482" spans="6:8">
      <c r="F23482" s="68" t="s">
        <v>303</v>
      </c>
      <c r="G23482" s="67" t="s">
        <v>823</v>
      </c>
      <c r="H23482" s="69">
        <v>15.708333333333334</v>
      </c>
    </row>
    <row r="23483" spans="6:8">
      <c r="F23483" s="68" t="s">
        <v>131</v>
      </c>
      <c r="G23483" s="67" t="s">
        <v>823</v>
      </c>
      <c r="H23483" s="69">
        <v>-0.55000000000000004</v>
      </c>
    </row>
    <row r="23484" spans="6:8">
      <c r="F23484" s="68" t="s">
        <v>130</v>
      </c>
      <c r="G23484" s="67" t="s">
        <v>823</v>
      </c>
      <c r="H23484" s="69">
        <v>-1.125</v>
      </c>
    </row>
    <row r="23485" spans="6:8">
      <c r="F23485" s="68" t="s">
        <v>569</v>
      </c>
      <c r="G23485" s="67" t="s">
        <v>823</v>
      </c>
      <c r="H23485" s="69">
        <v>-0.58499999999999996</v>
      </c>
    </row>
    <row r="23486" spans="6:8">
      <c r="F23486" s="68" t="s">
        <v>423</v>
      </c>
      <c r="G23486" s="67" t="s">
        <v>823</v>
      </c>
      <c r="H23486" s="69">
        <v>1.7191189884654623</v>
      </c>
    </row>
    <row r="23487" spans="6:8">
      <c r="F23487" s="68" t="s">
        <v>256</v>
      </c>
      <c r="G23487" s="67" t="s">
        <v>823</v>
      </c>
      <c r="H23487" s="69">
        <v>0.62</v>
      </c>
    </row>
    <row r="23488" spans="6:8">
      <c r="F23488" s="68" t="s">
        <v>133</v>
      </c>
      <c r="G23488" s="67" t="s">
        <v>823</v>
      </c>
      <c r="H23488" s="69">
        <v>-0.63500000000000001</v>
      </c>
    </row>
    <row r="23489" spans="6:8">
      <c r="F23489" s="68" t="s">
        <v>132</v>
      </c>
      <c r="G23489" s="67" t="s">
        <v>823</v>
      </c>
      <c r="H23489" s="69">
        <v>-1.07</v>
      </c>
    </row>
    <row r="23490" spans="6:8">
      <c r="F23490" s="68" t="s">
        <v>424</v>
      </c>
      <c r="G23490" s="67" t="s">
        <v>823</v>
      </c>
      <c r="H23490" s="69">
        <v>2.5326777202768991</v>
      </c>
    </row>
    <row r="23491" spans="6:8">
      <c r="F23491" s="68" t="s">
        <v>258</v>
      </c>
      <c r="G23491" s="67" t="s">
        <v>823</v>
      </c>
      <c r="H23491" s="69">
        <v>0.15</v>
      </c>
    </row>
    <row r="23492" spans="6:8">
      <c r="F23492" s="68" t="s">
        <v>257</v>
      </c>
      <c r="G23492" s="67" t="s">
        <v>823</v>
      </c>
      <c r="H23492" s="69">
        <v>0.76</v>
      </c>
    </row>
    <row r="23493" spans="6:8">
      <c r="F23493" s="68" t="s">
        <v>135</v>
      </c>
      <c r="G23493" s="67" t="s">
        <v>823</v>
      </c>
      <c r="H23493" s="69">
        <v>-0.81</v>
      </c>
    </row>
    <row r="23494" spans="6:8">
      <c r="F23494" s="68" t="s">
        <v>134</v>
      </c>
      <c r="G23494" s="67" t="s">
        <v>823</v>
      </c>
      <c r="H23494" s="69">
        <v>-1.0449999999999999</v>
      </c>
    </row>
    <row r="23495" spans="6:8">
      <c r="F23495" s="68" t="s">
        <v>259</v>
      </c>
      <c r="G23495" s="67" t="s">
        <v>823</v>
      </c>
      <c r="H23495" s="69">
        <v>0.10000000000000002</v>
      </c>
    </row>
    <row r="23496" spans="6:8">
      <c r="F23496" s="68" t="s">
        <v>138</v>
      </c>
      <c r="G23496" s="67" t="s">
        <v>823</v>
      </c>
      <c r="H23496" s="69">
        <v>-0.84000000000000008</v>
      </c>
    </row>
    <row r="23497" spans="6:8">
      <c r="F23497" s="68" t="s">
        <v>137</v>
      </c>
      <c r="G23497" s="67" t="s">
        <v>823</v>
      </c>
      <c r="H23497" s="69">
        <v>-0.7</v>
      </c>
    </row>
    <row r="23498" spans="6:8">
      <c r="F23498" s="68" t="s">
        <v>136</v>
      </c>
      <c r="G23498" s="67" t="s">
        <v>823</v>
      </c>
      <c r="H23498" s="69">
        <v>-1.1950000000000001</v>
      </c>
    </row>
    <row r="23499" spans="6:8">
      <c r="F23499" s="68" t="s">
        <v>425</v>
      </c>
      <c r="G23499" s="67" t="s">
        <v>823</v>
      </c>
      <c r="H23499" s="69">
        <v>2.5263415236860265</v>
      </c>
    </row>
    <row r="23500" spans="6:8">
      <c r="F23500" s="68" t="s">
        <v>425</v>
      </c>
      <c r="G23500" s="67" t="s">
        <v>824</v>
      </c>
      <c r="H23500" s="69">
        <v>2.5487667653540935</v>
      </c>
    </row>
    <row r="23501" spans="6:8">
      <c r="F23501" s="68" t="s">
        <v>136</v>
      </c>
      <c r="G23501" s="67" t="s">
        <v>824</v>
      </c>
      <c r="H23501" s="69">
        <v>-1.2150000000000001</v>
      </c>
    </row>
    <row r="23502" spans="6:8">
      <c r="F23502" s="68" t="s">
        <v>137</v>
      </c>
      <c r="G23502" s="67" t="s">
        <v>824</v>
      </c>
      <c r="H23502" s="69">
        <v>-0.71500000000000008</v>
      </c>
    </row>
    <row r="23503" spans="6:8">
      <c r="F23503" s="68" t="s">
        <v>138</v>
      </c>
      <c r="G23503" s="67" t="s">
        <v>824</v>
      </c>
      <c r="H23503" s="69">
        <v>-0.84000000000000008</v>
      </c>
    </row>
    <row r="23504" spans="6:8">
      <c r="F23504" s="68" t="s">
        <v>259</v>
      </c>
      <c r="G23504" s="67" t="s">
        <v>824</v>
      </c>
      <c r="H23504" s="69">
        <v>0.10000000000000002</v>
      </c>
    </row>
    <row r="23505" spans="6:8">
      <c r="F23505" s="68" t="s">
        <v>134</v>
      </c>
      <c r="G23505" s="67" t="s">
        <v>824</v>
      </c>
      <c r="H23505" s="69">
        <v>-1.06</v>
      </c>
    </row>
    <row r="23506" spans="6:8">
      <c r="F23506" s="68" t="s">
        <v>135</v>
      </c>
      <c r="G23506" s="67" t="s">
        <v>824</v>
      </c>
      <c r="H23506" s="69">
        <v>-0.82</v>
      </c>
    </row>
    <row r="23507" spans="6:8">
      <c r="F23507" s="68" t="s">
        <v>257</v>
      </c>
      <c r="G23507" s="67" t="s">
        <v>824</v>
      </c>
      <c r="H23507" s="69">
        <v>0.75</v>
      </c>
    </row>
    <row r="23508" spans="6:8">
      <c r="F23508" s="68" t="s">
        <v>258</v>
      </c>
      <c r="G23508" s="67" t="s">
        <v>824</v>
      </c>
      <c r="H23508" s="69">
        <v>0.15</v>
      </c>
    </row>
    <row r="23509" spans="6:8">
      <c r="F23509" s="68" t="s">
        <v>424</v>
      </c>
      <c r="G23509" s="67" t="s">
        <v>824</v>
      </c>
      <c r="H23509" s="69">
        <v>2.5572883244689759</v>
      </c>
    </row>
    <row r="23510" spans="6:8">
      <c r="F23510" s="68" t="s">
        <v>132</v>
      </c>
      <c r="G23510" s="67" t="s">
        <v>824</v>
      </c>
      <c r="H23510" s="69">
        <v>-1.0900000000000001</v>
      </c>
    </row>
    <row r="23511" spans="6:8">
      <c r="F23511" s="68" t="s">
        <v>133</v>
      </c>
      <c r="G23511" s="67" t="s">
        <v>824</v>
      </c>
      <c r="H23511" s="69">
        <v>-0.64500000000000002</v>
      </c>
    </row>
    <row r="23512" spans="6:8">
      <c r="F23512" s="68" t="s">
        <v>256</v>
      </c>
      <c r="G23512" s="67" t="s">
        <v>824</v>
      </c>
      <c r="H23512" s="69">
        <v>0.62</v>
      </c>
    </row>
    <row r="23513" spans="6:8">
      <c r="F23513" s="68" t="s">
        <v>423</v>
      </c>
      <c r="G23513" s="67" t="s">
        <v>824</v>
      </c>
      <c r="H23513" s="69">
        <v>1.7565289723820321</v>
      </c>
    </row>
    <row r="23514" spans="6:8">
      <c r="F23514" s="68" t="s">
        <v>569</v>
      </c>
      <c r="G23514" s="67" t="s">
        <v>824</v>
      </c>
      <c r="H23514" s="69">
        <v>-0.61</v>
      </c>
    </row>
    <row r="23515" spans="6:8">
      <c r="F23515" s="68" t="s">
        <v>130</v>
      </c>
      <c r="G23515" s="67" t="s">
        <v>824</v>
      </c>
      <c r="H23515" s="69">
        <v>-1.1399999999999999</v>
      </c>
    </row>
    <row r="23516" spans="6:8">
      <c r="F23516" s="68" t="s">
        <v>131</v>
      </c>
      <c r="G23516" s="67" t="s">
        <v>824</v>
      </c>
      <c r="H23516" s="69">
        <v>-0.56000000000000005</v>
      </c>
    </row>
    <row r="23517" spans="6:8">
      <c r="F23517" s="68" t="s">
        <v>303</v>
      </c>
      <c r="G23517" s="67" t="s">
        <v>824</v>
      </c>
      <c r="H23517" s="69">
        <v>15.645833333333334</v>
      </c>
    </row>
    <row r="23518" spans="6:8">
      <c r="F23518" s="68" t="s">
        <v>255</v>
      </c>
      <c r="G23518" s="67" t="s">
        <v>824</v>
      </c>
      <c r="H23518" s="69">
        <v>0.46</v>
      </c>
    </row>
    <row r="23519" spans="6:8">
      <c r="F23519" s="68" t="s">
        <v>422</v>
      </c>
      <c r="G23519" s="67" t="s">
        <v>824</v>
      </c>
      <c r="H23519" s="69">
        <v>1.1785221911196242</v>
      </c>
    </row>
    <row r="23520" spans="6:8">
      <c r="F23520" s="68" t="s">
        <v>568</v>
      </c>
      <c r="G23520" s="67" t="s">
        <v>824</v>
      </c>
      <c r="H23520" s="69">
        <v>-0.9850000000000001</v>
      </c>
    </row>
    <row r="23521" spans="6:8">
      <c r="F23521" s="68" t="s">
        <v>128</v>
      </c>
      <c r="G23521" s="67" t="s">
        <v>824</v>
      </c>
      <c r="H23521" s="69">
        <v>-0.94</v>
      </c>
    </row>
    <row r="23522" spans="6:8">
      <c r="F23522" s="68" t="s">
        <v>129</v>
      </c>
      <c r="G23522" s="67" t="s">
        <v>824</v>
      </c>
      <c r="H23522" s="69">
        <v>-0.71</v>
      </c>
    </row>
    <row r="23523" spans="6:8">
      <c r="F23523" s="68" t="s">
        <v>304</v>
      </c>
      <c r="G23523" s="67" t="s">
        <v>824</v>
      </c>
      <c r="H23523" s="69">
        <v>15.75</v>
      </c>
    </row>
    <row r="23524" spans="6:8">
      <c r="F23524" s="68" t="s">
        <v>254</v>
      </c>
      <c r="G23524" s="67" t="s">
        <v>824</v>
      </c>
      <c r="H23524" s="69">
        <v>0.32</v>
      </c>
    </row>
    <row r="23525" spans="6:8">
      <c r="F23525" s="68" t="s">
        <v>421</v>
      </c>
      <c r="G23525" s="67" t="s">
        <v>824</v>
      </c>
      <c r="H23525" s="69">
        <v>1.1732017851972643</v>
      </c>
    </row>
    <row r="23526" spans="6:8">
      <c r="F23526" s="68" t="s">
        <v>567</v>
      </c>
      <c r="G23526" s="67" t="s">
        <v>824</v>
      </c>
      <c r="H23526" s="69">
        <v>-1.4649999999999999</v>
      </c>
    </row>
    <row r="23527" spans="6:8">
      <c r="F23527" s="68" t="s">
        <v>125</v>
      </c>
      <c r="G23527" s="67" t="s">
        <v>824</v>
      </c>
      <c r="H23527" s="69">
        <v>-0.97</v>
      </c>
    </row>
    <row r="23528" spans="6:8">
      <c r="F23528" s="68" t="s">
        <v>126</v>
      </c>
      <c r="G23528" s="67" t="s">
        <v>824</v>
      </c>
      <c r="H23528" s="69">
        <v>-0.995</v>
      </c>
    </row>
    <row r="23529" spans="6:8">
      <c r="F23529" s="68" t="s">
        <v>127</v>
      </c>
      <c r="G23529" s="67" t="s">
        <v>824</v>
      </c>
      <c r="H23529" s="69">
        <v>-0.45999999999999996</v>
      </c>
    </row>
    <row r="23530" spans="6:8">
      <c r="F23530" s="68" t="s">
        <v>253</v>
      </c>
      <c r="G23530" s="67" t="s">
        <v>824</v>
      </c>
      <c r="H23530" s="69">
        <v>0.215</v>
      </c>
    </row>
    <row r="23531" spans="6:8">
      <c r="F23531" s="68" t="s">
        <v>315</v>
      </c>
      <c r="G23531" s="67" t="s">
        <v>824</v>
      </c>
      <c r="H23531" s="69">
        <v>-0.61499999999999999</v>
      </c>
    </row>
    <row r="23532" spans="6:8">
      <c r="F23532" s="68" t="s">
        <v>122</v>
      </c>
      <c r="G23532" s="67" t="s">
        <v>824</v>
      </c>
      <c r="H23532" s="69">
        <v>-1.1000000000000001</v>
      </c>
    </row>
    <row r="23533" spans="6:8">
      <c r="F23533" s="68" t="s">
        <v>123</v>
      </c>
      <c r="G23533" s="67" t="s">
        <v>824</v>
      </c>
      <c r="H23533" s="69">
        <v>-1.02</v>
      </c>
    </row>
    <row r="23534" spans="6:8">
      <c r="F23534" s="68" t="s">
        <v>124</v>
      </c>
      <c r="G23534" s="67" t="s">
        <v>824</v>
      </c>
      <c r="H23534" s="69">
        <v>-0.76</v>
      </c>
    </row>
    <row r="23535" spans="6:8">
      <c r="F23535" s="68" t="s">
        <v>252</v>
      </c>
      <c r="G23535" s="67" t="s">
        <v>824</v>
      </c>
      <c r="H23535" s="69">
        <v>0.13</v>
      </c>
    </row>
    <row r="23536" spans="6:8">
      <c r="F23536" s="68" t="s">
        <v>314</v>
      </c>
      <c r="G23536" s="67" t="s">
        <v>824</v>
      </c>
      <c r="H23536" s="69">
        <v>-0.92999999999999994</v>
      </c>
    </row>
    <row r="23537" spans="6:8">
      <c r="F23537" s="68" t="s">
        <v>420</v>
      </c>
      <c r="G23537" s="67" t="s">
        <v>824</v>
      </c>
      <c r="H23537" s="69">
        <v>2.5964187919228277</v>
      </c>
    </row>
    <row r="23538" spans="6:8">
      <c r="F23538" s="68" t="s">
        <v>119</v>
      </c>
      <c r="G23538" s="67" t="s">
        <v>824</v>
      </c>
      <c r="H23538" s="69">
        <v>-1.115</v>
      </c>
    </row>
    <row r="23539" spans="6:8">
      <c r="F23539" s="68" t="s">
        <v>120</v>
      </c>
      <c r="G23539" s="67" t="s">
        <v>824</v>
      </c>
      <c r="H23539" s="69">
        <v>-0.85499999999999998</v>
      </c>
    </row>
    <row r="23540" spans="6:8">
      <c r="F23540" s="68" t="s">
        <v>121</v>
      </c>
      <c r="G23540" s="67" t="s">
        <v>824</v>
      </c>
      <c r="H23540" s="69">
        <v>-0.81</v>
      </c>
    </row>
    <row r="23541" spans="6:8">
      <c r="F23541" s="68" t="s">
        <v>251</v>
      </c>
      <c r="G23541" s="67" t="s">
        <v>824</v>
      </c>
      <c r="H23541" s="69">
        <v>0.11000000000000003</v>
      </c>
    </row>
    <row r="23542" spans="6:8">
      <c r="F23542" s="68" t="s">
        <v>251</v>
      </c>
      <c r="G23542" s="67" t="s">
        <v>825</v>
      </c>
      <c r="H23542" s="69">
        <v>0.11000000000000003</v>
      </c>
    </row>
    <row r="23543" spans="6:8">
      <c r="F23543" s="68" t="s">
        <v>121</v>
      </c>
      <c r="G23543" s="67" t="s">
        <v>825</v>
      </c>
      <c r="H23543" s="69">
        <v>-0.81</v>
      </c>
    </row>
    <row r="23544" spans="6:8">
      <c r="F23544" s="68" t="s">
        <v>120</v>
      </c>
      <c r="G23544" s="67" t="s">
        <v>825</v>
      </c>
      <c r="H23544" s="69">
        <v>-0.85</v>
      </c>
    </row>
    <row r="23545" spans="6:8">
      <c r="F23545" s="68" t="s">
        <v>119</v>
      </c>
      <c r="G23545" s="67" t="s">
        <v>825</v>
      </c>
      <c r="H23545" s="69">
        <v>-1.1099999999999999</v>
      </c>
    </row>
    <row r="23546" spans="6:8">
      <c r="F23546" s="68" t="s">
        <v>420</v>
      </c>
      <c r="G23546" s="67" t="s">
        <v>825</v>
      </c>
      <c r="H23546" s="69">
        <v>2.5856679157221674</v>
      </c>
    </row>
    <row r="23547" spans="6:8">
      <c r="F23547" s="68" t="s">
        <v>314</v>
      </c>
      <c r="G23547" s="67" t="s">
        <v>825</v>
      </c>
      <c r="H23547" s="69">
        <v>-0.92500000000000004</v>
      </c>
    </row>
    <row r="23548" spans="6:8">
      <c r="F23548" s="68" t="s">
        <v>252</v>
      </c>
      <c r="G23548" s="67" t="s">
        <v>825</v>
      </c>
      <c r="H23548" s="69">
        <v>0.13</v>
      </c>
    </row>
    <row r="23549" spans="6:8">
      <c r="F23549" s="68" t="s">
        <v>124</v>
      </c>
      <c r="G23549" s="67" t="s">
        <v>825</v>
      </c>
      <c r="H23549" s="69">
        <v>-0.76</v>
      </c>
    </row>
    <row r="23550" spans="6:8">
      <c r="F23550" s="68" t="s">
        <v>123</v>
      </c>
      <c r="G23550" s="67" t="s">
        <v>825</v>
      </c>
      <c r="H23550" s="69">
        <v>-1.02</v>
      </c>
    </row>
    <row r="23551" spans="6:8">
      <c r="F23551" s="68" t="s">
        <v>122</v>
      </c>
      <c r="G23551" s="67" t="s">
        <v>825</v>
      </c>
      <c r="H23551" s="69">
        <v>-1.095</v>
      </c>
    </row>
    <row r="23552" spans="6:8">
      <c r="F23552" s="68" t="s">
        <v>315</v>
      </c>
      <c r="G23552" s="67" t="s">
        <v>825</v>
      </c>
      <c r="H23552" s="69">
        <v>-0.63500000000000001</v>
      </c>
    </row>
    <row r="23553" spans="6:8">
      <c r="F23553" s="68" t="s">
        <v>253</v>
      </c>
      <c r="G23553" s="67" t="s">
        <v>825</v>
      </c>
      <c r="H23553" s="69">
        <v>0.215</v>
      </c>
    </row>
    <row r="23554" spans="6:8">
      <c r="F23554" s="68" t="s">
        <v>127</v>
      </c>
      <c r="G23554" s="67" t="s">
        <v>825</v>
      </c>
      <c r="H23554" s="69">
        <v>-0.45999999999999996</v>
      </c>
    </row>
    <row r="23555" spans="6:8">
      <c r="F23555" s="68" t="s">
        <v>126</v>
      </c>
      <c r="G23555" s="67" t="s">
        <v>825</v>
      </c>
      <c r="H23555" s="69">
        <v>-0.99</v>
      </c>
    </row>
    <row r="23556" spans="6:8">
      <c r="F23556" s="68" t="s">
        <v>125</v>
      </c>
      <c r="G23556" s="67" t="s">
        <v>825</v>
      </c>
      <c r="H23556" s="69">
        <v>-0.96500000000000008</v>
      </c>
    </row>
    <row r="23557" spans="6:8">
      <c r="F23557" s="68" t="s">
        <v>567</v>
      </c>
      <c r="G23557" s="67" t="s">
        <v>825</v>
      </c>
      <c r="H23557" s="69">
        <v>-1.4649999999999999</v>
      </c>
    </row>
    <row r="23558" spans="6:8">
      <c r="F23558" s="68" t="s">
        <v>421</v>
      </c>
      <c r="G23558" s="67" t="s">
        <v>825</v>
      </c>
      <c r="H23558" s="69">
        <v>1.1499289376170729</v>
      </c>
    </row>
    <row r="23559" spans="6:8">
      <c r="F23559" s="68" t="s">
        <v>254</v>
      </c>
      <c r="G23559" s="67" t="s">
        <v>825</v>
      </c>
      <c r="H23559" s="69">
        <v>0.32</v>
      </c>
    </row>
    <row r="23560" spans="6:8">
      <c r="F23560" s="68" t="s">
        <v>304</v>
      </c>
      <c r="G23560" s="67" t="s">
        <v>825</v>
      </c>
      <c r="H23560" s="69">
        <v>15.739583333333334</v>
      </c>
    </row>
    <row r="23561" spans="6:8">
      <c r="F23561" s="68" t="s">
        <v>129</v>
      </c>
      <c r="G23561" s="67" t="s">
        <v>825</v>
      </c>
      <c r="H23561" s="69">
        <v>-0.71</v>
      </c>
    </row>
    <row r="23562" spans="6:8">
      <c r="F23562" s="68" t="s">
        <v>128</v>
      </c>
      <c r="G23562" s="67" t="s">
        <v>825</v>
      </c>
      <c r="H23562" s="69">
        <v>-0.94</v>
      </c>
    </row>
    <row r="23563" spans="6:8">
      <c r="F23563" s="68" t="s">
        <v>568</v>
      </c>
      <c r="G23563" s="67" t="s">
        <v>825</v>
      </c>
      <c r="H23563" s="69">
        <v>-0.98</v>
      </c>
    </row>
    <row r="23564" spans="6:8">
      <c r="F23564" s="68" t="s">
        <v>422</v>
      </c>
      <c r="G23564" s="67" t="s">
        <v>825</v>
      </c>
      <c r="H23564" s="69">
        <v>1.1551435502184848</v>
      </c>
    </row>
    <row r="23565" spans="6:8">
      <c r="F23565" s="68" t="s">
        <v>255</v>
      </c>
      <c r="G23565" s="67" t="s">
        <v>825</v>
      </c>
      <c r="H23565" s="69">
        <v>0.46</v>
      </c>
    </row>
    <row r="23566" spans="6:8">
      <c r="F23566" s="68" t="s">
        <v>303</v>
      </c>
      <c r="G23566" s="67" t="s">
        <v>825</v>
      </c>
      <c r="H23566" s="69">
        <v>15.635416666666666</v>
      </c>
    </row>
    <row r="23567" spans="6:8">
      <c r="F23567" s="68" t="s">
        <v>131</v>
      </c>
      <c r="G23567" s="67" t="s">
        <v>825</v>
      </c>
      <c r="H23567" s="69">
        <v>-0.56000000000000005</v>
      </c>
    </row>
    <row r="23568" spans="6:8">
      <c r="F23568" s="68" t="s">
        <v>130</v>
      </c>
      <c r="G23568" s="67" t="s">
        <v>825</v>
      </c>
      <c r="H23568" s="69">
        <v>-1.1399999999999999</v>
      </c>
    </row>
    <row r="23569" spans="6:8">
      <c r="F23569" s="68" t="s">
        <v>569</v>
      </c>
      <c r="G23569" s="67" t="s">
        <v>825</v>
      </c>
      <c r="H23569" s="69">
        <v>-0.63</v>
      </c>
    </row>
    <row r="23570" spans="6:8">
      <c r="F23570" s="68" t="s">
        <v>423</v>
      </c>
      <c r="G23570" s="67" t="s">
        <v>825</v>
      </c>
      <c r="H23570" s="69">
        <v>1.737089503971978</v>
      </c>
    </row>
    <row r="23571" spans="6:8">
      <c r="F23571" s="68" t="s">
        <v>256</v>
      </c>
      <c r="G23571" s="67" t="s">
        <v>825</v>
      </c>
      <c r="H23571" s="69">
        <v>0.62</v>
      </c>
    </row>
    <row r="23572" spans="6:8">
      <c r="F23572" s="68" t="s">
        <v>133</v>
      </c>
      <c r="G23572" s="67" t="s">
        <v>825</v>
      </c>
      <c r="H23572" s="69">
        <v>-0.64500000000000002</v>
      </c>
    </row>
    <row r="23573" spans="6:8">
      <c r="F23573" s="68" t="s">
        <v>132</v>
      </c>
      <c r="G23573" s="67" t="s">
        <v>825</v>
      </c>
      <c r="H23573" s="69">
        <v>-1.085</v>
      </c>
    </row>
    <row r="23574" spans="6:8">
      <c r="F23574" s="68" t="s">
        <v>424</v>
      </c>
      <c r="G23574" s="67" t="s">
        <v>825</v>
      </c>
      <c r="H23574" s="69">
        <v>2.5569326944859583</v>
      </c>
    </row>
    <row r="23575" spans="6:8">
      <c r="F23575" s="68" t="s">
        <v>258</v>
      </c>
      <c r="G23575" s="67" t="s">
        <v>825</v>
      </c>
      <c r="H23575" s="69">
        <v>0.15</v>
      </c>
    </row>
    <row r="23576" spans="6:8">
      <c r="F23576" s="68" t="s">
        <v>257</v>
      </c>
      <c r="G23576" s="67" t="s">
        <v>825</v>
      </c>
      <c r="H23576" s="69">
        <v>0.75</v>
      </c>
    </row>
    <row r="23577" spans="6:8">
      <c r="F23577" s="68" t="s">
        <v>135</v>
      </c>
      <c r="G23577" s="67" t="s">
        <v>825</v>
      </c>
      <c r="H23577" s="69">
        <v>-0.82</v>
      </c>
    </row>
    <row r="23578" spans="6:8">
      <c r="F23578" s="68" t="s">
        <v>134</v>
      </c>
      <c r="G23578" s="67" t="s">
        <v>825</v>
      </c>
      <c r="H23578" s="69">
        <v>-1.06</v>
      </c>
    </row>
    <row r="23579" spans="6:8">
      <c r="F23579" s="68" t="s">
        <v>259</v>
      </c>
      <c r="G23579" s="67" t="s">
        <v>825</v>
      </c>
      <c r="H23579" s="69">
        <v>0.10000000000000002</v>
      </c>
    </row>
    <row r="23580" spans="6:8">
      <c r="F23580" s="68" t="s">
        <v>138</v>
      </c>
      <c r="G23580" s="67" t="s">
        <v>825</v>
      </c>
      <c r="H23580" s="69">
        <v>-0.84000000000000008</v>
      </c>
    </row>
    <row r="23581" spans="6:8">
      <c r="F23581" s="68" t="s">
        <v>137</v>
      </c>
      <c r="G23581" s="67" t="s">
        <v>825</v>
      </c>
      <c r="H23581" s="69">
        <v>-0.71500000000000008</v>
      </c>
    </row>
    <row r="23582" spans="6:8">
      <c r="F23582" s="68" t="s">
        <v>136</v>
      </c>
      <c r="G23582" s="67" t="s">
        <v>825</v>
      </c>
      <c r="H23582" s="69">
        <v>-1.2150000000000001</v>
      </c>
    </row>
    <row r="23583" spans="6:8">
      <c r="F23583" s="68" t="s">
        <v>425</v>
      </c>
      <c r="G23583" s="67" t="s">
        <v>825</v>
      </c>
      <c r="H23583" s="69">
        <v>2.5472696291306551</v>
      </c>
    </row>
    <row r="23584" spans="6:8">
      <c r="F23584" s="68" t="s">
        <v>425</v>
      </c>
      <c r="G23584" s="67" t="s">
        <v>826</v>
      </c>
      <c r="H23584" s="69">
        <v>2.4768245382786436</v>
      </c>
    </row>
    <row r="23585" spans="6:8">
      <c r="F23585" s="68" t="s">
        <v>136</v>
      </c>
      <c r="G23585" s="67" t="s">
        <v>826</v>
      </c>
      <c r="H23585" s="69">
        <v>-1.26</v>
      </c>
    </row>
    <row r="23586" spans="6:8">
      <c r="F23586" s="68" t="s">
        <v>137</v>
      </c>
      <c r="G23586" s="67" t="s">
        <v>826</v>
      </c>
      <c r="H23586" s="69">
        <v>-0.75</v>
      </c>
    </row>
    <row r="23587" spans="6:8">
      <c r="F23587" s="68" t="s">
        <v>138</v>
      </c>
      <c r="G23587" s="67" t="s">
        <v>826</v>
      </c>
      <c r="H23587" s="69">
        <v>-0.84000000000000008</v>
      </c>
    </row>
    <row r="23588" spans="6:8">
      <c r="F23588" s="68" t="s">
        <v>259</v>
      </c>
      <c r="G23588" s="67" t="s">
        <v>826</v>
      </c>
      <c r="H23588" s="69">
        <v>9.8333333333333342E-2</v>
      </c>
    </row>
    <row r="23589" spans="6:8">
      <c r="F23589" s="68" t="s">
        <v>134</v>
      </c>
      <c r="G23589" s="67" t="s">
        <v>826</v>
      </c>
      <c r="H23589" s="69">
        <v>-1.0950000000000002</v>
      </c>
    </row>
    <row r="23590" spans="6:8">
      <c r="F23590" s="68" t="s">
        <v>135</v>
      </c>
      <c r="G23590" s="67" t="s">
        <v>826</v>
      </c>
      <c r="H23590" s="69">
        <v>-0.84</v>
      </c>
    </row>
    <row r="23591" spans="6:8">
      <c r="F23591" s="68" t="s">
        <v>257</v>
      </c>
      <c r="G23591" s="67" t="s">
        <v>826</v>
      </c>
      <c r="H23591" s="69">
        <v>0.72999999999999987</v>
      </c>
    </row>
    <row r="23592" spans="6:8">
      <c r="F23592" s="68" t="s">
        <v>258</v>
      </c>
      <c r="G23592" s="67" t="s">
        <v>826</v>
      </c>
      <c r="H23592" s="69">
        <v>0.15</v>
      </c>
    </row>
    <row r="23593" spans="6:8">
      <c r="F23593" s="68" t="s">
        <v>424</v>
      </c>
      <c r="G23593" s="67" t="s">
        <v>826</v>
      </c>
      <c r="H23593" s="69">
        <v>2.4898851451071291</v>
      </c>
    </row>
    <row r="23594" spans="6:8">
      <c r="F23594" s="68" t="s">
        <v>132</v>
      </c>
      <c r="G23594" s="67" t="s">
        <v>826</v>
      </c>
      <c r="H23594" s="69">
        <v>-1.125</v>
      </c>
    </row>
    <row r="23595" spans="6:8">
      <c r="F23595" s="68" t="s">
        <v>133</v>
      </c>
      <c r="G23595" s="67" t="s">
        <v>826</v>
      </c>
      <c r="H23595" s="69">
        <v>-0.66500000000000004</v>
      </c>
    </row>
    <row r="23596" spans="6:8">
      <c r="F23596" s="68" t="s">
        <v>256</v>
      </c>
      <c r="G23596" s="67" t="s">
        <v>826</v>
      </c>
      <c r="H23596" s="69">
        <v>0.58333333333333337</v>
      </c>
    </row>
    <row r="23597" spans="6:8">
      <c r="F23597" s="68" t="s">
        <v>423</v>
      </c>
      <c r="G23597" s="67" t="s">
        <v>826</v>
      </c>
      <c r="H23597" s="69">
        <v>1.6261667863042284</v>
      </c>
    </row>
    <row r="23598" spans="6:8">
      <c r="F23598" s="68" t="s">
        <v>569</v>
      </c>
      <c r="G23598" s="67" t="s">
        <v>826</v>
      </c>
      <c r="H23598" s="69">
        <v>-0.68500000000000005</v>
      </c>
    </row>
    <row r="23599" spans="6:8">
      <c r="F23599" s="68" t="s">
        <v>130</v>
      </c>
      <c r="G23599" s="67" t="s">
        <v>826</v>
      </c>
      <c r="H23599" s="69">
        <v>-1.18</v>
      </c>
    </row>
    <row r="23600" spans="6:8">
      <c r="F23600" s="68" t="s">
        <v>131</v>
      </c>
      <c r="G23600" s="67" t="s">
        <v>826</v>
      </c>
      <c r="H23600" s="69">
        <v>-0.57499999999999996</v>
      </c>
    </row>
    <row r="23601" spans="6:8">
      <c r="F23601" s="68" t="s">
        <v>303</v>
      </c>
      <c r="G23601" s="67" t="s">
        <v>826</v>
      </c>
      <c r="H23601" s="69">
        <v>15.4375</v>
      </c>
    </row>
    <row r="23602" spans="6:8">
      <c r="F23602" s="68" t="s">
        <v>255</v>
      </c>
      <c r="G23602" s="67" t="s">
        <v>826</v>
      </c>
      <c r="H23602" s="69">
        <v>0.435</v>
      </c>
    </row>
    <row r="23603" spans="6:8">
      <c r="F23603" s="68" t="s">
        <v>422</v>
      </c>
      <c r="G23603" s="67" t="s">
        <v>826</v>
      </c>
      <c r="H23603" s="69">
        <v>0.9852231185516036</v>
      </c>
    </row>
    <row r="23604" spans="6:8">
      <c r="F23604" s="68" t="s">
        <v>568</v>
      </c>
      <c r="G23604" s="67" t="s">
        <v>826</v>
      </c>
      <c r="H23604" s="69">
        <v>-1.05</v>
      </c>
    </row>
    <row r="23605" spans="6:8">
      <c r="F23605" s="68" t="s">
        <v>128</v>
      </c>
      <c r="G23605" s="67" t="s">
        <v>826</v>
      </c>
      <c r="H23605" s="69">
        <v>-0.97499999999999998</v>
      </c>
    </row>
    <row r="23606" spans="6:8">
      <c r="F23606" s="68" t="s">
        <v>129</v>
      </c>
      <c r="G23606" s="67" t="s">
        <v>826</v>
      </c>
      <c r="H23606" s="69">
        <v>-0.72500000000000009</v>
      </c>
    </row>
    <row r="23607" spans="6:8">
      <c r="F23607" s="68" t="s">
        <v>304</v>
      </c>
      <c r="G23607" s="67" t="s">
        <v>826</v>
      </c>
      <c r="H23607" s="69">
        <v>15.541666666666666</v>
      </c>
    </row>
    <row r="23608" spans="6:8">
      <c r="F23608" s="68" t="s">
        <v>254</v>
      </c>
      <c r="G23608" s="67" t="s">
        <v>826</v>
      </c>
      <c r="H23608" s="69">
        <v>0.29499999999999998</v>
      </c>
    </row>
    <row r="23609" spans="6:8">
      <c r="F23609" s="68" t="s">
        <v>421</v>
      </c>
      <c r="G23609" s="67" t="s">
        <v>826</v>
      </c>
      <c r="H23609" s="69">
        <v>0.98053985532771115</v>
      </c>
    </row>
    <row r="23610" spans="6:8">
      <c r="F23610" s="68" t="s">
        <v>567</v>
      </c>
      <c r="G23610" s="67" t="s">
        <v>826</v>
      </c>
      <c r="H23610" s="69">
        <v>-1.55</v>
      </c>
    </row>
    <row r="23611" spans="6:8">
      <c r="F23611" s="68" t="s">
        <v>125</v>
      </c>
      <c r="G23611" s="67" t="s">
        <v>826</v>
      </c>
      <c r="H23611" s="69">
        <v>-1.0249999999999999</v>
      </c>
    </row>
    <row r="23612" spans="6:8">
      <c r="F23612" s="68" t="s">
        <v>126</v>
      </c>
      <c r="G23612" s="67" t="s">
        <v>826</v>
      </c>
      <c r="H23612" s="69">
        <v>-1.0350000000000001</v>
      </c>
    </row>
    <row r="23613" spans="6:8">
      <c r="F23613" s="68" t="s">
        <v>127</v>
      </c>
      <c r="G23613" s="67" t="s">
        <v>826</v>
      </c>
      <c r="H23613" s="69">
        <v>-0.48499999999999999</v>
      </c>
    </row>
    <row r="23614" spans="6:8">
      <c r="F23614" s="68" t="s">
        <v>253</v>
      </c>
      <c r="G23614" s="67" t="s">
        <v>826</v>
      </c>
      <c r="H23614" s="69">
        <v>0.20666666666666667</v>
      </c>
    </row>
    <row r="23615" spans="6:8">
      <c r="F23615" s="68" t="s">
        <v>315</v>
      </c>
      <c r="G23615" s="67" t="s">
        <v>826</v>
      </c>
      <c r="H23615" s="69">
        <v>-0.69</v>
      </c>
    </row>
    <row r="23616" spans="6:8">
      <c r="F23616" s="68" t="s">
        <v>122</v>
      </c>
      <c r="G23616" s="67" t="s">
        <v>826</v>
      </c>
      <c r="H23616" s="69">
        <v>-1.155</v>
      </c>
    </row>
    <row r="23617" spans="6:8">
      <c r="F23617" s="68" t="s">
        <v>123</v>
      </c>
      <c r="G23617" s="67" t="s">
        <v>826</v>
      </c>
      <c r="H23617" s="69">
        <v>-1.05</v>
      </c>
    </row>
    <row r="23618" spans="6:8">
      <c r="F23618" s="68" t="s">
        <v>124</v>
      </c>
      <c r="G23618" s="67" t="s">
        <v>826</v>
      </c>
      <c r="H23618" s="69">
        <v>-0.76</v>
      </c>
    </row>
    <row r="23619" spans="6:8">
      <c r="F23619" s="68" t="s">
        <v>252</v>
      </c>
      <c r="G23619" s="67" t="s">
        <v>826</v>
      </c>
      <c r="H23619" s="69">
        <v>0.12833333333333333</v>
      </c>
    </row>
    <row r="23620" spans="6:8">
      <c r="F23620" s="68" t="s">
        <v>314</v>
      </c>
      <c r="G23620" s="67" t="s">
        <v>826</v>
      </c>
      <c r="H23620" s="69">
        <v>-0.99499999999999988</v>
      </c>
    </row>
    <row r="23621" spans="6:8">
      <c r="F23621" s="68" t="s">
        <v>420</v>
      </c>
      <c r="G23621" s="67" t="s">
        <v>826</v>
      </c>
      <c r="H23621" s="69">
        <v>2.5075854882079529</v>
      </c>
    </row>
    <row r="23622" spans="6:8">
      <c r="F23622" s="68" t="s">
        <v>119</v>
      </c>
      <c r="G23622" s="67" t="s">
        <v>826</v>
      </c>
      <c r="H23622" s="69">
        <v>-1.165</v>
      </c>
    </row>
    <row r="23623" spans="6:8">
      <c r="F23623" s="68" t="s">
        <v>120</v>
      </c>
      <c r="G23623" s="67" t="s">
        <v>826</v>
      </c>
      <c r="H23623" s="69">
        <v>-0.88500000000000001</v>
      </c>
    </row>
    <row r="23624" spans="6:8">
      <c r="F23624" s="68" t="s">
        <v>121</v>
      </c>
      <c r="G23624" s="67" t="s">
        <v>826</v>
      </c>
      <c r="H23624" s="69">
        <v>-0.81</v>
      </c>
    </row>
    <row r="23625" spans="6:8">
      <c r="F23625" s="68" t="s">
        <v>251</v>
      </c>
      <c r="G23625" s="67" t="s">
        <v>826</v>
      </c>
      <c r="H23625" s="69">
        <v>0.10833333333333335</v>
      </c>
    </row>
    <row r="23626" spans="6:8">
      <c r="F23626" s="68" t="s">
        <v>251</v>
      </c>
      <c r="G23626" s="67" t="s">
        <v>827</v>
      </c>
      <c r="H23626" s="69">
        <v>0.10833333333333335</v>
      </c>
    </row>
    <row r="23627" spans="6:8">
      <c r="F23627" s="68" t="s">
        <v>121</v>
      </c>
      <c r="G23627" s="67" t="s">
        <v>827</v>
      </c>
      <c r="H23627" s="69">
        <v>-0.81</v>
      </c>
    </row>
    <row r="23628" spans="6:8">
      <c r="F23628" s="68" t="s">
        <v>120</v>
      </c>
      <c r="G23628" s="67" t="s">
        <v>827</v>
      </c>
      <c r="H23628" s="69">
        <v>-0.88500000000000001</v>
      </c>
    </row>
    <row r="23629" spans="6:8">
      <c r="F23629" s="68" t="s">
        <v>119</v>
      </c>
      <c r="G23629" s="67" t="s">
        <v>827</v>
      </c>
      <c r="H23629" s="69">
        <v>-1.165</v>
      </c>
    </row>
    <row r="23630" spans="6:8">
      <c r="F23630" s="68" t="s">
        <v>420</v>
      </c>
      <c r="G23630" s="67" t="s">
        <v>827</v>
      </c>
      <c r="H23630" s="69">
        <v>2.5133603709402763</v>
      </c>
    </row>
    <row r="23631" spans="6:8">
      <c r="F23631" s="68" t="s">
        <v>314</v>
      </c>
      <c r="G23631" s="67" t="s">
        <v>827</v>
      </c>
      <c r="H23631" s="69">
        <v>-0.99499999999999988</v>
      </c>
    </row>
    <row r="23632" spans="6:8">
      <c r="F23632" s="68" t="s">
        <v>252</v>
      </c>
      <c r="G23632" s="67" t="s">
        <v>827</v>
      </c>
      <c r="H23632" s="69">
        <v>0.12833333333333333</v>
      </c>
    </row>
    <row r="23633" spans="6:8">
      <c r="F23633" s="68" t="s">
        <v>124</v>
      </c>
      <c r="G23633" s="67" t="s">
        <v>827</v>
      </c>
      <c r="H23633" s="69">
        <v>-0.76</v>
      </c>
    </row>
    <row r="23634" spans="6:8">
      <c r="F23634" s="68" t="s">
        <v>123</v>
      </c>
      <c r="G23634" s="67" t="s">
        <v>827</v>
      </c>
      <c r="H23634" s="69">
        <v>-1.05</v>
      </c>
    </row>
    <row r="23635" spans="6:8">
      <c r="F23635" s="68" t="s">
        <v>122</v>
      </c>
      <c r="G23635" s="67" t="s">
        <v>827</v>
      </c>
      <c r="H23635" s="69">
        <v>-1.155</v>
      </c>
    </row>
    <row r="23636" spans="6:8">
      <c r="F23636" s="68" t="s">
        <v>315</v>
      </c>
      <c r="G23636" s="67" t="s">
        <v>827</v>
      </c>
      <c r="H23636" s="69">
        <v>-0.69</v>
      </c>
    </row>
    <row r="23637" spans="6:8">
      <c r="F23637" s="68" t="s">
        <v>253</v>
      </c>
      <c r="G23637" s="67" t="s">
        <v>827</v>
      </c>
      <c r="H23637" s="69">
        <v>0.20666666666666667</v>
      </c>
    </row>
    <row r="23638" spans="6:8">
      <c r="F23638" s="68" t="s">
        <v>127</v>
      </c>
      <c r="G23638" s="67" t="s">
        <v>827</v>
      </c>
      <c r="H23638" s="69">
        <v>-0.48499999999999999</v>
      </c>
    </row>
    <row r="23639" spans="6:8">
      <c r="F23639" s="68" t="s">
        <v>126</v>
      </c>
      <c r="G23639" s="67" t="s">
        <v>827</v>
      </c>
      <c r="H23639" s="69">
        <v>-1.0350000000000001</v>
      </c>
    </row>
    <row r="23640" spans="6:8">
      <c r="F23640" s="68" t="s">
        <v>125</v>
      </c>
      <c r="G23640" s="67" t="s">
        <v>827</v>
      </c>
      <c r="H23640" s="69">
        <v>-1.0249999999999999</v>
      </c>
    </row>
    <row r="23641" spans="6:8">
      <c r="F23641" s="68" t="s">
        <v>567</v>
      </c>
      <c r="G23641" s="67" t="s">
        <v>827</v>
      </c>
      <c r="H23641" s="69">
        <v>-1.55</v>
      </c>
    </row>
    <row r="23642" spans="6:8">
      <c r="F23642" s="68" t="s">
        <v>421</v>
      </c>
      <c r="G23642" s="67" t="s">
        <v>827</v>
      </c>
      <c r="H23642" s="69">
        <v>1.1238258998794937</v>
      </c>
    </row>
    <row r="23643" spans="6:8">
      <c r="F23643" s="68" t="s">
        <v>254</v>
      </c>
      <c r="G23643" s="67" t="s">
        <v>827</v>
      </c>
      <c r="H23643" s="69">
        <v>0.29499999999999998</v>
      </c>
    </row>
    <row r="23644" spans="6:8">
      <c r="F23644" s="68" t="s">
        <v>304</v>
      </c>
      <c r="G23644" s="67" t="s">
        <v>827</v>
      </c>
      <c r="H23644" s="69">
        <v>15.583333333333334</v>
      </c>
    </row>
    <row r="23645" spans="6:8">
      <c r="F23645" s="68" t="s">
        <v>129</v>
      </c>
      <c r="G23645" s="67" t="s">
        <v>827</v>
      </c>
      <c r="H23645" s="69">
        <v>-0.72500000000000009</v>
      </c>
    </row>
    <row r="23646" spans="6:8">
      <c r="F23646" s="68" t="s">
        <v>128</v>
      </c>
      <c r="G23646" s="67" t="s">
        <v>827</v>
      </c>
      <c r="H23646" s="69">
        <v>-0.97499999999999998</v>
      </c>
    </row>
    <row r="23647" spans="6:8">
      <c r="F23647" s="68" t="s">
        <v>568</v>
      </c>
      <c r="G23647" s="67" t="s">
        <v>827</v>
      </c>
      <c r="H23647" s="69">
        <v>-1.05</v>
      </c>
    </row>
    <row r="23648" spans="6:8">
      <c r="F23648" s="68" t="s">
        <v>422</v>
      </c>
      <c r="G23648" s="67" t="s">
        <v>827</v>
      </c>
      <c r="H23648" s="69">
        <v>1.1288201971958234</v>
      </c>
    </row>
    <row r="23649" spans="6:8">
      <c r="F23649" s="68" t="s">
        <v>255</v>
      </c>
      <c r="G23649" s="67" t="s">
        <v>827</v>
      </c>
      <c r="H23649" s="69">
        <v>0.435</v>
      </c>
    </row>
    <row r="23650" spans="6:8">
      <c r="F23650" s="68" t="s">
        <v>303</v>
      </c>
      <c r="G23650" s="67" t="s">
        <v>827</v>
      </c>
      <c r="H23650" s="69">
        <v>15.5</v>
      </c>
    </row>
    <row r="23651" spans="6:8">
      <c r="F23651" s="68" t="s">
        <v>131</v>
      </c>
      <c r="G23651" s="67" t="s">
        <v>827</v>
      </c>
      <c r="H23651" s="69">
        <v>-0.57499999999999996</v>
      </c>
    </row>
    <row r="23652" spans="6:8">
      <c r="F23652" s="68" t="s">
        <v>130</v>
      </c>
      <c r="G23652" s="67" t="s">
        <v>827</v>
      </c>
      <c r="H23652" s="69">
        <v>-1.18</v>
      </c>
    </row>
    <row r="23653" spans="6:8">
      <c r="F23653" s="68" t="s">
        <v>569</v>
      </c>
      <c r="G23653" s="67" t="s">
        <v>827</v>
      </c>
      <c r="H23653" s="69">
        <v>-0.68500000000000005</v>
      </c>
    </row>
    <row r="23654" spans="6:8">
      <c r="F23654" s="68" t="s">
        <v>423</v>
      </c>
      <c r="G23654" s="67" t="s">
        <v>827</v>
      </c>
      <c r="H23654" s="69">
        <v>1.6245701904566978</v>
      </c>
    </row>
    <row r="23655" spans="6:8">
      <c r="F23655" s="68" t="s">
        <v>256</v>
      </c>
      <c r="G23655" s="67" t="s">
        <v>827</v>
      </c>
      <c r="H23655" s="69">
        <v>0.58333333333333337</v>
      </c>
    </row>
    <row r="23656" spans="6:8">
      <c r="F23656" s="68" t="s">
        <v>133</v>
      </c>
      <c r="G23656" s="67" t="s">
        <v>827</v>
      </c>
      <c r="H23656" s="69">
        <v>-0.66500000000000004</v>
      </c>
    </row>
    <row r="23657" spans="6:8">
      <c r="F23657" s="68" t="s">
        <v>132</v>
      </c>
      <c r="G23657" s="67" t="s">
        <v>827</v>
      </c>
      <c r="H23657" s="69">
        <v>-1.125</v>
      </c>
    </row>
    <row r="23658" spans="6:8">
      <c r="F23658" s="68" t="s">
        <v>424</v>
      </c>
      <c r="G23658" s="67" t="s">
        <v>827</v>
      </c>
      <c r="H23658" s="69">
        <v>2.494475856124545</v>
      </c>
    </row>
    <row r="23659" spans="6:8">
      <c r="F23659" s="68" t="s">
        <v>258</v>
      </c>
      <c r="G23659" s="67" t="s">
        <v>827</v>
      </c>
      <c r="H23659" s="69">
        <v>0.15</v>
      </c>
    </row>
    <row r="23660" spans="6:8">
      <c r="F23660" s="68" t="s">
        <v>257</v>
      </c>
      <c r="G23660" s="67" t="s">
        <v>827</v>
      </c>
      <c r="H23660" s="69">
        <v>0.72999999999999987</v>
      </c>
    </row>
    <row r="23661" spans="6:8">
      <c r="F23661" s="68" t="s">
        <v>135</v>
      </c>
      <c r="G23661" s="67" t="s">
        <v>827</v>
      </c>
      <c r="H23661" s="69">
        <v>-0.84</v>
      </c>
    </row>
    <row r="23662" spans="6:8">
      <c r="F23662" s="68" t="s">
        <v>134</v>
      </c>
      <c r="G23662" s="67" t="s">
        <v>827</v>
      </c>
      <c r="H23662" s="69">
        <v>-1.0950000000000002</v>
      </c>
    </row>
    <row r="23663" spans="6:8">
      <c r="F23663" s="68" t="s">
        <v>259</v>
      </c>
      <c r="G23663" s="67" t="s">
        <v>827</v>
      </c>
      <c r="H23663" s="69">
        <v>9.8333333333333342E-2</v>
      </c>
    </row>
    <row r="23664" spans="6:8">
      <c r="F23664" s="68" t="s">
        <v>138</v>
      </c>
      <c r="G23664" s="67" t="s">
        <v>827</v>
      </c>
      <c r="H23664" s="69">
        <v>-0.84000000000000008</v>
      </c>
    </row>
    <row r="23665" spans="6:8">
      <c r="F23665" s="68" t="s">
        <v>137</v>
      </c>
      <c r="G23665" s="67" t="s">
        <v>827</v>
      </c>
      <c r="H23665" s="69">
        <v>-0.75</v>
      </c>
    </row>
    <row r="23666" spans="6:8">
      <c r="F23666" s="68" t="s">
        <v>136</v>
      </c>
      <c r="G23666" s="67" t="s">
        <v>827</v>
      </c>
      <c r="H23666" s="69">
        <v>-1.26</v>
      </c>
    </row>
    <row r="23667" spans="6:8">
      <c r="F23667" s="68" t="s">
        <v>425</v>
      </c>
      <c r="G23667" s="67" t="s">
        <v>827</v>
      </c>
      <c r="H23667" s="69">
        <v>2.4803945701842522</v>
      </c>
    </row>
    <row r="23668" spans="6:8">
      <c r="F23668" s="68" t="s">
        <v>136</v>
      </c>
      <c r="G23668" s="67" t="s">
        <v>828</v>
      </c>
      <c r="H23668" s="69">
        <v>-1.29</v>
      </c>
    </row>
    <row r="23669" spans="6:8">
      <c r="F23669" s="68" t="s">
        <v>137</v>
      </c>
      <c r="G23669" s="67" t="s">
        <v>828</v>
      </c>
      <c r="H23669" s="69">
        <v>-0.80499999999999994</v>
      </c>
    </row>
    <row r="23670" spans="6:8">
      <c r="F23670" s="68" t="s">
        <v>138</v>
      </c>
      <c r="G23670" s="67" t="s">
        <v>828</v>
      </c>
      <c r="H23670" s="69">
        <v>-0.84000000000000008</v>
      </c>
    </row>
    <row r="23671" spans="6:8">
      <c r="F23671" s="68" t="s">
        <v>259</v>
      </c>
      <c r="G23671" s="67" t="s">
        <v>828</v>
      </c>
      <c r="H23671" s="69">
        <v>9.3333333333333338E-2</v>
      </c>
    </row>
    <row r="23672" spans="6:8">
      <c r="F23672" s="68" t="s">
        <v>134</v>
      </c>
      <c r="G23672" s="67" t="s">
        <v>828</v>
      </c>
      <c r="H23672" s="69">
        <v>-1.1100000000000001</v>
      </c>
    </row>
    <row r="23673" spans="6:8">
      <c r="F23673" s="68" t="s">
        <v>135</v>
      </c>
      <c r="G23673" s="67" t="s">
        <v>828</v>
      </c>
      <c r="H23673" s="69">
        <v>-0.84499999999999997</v>
      </c>
    </row>
    <row r="23674" spans="6:8">
      <c r="F23674" s="68" t="s">
        <v>257</v>
      </c>
      <c r="G23674" s="67" t="s">
        <v>828</v>
      </c>
      <c r="H23674" s="69">
        <v>0.73199999999999998</v>
      </c>
    </row>
    <row r="23675" spans="6:8">
      <c r="F23675" s="68" t="s">
        <v>258</v>
      </c>
      <c r="G23675" s="67" t="s">
        <v>828</v>
      </c>
      <c r="H23675" s="69">
        <v>0.15</v>
      </c>
    </row>
    <row r="23676" spans="6:8">
      <c r="F23676" s="68" t="s">
        <v>424</v>
      </c>
      <c r="G23676" s="67" t="s">
        <v>828</v>
      </c>
      <c r="H23676" s="69">
        <v>2.4503373264491479</v>
      </c>
    </row>
    <row r="23677" spans="6:8">
      <c r="F23677" s="68" t="s">
        <v>132</v>
      </c>
      <c r="G23677" s="67" t="s">
        <v>828</v>
      </c>
      <c r="H23677" s="69">
        <v>-1.1400000000000001</v>
      </c>
    </row>
    <row r="23678" spans="6:8">
      <c r="F23678" s="68" t="s">
        <v>133</v>
      </c>
      <c r="G23678" s="67" t="s">
        <v>828</v>
      </c>
      <c r="H23678" s="69">
        <v>-0.66999999999999993</v>
      </c>
    </row>
    <row r="23679" spans="6:8">
      <c r="F23679" s="68" t="s">
        <v>256</v>
      </c>
      <c r="G23679" s="67" t="s">
        <v>828</v>
      </c>
      <c r="H23679" s="69">
        <v>0.57500000000000007</v>
      </c>
    </row>
    <row r="23680" spans="6:8">
      <c r="F23680" s="68" t="s">
        <v>423</v>
      </c>
      <c r="G23680" s="67" t="s">
        <v>828</v>
      </c>
      <c r="H23680" s="69">
        <v>1.5092538792590648</v>
      </c>
    </row>
    <row r="23681" spans="6:8">
      <c r="F23681" s="68" t="s">
        <v>569</v>
      </c>
      <c r="G23681" s="67" t="s">
        <v>828</v>
      </c>
      <c r="H23681" s="69">
        <v>-0.755</v>
      </c>
    </row>
    <row r="23682" spans="6:8">
      <c r="F23682" s="68" t="s">
        <v>130</v>
      </c>
      <c r="G23682" s="67" t="s">
        <v>828</v>
      </c>
      <c r="H23682" s="69">
        <v>-1.19</v>
      </c>
    </row>
    <row r="23683" spans="6:8">
      <c r="F23683" s="68" t="s">
        <v>131</v>
      </c>
      <c r="G23683" s="67" t="s">
        <v>828</v>
      </c>
      <c r="H23683" s="69">
        <v>-0.57499999999999996</v>
      </c>
    </row>
    <row r="23684" spans="6:8">
      <c r="F23684" s="68" t="s">
        <v>303</v>
      </c>
      <c r="G23684" s="67" t="s">
        <v>828</v>
      </c>
      <c r="H23684" s="69">
        <v>15.395833333333334</v>
      </c>
    </row>
    <row r="23685" spans="6:8">
      <c r="F23685" s="68" t="s">
        <v>255</v>
      </c>
      <c r="G23685" s="67" t="s">
        <v>828</v>
      </c>
      <c r="H23685" s="69">
        <v>0.42166666666666663</v>
      </c>
    </row>
    <row r="23686" spans="6:8">
      <c r="F23686" s="68" t="s">
        <v>422</v>
      </c>
      <c r="G23686" s="67" t="s">
        <v>828</v>
      </c>
      <c r="H23686" s="69">
        <v>0.9635383657496277</v>
      </c>
    </row>
    <row r="23687" spans="6:8">
      <c r="F23687" s="68" t="s">
        <v>568</v>
      </c>
      <c r="G23687" s="67" t="s">
        <v>828</v>
      </c>
      <c r="H23687" s="69">
        <v>-1.125</v>
      </c>
    </row>
    <row r="23688" spans="6:8">
      <c r="F23688" s="68" t="s">
        <v>128</v>
      </c>
      <c r="G23688" s="67" t="s">
        <v>828</v>
      </c>
      <c r="H23688" s="69">
        <v>-1.0350000000000001</v>
      </c>
    </row>
    <row r="23689" spans="6:8">
      <c r="F23689" s="68" t="s">
        <v>129</v>
      </c>
      <c r="G23689" s="67" t="s">
        <v>828</v>
      </c>
      <c r="H23689" s="69">
        <v>-0.73499999999999999</v>
      </c>
    </row>
    <row r="23690" spans="6:8">
      <c r="F23690" s="68" t="s">
        <v>304</v>
      </c>
      <c r="G23690" s="67" t="s">
        <v>828</v>
      </c>
      <c r="H23690" s="69">
        <v>15.5</v>
      </c>
    </row>
    <row r="23691" spans="6:8">
      <c r="F23691" s="68" t="s">
        <v>254</v>
      </c>
      <c r="G23691" s="67" t="s">
        <v>828</v>
      </c>
      <c r="H23691" s="69">
        <v>0.28833333333333333</v>
      </c>
    </row>
    <row r="23692" spans="6:8">
      <c r="F23692" s="68" t="s">
        <v>421</v>
      </c>
      <c r="G23692" s="67" t="s">
        <v>828</v>
      </c>
      <c r="H23692" s="69">
        <v>0.95903055866277676</v>
      </c>
    </row>
    <row r="23693" spans="6:8">
      <c r="F23693" s="68" t="s">
        <v>567</v>
      </c>
      <c r="G23693" s="67" t="s">
        <v>828</v>
      </c>
      <c r="H23693" s="69">
        <v>-1.595</v>
      </c>
    </row>
    <row r="23694" spans="6:8">
      <c r="F23694" s="68" t="s">
        <v>125</v>
      </c>
      <c r="G23694" s="67" t="s">
        <v>828</v>
      </c>
      <c r="H23694" s="69">
        <v>-1.0899999999999999</v>
      </c>
    </row>
    <row r="23695" spans="6:8">
      <c r="F23695" s="68" t="s">
        <v>126</v>
      </c>
      <c r="G23695" s="67" t="s">
        <v>828</v>
      </c>
      <c r="H23695" s="69">
        <v>-1.1000000000000001</v>
      </c>
    </row>
    <row r="23696" spans="6:8">
      <c r="F23696" s="68" t="s">
        <v>127</v>
      </c>
      <c r="G23696" s="67" t="s">
        <v>828</v>
      </c>
      <c r="H23696" s="69">
        <v>-0.49</v>
      </c>
    </row>
    <row r="23697" spans="6:8">
      <c r="F23697" s="68" t="s">
        <v>253</v>
      </c>
      <c r="G23697" s="67" t="s">
        <v>828</v>
      </c>
      <c r="H23697" s="69">
        <v>0.19999999999999998</v>
      </c>
    </row>
    <row r="23698" spans="6:8">
      <c r="F23698" s="68" t="s">
        <v>315</v>
      </c>
      <c r="G23698" s="67" t="s">
        <v>828</v>
      </c>
      <c r="H23698" s="69">
        <v>-0.76</v>
      </c>
    </row>
    <row r="23699" spans="6:8">
      <c r="F23699" s="68" t="s">
        <v>122</v>
      </c>
      <c r="G23699" s="67" t="s">
        <v>828</v>
      </c>
      <c r="H23699" s="69">
        <v>-1.1950000000000001</v>
      </c>
    </row>
    <row r="23700" spans="6:8">
      <c r="F23700" s="68" t="s">
        <v>123</v>
      </c>
      <c r="G23700" s="67" t="s">
        <v>828</v>
      </c>
      <c r="H23700" s="69">
        <v>-1.1099999999999999</v>
      </c>
    </row>
    <row r="23701" spans="6:8">
      <c r="F23701" s="68" t="s">
        <v>124</v>
      </c>
      <c r="G23701" s="67" t="s">
        <v>828</v>
      </c>
      <c r="H23701" s="69">
        <v>-0.76</v>
      </c>
    </row>
    <row r="23702" spans="6:8">
      <c r="F23702" s="68" t="s">
        <v>252</v>
      </c>
      <c r="G23702" s="67" t="s">
        <v>828</v>
      </c>
      <c r="H23702" s="69">
        <v>0.11833333333333333</v>
      </c>
    </row>
    <row r="23703" spans="6:8">
      <c r="F23703" s="68" t="s">
        <v>314</v>
      </c>
      <c r="G23703" s="67" t="s">
        <v>828</v>
      </c>
      <c r="H23703" s="69">
        <v>-1.0649999999999999</v>
      </c>
    </row>
    <row r="23704" spans="6:8">
      <c r="F23704" s="68" t="s">
        <v>420</v>
      </c>
      <c r="G23704" s="67" t="s">
        <v>828</v>
      </c>
      <c r="H23704" s="69">
        <v>2.4526687901347266</v>
      </c>
    </row>
    <row r="23705" spans="6:8">
      <c r="F23705" s="68" t="s">
        <v>119</v>
      </c>
      <c r="G23705" s="67" t="s">
        <v>828</v>
      </c>
      <c r="H23705" s="69">
        <v>-1.2050000000000001</v>
      </c>
    </row>
    <row r="23706" spans="6:8">
      <c r="F23706" s="68" t="s">
        <v>120</v>
      </c>
      <c r="G23706" s="67" t="s">
        <v>828</v>
      </c>
      <c r="H23706" s="69">
        <v>-0.94</v>
      </c>
    </row>
    <row r="23707" spans="6:8">
      <c r="F23707" s="68" t="s">
        <v>121</v>
      </c>
      <c r="G23707" s="67" t="s">
        <v>828</v>
      </c>
      <c r="H23707" s="69">
        <v>-0.81</v>
      </c>
    </row>
    <row r="23708" spans="6:8">
      <c r="F23708" s="68" t="s">
        <v>251</v>
      </c>
      <c r="G23708" s="67" t="s">
        <v>828</v>
      </c>
      <c r="H23708" s="69">
        <v>0.10000000000000002</v>
      </c>
    </row>
    <row r="23709" spans="6:8">
      <c r="F23709" s="68" t="s">
        <v>251</v>
      </c>
      <c r="G23709" s="67" t="s">
        <v>829</v>
      </c>
      <c r="H23709" s="69">
        <v>0.10000000000000002</v>
      </c>
    </row>
    <row r="23710" spans="6:8">
      <c r="F23710" s="68" t="s">
        <v>121</v>
      </c>
      <c r="G23710" s="67" t="s">
        <v>829</v>
      </c>
      <c r="H23710" s="69">
        <v>-0.81</v>
      </c>
    </row>
    <row r="23711" spans="6:8">
      <c r="F23711" s="68" t="s">
        <v>120</v>
      </c>
      <c r="G23711" s="67" t="s">
        <v>829</v>
      </c>
      <c r="H23711" s="69">
        <v>-0.94</v>
      </c>
    </row>
    <row r="23712" spans="6:8">
      <c r="F23712" s="68" t="s">
        <v>119</v>
      </c>
      <c r="G23712" s="67" t="s">
        <v>829</v>
      </c>
      <c r="H23712" s="69">
        <v>-1.2050000000000001</v>
      </c>
    </row>
    <row r="23713" spans="6:8">
      <c r="F23713" s="68" t="s">
        <v>420</v>
      </c>
      <c r="G23713" s="67" t="s">
        <v>829</v>
      </c>
      <c r="H23713" s="69">
        <v>2.4482414321452151</v>
      </c>
    </row>
    <row r="23714" spans="6:8">
      <c r="F23714" s="68" t="s">
        <v>314</v>
      </c>
      <c r="G23714" s="67" t="s">
        <v>829</v>
      </c>
      <c r="H23714" s="69">
        <v>-1.0649999999999999</v>
      </c>
    </row>
    <row r="23715" spans="6:8">
      <c r="F23715" s="68" t="s">
        <v>252</v>
      </c>
      <c r="G23715" s="67" t="s">
        <v>829</v>
      </c>
      <c r="H23715" s="69">
        <v>0.11833333333333333</v>
      </c>
    </row>
    <row r="23716" spans="6:8">
      <c r="F23716" s="68" t="s">
        <v>124</v>
      </c>
      <c r="G23716" s="67" t="s">
        <v>829</v>
      </c>
      <c r="H23716" s="69">
        <v>-0.76</v>
      </c>
    </row>
    <row r="23717" spans="6:8">
      <c r="F23717" s="68" t="s">
        <v>123</v>
      </c>
      <c r="G23717" s="67" t="s">
        <v>829</v>
      </c>
      <c r="H23717" s="69">
        <v>-1.1099999999999999</v>
      </c>
    </row>
    <row r="23718" spans="6:8">
      <c r="F23718" s="68" t="s">
        <v>122</v>
      </c>
      <c r="G23718" s="67" t="s">
        <v>829</v>
      </c>
      <c r="H23718" s="69">
        <v>-1.1950000000000001</v>
      </c>
    </row>
    <row r="23719" spans="6:8">
      <c r="F23719" s="68" t="s">
        <v>315</v>
      </c>
      <c r="G23719" s="67" t="s">
        <v>829</v>
      </c>
      <c r="H23719" s="69">
        <v>-0.76</v>
      </c>
    </row>
    <row r="23720" spans="6:8">
      <c r="F23720" s="68" t="s">
        <v>253</v>
      </c>
      <c r="G23720" s="67" t="s">
        <v>829</v>
      </c>
      <c r="H23720" s="69">
        <v>0.19999999999999998</v>
      </c>
    </row>
    <row r="23721" spans="6:8">
      <c r="F23721" s="68" t="s">
        <v>127</v>
      </c>
      <c r="G23721" s="67" t="s">
        <v>829</v>
      </c>
      <c r="H23721" s="69">
        <v>-0.49</v>
      </c>
    </row>
    <row r="23722" spans="6:8">
      <c r="F23722" s="68" t="s">
        <v>126</v>
      </c>
      <c r="G23722" s="67" t="s">
        <v>829</v>
      </c>
      <c r="H23722" s="69">
        <v>-1.1000000000000001</v>
      </c>
    </row>
    <row r="23723" spans="6:8">
      <c r="F23723" s="68" t="s">
        <v>125</v>
      </c>
      <c r="G23723" s="67" t="s">
        <v>829</v>
      </c>
      <c r="H23723" s="69">
        <v>-1.0899999999999999</v>
      </c>
    </row>
    <row r="23724" spans="6:8">
      <c r="F23724" s="68" t="s">
        <v>567</v>
      </c>
      <c r="G23724" s="67" t="s">
        <v>829</v>
      </c>
      <c r="H23724" s="69">
        <v>-1.595</v>
      </c>
    </row>
    <row r="23725" spans="6:8">
      <c r="F23725" s="68" t="s">
        <v>421</v>
      </c>
      <c r="G23725" s="67" t="s">
        <v>829</v>
      </c>
      <c r="H23725" s="69">
        <v>0.93646154587729846</v>
      </c>
    </row>
    <row r="23726" spans="6:8">
      <c r="F23726" s="68" t="s">
        <v>254</v>
      </c>
      <c r="G23726" s="67" t="s">
        <v>829</v>
      </c>
      <c r="H23726" s="69">
        <v>0.28833333333333333</v>
      </c>
    </row>
    <row r="23727" spans="6:8">
      <c r="F23727" s="68" t="s">
        <v>304</v>
      </c>
      <c r="G23727" s="67" t="s">
        <v>829</v>
      </c>
      <c r="H23727" s="69">
        <v>15.53125</v>
      </c>
    </row>
    <row r="23728" spans="6:8">
      <c r="F23728" s="68" t="s">
        <v>129</v>
      </c>
      <c r="G23728" s="67" t="s">
        <v>829</v>
      </c>
      <c r="H23728" s="69">
        <v>-0.73499999999999999</v>
      </c>
    </row>
    <row r="23729" spans="6:8">
      <c r="F23729" s="68" t="s">
        <v>128</v>
      </c>
      <c r="G23729" s="67" t="s">
        <v>829</v>
      </c>
      <c r="H23729" s="69">
        <v>-1.0350000000000001</v>
      </c>
    </row>
    <row r="23730" spans="6:8">
      <c r="F23730" s="68" t="s">
        <v>568</v>
      </c>
      <c r="G23730" s="67" t="s">
        <v>829</v>
      </c>
      <c r="H23730" s="69">
        <v>-1.125</v>
      </c>
    </row>
    <row r="23731" spans="6:8">
      <c r="F23731" s="68" t="s">
        <v>422</v>
      </c>
      <c r="G23731" s="67" t="s">
        <v>829</v>
      </c>
      <c r="H23731" s="69">
        <v>0.94088641660201588</v>
      </c>
    </row>
    <row r="23732" spans="6:8">
      <c r="F23732" s="68" t="s">
        <v>255</v>
      </c>
      <c r="G23732" s="67" t="s">
        <v>829</v>
      </c>
      <c r="H23732" s="69">
        <v>0.42166666666666663</v>
      </c>
    </row>
    <row r="23733" spans="6:8">
      <c r="F23733" s="68" t="s">
        <v>303</v>
      </c>
      <c r="G23733" s="67" t="s">
        <v>829</v>
      </c>
      <c r="H23733" s="69">
        <v>15.427083333333334</v>
      </c>
    </row>
    <row r="23734" spans="6:8">
      <c r="F23734" s="68" t="s">
        <v>131</v>
      </c>
      <c r="G23734" s="67" t="s">
        <v>829</v>
      </c>
      <c r="H23734" s="69">
        <v>-0.57499999999999996</v>
      </c>
    </row>
    <row r="23735" spans="6:8">
      <c r="F23735" s="68" t="s">
        <v>130</v>
      </c>
      <c r="G23735" s="67" t="s">
        <v>829</v>
      </c>
      <c r="H23735" s="69">
        <v>-1.19</v>
      </c>
    </row>
    <row r="23736" spans="6:8">
      <c r="F23736" s="68" t="s">
        <v>569</v>
      </c>
      <c r="G23736" s="67" t="s">
        <v>829</v>
      </c>
      <c r="H23736" s="69">
        <v>-0.755</v>
      </c>
    </row>
    <row r="23737" spans="6:8">
      <c r="F23737" s="68" t="s">
        <v>423</v>
      </c>
      <c r="G23737" s="67" t="s">
        <v>829</v>
      </c>
      <c r="H23737" s="69">
        <v>1.4950593123358225</v>
      </c>
    </row>
    <row r="23738" spans="6:8">
      <c r="F23738" s="68" t="s">
        <v>256</v>
      </c>
      <c r="G23738" s="67" t="s">
        <v>829</v>
      </c>
      <c r="H23738" s="69">
        <v>0.57500000000000007</v>
      </c>
    </row>
    <row r="23739" spans="6:8">
      <c r="F23739" s="68" t="s">
        <v>133</v>
      </c>
      <c r="G23739" s="67" t="s">
        <v>829</v>
      </c>
      <c r="H23739" s="69">
        <v>-0.66999999999999993</v>
      </c>
    </row>
    <row r="23740" spans="6:8">
      <c r="F23740" s="68" t="s">
        <v>132</v>
      </c>
      <c r="G23740" s="67" t="s">
        <v>829</v>
      </c>
      <c r="H23740" s="69">
        <v>-1.1400000000000001</v>
      </c>
    </row>
    <row r="23741" spans="6:8">
      <c r="F23741" s="68" t="s">
        <v>424</v>
      </c>
      <c r="G23741" s="67" t="s">
        <v>829</v>
      </c>
      <c r="H23741" s="69">
        <v>2.4481948326412262</v>
      </c>
    </row>
    <row r="23742" spans="6:8">
      <c r="F23742" s="68" t="s">
        <v>258</v>
      </c>
      <c r="G23742" s="67" t="s">
        <v>829</v>
      </c>
      <c r="H23742" s="69">
        <v>0.15</v>
      </c>
    </row>
    <row r="23743" spans="6:8">
      <c r="F23743" s="68" t="s">
        <v>257</v>
      </c>
      <c r="G23743" s="67" t="s">
        <v>829</v>
      </c>
      <c r="H23743" s="69">
        <v>0.73199999999999998</v>
      </c>
    </row>
    <row r="23744" spans="6:8">
      <c r="F23744" s="68" t="s">
        <v>135</v>
      </c>
      <c r="G23744" s="67" t="s">
        <v>829</v>
      </c>
      <c r="H23744" s="69">
        <v>-0.84499999999999997</v>
      </c>
    </row>
    <row r="23745" spans="6:8">
      <c r="F23745" s="68" t="s">
        <v>134</v>
      </c>
      <c r="G23745" s="67" t="s">
        <v>829</v>
      </c>
      <c r="H23745" s="69">
        <v>-1.1100000000000001</v>
      </c>
    </row>
    <row r="23746" spans="6:8">
      <c r="F23746" s="68" t="s">
        <v>259</v>
      </c>
      <c r="G23746" s="67" t="s">
        <v>829</v>
      </c>
      <c r="H23746" s="69">
        <v>9.3333333333333338E-2</v>
      </c>
    </row>
    <row r="23747" spans="6:8">
      <c r="F23747" s="68" t="s">
        <v>138</v>
      </c>
      <c r="G23747" s="67" t="s">
        <v>829</v>
      </c>
      <c r="H23747" s="69">
        <v>-0.84000000000000008</v>
      </c>
    </row>
    <row r="23748" spans="6:8">
      <c r="F23748" s="68" t="s">
        <v>137</v>
      </c>
      <c r="G23748" s="67" t="s">
        <v>829</v>
      </c>
      <c r="H23748" s="69">
        <v>-0.80499999999999994</v>
      </c>
    </row>
    <row r="23749" spans="6:8">
      <c r="F23749" s="68" t="s">
        <v>136</v>
      </c>
      <c r="G23749" s="67" t="s">
        <v>829</v>
      </c>
      <c r="H23749" s="69">
        <v>-1.29</v>
      </c>
    </row>
    <row r="23750" spans="6:8">
      <c r="F23750" s="68" t="s">
        <v>136</v>
      </c>
      <c r="G23750" s="67" t="s">
        <v>830</v>
      </c>
      <c r="H23750" s="69">
        <v>-1.24</v>
      </c>
    </row>
    <row r="23751" spans="6:8">
      <c r="F23751" s="68" t="s">
        <v>137</v>
      </c>
      <c r="G23751" s="67" t="s">
        <v>830</v>
      </c>
      <c r="H23751" s="69">
        <v>-0.76500000000000001</v>
      </c>
    </row>
    <row r="23752" spans="6:8">
      <c r="F23752" s="68" t="s">
        <v>138</v>
      </c>
      <c r="G23752" s="67" t="s">
        <v>830</v>
      </c>
      <c r="H23752" s="69">
        <v>-0.84000000000000008</v>
      </c>
    </row>
    <row r="23753" spans="6:8">
      <c r="F23753" s="68" t="s">
        <v>259</v>
      </c>
      <c r="G23753" s="67" t="s">
        <v>830</v>
      </c>
      <c r="H23753" s="69">
        <v>9.3333333333333338E-2</v>
      </c>
    </row>
    <row r="23754" spans="6:8">
      <c r="F23754" s="68" t="s">
        <v>425</v>
      </c>
      <c r="G23754" s="67" t="s">
        <v>830</v>
      </c>
      <c r="H23754" s="69">
        <v>2.5008843913498779</v>
      </c>
    </row>
    <row r="23755" spans="6:8">
      <c r="F23755" s="68" t="s">
        <v>134</v>
      </c>
      <c r="G23755" s="67" t="s">
        <v>830</v>
      </c>
      <c r="H23755" s="69">
        <v>-1.0649999999999999</v>
      </c>
    </row>
    <row r="23756" spans="6:8">
      <c r="F23756" s="68" t="s">
        <v>135</v>
      </c>
      <c r="G23756" s="67" t="s">
        <v>830</v>
      </c>
      <c r="H23756" s="69">
        <v>-0.81</v>
      </c>
    </row>
    <row r="23757" spans="6:8">
      <c r="F23757" s="68" t="s">
        <v>257</v>
      </c>
      <c r="G23757" s="67" t="s">
        <v>830</v>
      </c>
      <c r="H23757" s="69">
        <v>0.748</v>
      </c>
    </row>
    <row r="23758" spans="6:8">
      <c r="F23758" s="68" t="s">
        <v>258</v>
      </c>
      <c r="G23758" s="67" t="s">
        <v>830</v>
      </c>
      <c r="H23758" s="69">
        <v>0.15</v>
      </c>
    </row>
    <row r="23759" spans="6:8">
      <c r="F23759" s="68" t="s">
        <v>424</v>
      </c>
      <c r="G23759" s="67" t="s">
        <v>830</v>
      </c>
      <c r="H23759" s="69">
        <v>2.5052946431017631</v>
      </c>
    </row>
    <row r="23760" spans="6:8">
      <c r="F23760" s="68" t="s">
        <v>132</v>
      </c>
      <c r="G23760" s="67" t="s">
        <v>830</v>
      </c>
      <c r="H23760" s="69">
        <v>-1.0900000000000001</v>
      </c>
    </row>
    <row r="23761" spans="6:8">
      <c r="F23761" s="68" t="s">
        <v>133</v>
      </c>
      <c r="G23761" s="67" t="s">
        <v>830</v>
      </c>
      <c r="H23761" s="69">
        <v>-0.64</v>
      </c>
    </row>
    <row r="23762" spans="6:8">
      <c r="F23762" s="68" t="s">
        <v>256</v>
      </c>
      <c r="G23762" s="67" t="s">
        <v>830</v>
      </c>
      <c r="H23762" s="69">
        <v>0.58499999999999996</v>
      </c>
    </row>
    <row r="23763" spans="6:8">
      <c r="F23763" s="68" t="s">
        <v>423</v>
      </c>
      <c r="G23763" s="67" t="s">
        <v>830</v>
      </c>
      <c r="H23763" s="69">
        <v>1.6273220405933042</v>
      </c>
    </row>
    <row r="23764" spans="6:8">
      <c r="F23764" s="68" t="s">
        <v>569</v>
      </c>
      <c r="G23764" s="67" t="s">
        <v>830</v>
      </c>
      <c r="H23764" s="69">
        <v>-0.7</v>
      </c>
    </row>
    <row r="23765" spans="6:8">
      <c r="F23765" s="68" t="s">
        <v>130</v>
      </c>
      <c r="G23765" s="67" t="s">
        <v>830</v>
      </c>
      <c r="H23765" s="69">
        <v>-1.145</v>
      </c>
    </row>
    <row r="23766" spans="6:8">
      <c r="F23766" s="68" t="s">
        <v>131</v>
      </c>
      <c r="G23766" s="67" t="s">
        <v>830</v>
      </c>
      <c r="H23766" s="69">
        <v>-0.55000000000000004</v>
      </c>
    </row>
    <row r="23767" spans="6:8">
      <c r="F23767" s="68" t="s">
        <v>303</v>
      </c>
      <c r="G23767" s="67" t="s">
        <v>830</v>
      </c>
      <c r="H23767" s="69">
        <v>15.520833333333334</v>
      </c>
    </row>
    <row r="23768" spans="6:8">
      <c r="F23768" s="68" t="s">
        <v>255</v>
      </c>
      <c r="G23768" s="67" t="s">
        <v>830</v>
      </c>
      <c r="H23768" s="69">
        <v>0.44166666666666665</v>
      </c>
    </row>
    <row r="23769" spans="6:8">
      <c r="F23769" s="68" t="s">
        <v>422</v>
      </c>
      <c r="G23769" s="67" t="s">
        <v>830</v>
      </c>
      <c r="H23769" s="69">
        <v>1.1357206928193975</v>
      </c>
    </row>
    <row r="23770" spans="6:8">
      <c r="F23770" s="68" t="s">
        <v>568</v>
      </c>
      <c r="G23770" s="67" t="s">
        <v>830</v>
      </c>
      <c r="H23770" s="69">
        <v>-1.05</v>
      </c>
    </row>
    <row r="23771" spans="6:8">
      <c r="F23771" s="68" t="s">
        <v>128</v>
      </c>
      <c r="G23771" s="67" t="s">
        <v>830</v>
      </c>
      <c r="H23771" s="69">
        <v>-0.99</v>
      </c>
    </row>
    <row r="23772" spans="6:8">
      <c r="F23772" s="68" t="s">
        <v>129</v>
      </c>
      <c r="G23772" s="67" t="s">
        <v>830</v>
      </c>
      <c r="H23772" s="69">
        <v>-0.71</v>
      </c>
    </row>
    <row r="23773" spans="6:8">
      <c r="F23773" s="68" t="s">
        <v>304</v>
      </c>
      <c r="G23773" s="67" t="s">
        <v>830</v>
      </c>
      <c r="H23773" s="69">
        <v>15.614583333333334</v>
      </c>
    </row>
    <row r="23774" spans="6:8">
      <c r="F23774" s="68" t="s">
        <v>254</v>
      </c>
      <c r="G23774" s="67" t="s">
        <v>830</v>
      </c>
      <c r="H23774" s="69">
        <v>0.30166666666666669</v>
      </c>
    </row>
    <row r="23775" spans="6:8">
      <c r="F23775" s="68" t="s">
        <v>421</v>
      </c>
      <c r="G23775" s="67" t="s">
        <v>830</v>
      </c>
      <c r="H23775" s="69">
        <v>1.1307452109377891</v>
      </c>
    </row>
    <row r="23776" spans="6:8">
      <c r="F23776" s="68" t="s">
        <v>567</v>
      </c>
      <c r="G23776" s="67" t="s">
        <v>830</v>
      </c>
      <c r="H23776" s="69">
        <v>-1.425</v>
      </c>
    </row>
    <row r="23777" spans="6:8">
      <c r="F23777" s="68" t="s">
        <v>125</v>
      </c>
      <c r="G23777" s="67" t="s">
        <v>830</v>
      </c>
      <c r="H23777" s="69">
        <v>-1.0249999999999999</v>
      </c>
    </row>
    <row r="23778" spans="6:8">
      <c r="F23778" s="68" t="s">
        <v>126</v>
      </c>
      <c r="G23778" s="67" t="s">
        <v>830</v>
      </c>
      <c r="H23778" s="69">
        <v>-1.05</v>
      </c>
    </row>
    <row r="23779" spans="6:8">
      <c r="F23779" s="68" t="s">
        <v>127</v>
      </c>
      <c r="G23779" s="67" t="s">
        <v>830</v>
      </c>
      <c r="H23779" s="69">
        <v>-0.45999999999999996</v>
      </c>
    </row>
    <row r="23780" spans="6:8">
      <c r="F23780" s="68" t="s">
        <v>253</v>
      </c>
      <c r="G23780" s="67" t="s">
        <v>830</v>
      </c>
      <c r="H23780" s="69">
        <v>0.21833333333333335</v>
      </c>
    </row>
    <row r="23781" spans="6:8">
      <c r="F23781" s="68" t="s">
        <v>315</v>
      </c>
      <c r="G23781" s="67" t="s">
        <v>830</v>
      </c>
      <c r="H23781" s="69">
        <v>-0.70500000000000007</v>
      </c>
    </row>
    <row r="23782" spans="6:8">
      <c r="F23782" s="68" t="s">
        <v>122</v>
      </c>
      <c r="G23782" s="67" t="s">
        <v>830</v>
      </c>
      <c r="H23782" s="69">
        <v>-1.1299999999999999</v>
      </c>
    </row>
    <row r="23783" spans="6:8">
      <c r="F23783" s="68" t="s">
        <v>123</v>
      </c>
      <c r="G23783" s="67" t="s">
        <v>830</v>
      </c>
      <c r="H23783" s="69">
        <v>-1.0649999999999999</v>
      </c>
    </row>
    <row r="23784" spans="6:8">
      <c r="F23784" s="68" t="s">
        <v>124</v>
      </c>
      <c r="G23784" s="67" t="s">
        <v>830</v>
      </c>
      <c r="H23784" s="69">
        <v>-0.76</v>
      </c>
    </row>
    <row r="23785" spans="6:8">
      <c r="F23785" s="68" t="s">
        <v>252</v>
      </c>
      <c r="G23785" s="67" t="s">
        <v>830</v>
      </c>
      <c r="H23785" s="69">
        <v>0.14333333333333334</v>
      </c>
    </row>
    <row r="23786" spans="6:8">
      <c r="F23786" s="68" t="s">
        <v>314</v>
      </c>
      <c r="G23786" s="67" t="s">
        <v>830</v>
      </c>
      <c r="H23786" s="69">
        <v>-0.995</v>
      </c>
    </row>
    <row r="23787" spans="6:8">
      <c r="F23787" s="68" t="s">
        <v>420</v>
      </c>
      <c r="G23787" s="67" t="s">
        <v>830</v>
      </c>
      <c r="H23787" s="69">
        <v>2.5386092043872655</v>
      </c>
    </row>
    <row r="23788" spans="6:8">
      <c r="F23788" s="68" t="s">
        <v>119</v>
      </c>
      <c r="G23788" s="67" t="s">
        <v>830</v>
      </c>
      <c r="H23788" s="69">
        <v>-1.145</v>
      </c>
    </row>
    <row r="23789" spans="6:8">
      <c r="F23789" s="68" t="s">
        <v>120</v>
      </c>
      <c r="G23789" s="67" t="s">
        <v>830</v>
      </c>
      <c r="H23789" s="69">
        <v>-0.89999999999999991</v>
      </c>
    </row>
    <row r="23790" spans="6:8">
      <c r="F23790" s="68" t="s">
        <v>121</v>
      </c>
      <c r="G23790" s="67" t="s">
        <v>830</v>
      </c>
      <c r="H23790" s="69">
        <v>-0.81</v>
      </c>
    </row>
    <row r="23791" spans="6:8">
      <c r="F23791" s="68" t="s">
        <v>251</v>
      </c>
      <c r="G23791" s="67" t="s">
        <v>830</v>
      </c>
      <c r="H23791" s="69">
        <v>0.11833333333333335</v>
      </c>
    </row>
    <row r="23792" spans="6:8">
      <c r="F23792" s="68" t="s">
        <v>251</v>
      </c>
      <c r="G23792" s="67" t="s">
        <v>831</v>
      </c>
      <c r="H23792" s="69">
        <v>0.10500000000000002</v>
      </c>
    </row>
    <row r="23793" spans="6:8">
      <c r="F23793" s="68" t="s">
        <v>121</v>
      </c>
      <c r="G23793" s="67" t="s">
        <v>831</v>
      </c>
      <c r="H23793" s="69">
        <v>-0.81</v>
      </c>
    </row>
    <row r="23794" spans="6:8">
      <c r="F23794" s="68" t="s">
        <v>120</v>
      </c>
      <c r="G23794" s="67" t="s">
        <v>831</v>
      </c>
      <c r="H23794" s="69">
        <v>-0.89</v>
      </c>
    </row>
    <row r="23795" spans="6:8">
      <c r="F23795" s="68" t="s">
        <v>119</v>
      </c>
      <c r="G23795" s="67" t="s">
        <v>831</v>
      </c>
      <c r="H23795" s="69">
        <v>-1.135</v>
      </c>
    </row>
    <row r="23796" spans="6:8">
      <c r="F23796" s="68" t="s">
        <v>420</v>
      </c>
      <c r="G23796" s="67" t="s">
        <v>831</v>
      </c>
      <c r="H23796" s="69">
        <v>2.566204441022446</v>
      </c>
    </row>
    <row r="23797" spans="6:8">
      <c r="F23797" s="68" t="s">
        <v>314</v>
      </c>
      <c r="G23797" s="67" t="s">
        <v>831</v>
      </c>
      <c r="H23797" s="69">
        <v>-1.0049999999999999</v>
      </c>
    </row>
    <row r="23798" spans="6:8">
      <c r="F23798" s="68" t="s">
        <v>252</v>
      </c>
      <c r="G23798" s="67" t="s">
        <v>831</v>
      </c>
      <c r="H23798" s="69">
        <v>0.125</v>
      </c>
    </row>
    <row r="23799" spans="6:8">
      <c r="F23799" s="68" t="s">
        <v>124</v>
      </c>
      <c r="G23799" s="67" t="s">
        <v>831</v>
      </c>
      <c r="H23799" s="69">
        <v>-0.81</v>
      </c>
    </row>
    <row r="23800" spans="6:8">
      <c r="F23800" s="68" t="s">
        <v>123</v>
      </c>
      <c r="G23800" s="67" t="s">
        <v>831</v>
      </c>
      <c r="H23800" s="69">
        <v>-1.0550000000000002</v>
      </c>
    </row>
    <row r="23801" spans="6:8">
      <c r="F23801" s="68" t="s">
        <v>122</v>
      </c>
      <c r="G23801" s="67" t="s">
        <v>831</v>
      </c>
      <c r="H23801" s="69">
        <v>-1.1200000000000001</v>
      </c>
    </row>
    <row r="23802" spans="6:8">
      <c r="F23802" s="68" t="s">
        <v>315</v>
      </c>
      <c r="G23802" s="67" t="s">
        <v>831</v>
      </c>
      <c r="H23802" s="69">
        <v>-0.72</v>
      </c>
    </row>
    <row r="23803" spans="6:8">
      <c r="F23803" s="68" t="s">
        <v>253</v>
      </c>
      <c r="G23803" s="67" t="s">
        <v>831</v>
      </c>
      <c r="H23803" s="69">
        <v>0.20833333333333334</v>
      </c>
    </row>
    <row r="23804" spans="6:8">
      <c r="F23804" s="68" t="s">
        <v>127</v>
      </c>
      <c r="G23804" s="67" t="s">
        <v>831</v>
      </c>
      <c r="H23804" s="69">
        <v>-0.45499999999999996</v>
      </c>
    </row>
    <row r="23805" spans="6:8">
      <c r="F23805" s="68" t="s">
        <v>126</v>
      </c>
      <c r="G23805" s="67" t="s">
        <v>831</v>
      </c>
      <c r="H23805" s="69">
        <v>-1.04</v>
      </c>
    </row>
    <row r="23806" spans="6:8">
      <c r="F23806" s="68" t="s">
        <v>125</v>
      </c>
      <c r="G23806" s="67" t="s">
        <v>831</v>
      </c>
      <c r="H23806" s="69">
        <v>-1.0350000000000001</v>
      </c>
    </row>
    <row r="23807" spans="6:8">
      <c r="F23807" s="68" t="s">
        <v>567</v>
      </c>
      <c r="G23807" s="67" t="s">
        <v>831</v>
      </c>
      <c r="H23807" s="69">
        <v>-1.4100000000000001</v>
      </c>
    </row>
    <row r="23808" spans="6:8">
      <c r="F23808" s="68" t="s">
        <v>421</v>
      </c>
      <c r="G23808" s="67" t="s">
        <v>831</v>
      </c>
      <c r="H23808" s="69">
        <v>1.1310269471732415</v>
      </c>
    </row>
    <row r="23809" spans="6:8">
      <c r="F23809" s="68" t="s">
        <v>254</v>
      </c>
      <c r="G23809" s="67" t="s">
        <v>831</v>
      </c>
      <c r="H23809" s="69">
        <v>0.3</v>
      </c>
    </row>
    <row r="23810" spans="6:8">
      <c r="F23810" s="68" t="s">
        <v>304</v>
      </c>
      <c r="G23810" s="67" t="s">
        <v>831</v>
      </c>
      <c r="H23810" s="69">
        <v>15.669649999999999</v>
      </c>
    </row>
    <row r="23811" spans="6:8">
      <c r="F23811" s="68" t="s">
        <v>129</v>
      </c>
      <c r="G23811" s="67" t="s">
        <v>831</v>
      </c>
      <c r="H23811" s="69">
        <v>-0.71500000000000008</v>
      </c>
    </row>
    <row r="23812" spans="6:8">
      <c r="F23812" s="68" t="s">
        <v>128</v>
      </c>
      <c r="G23812" s="67" t="s">
        <v>831</v>
      </c>
      <c r="H23812" s="69">
        <v>-0.9850000000000001</v>
      </c>
    </row>
    <row r="23813" spans="6:8">
      <c r="F23813" s="68" t="s">
        <v>568</v>
      </c>
      <c r="G23813" s="67" t="s">
        <v>831</v>
      </c>
      <c r="H23813" s="69">
        <v>-1.06</v>
      </c>
    </row>
    <row r="23814" spans="6:8">
      <c r="F23814" s="68" t="s">
        <v>422</v>
      </c>
      <c r="G23814" s="67" t="s">
        <v>831</v>
      </c>
      <c r="H23814" s="69">
        <v>1.1360283700730278</v>
      </c>
    </row>
    <row r="23815" spans="6:8">
      <c r="F23815" s="68" t="s">
        <v>255</v>
      </c>
      <c r="G23815" s="67" t="s">
        <v>831</v>
      </c>
      <c r="H23815" s="69">
        <v>0.44</v>
      </c>
    </row>
    <row r="23816" spans="6:8">
      <c r="F23816" s="68" t="s">
        <v>303</v>
      </c>
      <c r="G23816" s="67" t="s">
        <v>831</v>
      </c>
      <c r="H23816" s="69">
        <v>15.586333333333334</v>
      </c>
    </row>
    <row r="23817" spans="6:8">
      <c r="F23817" s="68" t="s">
        <v>131</v>
      </c>
      <c r="G23817" s="67" t="s">
        <v>831</v>
      </c>
      <c r="H23817" s="69">
        <v>-0.57000000000000006</v>
      </c>
    </row>
    <row r="23818" spans="6:8">
      <c r="F23818" s="68" t="s">
        <v>130</v>
      </c>
      <c r="G23818" s="67" t="s">
        <v>831</v>
      </c>
      <c r="H23818" s="69">
        <v>-1.135</v>
      </c>
    </row>
    <row r="23819" spans="6:8">
      <c r="F23819" s="68" t="s">
        <v>569</v>
      </c>
      <c r="G23819" s="67" t="s">
        <v>831</v>
      </c>
      <c r="H23819" s="69">
        <v>-0.71</v>
      </c>
    </row>
    <row r="23820" spans="6:8">
      <c r="F23820" s="68" t="s">
        <v>423</v>
      </c>
      <c r="G23820" s="67" t="s">
        <v>831</v>
      </c>
      <c r="H23820" s="69">
        <v>1.6235620553906482</v>
      </c>
    </row>
    <row r="23821" spans="6:8">
      <c r="F23821" s="68" t="s">
        <v>256</v>
      </c>
      <c r="G23821" s="67" t="s">
        <v>831</v>
      </c>
      <c r="H23821" s="69">
        <v>0.59499999999999997</v>
      </c>
    </row>
    <row r="23822" spans="6:8">
      <c r="F23822" s="68" t="s">
        <v>133</v>
      </c>
      <c r="G23822" s="67" t="s">
        <v>831</v>
      </c>
      <c r="H23822" s="69">
        <v>-0.66</v>
      </c>
    </row>
    <row r="23823" spans="6:8">
      <c r="F23823" s="68" t="s">
        <v>132</v>
      </c>
      <c r="G23823" s="67" t="s">
        <v>831</v>
      </c>
      <c r="H23823" s="69">
        <v>-1.08</v>
      </c>
    </row>
    <row r="23824" spans="6:8">
      <c r="F23824" s="68" t="s">
        <v>424</v>
      </c>
      <c r="G23824" s="67" t="s">
        <v>831</v>
      </c>
      <c r="H23824" s="69">
        <v>2.5237120984010541</v>
      </c>
    </row>
    <row r="23825" spans="6:8">
      <c r="F23825" s="68" t="s">
        <v>258</v>
      </c>
      <c r="G23825" s="67" t="s">
        <v>831</v>
      </c>
      <c r="H23825" s="69">
        <v>0.15</v>
      </c>
    </row>
    <row r="23826" spans="6:8">
      <c r="F23826" s="68" t="s">
        <v>257</v>
      </c>
      <c r="G23826" s="67" t="s">
        <v>831</v>
      </c>
      <c r="H23826" s="69">
        <v>0.75000000000000011</v>
      </c>
    </row>
    <row r="23827" spans="6:8">
      <c r="F23827" s="68" t="s">
        <v>135</v>
      </c>
      <c r="G23827" s="67" t="s">
        <v>831</v>
      </c>
      <c r="H23827" s="69">
        <v>-0.83000000000000007</v>
      </c>
    </row>
    <row r="23828" spans="6:8">
      <c r="F23828" s="68" t="s">
        <v>134</v>
      </c>
      <c r="G23828" s="67" t="s">
        <v>831</v>
      </c>
      <c r="H23828" s="69">
        <v>-1.06</v>
      </c>
    </row>
    <row r="23829" spans="6:8">
      <c r="F23829" s="68" t="s">
        <v>425</v>
      </c>
      <c r="G23829" s="67" t="s">
        <v>831</v>
      </c>
      <c r="H23829" s="69">
        <v>2.5160219647371029</v>
      </c>
    </row>
    <row r="23830" spans="6:8">
      <c r="F23830" s="68" t="s">
        <v>259</v>
      </c>
      <c r="G23830" s="67" t="s">
        <v>831</v>
      </c>
      <c r="H23830" s="69">
        <v>9.3333333333333338E-2</v>
      </c>
    </row>
    <row r="23831" spans="6:8">
      <c r="F23831" s="68" t="s">
        <v>138</v>
      </c>
      <c r="G23831" s="67" t="s">
        <v>831</v>
      </c>
      <c r="H23831" s="69">
        <v>-0.84000000000000008</v>
      </c>
    </row>
    <row r="23832" spans="6:8">
      <c r="F23832" s="68" t="s">
        <v>137</v>
      </c>
      <c r="G23832" s="67" t="s">
        <v>831</v>
      </c>
      <c r="H23832" s="69">
        <v>-0.755</v>
      </c>
    </row>
    <row r="23833" spans="6:8">
      <c r="F23833" s="68" t="s">
        <v>136</v>
      </c>
      <c r="G23833" s="67" t="s">
        <v>831</v>
      </c>
      <c r="H23833" s="69">
        <v>-1.2349999999999999</v>
      </c>
    </row>
    <row r="23834" spans="6:8">
      <c r="F23834" s="68" t="s">
        <v>136</v>
      </c>
      <c r="G23834" s="67" t="s">
        <v>832</v>
      </c>
      <c r="H23834" s="69">
        <v>-1.2349999999999999</v>
      </c>
    </row>
    <row r="23835" spans="6:8">
      <c r="F23835" s="68" t="s">
        <v>137</v>
      </c>
      <c r="G23835" s="67" t="s">
        <v>832</v>
      </c>
      <c r="H23835" s="69">
        <v>-0.755</v>
      </c>
    </row>
    <row r="23836" spans="6:8">
      <c r="F23836" s="68" t="s">
        <v>138</v>
      </c>
      <c r="G23836" s="67" t="s">
        <v>832</v>
      </c>
      <c r="H23836" s="69">
        <v>-0.84000000000000008</v>
      </c>
    </row>
    <row r="23837" spans="6:8">
      <c r="F23837" s="68" t="s">
        <v>259</v>
      </c>
      <c r="G23837" s="67" t="s">
        <v>832</v>
      </c>
      <c r="H23837" s="69">
        <v>9.3333333333333338E-2</v>
      </c>
    </row>
    <row r="23838" spans="6:8">
      <c r="F23838" s="68" t="s">
        <v>425</v>
      </c>
      <c r="G23838" s="67" t="s">
        <v>832</v>
      </c>
      <c r="H23838" s="69">
        <v>2.5079361916875875</v>
      </c>
    </row>
    <row r="23839" spans="6:8">
      <c r="F23839" s="68" t="s">
        <v>134</v>
      </c>
      <c r="G23839" s="67" t="s">
        <v>832</v>
      </c>
      <c r="H23839" s="69">
        <v>-1.06</v>
      </c>
    </row>
    <row r="23840" spans="6:8">
      <c r="F23840" s="68" t="s">
        <v>135</v>
      </c>
      <c r="G23840" s="67" t="s">
        <v>832</v>
      </c>
      <c r="H23840" s="69">
        <v>-0.83000000000000007</v>
      </c>
    </row>
    <row r="23841" spans="6:8">
      <c r="F23841" s="68" t="s">
        <v>257</v>
      </c>
      <c r="G23841" s="67" t="s">
        <v>832</v>
      </c>
      <c r="H23841" s="69">
        <v>0.75000000000000011</v>
      </c>
    </row>
    <row r="23842" spans="6:8">
      <c r="F23842" s="68" t="s">
        <v>258</v>
      </c>
      <c r="G23842" s="67" t="s">
        <v>832</v>
      </c>
      <c r="H23842" s="69">
        <v>0.15</v>
      </c>
    </row>
    <row r="23843" spans="6:8">
      <c r="F23843" s="68" t="s">
        <v>424</v>
      </c>
      <c r="G23843" s="67" t="s">
        <v>832</v>
      </c>
      <c r="H23843" s="69">
        <v>2.5166902946602843</v>
      </c>
    </row>
    <row r="23844" spans="6:8">
      <c r="F23844" s="68" t="s">
        <v>132</v>
      </c>
      <c r="G23844" s="67" t="s">
        <v>832</v>
      </c>
      <c r="H23844" s="69">
        <v>-1.08</v>
      </c>
    </row>
    <row r="23845" spans="6:8">
      <c r="F23845" s="68" t="s">
        <v>133</v>
      </c>
      <c r="G23845" s="67" t="s">
        <v>832</v>
      </c>
      <c r="H23845" s="69">
        <v>-0.66</v>
      </c>
    </row>
    <row r="23846" spans="6:8">
      <c r="F23846" s="68" t="s">
        <v>256</v>
      </c>
      <c r="G23846" s="67" t="s">
        <v>832</v>
      </c>
      <c r="H23846" s="69">
        <v>0.59499999999999997</v>
      </c>
    </row>
    <row r="23847" spans="6:8">
      <c r="F23847" s="68" t="s">
        <v>423</v>
      </c>
      <c r="G23847" s="67" t="s">
        <v>832</v>
      </c>
      <c r="H23847" s="69">
        <v>1.6523918781425007</v>
      </c>
    </row>
    <row r="23848" spans="6:8">
      <c r="F23848" s="68" t="s">
        <v>569</v>
      </c>
      <c r="G23848" s="67" t="s">
        <v>832</v>
      </c>
      <c r="H23848" s="69">
        <v>-0.71</v>
      </c>
    </row>
    <row r="23849" spans="6:8">
      <c r="F23849" s="68" t="s">
        <v>130</v>
      </c>
      <c r="G23849" s="67" t="s">
        <v>832</v>
      </c>
      <c r="H23849" s="69">
        <v>-1.135</v>
      </c>
    </row>
    <row r="23850" spans="6:8">
      <c r="F23850" s="68" t="s">
        <v>131</v>
      </c>
      <c r="G23850" s="67" t="s">
        <v>832</v>
      </c>
      <c r="H23850" s="69">
        <v>-0.57000000000000006</v>
      </c>
    </row>
    <row r="23851" spans="6:8">
      <c r="F23851" s="68" t="s">
        <v>303</v>
      </c>
      <c r="G23851" s="67" t="s">
        <v>832</v>
      </c>
      <c r="H23851" s="69">
        <v>15.635433333333333</v>
      </c>
    </row>
    <row r="23852" spans="6:8">
      <c r="F23852" s="68" t="s">
        <v>255</v>
      </c>
      <c r="G23852" s="67" t="s">
        <v>832</v>
      </c>
      <c r="H23852" s="69">
        <v>0.44</v>
      </c>
    </row>
    <row r="23853" spans="6:8">
      <c r="F23853" s="68" t="s">
        <v>422</v>
      </c>
      <c r="G23853" s="67" t="s">
        <v>832</v>
      </c>
      <c r="H23853" s="69">
        <v>1.1920180190060581</v>
      </c>
    </row>
    <row r="23854" spans="6:8">
      <c r="F23854" s="68" t="s">
        <v>568</v>
      </c>
      <c r="G23854" s="67" t="s">
        <v>832</v>
      </c>
      <c r="H23854" s="69">
        <v>-1.06</v>
      </c>
    </row>
    <row r="23855" spans="6:8">
      <c r="F23855" s="68" t="s">
        <v>128</v>
      </c>
      <c r="G23855" s="67" t="s">
        <v>832</v>
      </c>
      <c r="H23855" s="69">
        <v>-0.9850000000000001</v>
      </c>
    </row>
    <row r="23856" spans="6:8">
      <c r="F23856" s="68" t="s">
        <v>129</v>
      </c>
      <c r="G23856" s="67" t="s">
        <v>832</v>
      </c>
      <c r="H23856" s="69">
        <v>-0.71500000000000008</v>
      </c>
    </row>
    <row r="23857" spans="6:8">
      <c r="F23857" s="68" t="s">
        <v>304</v>
      </c>
      <c r="G23857" s="67" t="s">
        <v>832</v>
      </c>
      <c r="H23857" s="69">
        <v>15.731999999999999</v>
      </c>
    </row>
    <row r="23858" spans="6:8">
      <c r="F23858" s="68" t="s">
        <v>254</v>
      </c>
      <c r="G23858" s="67" t="s">
        <v>832</v>
      </c>
      <c r="H23858" s="69">
        <v>0.3</v>
      </c>
    </row>
    <row r="23859" spans="6:8">
      <c r="F23859" s="68" t="s">
        <v>421</v>
      </c>
      <c r="G23859" s="67" t="s">
        <v>832</v>
      </c>
      <c r="H23859" s="69">
        <v>1.1869929602730256</v>
      </c>
    </row>
    <row r="23860" spans="6:8">
      <c r="F23860" s="68" t="s">
        <v>567</v>
      </c>
      <c r="G23860" s="67" t="s">
        <v>832</v>
      </c>
      <c r="H23860" s="69">
        <v>-1.4100000000000001</v>
      </c>
    </row>
    <row r="23861" spans="6:8">
      <c r="F23861" s="68" t="s">
        <v>125</v>
      </c>
      <c r="G23861" s="67" t="s">
        <v>832</v>
      </c>
      <c r="H23861" s="69">
        <v>-1.0350000000000001</v>
      </c>
    </row>
    <row r="23862" spans="6:8">
      <c r="F23862" s="68" t="s">
        <v>126</v>
      </c>
      <c r="G23862" s="67" t="s">
        <v>832</v>
      </c>
      <c r="H23862" s="69">
        <v>-1.04</v>
      </c>
    </row>
    <row r="23863" spans="6:8">
      <c r="F23863" s="68" t="s">
        <v>127</v>
      </c>
      <c r="G23863" s="67" t="s">
        <v>832</v>
      </c>
      <c r="H23863" s="69">
        <v>-0.45499999999999996</v>
      </c>
    </row>
    <row r="23864" spans="6:8">
      <c r="F23864" s="68" t="s">
        <v>253</v>
      </c>
      <c r="G23864" s="67" t="s">
        <v>832</v>
      </c>
      <c r="H23864" s="69">
        <v>0.20833333333333334</v>
      </c>
    </row>
    <row r="23865" spans="6:8">
      <c r="F23865" s="68" t="s">
        <v>315</v>
      </c>
      <c r="G23865" s="67" t="s">
        <v>832</v>
      </c>
      <c r="H23865" s="69">
        <v>-0.72</v>
      </c>
    </row>
    <row r="23866" spans="6:8">
      <c r="F23866" s="68" t="s">
        <v>122</v>
      </c>
      <c r="G23866" s="67" t="s">
        <v>832</v>
      </c>
      <c r="H23866" s="69">
        <v>-1.1200000000000001</v>
      </c>
    </row>
    <row r="23867" spans="6:8">
      <c r="F23867" s="68" t="s">
        <v>123</v>
      </c>
      <c r="G23867" s="67" t="s">
        <v>832</v>
      </c>
      <c r="H23867" s="69">
        <v>-1.0550000000000002</v>
      </c>
    </row>
    <row r="23868" spans="6:8">
      <c r="F23868" s="68" t="s">
        <v>124</v>
      </c>
      <c r="G23868" s="67" t="s">
        <v>832</v>
      </c>
      <c r="H23868" s="69">
        <v>-0.81</v>
      </c>
    </row>
    <row r="23869" spans="6:8">
      <c r="F23869" s="68" t="s">
        <v>252</v>
      </c>
      <c r="G23869" s="67" t="s">
        <v>832</v>
      </c>
      <c r="H23869" s="69">
        <v>0.125</v>
      </c>
    </row>
    <row r="23870" spans="6:8">
      <c r="F23870" s="68" t="s">
        <v>314</v>
      </c>
      <c r="G23870" s="67" t="s">
        <v>832</v>
      </c>
      <c r="H23870" s="69">
        <v>-1.0049999999999999</v>
      </c>
    </row>
    <row r="23871" spans="6:8">
      <c r="F23871" s="68" t="s">
        <v>420</v>
      </c>
      <c r="G23871" s="67" t="s">
        <v>832</v>
      </c>
      <c r="H23871" s="69">
        <v>2.5588939804772171</v>
      </c>
    </row>
    <row r="23872" spans="6:8">
      <c r="F23872" s="68" t="s">
        <v>119</v>
      </c>
      <c r="G23872" s="67" t="s">
        <v>832</v>
      </c>
      <c r="H23872" s="69">
        <v>-1.135</v>
      </c>
    </row>
    <row r="23873" spans="6:8">
      <c r="F23873" s="68" t="s">
        <v>120</v>
      </c>
      <c r="G23873" s="67" t="s">
        <v>832</v>
      </c>
      <c r="H23873" s="69">
        <v>-0.89</v>
      </c>
    </row>
    <row r="23874" spans="6:8">
      <c r="F23874" s="68" t="s">
        <v>121</v>
      </c>
      <c r="G23874" s="67" t="s">
        <v>832</v>
      </c>
      <c r="H23874" s="69">
        <v>-0.81</v>
      </c>
    </row>
    <row r="23875" spans="6:8">
      <c r="F23875" s="68" t="s">
        <v>251</v>
      </c>
      <c r="G23875" s="67" t="s">
        <v>832</v>
      </c>
      <c r="H23875" s="69">
        <v>0.10500000000000002</v>
      </c>
    </row>
    <row r="23876" spans="6:8">
      <c r="F23876" s="68" t="s">
        <v>251</v>
      </c>
      <c r="G23876" s="67" t="s">
        <v>833</v>
      </c>
      <c r="H23876" s="69">
        <v>0.10666666666666669</v>
      </c>
    </row>
    <row r="23877" spans="6:8">
      <c r="F23877" s="68" t="s">
        <v>121</v>
      </c>
      <c r="G23877" s="67" t="s">
        <v>833</v>
      </c>
      <c r="H23877" s="69">
        <v>-0.81</v>
      </c>
    </row>
    <row r="23878" spans="6:8">
      <c r="F23878" s="68" t="s">
        <v>120</v>
      </c>
      <c r="G23878" s="67" t="s">
        <v>833</v>
      </c>
      <c r="H23878" s="69">
        <v>-0.85499999999999998</v>
      </c>
    </row>
    <row r="23879" spans="6:8">
      <c r="F23879" s="68" t="s">
        <v>119</v>
      </c>
      <c r="G23879" s="67" t="s">
        <v>833</v>
      </c>
      <c r="H23879" s="69">
        <v>-1.1400000000000001</v>
      </c>
    </row>
    <row r="23880" spans="6:8">
      <c r="F23880" s="68" t="s">
        <v>420</v>
      </c>
      <c r="G23880" s="67" t="s">
        <v>833</v>
      </c>
      <c r="H23880" s="69">
        <v>2.6748566998957557</v>
      </c>
    </row>
    <row r="23881" spans="6:8">
      <c r="F23881" s="68" t="s">
        <v>314</v>
      </c>
      <c r="G23881" s="67" t="s">
        <v>833</v>
      </c>
      <c r="H23881" s="69">
        <v>-1</v>
      </c>
    </row>
    <row r="23882" spans="6:8">
      <c r="F23882" s="68" t="s">
        <v>252</v>
      </c>
      <c r="G23882" s="67" t="s">
        <v>833</v>
      </c>
      <c r="H23882" s="69">
        <v>0.12833333333333333</v>
      </c>
    </row>
    <row r="23883" spans="6:8">
      <c r="F23883" s="68" t="s">
        <v>124</v>
      </c>
      <c r="G23883" s="67" t="s">
        <v>833</v>
      </c>
      <c r="H23883" s="69">
        <v>-0.81</v>
      </c>
    </row>
    <row r="23884" spans="6:8">
      <c r="F23884" s="68" t="s">
        <v>123</v>
      </c>
      <c r="G23884" s="67" t="s">
        <v>833</v>
      </c>
      <c r="H23884" s="69">
        <v>-1.0249999999999999</v>
      </c>
    </row>
    <row r="23885" spans="6:8">
      <c r="F23885" s="68" t="s">
        <v>122</v>
      </c>
      <c r="G23885" s="67" t="s">
        <v>833</v>
      </c>
      <c r="H23885" s="69">
        <v>-1.125</v>
      </c>
    </row>
    <row r="23886" spans="6:8">
      <c r="F23886" s="68" t="s">
        <v>315</v>
      </c>
      <c r="G23886" s="67" t="s">
        <v>833</v>
      </c>
      <c r="H23886" s="69">
        <v>-0.70500000000000007</v>
      </c>
    </row>
    <row r="23887" spans="6:8">
      <c r="F23887" s="68" t="s">
        <v>253</v>
      </c>
      <c r="G23887" s="67" t="s">
        <v>833</v>
      </c>
      <c r="H23887" s="69">
        <v>0.21166666666666667</v>
      </c>
    </row>
    <row r="23888" spans="6:8">
      <c r="F23888" s="68" t="s">
        <v>127</v>
      </c>
      <c r="G23888" s="67" t="s">
        <v>833</v>
      </c>
      <c r="H23888" s="69">
        <v>-0.435</v>
      </c>
    </row>
    <row r="23889" spans="6:8">
      <c r="F23889" s="68" t="s">
        <v>126</v>
      </c>
      <c r="G23889" s="67" t="s">
        <v>833</v>
      </c>
      <c r="H23889" s="69">
        <v>-1</v>
      </c>
    </row>
    <row r="23890" spans="6:8">
      <c r="F23890" s="68" t="s">
        <v>125</v>
      </c>
      <c r="G23890" s="67" t="s">
        <v>833</v>
      </c>
      <c r="H23890" s="69">
        <v>-1.0349999999999999</v>
      </c>
    </row>
    <row r="23891" spans="6:8">
      <c r="F23891" s="68" t="s">
        <v>567</v>
      </c>
      <c r="G23891" s="67" t="s">
        <v>833</v>
      </c>
      <c r="H23891" s="69">
        <v>-1.385</v>
      </c>
    </row>
    <row r="23892" spans="6:8">
      <c r="F23892" s="68" t="s">
        <v>421</v>
      </c>
      <c r="G23892" s="67" t="s">
        <v>833</v>
      </c>
      <c r="H23892" s="69">
        <v>1.4613619506059994</v>
      </c>
    </row>
    <row r="23893" spans="6:8">
      <c r="F23893" s="68" t="s">
        <v>254</v>
      </c>
      <c r="G23893" s="67" t="s">
        <v>833</v>
      </c>
      <c r="H23893" s="69">
        <v>0.3066666666666667</v>
      </c>
    </row>
    <row r="23894" spans="6:8">
      <c r="F23894" s="68" t="s">
        <v>304</v>
      </c>
      <c r="G23894" s="67" t="s">
        <v>833</v>
      </c>
      <c r="H23894" s="69">
        <v>15.924099999999999</v>
      </c>
    </row>
    <row r="23895" spans="6:8">
      <c r="F23895" s="68" t="s">
        <v>129</v>
      </c>
      <c r="G23895" s="67" t="s">
        <v>833</v>
      </c>
      <c r="H23895" s="69">
        <v>-0.69</v>
      </c>
    </row>
    <row r="23896" spans="6:8">
      <c r="F23896" s="68" t="s">
        <v>128</v>
      </c>
      <c r="G23896" s="67" t="s">
        <v>833</v>
      </c>
      <c r="H23896" s="69">
        <v>-0.95</v>
      </c>
    </row>
    <row r="23897" spans="6:8">
      <c r="F23897" s="68" t="s">
        <v>568</v>
      </c>
      <c r="G23897" s="67" t="s">
        <v>833</v>
      </c>
      <c r="H23897" s="69">
        <v>-1.0549999999999999</v>
      </c>
    </row>
    <row r="23898" spans="6:8">
      <c r="F23898" s="68" t="s">
        <v>422</v>
      </c>
      <c r="G23898" s="67" t="s">
        <v>833</v>
      </c>
      <c r="H23898" s="69">
        <v>1.4668024827228177</v>
      </c>
    </row>
    <row r="23899" spans="6:8">
      <c r="F23899" s="68" t="s">
        <v>255</v>
      </c>
      <c r="G23899" s="67" t="s">
        <v>833</v>
      </c>
      <c r="H23899" s="69">
        <v>0.45166666666666666</v>
      </c>
    </row>
    <row r="23900" spans="6:8">
      <c r="F23900" s="68" t="s">
        <v>303</v>
      </c>
      <c r="G23900" s="67" t="s">
        <v>833</v>
      </c>
      <c r="H23900" s="69">
        <v>15.801700000000002</v>
      </c>
    </row>
    <row r="23901" spans="6:8">
      <c r="F23901" s="68" t="s">
        <v>131</v>
      </c>
      <c r="G23901" s="67" t="s">
        <v>833</v>
      </c>
      <c r="H23901" s="69">
        <v>-0.55500000000000005</v>
      </c>
    </row>
    <row r="23902" spans="6:8">
      <c r="F23902" s="68" t="s">
        <v>130</v>
      </c>
      <c r="G23902" s="67" t="s">
        <v>833</v>
      </c>
      <c r="H23902" s="69">
        <v>-1.1000000000000001</v>
      </c>
    </row>
    <row r="23903" spans="6:8">
      <c r="F23903" s="68" t="s">
        <v>569</v>
      </c>
      <c r="G23903" s="67" t="s">
        <v>833</v>
      </c>
      <c r="H23903" s="69">
        <v>-0.69500000000000006</v>
      </c>
    </row>
    <row r="23904" spans="6:8">
      <c r="F23904" s="68" t="s">
        <v>423</v>
      </c>
      <c r="G23904" s="67" t="s">
        <v>833</v>
      </c>
      <c r="H23904" s="69">
        <v>1.8416886244722708</v>
      </c>
    </row>
    <row r="23905" spans="6:8">
      <c r="F23905" s="68" t="s">
        <v>256</v>
      </c>
      <c r="G23905" s="67" t="s">
        <v>833</v>
      </c>
      <c r="H23905" s="69">
        <v>0.61</v>
      </c>
    </row>
    <row r="23906" spans="6:8">
      <c r="F23906" s="68" t="s">
        <v>133</v>
      </c>
      <c r="G23906" s="67" t="s">
        <v>833</v>
      </c>
      <c r="H23906" s="69">
        <v>-0.64</v>
      </c>
    </row>
    <row r="23907" spans="6:8">
      <c r="F23907" s="68" t="s">
        <v>132</v>
      </c>
      <c r="G23907" s="67" t="s">
        <v>833</v>
      </c>
      <c r="H23907" s="69">
        <v>-1.0449999999999999</v>
      </c>
    </row>
    <row r="23908" spans="6:8">
      <c r="F23908" s="68" t="s">
        <v>424</v>
      </c>
      <c r="G23908" s="67" t="s">
        <v>833</v>
      </c>
      <c r="H23908" s="69">
        <v>2.6156467007843798</v>
      </c>
    </row>
    <row r="23909" spans="6:8">
      <c r="F23909" s="68" t="s">
        <v>258</v>
      </c>
      <c r="G23909" s="67" t="s">
        <v>833</v>
      </c>
      <c r="H23909" s="69">
        <v>0.15</v>
      </c>
    </row>
    <row r="23910" spans="6:8">
      <c r="F23910" s="68" t="s">
        <v>257</v>
      </c>
      <c r="G23910" s="67" t="s">
        <v>833</v>
      </c>
      <c r="H23910" s="69">
        <v>0.7659999999999999</v>
      </c>
    </row>
    <row r="23911" spans="6:8">
      <c r="F23911" s="68" t="s">
        <v>135</v>
      </c>
      <c r="G23911" s="67" t="s">
        <v>833</v>
      </c>
      <c r="H23911" s="69">
        <v>-0.81</v>
      </c>
    </row>
    <row r="23912" spans="6:8">
      <c r="F23912" s="68" t="s">
        <v>134</v>
      </c>
      <c r="G23912" s="67" t="s">
        <v>833</v>
      </c>
      <c r="H23912" s="69">
        <v>-1.03</v>
      </c>
    </row>
    <row r="23913" spans="6:8">
      <c r="F23913" s="68" t="s">
        <v>425</v>
      </c>
      <c r="G23913" s="67" t="s">
        <v>833</v>
      </c>
      <c r="H23913" s="69">
        <v>2.603374991092311</v>
      </c>
    </row>
    <row r="23914" spans="6:8">
      <c r="F23914" s="68" t="s">
        <v>259</v>
      </c>
      <c r="G23914" s="67" t="s">
        <v>833</v>
      </c>
      <c r="H23914" s="69">
        <v>0.10000000000000002</v>
      </c>
    </row>
    <row r="23915" spans="6:8">
      <c r="F23915" s="68" t="s">
        <v>138</v>
      </c>
      <c r="G23915" s="67" t="s">
        <v>833</v>
      </c>
      <c r="H23915" s="69">
        <v>-0.84000000000000008</v>
      </c>
    </row>
    <row r="23916" spans="6:8">
      <c r="F23916" s="68" t="s">
        <v>137</v>
      </c>
      <c r="G23916" s="67" t="s">
        <v>833</v>
      </c>
      <c r="H23916" s="69">
        <v>-0.72499999999999998</v>
      </c>
    </row>
    <row r="23917" spans="6:8">
      <c r="F23917" s="68" t="s">
        <v>136</v>
      </c>
      <c r="G23917" s="67" t="s">
        <v>833</v>
      </c>
      <c r="H23917" s="69">
        <v>-1.24</v>
      </c>
    </row>
    <row r="23918" spans="6:8">
      <c r="F23918" s="68" t="s">
        <v>136</v>
      </c>
      <c r="G23918" s="67" t="s">
        <v>834</v>
      </c>
      <c r="H23918" s="69">
        <v>-1.24</v>
      </c>
    </row>
    <row r="23919" spans="6:8">
      <c r="F23919" s="68" t="s">
        <v>137</v>
      </c>
      <c r="G23919" s="67" t="s">
        <v>834</v>
      </c>
      <c r="H23919" s="69">
        <v>-0.72499999999999998</v>
      </c>
    </row>
    <row r="23920" spans="6:8">
      <c r="F23920" s="68" t="s">
        <v>138</v>
      </c>
      <c r="G23920" s="67" t="s">
        <v>834</v>
      </c>
      <c r="H23920" s="69">
        <v>-0.84000000000000008</v>
      </c>
    </row>
    <row r="23921" spans="6:8">
      <c r="F23921" s="68" t="s">
        <v>259</v>
      </c>
      <c r="G23921" s="67" t="s">
        <v>834</v>
      </c>
      <c r="H23921" s="69">
        <v>0.115</v>
      </c>
    </row>
    <row r="23922" spans="6:8">
      <c r="F23922" s="68" t="s">
        <v>425</v>
      </c>
      <c r="G23922" s="67" t="s">
        <v>834</v>
      </c>
      <c r="H23922" s="69">
        <v>2.6454907180075704</v>
      </c>
    </row>
    <row r="23923" spans="6:8">
      <c r="F23923" s="68" t="s">
        <v>134</v>
      </c>
      <c r="G23923" s="67" t="s">
        <v>834</v>
      </c>
      <c r="H23923" s="69">
        <v>-1.03</v>
      </c>
    </row>
    <row r="23924" spans="6:8">
      <c r="F23924" s="68" t="s">
        <v>135</v>
      </c>
      <c r="G23924" s="67" t="s">
        <v>834</v>
      </c>
      <c r="H23924" s="69">
        <v>-0.81</v>
      </c>
    </row>
    <row r="23925" spans="6:8">
      <c r="F23925" s="68" t="s">
        <v>257</v>
      </c>
      <c r="G23925" s="67" t="s">
        <v>834</v>
      </c>
      <c r="H23925" s="69">
        <v>0.77400000000000002</v>
      </c>
    </row>
    <row r="23926" spans="6:8">
      <c r="F23926" s="68" t="s">
        <v>258</v>
      </c>
      <c r="G23926" s="67" t="s">
        <v>834</v>
      </c>
      <c r="H23926" s="69">
        <v>0.15</v>
      </c>
    </row>
    <row r="23927" spans="6:8">
      <c r="F23927" s="68" t="s">
        <v>424</v>
      </c>
      <c r="G23927" s="67" t="s">
        <v>834</v>
      </c>
      <c r="H23927" s="69">
        <v>2.6278375167902102</v>
      </c>
    </row>
    <row r="23928" spans="6:8">
      <c r="F23928" s="68" t="s">
        <v>132</v>
      </c>
      <c r="G23928" s="67" t="s">
        <v>834</v>
      </c>
      <c r="H23928" s="69">
        <v>-1.0449999999999999</v>
      </c>
    </row>
    <row r="23929" spans="6:8">
      <c r="F23929" s="68" t="s">
        <v>133</v>
      </c>
      <c r="G23929" s="67" t="s">
        <v>834</v>
      </c>
      <c r="H23929" s="69">
        <v>-0.64</v>
      </c>
    </row>
    <row r="23930" spans="6:8">
      <c r="F23930" s="68" t="s">
        <v>256</v>
      </c>
      <c r="G23930" s="67" t="s">
        <v>834</v>
      </c>
      <c r="H23930" s="69">
        <v>0.6150000000000001</v>
      </c>
    </row>
    <row r="23931" spans="6:8">
      <c r="F23931" s="68" t="s">
        <v>423</v>
      </c>
      <c r="G23931" s="67" t="s">
        <v>834</v>
      </c>
      <c r="H23931" s="69">
        <v>1.880518566275402</v>
      </c>
    </row>
    <row r="23932" spans="6:8">
      <c r="F23932" s="68" t="s">
        <v>569</v>
      </c>
      <c r="G23932" s="67" t="s">
        <v>834</v>
      </c>
      <c r="H23932" s="69">
        <v>-0.69500000000000006</v>
      </c>
    </row>
    <row r="23933" spans="6:8">
      <c r="F23933" s="68" t="s">
        <v>130</v>
      </c>
      <c r="G23933" s="67" t="s">
        <v>834</v>
      </c>
      <c r="H23933" s="69">
        <v>-1.1000000000000001</v>
      </c>
    </row>
    <row r="23934" spans="6:8">
      <c r="F23934" s="68" t="s">
        <v>131</v>
      </c>
      <c r="G23934" s="67" t="s">
        <v>834</v>
      </c>
      <c r="H23934" s="69">
        <v>-0.55500000000000005</v>
      </c>
    </row>
    <row r="23935" spans="6:8">
      <c r="F23935" s="68" t="s">
        <v>303</v>
      </c>
      <c r="G23935" s="67" t="s">
        <v>834</v>
      </c>
      <c r="H23935" s="69">
        <v>15.849483333333334</v>
      </c>
    </row>
    <row r="23936" spans="6:8">
      <c r="F23936" s="68" t="s">
        <v>255</v>
      </c>
      <c r="G23936" s="67" t="s">
        <v>834</v>
      </c>
      <c r="H23936" s="69">
        <v>0.45500000000000002</v>
      </c>
    </row>
    <row r="23937" spans="6:8">
      <c r="F23937" s="68" t="s">
        <v>422</v>
      </c>
      <c r="G23937" s="67" t="s">
        <v>834</v>
      </c>
      <c r="H23937" s="69">
        <v>1.5378566565155349</v>
      </c>
    </row>
    <row r="23938" spans="6:8">
      <c r="F23938" s="68" t="s">
        <v>568</v>
      </c>
      <c r="G23938" s="67" t="s">
        <v>834</v>
      </c>
      <c r="H23938" s="69">
        <v>-1.0549999999999999</v>
      </c>
    </row>
    <row r="23939" spans="6:8">
      <c r="F23939" s="68" t="s">
        <v>128</v>
      </c>
      <c r="G23939" s="67" t="s">
        <v>834</v>
      </c>
      <c r="H23939" s="69">
        <v>-0.95</v>
      </c>
    </row>
    <row r="23940" spans="6:8">
      <c r="F23940" s="68" t="s">
        <v>129</v>
      </c>
      <c r="G23940" s="67" t="s">
        <v>834</v>
      </c>
      <c r="H23940" s="69">
        <v>-0.69</v>
      </c>
    </row>
    <row r="23941" spans="6:8">
      <c r="F23941" s="68" t="s">
        <v>304</v>
      </c>
      <c r="G23941" s="67" t="s">
        <v>834</v>
      </c>
      <c r="H23941" s="69">
        <v>15.924166666666668</v>
      </c>
    </row>
    <row r="23942" spans="6:8">
      <c r="F23942" s="68" t="s">
        <v>254</v>
      </c>
      <c r="G23942" s="67" t="s">
        <v>834</v>
      </c>
      <c r="H23942" s="69">
        <v>0.30499999999999999</v>
      </c>
    </row>
    <row r="23943" spans="6:8">
      <c r="F23943" s="68" t="s">
        <v>421</v>
      </c>
      <c r="G23943" s="67" t="s">
        <v>834</v>
      </c>
      <c r="H23943" s="69">
        <v>1.5323795953278374</v>
      </c>
    </row>
    <row r="23944" spans="6:8">
      <c r="F23944" s="68" t="s">
        <v>567</v>
      </c>
      <c r="G23944" s="67" t="s">
        <v>834</v>
      </c>
      <c r="H23944" s="69">
        <v>-1.385</v>
      </c>
    </row>
    <row r="23945" spans="6:8">
      <c r="F23945" s="68" t="s">
        <v>125</v>
      </c>
      <c r="G23945" s="67" t="s">
        <v>834</v>
      </c>
      <c r="H23945" s="69">
        <v>-1.0349999999999999</v>
      </c>
    </row>
    <row r="23946" spans="6:8">
      <c r="F23946" s="68" t="s">
        <v>126</v>
      </c>
      <c r="G23946" s="67" t="s">
        <v>834</v>
      </c>
      <c r="H23946" s="69">
        <v>-1</v>
      </c>
    </row>
    <row r="23947" spans="6:8">
      <c r="F23947" s="68" t="s">
        <v>127</v>
      </c>
      <c r="G23947" s="67" t="s">
        <v>834</v>
      </c>
      <c r="H23947" s="69">
        <v>-0.435</v>
      </c>
    </row>
    <row r="23948" spans="6:8">
      <c r="F23948" s="68" t="s">
        <v>253</v>
      </c>
      <c r="G23948" s="67" t="s">
        <v>834</v>
      </c>
      <c r="H23948" s="69">
        <v>0.22333333333333336</v>
      </c>
    </row>
    <row r="23949" spans="6:8">
      <c r="F23949" s="68" t="s">
        <v>315</v>
      </c>
      <c r="G23949" s="67" t="s">
        <v>834</v>
      </c>
      <c r="H23949" s="69">
        <v>-0.70500000000000007</v>
      </c>
    </row>
    <row r="23950" spans="6:8">
      <c r="F23950" s="68" t="s">
        <v>122</v>
      </c>
      <c r="G23950" s="67" t="s">
        <v>834</v>
      </c>
      <c r="H23950" s="69">
        <v>-1.125</v>
      </c>
    </row>
    <row r="23951" spans="6:8">
      <c r="F23951" s="68" t="s">
        <v>123</v>
      </c>
      <c r="G23951" s="67" t="s">
        <v>834</v>
      </c>
      <c r="H23951" s="69">
        <v>-1.0249999999999999</v>
      </c>
    </row>
    <row r="23952" spans="6:8">
      <c r="F23952" s="68" t="s">
        <v>124</v>
      </c>
      <c r="G23952" s="67" t="s">
        <v>834</v>
      </c>
      <c r="H23952" s="69">
        <v>-0.81</v>
      </c>
    </row>
    <row r="23953" spans="6:8">
      <c r="F23953" s="68" t="s">
        <v>252</v>
      </c>
      <c r="G23953" s="67" t="s">
        <v>834</v>
      </c>
      <c r="H23953" s="69">
        <v>0.155</v>
      </c>
    </row>
    <row r="23954" spans="6:8">
      <c r="F23954" s="68" t="s">
        <v>314</v>
      </c>
      <c r="G23954" s="67" t="s">
        <v>834</v>
      </c>
      <c r="H23954" s="69">
        <v>-1</v>
      </c>
    </row>
    <row r="23955" spans="6:8">
      <c r="F23955" s="68" t="s">
        <v>420</v>
      </c>
      <c r="G23955" s="67" t="s">
        <v>834</v>
      </c>
      <c r="H23955" s="69">
        <v>2.6856578886126137</v>
      </c>
    </row>
    <row r="23956" spans="6:8">
      <c r="F23956" s="68" t="s">
        <v>119</v>
      </c>
      <c r="G23956" s="67" t="s">
        <v>834</v>
      </c>
      <c r="H23956" s="69">
        <v>-1.1400000000000001</v>
      </c>
    </row>
    <row r="23957" spans="6:8">
      <c r="F23957" s="68" t="s">
        <v>120</v>
      </c>
      <c r="G23957" s="67" t="s">
        <v>834</v>
      </c>
      <c r="H23957" s="69">
        <v>-0.85499999999999998</v>
      </c>
    </row>
    <row r="23958" spans="6:8">
      <c r="F23958" s="68" t="s">
        <v>121</v>
      </c>
      <c r="G23958" s="67" t="s">
        <v>834</v>
      </c>
      <c r="H23958" s="69">
        <v>-0.81</v>
      </c>
    </row>
    <row r="23959" spans="6:8">
      <c r="F23959" s="68" t="s">
        <v>251</v>
      </c>
      <c r="G23959" s="67" t="s">
        <v>834</v>
      </c>
      <c r="H23959" s="69">
        <v>0.13166666666666668</v>
      </c>
    </row>
    <row r="23960" spans="6:8">
      <c r="F23960" s="68" t="s">
        <v>251</v>
      </c>
      <c r="G23960" s="67" t="s">
        <v>835</v>
      </c>
      <c r="H23960" s="69">
        <v>0.13166666666666668</v>
      </c>
    </row>
    <row r="23961" spans="6:8">
      <c r="F23961" s="68" t="s">
        <v>121</v>
      </c>
      <c r="G23961" s="67" t="s">
        <v>835</v>
      </c>
      <c r="H23961" s="69">
        <v>-0.81</v>
      </c>
    </row>
    <row r="23962" spans="6:8">
      <c r="F23962" s="68" t="s">
        <v>120</v>
      </c>
      <c r="G23962" s="67" t="s">
        <v>835</v>
      </c>
      <c r="H23962" s="69">
        <v>-0.75666666666666671</v>
      </c>
    </row>
    <row r="23963" spans="6:8">
      <c r="F23963" s="68" t="s">
        <v>119</v>
      </c>
      <c r="G23963" s="67" t="s">
        <v>835</v>
      </c>
      <c r="H23963" s="69">
        <v>-1.0633333333333332</v>
      </c>
    </row>
    <row r="23964" spans="6:8">
      <c r="F23964" s="68" t="s">
        <v>420</v>
      </c>
      <c r="G23964" s="67" t="s">
        <v>835</v>
      </c>
      <c r="H23964" s="69">
        <v>2.7450619013759336</v>
      </c>
    </row>
    <row r="23965" spans="6:8">
      <c r="F23965" s="68" t="s">
        <v>314</v>
      </c>
      <c r="G23965" s="67" t="s">
        <v>835</v>
      </c>
      <c r="H23965" s="69">
        <v>-0.95666666666666667</v>
      </c>
    </row>
    <row r="23966" spans="6:8">
      <c r="F23966" s="68" t="s">
        <v>252</v>
      </c>
      <c r="G23966" s="67" t="s">
        <v>835</v>
      </c>
      <c r="H23966" s="69">
        <v>0.15666666666666665</v>
      </c>
    </row>
    <row r="23967" spans="6:8">
      <c r="F23967" s="68" t="s">
        <v>124</v>
      </c>
      <c r="G23967" s="67" t="s">
        <v>835</v>
      </c>
      <c r="H23967" s="69">
        <v>-0.81</v>
      </c>
    </row>
    <row r="23968" spans="6:8">
      <c r="F23968" s="68" t="s">
        <v>123</v>
      </c>
      <c r="G23968" s="67" t="s">
        <v>835</v>
      </c>
      <c r="H23968" s="69">
        <v>-0.90666666666666673</v>
      </c>
    </row>
    <row r="23969" spans="6:8">
      <c r="F23969" s="68" t="s">
        <v>122</v>
      </c>
      <c r="G23969" s="67" t="s">
        <v>835</v>
      </c>
      <c r="H23969" s="69">
        <v>-1.0733333333333333</v>
      </c>
    </row>
    <row r="23970" spans="6:8">
      <c r="F23970" s="68" t="s">
        <v>315</v>
      </c>
      <c r="G23970" s="67" t="s">
        <v>835</v>
      </c>
      <c r="H23970" s="69">
        <v>-0.71</v>
      </c>
    </row>
    <row r="23971" spans="6:8">
      <c r="F23971" s="68" t="s">
        <v>253</v>
      </c>
      <c r="G23971" s="67" t="s">
        <v>835</v>
      </c>
      <c r="H23971" s="69">
        <v>0.23</v>
      </c>
    </row>
    <row r="23972" spans="6:8">
      <c r="F23972" s="68" t="s">
        <v>127</v>
      </c>
      <c r="G23972" s="67" t="s">
        <v>835</v>
      </c>
      <c r="H23972" s="69">
        <v>-0.4</v>
      </c>
    </row>
    <row r="23973" spans="6:8">
      <c r="F23973" s="68" t="s">
        <v>126</v>
      </c>
      <c r="G23973" s="67" t="s">
        <v>835</v>
      </c>
      <c r="H23973" s="69">
        <v>-0.96666666666666679</v>
      </c>
    </row>
    <row r="23974" spans="6:8">
      <c r="F23974" s="68" t="s">
        <v>125</v>
      </c>
      <c r="G23974" s="67" t="s">
        <v>835</v>
      </c>
      <c r="H23974" s="69">
        <v>-0.94</v>
      </c>
    </row>
    <row r="23975" spans="6:8">
      <c r="F23975" s="68" t="s">
        <v>567</v>
      </c>
      <c r="G23975" s="67" t="s">
        <v>835</v>
      </c>
      <c r="H23975" s="69">
        <v>-1.3299999999999998</v>
      </c>
    </row>
    <row r="23976" spans="6:8">
      <c r="F23976" s="68" t="s">
        <v>421</v>
      </c>
      <c r="G23976" s="67" t="s">
        <v>835</v>
      </c>
      <c r="H23976" s="69">
        <v>1.5487900492860085</v>
      </c>
    </row>
    <row r="23977" spans="6:8">
      <c r="F23977" s="68" t="s">
        <v>254</v>
      </c>
      <c r="G23977" s="67" t="s">
        <v>835</v>
      </c>
      <c r="H23977" s="69">
        <v>0.32</v>
      </c>
    </row>
    <row r="23978" spans="6:8">
      <c r="F23978" s="68" t="s">
        <v>304</v>
      </c>
      <c r="G23978" s="67" t="s">
        <v>835</v>
      </c>
      <c r="H23978" s="69">
        <v>15.9511</v>
      </c>
    </row>
    <row r="23979" spans="6:8">
      <c r="F23979" s="68" t="s">
        <v>129</v>
      </c>
      <c r="G23979" s="67" t="s">
        <v>835</v>
      </c>
      <c r="H23979" s="69">
        <v>-0.63</v>
      </c>
    </row>
    <row r="23980" spans="6:8">
      <c r="F23980" s="68" t="s">
        <v>128</v>
      </c>
      <c r="G23980" s="67" t="s">
        <v>835</v>
      </c>
      <c r="H23980" s="69">
        <v>-0.94000000000000006</v>
      </c>
    </row>
    <row r="23981" spans="6:8">
      <c r="F23981" s="68" t="s">
        <v>568</v>
      </c>
      <c r="G23981" s="67" t="s">
        <v>835</v>
      </c>
      <c r="H23981" s="69">
        <v>-1.04</v>
      </c>
    </row>
    <row r="23982" spans="6:8">
      <c r="F23982" s="68" t="s">
        <v>422</v>
      </c>
      <c r="G23982" s="67" t="s">
        <v>835</v>
      </c>
      <c r="H23982" s="69">
        <v>1.5544391698280702</v>
      </c>
    </row>
    <row r="23983" spans="6:8">
      <c r="F23983" s="68" t="s">
        <v>255</v>
      </c>
      <c r="G23983" s="67" t="s">
        <v>835</v>
      </c>
      <c r="H23983" s="69">
        <v>0.47</v>
      </c>
    </row>
    <row r="23984" spans="6:8">
      <c r="F23984" s="68" t="s">
        <v>303</v>
      </c>
      <c r="G23984" s="67" t="s">
        <v>835</v>
      </c>
      <c r="H23984" s="69">
        <v>15.867316666666667</v>
      </c>
    </row>
    <row r="23985" spans="6:8">
      <c r="F23985" s="68" t="s">
        <v>131</v>
      </c>
      <c r="G23985" s="67" t="s">
        <v>835</v>
      </c>
      <c r="H23985" s="69">
        <v>-0.48499999999999999</v>
      </c>
    </row>
    <row r="23986" spans="6:8">
      <c r="F23986" s="68" t="s">
        <v>130</v>
      </c>
      <c r="G23986" s="67" t="s">
        <v>835</v>
      </c>
      <c r="H23986" s="69">
        <v>-1.0566666666666666</v>
      </c>
    </row>
    <row r="23987" spans="6:8">
      <c r="F23987" s="68" t="s">
        <v>569</v>
      </c>
      <c r="G23987" s="67" t="s">
        <v>835</v>
      </c>
      <c r="H23987" s="69">
        <v>-0.71</v>
      </c>
    </row>
    <row r="23988" spans="6:8">
      <c r="F23988" s="68" t="s">
        <v>423</v>
      </c>
      <c r="G23988" s="67" t="s">
        <v>835</v>
      </c>
      <c r="H23988" s="69">
        <v>2.0055950750748508</v>
      </c>
    </row>
    <row r="23989" spans="6:8">
      <c r="F23989" s="68" t="s">
        <v>256</v>
      </c>
      <c r="G23989" s="67" t="s">
        <v>835</v>
      </c>
      <c r="H23989" s="69">
        <v>0.62666666666666671</v>
      </c>
    </row>
    <row r="23990" spans="6:8">
      <c r="F23990" s="68" t="s">
        <v>133</v>
      </c>
      <c r="G23990" s="67" t="s">
        <v>835</v>
      </c>
      <c r="H23990" s="69">
        <v>-0.58000000000000007</v>
      </c>
    </row>
    <row r="23991" spans="6:8">
      <c r="F23991" s="68" t="s">
        <v>132</v>
      </c>
      <c r="G23991" s="67" t="s">
        <v>835</v>
      </c>
      <c r="H23991" s="69">
        <v>-1.0266666666666666</v>
      </c>
    </row>
    <row r="23992" spans="6:8">
      <c r="F23992" s="68" t="s">
        <v>424</v>
      </c>
      <c r="G23992" s="67" t="s">
        <v>835</v>
      </c>
      <c r="H23992" s="69">
        <v>2.6774540882483322</v>
      </c>
    </row>
    <row r="23993" spans="6:8">
      <c r="F23993" s="68" t="s">
        <v>258</v>
      </c>
      <c r="G23993" s="67" t="s">
        <v>835</v>
      </c>
      <c r="H23993" s="69">
        <v>0.15</v>
      </c>
    </row>
    <row r="23994" spans="6:8">
      <c r="F23994" s="68" t="s">
        <v>257</v>
      </c>
      <c r="G23994" s="67" t="s">
        <v>835</v>
      </c>
      <c r="H23994" s="69">
        <v>0.78200000000000003</v>
      </c>
    </row>
    <row r="23995" spans="6:8">
      <c r="F23995" s="68" t="s">
        <v>135</v>
      </c>
      <c r="G23995" s="67" t="s">
        <v>835</v>
      </c>
      <c r="H23995" s="69">
        <v>-0.76</v>
      </c>
    </row>
    <row r="23996" spans="6:8">
      <c r="F23996" s="68" t="s">
        <v>134</v>
      </c>
      <c r="G23996" s="67" t="s">
        <v>835</v>
      </c>
      <c r="H23996" s="69">
        <v>-1.0166666666666666</v>
      </c>
    </row>
    <row r="23997" spans="6:8">
      <c r="F23997" s="68" t="s">
        <v>425</v>
      </c>
      <c r="G23997" s="67" t="s">
        <v>835</v>
      </c>
      <c r="H23997" s="69">
        <v>2.6961971985417943</v>
      </c>
    </row>
    <row r="23998" spans="6:8">
      <c r="F23998" s="68" t="s">
        <v>259</v>
      </c>
      <c r="G23998" s="67" t="s">
        <v>835</v>
      </c>
      <c r="H23998" s="69">
        <v>0.11833333333333333</v>
      </c>
    </row>
    <row r="23999" spans="6:8">
      <c r="F23999" s="68" t="s">
        <v>138</v>
      </c>
      <c r="G23999" s="67" t="s">
        <v>835</v>
      </c>
      <c r="H23999" s="69">
        <v>-0.84000000000000008</v>
      </c>
    </row>
    <row r="24000" spans="6:8">
      <c r="F24000" s="68" t="s">
        <v>137</v>
      </c>
      <c r="G24000" s="67" t="s">
        <v>835</v>
      </c>
      <c r="H24000" s="69">
        <v>-0.66666666666666663</v>
      </c>
    </row>
    <row r="24001" spans="6:8">
      <c r="F24001" s="68" t="s">
        <v>136</v>
      </c>
      <c r="G24001" s="67" t="s">
        <v>835</v>
      </c>
      <c r="H24001" s="69">
        <v>-1.08</v>
      </c>
    </row>
    <row r="24002" spans="6:8">
      <c r="F24002" s="68" t="s">
        <v>136</v>
      </c>
      <c r="G24002" s="67" t="s">
        <v>836</v>
      </c>
      <c r="H24002" s="69">
        <v>-1.08</v>
      </c>
    </row>
    <row r="24003" spans="6:8">
      <c r="F24003" s="68" t="s">
        <v>137</v>
      </c>
      <c r="G24003" s="67" t="s">
        <v>836</v>
      </c>
      <c r="H24003" s="69">
        <v>-0.66666666666666663</v>
      </c>
    </row>
    <row r="24004" spans="6:8">
      <c r="F24004" s="68" t="s">
        <v>138</v>
      </c>
      <c r="G24004" s="67" t="s">
        <v>836</v>
      </c>
      <c r="H24004" s="69">
        <v>-0.84000000000000008</v>
      </c>
    </row>
    <row r="24005" spans="6:8">
      <c r="F24005" s="68" t="s">
        <v>259</v>
      </c>
      <c r="G24005" s="67" t="s">
        <v>836</v>
      </c>
      <c r="H24005" s="69">
        <v>0.11833333333333333</v>
      </c>
    </row>
    <row r="24006" spans="6:8">
      <c r="F24006" s="68" t="s">
        <v>425</v>
      </c>
      <c r="G24006" s="67" t="s">
        <v>836</v>
      </c>
      <c r="H24006" s="69">
        <v>2.6875255542702092</v>
      </c>
    </row>
    <row r="24007" spans="6:8">
      <c r="F24007" s="68" t="s">
        <v>134</v>
      </c>
      <c r="G24007" s="67" t="s">
        <v>836</v>
      </c>
      <c r="H24007" s="69">
        <v>-1.0166666666666666</v>
      </c>
    </row>
    <row r="24008" spans="6:8">
      <c r="F24008" s="68" t="s">
        <v>135</v>
      </c>
      <c r="G24008" s="67" t="s">
        <v>836</v>
      </c>
      <c r="H24008" s="69">
        <v>-0.76</v>
      </c>
    </row>
    <row r="24009" spans="6:8">
      <c r="F24009" s="68" t="s">
        <v>257</v>
      </c>
      <c r="G24009" s="67" t="s">
        <v>836</v>
      </c>
      <c r="H24009" s="69">
        <v>0.78200000000000003</v>
      </c>
    </row>
    <row r="24010" spans="6:8">
      <c r="F24010" s="68" t="s">
        <v>258</v>
      </c>
      <c r="G24010" s="67" t="s">
        <v>836</v>
      </c>
      <c r="H24010" s="69">
        <v>0.15</v>
      </c>
    </row>
    <row r="24011" spans="6:8">
      <c r="F24011" s="68" t="s">
        <v>424</v>
      </c>
      <c r="G24011" s="67" t="s">
        <v>836</v>
      </c>
      <c r="H24011" s="69">
        <v>2.6687186218491643</v>
      </c>
    </row>
    <row r="24012" spans="6:8">
      <c r="F24012" s="68" t="s">
        <v>132</v>
      </c>
      <c r="G24012" s="67" t="s">
        <v>836</v>
      </c>
      <c r="H24012" s="69">
        <v>-1.0266666666666666</v>
      </c>
    </row>
    <row r="24013" spans="6:8">
      <c r="F24013" s="68" t="s">
        <v>133</v>
      </c>
      <c r="G24013" s="67" t="s">
        <v>836</v>
      </c>
      <c r="H24013" s="69">
        <v>-0.58000000000000007</v>
      </c>
    </row>
    <row r="24014" spans="6:8">
      <c r="F24014" s="68" t="s">
        <v>256</v>
      </c>
      <c r="G24014" s="67" t="s">
        <v>836</v>
      </c>
      <c r="H24014" s="69">
        <v>0.62666666666666671</v>
      </c>
    </row>
    <row r="24015" spans="6:8">
      <c r="F24015" s="68" t="s">
        <v>423</v>
      </c>
      <c r="G24015" s="67" t="s">
        <v>836</v>
      </c>
      <c r="H24015" s="69">
        <v>1.9922958730209217</v>
      </c>
    </row>
    <row r="24016" spans="6:8">
      <c r="F24016" s="68" t="s">
        <v>569</v>
      </c>
      <c r="G24016" s="67" t="s">
        <v>836</v>
      </c>
      <c r="H24016" s="69">
        <v>-0.71</v>
      </c>
    </row>
    <row r="24017" spans="6:8">
      <c r="F24017" s="68" t="s">
        <v>130</v>
      </c>
      <c r="G24017" s="67" t="s">
        <v>836</v>
      </c>
      <c r="H24017" s="69">
        <v>-1.0566666666666666</v>
      </c>
    </row>
    <row r="24018" spans="6:8">
      <c r="F24018" s="68" t="s">
        <v>131</v>
      </c>
      <c r="G24018" s="67" t="s">
        <v>836</v>
      </c>
      <c r="H24018" s="69">
        <v>-0.48499999999999999</v>
      </c>
    </row>
    <row r="24019" spans="6:8">
      <c r="F24019" s="68" t="s">
        <v>303</v>
      </c>
      <c r="G24019" s="67" t="s">
        <v>836</v>
      </c>
      <c r="H24019" s="69">
        <v>15.848149999999999</v>
      </c>
    </row>
    <row r="24020" spans="6:8">
      <c r="F24020" s="68" t="s">
        <v>255</v>
      </c>
      <c r="G24020" s="67" t="s">
        <v>836</v>
      </c>
      <c r="H24020" s="69">
        <v>0.47</v>
      </c>
    </row>
    <row r="24021" spans="6:8">
      <c r="F24021" s="68" t="s">
        <v>422</v>
      </c>
      <c r="G24021" s="67" t="s">
        <v>836</v>
      </c>
      <c r="H24021" s="69">
        <v>1.5662273895669543</v>
      </c>
    </row>
    <row r="24022" spans="6:8">
      <c r="F24022" s="68" t="s">
        <v>568</v>
      </c>
      <c r="G24022" s="67" t="s">
        <v>836</v>
      </c>
      <c r="H24022" s="69">
        <v>-1.04</v>
      </c>
    </row>
    <row r="24023" spans="6:8">
      <c r="F24023" s="68" t="s">
        <v>128</v>
      </c>
      <c r="G24023" s="67" t="s">
        <v>836</v>
      </c>
      <c r="H24023" s="69">
        <v>-0.94000000000000006</v>
      </c>
    </row>
    <row r="24024" spans="6:8">
      <c r="F24024" s="68" t="s">
        <v>129</v>
      </c>
      <c r="G24024" s="67" t="s">
        <v>836</v>
      </c>
      <c r="H24024" s="69">
        <v>-0.63</v>
      </c>
    </row>
    <row r="24025" spans="6:8">
      <c r="F24025" s="68" t="s">
        <v>304</v>
      </c>
      <c r="G24025" s="67" t="s">
        <v>836</v>
      </c>
      <c r="H24025" s="69">
        <v>15.936566666666668</v>
      </c>
    </row>
    <row r="24026" spans="6:8">
      <c r="F24026" s="68" t="s">
        <v>254</v>
      </c>
      <c r="G24026" s="67" t="s">
        <v>836</v>
      </c>
      <c r="H24026" s="69">
        <v>0.32</v>
      </c>
    </row>
    <row r="24027" spans="6:8">
      <c r="F24027" s="68" t="s">
        <v>421</v>
      </c>
      <c r="G24027" s="67" t="s">
        <v>836</v>
      </c>
      <c r="H24027" s="69">
        <v>1.5605352874806133</v>
      </c>
    </row>
    <row r="24028" spans="6:8">
      <c r="F24028" s="68" t="s">
        <v>567</v>
      </c>
      <c r="G24028" s="67" t="s">
        <v>836</v>
      </c>
      <c r="H24028" s="69">
        <v>-1.3299999999999998</v>
      </c>
    </row>
    <row r="24029" spans="6:8">
      <c r="F24029" s="68" t="s">
        <v>125</v>
      </c>
      <c r="G24029" s="67" t="s">
        <v>836</v>
      </c>
      <c r="H24029" s="69">
        <v>-0.94</v>
      </c>
    </row>
    <row r="24030" spans="6:8">
      <c r="F24030" s="68" t="s">
        <v>126</v>
      </c>
      <c r="G24030" s="67" t="s">
        <v>836</v>
      </c>
      <c r="H24030" s="69">
        <v>-0.96666666666666679</v>
      </c>
    </row>
    <row r="24031" spans="6:8">
      <c r="F24031" s="68" t="s">
        <v>127</v>
      </c>
      <c r="G24031" s="67" t="s">
        <v>836</v>
      </c>
      <c r="H24031" s="69">
        <v>-0.4</v>
      </c>
    </row>
    <row r="24032" spans="6:8">
      <c r="F24032" s="68" t="s">
        <v>253</v>
      </c>
      <c r="G24032" s="67" t="s">
        <v>836</v>
      </c>
      <c r="H24032" s="69">
        <v>0.23</v>
      </c>
    </row>
    <row r="24033" spans="6:8">
      <c r="F24033" s="68" t="s">
        <v>315</v>
      </c>
      <c r="G24033" s="67" t="s">
        <v>836</v>
      </c>
      <c r="H24033" s="69">
        <v>-0.71</v>
      </c>
    </row>
    <row r="24034" spans="6:8">
      <c r="F24034" s="68" t="s">
        <v>122</v>
      </c>
      <c r="G24034" s="67" t="s">
        <v>836</v>
      </c>
      <c r="H24034" s="69">
        <v>-1.0733333333333333</v>
      </c>
    </row>
    <row r="24035" spans="6:8">
      <c r="F24035" s="68" t="s">
        <v>123</v>
      </c>
      <c r="G24035" s="67" t="s">
        <v>836</v>
      </c>
      <c r="H24035" s="69">
        <v>-0.90666666666666673</v>
      </c>
    </row>
    <row r="24036" spans="6:8">
      <c r="F24036" s="68" t="s">
        <v>124</v>
      </c>
      <c r="G24036" s="67" t="s">
        <v>836</v>
      </c>
      <c r="H24036" s="69">
        <v>-0.81</v>
      </c>
    </row>
    <row r="24037" spans="6:8">
      <c r="F24037" s="68" t="s">
        <v>252</v>
      </c>
      <c r="G24037" s="67" t="s">
        <v>836</v>
      </c>
      <c r="H24037" s="69">
        <v>0.15666666666666665</v>
      </c>
    </row>
    <row r="24038" spans="6:8">
      <c r="F24038" s="68" t="s">
        <v>314</v>
      </c>
      <c r="G24038" s="67" t="s">
        <v>836</v>
      </c>
      <c r="H24038" s="69">
        <v>-0.95666666666666667</v>
      </c>
    </row>
    <row r="24039" spans="6:8">
      <c r="F24039" s="68" t="s">
        <v>420</v>
      </c>
      <c r="G24039" s="67" t="s">
        <v>836</v>
      </c>
      <c r="H24039" s="69">
        <v>2.739094464536862</v>
      </c>
    </row>
    <row r="24040" spans="6:8">
      <c r="F24040" s="68" t="s">
        <v>119</v>
      </c>
      <c r="G24040" s="67" t="s">
        <v>836</v>
      </c>
      <c r="H24040" s="69">
        <v>-1.0633333333333332</v>
      </c>
    </row>
    <row r="24041" spans="6:8">
      <c r="F24041" s="68" t="s">
        <v>120</v>
      </c>
      <c r="G24041" s="67" t="s">
        <v>836</v>
      </c>
      <c r="H24041" s="69">
        <v>-0.75666666666666671</v>
      </c>
    </row>
    <row r="24042" spans="6:8">
      <c r="F24042" s="68" t="s">
        <v>121</v>
      </c>
      <c r="G24042" s="67" t="s">
        <v>836</v>
      </c>
      <c r="H24042" s="69">
        <v>-0.81</v>
      </c>
    </row>
    <row r="24043" spans="6:8">
      <c r="F24043" s="68" t="s">
        <v>251</v>
      </c>
      <c r="G24043" s="67" t="s">
        <v>836</v>
      </c>
      <c r="H24043" s="69">
        <v>0.13166666666666668</v>
      </c>
    </row>
    <row r="24044" spans="6:8">
      <c r="F24044" s="68" t="s">
        <v>251</v>
      </c>
      <c r="G24044" s="67" t="s">
        <v>837</v>
      </c>
      <c r="H24044" s="69">
        <v>0.13166666666666668</v>
      </c>
    </row>
    <row r="24045" spans="6:8">
      <c r="F24045" s="68" t="s">
        <v>121</v>
      </c>
      <c r="G24045" s="67" t="s">
        <v>837</v>
      </c>
      <c r="H24045" s="69">
        <v>-0.81</v>
      </c>
    </row>
    <row r="24046" spans="6:8">
      <c r="F24046" s="68" t="s">
        <v>120</v>
      </c>
      <c r="G24046" s="67" t="s">
        <v>837</v>
      </c>
      <c r="H24046" s="69">
        <v>-0.76333333333333331</v>
      </c>
    </row>
    <row r="24047" spans="6:8">
      <c r="F24047" s="68" t="s">
        <v>119</v>
      </c>
      <c r="G24047" s="67" t="s">
        <v>837</v>
      </c>
      <c r="H24047" s="69">
        <v>-1.07</v>
      </c>
    </row>
    <row r="24048" spans="6:8">
      <c r="F24048" s="68" t="s">
        <v>420</v>
      </c>
      <c r="G24048" s="67" t="s">
        <v>837</v>
      </c>
      <c r="H24048" s="69">
        <v>2.7217472845669555</v>
      </c>
    </row>
    <row r="24049" spans="6:8">
      <c r="F24049" s="68" t="s">
        <v>314</v>
      </c>
      <c r="G24049" s="67" t="s">
        <v>837</v>
      </c>
      <c r="H24049" s="69">
        <v>-0.99333333333333329</v>
      </c>
    </row>
    <row r="24050" spans="6:8">
      <c r="F24050" s="68" t="s">
        <v>252</v>
      </c>
      <c r="G24050" s="67" t="s">
        <v>837</v>
      </c>
      <c r="H24050" s="69">
        <v>0.15666666666666665</v>
      </c>
    </row>
    <row r="24051" spans="6:8">
      <c r="F24051" s="68" t="s">
        <v>124</v>
      </c>
      <c r="G24051" s="67" t="s">
        <v>837</v>
      </c>
      <c r="H24051" s="69">
        <v>-0.81</v>
      </c>
    </row>
    <row r="24052" spans="6:8">
      <c r="F24052" s="68" t="s">
        <v>123</v>
      </c>
      <c r="G24052" s="67" t="s">
        <v>837</v>
      </c>
      <c r="H24052" s="69">
        <v>-0.91666666666666663</v>
      </c>
    </row>
    <row r="24053" spans="6:8">
      <c r="F24053" s="68" t="s">
        <v>122</v>
      </c>
      <c r="G24053" s="67" t="s">
        <v>837</v>
      </c>
      <c r="H24053" s="69">
        <v>-1.08</v>
      </c>
    </row>
    <row r="24054" spans="6:8">
      <c r="F24054" s="68" t="s">
        <v>315</v>
      </c>
      <c r="G24054" s="67" t="s">
        <v>837</v>
      </c>
      <c r="H24054" s="69">
        <v>-0.71333333333333337</v>
      </c>
    </row>
    <row r="24055" spans="6:8">
      <c r="F24055" s="68" t="s">
        <v>253</v>
      </c>
      <c r="G24055" s="67" t="s">
        <v>837</v>
      </c>
      <c r="H24055" s="69">
        <v>0.23</v>
      </c>
    </row>
    <row r="24056" spans="6:8">
      <c r="F24056" s="68" t="s">
        <v>127</v>
      </c>
      <c r="G24056" s="67" t="s">
        <v>837</v>
      </c>
      <c r="H24056" s="69">
        <v>-0.40500000000000003</v>
      </c>
    </row>
    <row r="24057" spans="6:8">
      <c r="F24057" s="68" t="s">
        <v>126</v>
      </c>
      <c r="G24057" s="67" t="s">
        <v>837</v>
      </c>
      <c r="H24057" s="69">
        <v>-0.97333333333333327</v>
      </c>
    </row>
    <row r="24058" spans="6:8">
      <c r="F24058" s="68" t="s">
        <v>125</v>
      </c>
      <c r="G24058" s="67" t="s">
        <v>837</v>
      </c>
      <c r="H24058" s="69">
        <v>-0.94666666666666666</v>
      </c>
    </row>
    <row r="24059" spans="6:8">
      <c r="F24059" s="68" t="s">
        <v>567</v>
      </c>
      <c r="G24059" s="67" t="s">
        <v>837</v>
      </c>
      <c r="H24059" s="69">
        <v>-1.3399999999999999</v>
      </c>
    </row>
    <row r="24060" spans="6:8">
      <c r="F24060" s="68" t="s">
        <v>421</v>
      </c>
      <c r="G24060" s="67" t="s">
        <v>837</v>
      </c>
      <c r="H24060" s="69">
        <v>1.5595295861924097</v>
      </c>
    </row>
    <row r="24061" spans="6:8">
      <c r="F24061" s="68" t="s">
        <v>254</v>
      </c>
      <c r="G24061" s="67" t="s">
        <v>837</v>
      </c>
      <c r="H24061" s="69">
        <v>0.32</v>
      </c>
    </row>
    <row r="24062" spans="6:8">
      <c r="F24062" s="68" t="s">
        <v>304</v>
      </c>
      <c r="G24062" s="67" t="s">
        <v>837</v>
      </c>
      <c r="H24062" s="69">
        <v>15.895566666666667</v>
      </c>
    </row>
    <row r="24063" spans="6:8">
      <c r="F24063" s="68" t="s">
        <v>129</v>
      </c>
      <c r="G24063" s="67" t="s">
        <v>837</v>
      </c>
      <c r="H24063" s="69">
        <v>-0.59333333333333327</v>
      </c>
    </row>
    <row r="24064" spans="6:8">
      <c r="F24064" s="68" t="s">
        <v>128</v>
      </c>
      <c r="G24064" s="67" t="s">
        <v>837</v>
      </c>
      <c r="H24064" s="69">
        <v>-0.94333333333333336</v>
      </c>
    </row>
    <row r="24065" spans="6:8">
      <c r="F24065" s="68" t="s">
        <v>568</v>
      </c>
      <c r="G24065" s="67" t="s">
        <v>837</v>
      </c>
      <c r="H24065" s="69">
        <v>-1.0466666666666666</v>
      </c>
    </row>
    <row r="24066" spans="6:8">
      <c r="F24066" s="68" t="s">
        <v>422</v>
      </c>
      <c r="G24066" s="67" t="s">
        <v>837</v>
      </c>
      <c r="H24066" s="69">
        <v>1.5651718490026223</v>
      </c>
    </row>
    <row r="24067" spans="6:8">
      <c r="F24067" s="68" t="s">
        <v>255</v>
      </c>
      <c r="G24067" s="67" t="s">
        <v>837</v>
      </c>
      <c r="H24067" s="69">
        <v>0.47</v>
      </c>
    </row>
    <row r="24068" spans="6:8">
      <c r="F24068" s="68" t="s">
        <v>303</v>
      </c>
      <c r="G24068" s="67" t="s">
        <v>837</v>
      </c>
      <c r="H24068" s="69">
        <v>15.808583333333333</v>
      </c>
    </row>
    <row r="24069" spans="6:8">
      <c r="F24069" s="68" t="s">
        <v>131</v>
      </c>
      <c r="G24069" s="67" t="s">
        <v>837</v>
      </c>
      <c r="H24069" s="69">
        <v>-0.49</v>
      </c>
    </row>
    <row r="24070" spans="6:8">
      <c r="F24070" s="68" t="s">
        <v>130</v>
      </c>
      <c r="G24070" s="67" t="s">
        <v>837</v>
      </c>
      <c r="H24070" s="69">
        <v>-1.0666666666666667</v>
      </c>
    </row>
    <row r="24071" spans="6:8">
      <c r="F24071" s="68" t="s">
        <v>569</v>
      </c>
      <c r="G24071" s="67" t="s">
        <v>837</v>
      </c>
      <c r="H24071" s="69">
        <v>-0.71333333333333337</v>
      </c>
    </row>
    <row r="24072" spans="6:8">
      <c r="F24072" s="68" t="s">
        <v>423</v>
      </c>
      <c r="G24072" s="67" t="s">
        <v>837</v>
      </c>
      <c r="H24072" s="69">
        <v>1.9268349249475847</v>
      </c>
    </row>
    <row r="24073" spans="6:8">
      <c r="F24073" s="68" t="s">
        <v>256</v>
      </c>
      <c r="G24073" s="67" t="s">
        <v>837</v>
      </c>
      <c r="H24073" s="69">
        <v>0.62666666666666671</v>
      </c>
    </row>
    <row r="24074" spans="6:8">
      <c r="F24074" s="68" t="s">
        <v>133</v>
      </c>
      <c r="G24074" s="67" t="s">
        <v>837</v>
      </c>
      <c r="H24074" s="69">
        <v>-0.47499999999999998</v>
      </c>
    </row>
    <row r="24075" spans="6:8">
      <c r="F24075" s="68" t="s">
        <v>132</v>
      </c>
      <c r="G24075" s="67" t="s">
        <v>837</v>
      </c>
      <c r="H24075" s="69">
        <v>-1.0333333333333334</v>
      </c>
    </row>
    <row r="24076" spans="6:8">
      <c r="F24076" s="68" t="s">
        <v>424</v>
      </c>
      <c r="G24076" s="67" t="s">
        <v>837</v>
      </c>
      <c r="H24076" s="69">
        <v>2.6513398639981478</v>
      </c>
    </row>
    <row r="24077" spans="6:8">
      <c r="F24077" s="68" t="s">
        <v>258</v>
      </c>
      <c r="G24077" s="67" t="s">
        <v>837</v>
      </c>
      <c r="H24077" s="69">
        <v>0.15</v>
      </c>
    </row>
    <row r="24078" spans="6:8">
      <c r="F24078" s="68" t="s">
        <v>257</v>
      </c>
      <c r="G24078" s="67" t="s">
        <v>837</v>
      </c>
      <c r="H24078" s="69">
        <v>0.78200000000000003</v>
      </c>
    </row>
    <row r="24079" spans="6:8">
      <c r="F24079" s="68" t="s">
        <v>135</v>
      </c>
      <c r="G24079" s="67" t="s">
        <v>837</v>
      </c>
      <c r="H24079" s="69">
        <v>-0.77</v>
      </c>
    </row>
    <row r="24080" spans="6:8">
      <c r="F24080" s="68" t="s">
        <v>134</v>
      </c>
      <c r="G24080" s="67" t="s">
        <v>837</v>
      </c>
      <c r="H24080" s="69">
        <v>-1.0233333333333334</v>
      </c>
    </row>
    <row r="24081" spans="6:8">
      <c r="F24081" s="68" t="s">
        <v>425</v>
      </c>
      <c r="G24081" s="67" t="s">
        <v>837</v>
      </c>
      <c r="H24081" s="69">
        <v>2.6705020235512134</v>
      </c>
    </row>
    <row r="24082" spans="6:8">
      <c r="F24082" s="68" t="s">
        <v>259</v>
      </c>
      <c r="G24082" s="67" t="s">
        <v>837</v>
      </c>
      <c r="H24082" s="69">
        <v>0.11833333333333333</v>
      </c>
    </row>
    <row r="24083" spans="6:8">
      <c r="F24083" s="68" t="s">
        <v>138</v>
      </c>
      <c r="G24083" s="67" t="s">
        <v>837</v>
      </c>
      <c r="H24083" s="69">
        <v>-0.84000000000000008</v>
      </c>
    </row>
    <row r="24084" spans="6:8">
      <c r="F24084" s="68" t="s">
        <v>137</v>
      </c>
      <c r="G24084" s="67" t="s">
        <v>837</v>
      </c>
      <c r="H24084" s="69">
        <v>-0.66999999999999993</v>
      </c>
    </row>
    <row r="24085" spans="6:8">
      <c r="F24085" s="68" t="s">
        <v>136</v>
      </c>
      <c r="G24085" s="67" t="s">
        <v>837</v>
      </c>
      <c r="H24085" s="69">
        <v>-1.0900000000000001</v>
      </c>
    </row>
    <row r="24086" spans="6:8">
      <c r="F24086" s="68" t="s">
        <v>136</v>
      </c>
      <c r="G24086" s="67" t="s">
        <v>838</v>
      </c>
      <c r="H24086" s="69">
        <v>-1.0866666666666667</v>
      </c>
    </row>
    <row r="24087" spans="6:8">
      <c r="F24087" s="68" t="s">
        <v>137</v>
      </c>
      <c r="G24087" s="67" t="s">
        <v>838</v>
      </c>
      <c r="H24087" s="69">
        <v>-0.66666666666666663</v>
      </c>
    </row>
    <row r="24088" spans="6:8">
      <c r="F24088" s="68" t="s">
        <v>138</v>
      </c>
      <c r="G24088" s="67" t="s">
        <v>838</v>
      </c>
      <c r="H24088" s="69">
        <v>-0.84000000000000008</v>
      </c>
    </row>
    <row r="24089" spans="6:8">
      <c r="F24089" s="68" t="s">
        <v>259</v>
      </c>
      <c r="G24089" s="67" t="s">
        <v>838</v>
      </c>
      <c r="H24089" s="69">
        <v>0.11833333333333333</v>
      </c>
    </row>
    <row r="24090" spans="6:8">
      <c r="F24090" s="68" t="s">
        <v>425</v>
      </c>
      <c r="G24090" s="67" t="s">
        <v>838</v>
      </c>
      <c r="H24090" s="69">
        <v>2.6931383157080102</v>
      </c>
    </row>
    <row r="24091" spans="6:8">
      <c r="F24091" s="68" t="s">
        <v>134</v>
      </c>
      <c r="G24091" s="67" t="s">
        <v>838</v>
      </c>
      <c r="H24091" s="69">
        <v>-1.0166666666666666</v>
      </c>
    </row>
    <row r="24092" spans="6:8">
      <c r="F24092" s="68" t="s">
        <v>135</v>
      </c>
      <c r="G24092" s="67" t="s">
        <v>838</v>
      </c>
      <c r="H24092" s="69">
        <v>-0.76500000000000001</v>
      </c>
    </row>
    <row r="24093" spans="6:8">
      <c r="F24093" s="68" t="s">
        <v>257</v>
      </c>
      <c r="G24093" s="67" t="s">
        <v>838</v>
      </c>
      <c r="H24093" s="69">
        <v>0.78200000000000003</v>
      </c>
    </row>
    <row r="24094" spans="6:8">
      <c r="F24094" s="68" t="s">
        <v>258</v>
      </c>
      <c r="G24094" s="67" t="s">
        <v>838</v>
      </c>
      <c r="H24094" s="69">
        <v>0.15</v>
      </c>
    </row>
    <row r="24095" spans="6:8">
      <c r="F24095" s="68" t="s">
        <v>424</v>
      </c>
      <c r="G24095" s="67" t="s">
        <v>838</v>
      </c>
      <c r="H24095" s="69">
        <v>2.6740571723065099</v>
      </c>
    </row>
    <row r="24096" spans="6:8">
      <c r="F24096" s="68" t="s">
        <v>132</v>
      </c>
      <c r="G24096" s="67" t="s">
        <v>838</v>
      </c>
      <c r="H24096" s="69">
        <v>-1.0233333333333334</v>
      </c>
    </row>
    <row r="24097" spans="6:8">
      <c r="F24097" s="68" t="s">
        <v>133</v>
      </c>
      <c r="G24097" s="67" t="s">
        <v>838</v>
      </c>
      <c r="H24097" s="69">
        <v>-0.58499999999999996</v>
      </c>
    </row>
    <row r="24098" spans="6:8">
      <c r="F24098" s="68" t="s">
        <v>256</v>
      </c>
      <c r="G24098" s="67" t="s">
        <v>838</v>
      </c>
      <c r="H24098" s="69">
        <v>0.62666666666666671</v>
      </c>
    </row>
    <row r="24099" spans="6:8">
      <c r="F24099" s="68" t="s">
        <v>423</v>
      </c>
      <c r="G24099" s="67" t="s">
        <v>838</v>
      </c>
      <c r="H24099" s="69">
        <v>1.9881566755500124</v>
      </c>
    </row>
    <row r="24100" spans="6:8">
      <c r="F24100" s="68" t="s">
        <v>569</v>
      </c>
      <c r="G24100" s="67" t="s">
        <v>838</v>
      </c>
      <c r="H24100" s="69">
        <v>-0.71333333333333337</v>
      </c>
    </row>
    <row r="24101" spans="6:8">
      <c r="F24101" s="68" t="s">
        <v>130</v>
      </c>
      <c r="G24101" s="67" t="s">
        <v>838</v>
      </c>
      <c r="H24101" s="69">
        <v>-1.0566666666666666</v>
      </c>
    </row>
    <row r="24102" spans="6:8">
      <c r="F24102" s="68" t="s">
        <v>131</v>
      </c>
      <c r="G24102" s="67" t="s">
        <v>838</v>
      </c>
      <c r="H24102" s="69">
        <v>-0.49</v>
      </c>
    </row>
    <row r="24103" spans="6:8">
      <c r="F24103" s="68" t="s">
        <v>303</v>
      </c>
      <c r="G24103" s="67" t="s">
        <v>838</v>
      </c>
      <c r="H24103" s="69">
        <v>16.109375</v>
      </c>
    </row>
    <row r="24104" spans="6:8">
      <c r="F24104" s="68" t="s">
        <v>255</v>
      </c>
      <c r="G24104" s="67" t="s">
        <v>838</v>
      </c>
      <c r="H24104" s="69">
        <v>0.47</v>
      </c>
    </row>
    <row r="24105" spans="6:8">
      <c r="F24105" s="68" t="s">
        <v>422</v>
      </c>
      <c r="G24105" s="67" t="s">
        <v>838</v>
      </c>
      <c r="H24105" s="69">
        <v>1.5917868698111182</v>
      </c>
    </row>
    <row r="24106" spans="6:8">
      <c r="F24106" s="68" t="s">
        <v>568</v>
      </c>
      <c r="G24106" s="67" t="s">
        <v>838</v>
      </c>
      <c r="H24106" s="69">
        <v>-1.03</v>
      </c>
    </row>
    <row r="24107" spans="6:8">
      <c r="F24107" s="68" t="s">
        <v>128</v>
      </c>
      <c r="G24107" s="67" t="s">
        <v>838</v>
      </c>
      <c r="H24107" s="69">
        <v>-0.94000000000000006</v>
      </c>
    </row>
    <row r="24108" spans="6:8">
      <c r="F24108" s="68" t="s">
        <v>129</v>
      </c>
      <c r="G24108" s="67" t="s">
        <v>838</v>
      </c>
      <c r="H24108" s="69">
        <v>-0.59</v>
      </c>
    </row>
    <row r="24109" spans="6:8">
      <c r="F24109" s="68" t="s">
        <v>304</v>
      </c>
      <c r="G24109" s="67" t="s">
        <v>838</v>
      </c>
      <c r="H24109" s="69">
        <v>16.192708333333332</v>
      </c>
    </row>
    <row r="24110" spans="6:8">
      <c r="F24110" s="68" t="s">
        <v>254</v>
      </c>
      <c r="G24110" s="67" t="s">
        <v>838</v>
      </c>
      <c r="H24110" s="69">
        <v>0.32</v>
      </c>
    </row>
    <row r="24111" spans="6:8">
      <c r="F24111" s="68" t="s">
        <v>421</v>
      </c>
      <c r="G24111" s="67" t="s">
        <v>838</v>
      </c>
      <c r="H24111" s="69">
        <v>1.5861396608996436</v>
      </c>
    </row>
    <row r="24112" spans="6:8">
      <c r="F24112" s="68" t="s">
        <v>567</v>
      </c>
      <c r="G24112" s="67" t="s">
        <v>838</v>
      </c>
      <c r="H24112" s="69">
        <v>-1.3333333333333333</v>
      </c>
    </row>
    <row r="24113" spans="6:8">
      <c r="F24113" s="68" t="s">
        <v>125</v>
      </c>
      <c r="G24113" s="67" t="s">
        <v>838</v>
      </c>
      <c r="H24113" s="69">
        <v>-0.94333333333333336</v>
      </c>
    </row>
    <row r="24114" spans="6:8">
      <c r="F24114" s="68" t="s">
        <v>126</v>
      </c>
      <c r="G24114" s="67" t="s">
        <v>838</v>
      </c>
      <c r="H24114" s="69">
        <v>-0.97000000000000008</v>
      </c>
    </row>
    <row r="24115" spans="6:8">
      <c r="F24115" s="68" t="s">
        <v>127</v>
      </c>
      <c r="G24115" s="67" t="s">
        <v>838</v>
      </c>
      <c r="H24115" s="69">
        <v>-0.40500000000000003</v>
      </c>
    </row>
    <row r="24116" spans="6:8">
      <c r="F24116" s="68" t="s">
        <v>253</v>
      </c>
      <c r="G24116" s="67" t="s">
        <v>838</v>
      </c>
      <c r="H24116" s="69">
        <v>0.23</v>
      </c>
    </row>
    <row r="24117" spans="6:8">
      <c r="F24117" s="68" t="s">
        <v>315</v>
      </c>
      <c r="G24117" s="67" t="s">
        <v>838</v>
      </c>
      <c r="H24117" s="69">
        <v>-0.71333333333333337</v>
      </c>
    </row>
    <row r="24118" spans="6:8">
      <c r="F24118" s="68" t="s">
        <v>122</v>
      </c>
      <c r="G24118" s="67" t="s">
        <v>838</v>
      </c>
      <c r="H24118" s="69">
        <v>-1.0766666666666669</v>
      </c>
    </row>
    <row r="24119" spans="6:8">
      <c r="F24119" s="68" t="s">
        <v>123</v>
      </c>
      <c r="G24119" s="67" t="s">
        <v>838</v>
      </c>
      <c r="H24119" s="69">
        <v>-0.91</v>
      </c>
    </row>
    <row r="24120" spans="6:8">
      <c r="F24120" s="68" t="s">
        <v>124</v>
      </c>
      <c r="G24120" s="67" t="s">
        <v>838</v>
      </c>
      <c r="H24120" s="69">
        <v>-0.81</v>
      </c>
    </row>
    <row r="24121" spans="6:8">
      <c r="F24121" s="68" t="s">
        <v>252</v>
      </c>
      <c r="G24121" s="67" t="s">
        <v>838</v>
      </c>
      <c r="H24121" s="69">
        <v>0.15666666666666665</v>
      </c>
    </row>
    <row r="24122" spans="6:8">
      <c r="F24122" s="68" t="s">
        <v>314</v>
      </c>
      <c r="G24122" s="67" t="s">
        <v>838</v>
      </c>
      <c r="H24122" s="69">
        <v>-0.9900000000000001</v>
      </c>
    </row>
    <row r="24123" spans="6:8">
      <c r="F24123" s="68" t="s">
        <v>420</v>
      </c>
      <c r="G24123" s="67" t="s">
        <v>838</v>
      </c>
      <c r="H24123" s="69">
        <v>2.7439532601441385</v>
      </c>
    </row>
    <row r="24124" spans="6:8">
      <c r="F24124" s="68" t="s">
        <v>119</v>
      </c>
      <c r="G24124" s="67" t="s">
        <v>838</v>
      </c>
      <c r="H24124" s="69">
        <v>-1.0666666666666667</v>
      </c>
    </row>
    <row r="24125" spans="6:8">
      <c r="F24125" s="68" t="s">
        <v>120</v>
      </c>
      <c r="G24125" s="67" t="s">
        <v>838</v>
      </c>
      <c r="H24125" s="69">
        <v>-0.76333333333333331</v>
      </c>
    </row>
    <row r="24126" spans="6:8">
      <c r="F24126" s="68" t="s">
        <v>121</v>
      </c>
      <c r="G24126" s="67" t="s">
        <v>838</v>
      </c>
      <c r="H24126" s="69">
        <v>-0.81</v>
      </c>
    </row>
    <row r="24127" spans="6:8">
      <c r="F24127" s="68" t="s">
        <v>251</v>
      </c>
      <c r="G24127" s="67" t="s">
        <v>838</v>
      </c>
      <c r="H24127" s="69">
        <v>0.13166666666666668</v>
      </c>
    </row>
    <row r="24128" spans="6:8">
      <c r="F24128" s="68" t="s">
        <v>251</v>
      </c>
      <c r="G24128" s="67" t="s">
        <v>839</v>
      </c>
      <c r="H24128" s="69">
        <v>0.13666666666666669</v>
      </c>
    </row>
    <row r="24129" spans="6:8">
      <c r="F24129" s="68" t="s">
        <v>121</v>
      </c>
      <c r="G24129" s="67" t="s">
        <v>839</v>
      </c>
      <c r="H24129" s="69">
        <v>-0.81</v>
      </c>
    </row>
    <row r="24130" spans="6:8">
      <c r="F24130" s="68" t="s">
        <v>120</v>
      </c>
      <c r="G24130" s="67" t="s">
        <v>839</v>
      </c>
      <c r="H24130" s="69">
        <v>-0.73666666666666669</v>
      </c>
    </row>
    <row r="24131" spans="6:8">
      <c r="F24131" s="68" t="s">
        <v>119</v>
      </c>
      <c r="G24131" s="67" t="s">
        <v>839</v>
      </c>
      <c r="H24131" s="69">
        <v>-1.0066666666666666</v>
      </c>
    </row>
    <row r="24132" spans="6:8">
      <c r="F24132" s="68" t="s">
        <v>420</v>
      </c>
      <c r="G24132" s="67" t="s">
        <v>839</v>
      </c>
      <c r="H24132" s="69">
        <v>2.8647464299960124</v>
      </c>
    </row>
    <row r="24133" spans="6:8">
      <c r="F24133" s="68" t="s">
        <v>314</v>
      </c>
      <c r="G24133" s="67" t="s">
        <v>839</v>
      </c>
      <c r="H24133" s="69">
        <v>-0.91</v>
      </c>
    </row>
    <row r="24134" spans="6:8">
      <c r="F24134" s="68" t="s">
        <v>252</v>
      </c>
      <c r="G24134" s="67" t="s">
        <v>839</v>
      </c>
      <c r="H24134" s="69">
        <v>0.16333333333333333</v>
      </c>
    </row>
    <row r="24135" spans="6:8">
      <c r="F24135" s="68" t="s">
        <v>124</v>
      </c>
      <c r="G24135" s="67" t="s">
        <v>839</v>
      </c>
      <c r="H24135" s="69">
        <v>-0.81</v>
      </c>
    </row>
    <row r="24136" spans="6:8">
      <c r="F24136" s="68" t="s">
        <v>123</v>
      </c>
      <c r="G24136" s="67" t="s">
        <v>839</v>
      </c>
      <c r="H24136" s="69">
        <v>-0.8833333333333333</v>
      </c>
    </row>
    <row r="24137" spans="6:8">
      <c r="F24137" s="68" t="s">
        <v>122</v>
      </c>
      <c r="G24137" s="67" t="s">
        <v>839</v>
      </c>
      <c r="H24137" s="69">
        <v>-1.0133333333333334</v>
      </c>
    </row>
    <row r="24138" spans="6:8">
      <c r="F24138" s="68" t="s">
        <v>315</v>
      </c>
      <c r="G24138" s="67" t="s">
        <v>839</v>
      </c>
      <c r="H24138" s="69">
        <v>-0.67666666666666675</v>
      </c>
    </row>
    <row r="24139" spans="6:8">
      <c r="F24139" s="68" t="s">
        <v>253</v>
      </c>
      <c r="G24139" s="67" t="s">
        <v>839</v>
      </c>
      <c r="H24139" s="69">
        <v>0.24666666666666667</v>
      </c>
    </row>
    <row r="24140" spans="6:8">
      <c r="F24140" s="68" t="s">
        <v>127</v>
      </c>
      <c r="G24140" s="67" t="s">
        <v>839</v>
      </c>
      <c r="H24140" s="69">
        <v>-0.38500000000000001</v>
      </c>
    </row>
    <row r="24141" spans="6:8">
      <c r="F24141" s="68" t="s">
        <v>126</v>
      </c>
      <c r="G24141" s="67" t="s">
        <v>839</v>
      </c>
      <c r="H24141" s="69">
        <v>-0.94666666666666666</v>
      </c>
    </row>
    <row r="24142" spans="6:8">
      <c r="F24142" s="68" t="s">
        <v>125</v>
      </c>
      <c r="G24142" s="67" t="s">
        <v>839</v>
      </c>
      <c r="H24142" s="69">
        <v>-0.87000000000000011</v>
      </c>
    </row>
    <row r="24143" spans="6:8">
      <c r="F24143" s="68" t="s">
        <v>567</v>
      </c>
      <c r="G24143" s="67" t="s">
        <v>839</v>
      </c>
      <c r="H24143" s="69">
        <v>-1.3233333333333335</v>
      </c>
    </row>
    <row r="24144" spans="6:8">
      <c r="F24144" s="68" t="s">
        <v>421</v>
      </c>
      <c r="G24144" s="67" t="s">
        <v>839</v>
      </c>
      <c r="H24144" s="69">
        <v>1.7719348160965875</v>
      </c>
    </row>
    <row r="24145" spans="6:8">
      <c r="F24145" s="68" t="s">
        <v>254</v>
      </c>
      <c r="G24145" s="67" t="s">
        <v>839</v>
      </c>
      <c r="H24145" s="69">
        <v>0.35333333333333333</v>
      </c>
    </row>
    <row r="24146" spans="6:8">
      <c r="F24146" s="68" t="s">
        <v>304</v>
      </c>
      <c r="G24146" s="67" t="s">
        <v>839</v>
      </c>
      <c r="H24146" s="69">
        <v>16.260416666666668</v>
      </c>
    </row>
    <row r="24147" spans="6:8">
      <c r="F24147" s="68" t="s">
        <v>129</v>
      </c>
      <c r="G24147" s="67" t="s">
        <v>839</v>
      </c>
      <c r="H24147" s="69">
        <v>-0.57999999999999996</v>
      </c>
    </row>
    <row r="24148" spans="6:8">
      <c r="F24148" s="68" t="s">
        <v>128</v>
      </c>
      <c r="G24148" s="67" t="s">
        <v>839</v>
      </c>
      <c r="H24148" s="69">
        <v>-0.91999999999999993</v>
      </c>
    </row>
    <row r="24149" spans="6:8">
      <c r="F24149" s="68" t="s">
        <v>568</v>
      </c>
      <c r="G24149" s="67" t="s">
        <v>839</v>
      </c>
      <c r="H24149" s="69">
        <v>-0.94000000000000006</v>
      </c>
    </row>
    <row r="24150" spans="6:8">
      <c r="F24150" s="68" t="s">
        <v>422</v>
      </c>
      <c r="G24150" s="67" t="s">
        <v>839</v>
      </c>
      <c r="H24150" s="69">
        <v>1.7777577688445678</v>
      </c>
    </row>
    <row r="24151" spans="6:8">
      <c r="F24151" s="68" t="s">
        <v>255</v>
      </c>
      <c r="G24151" s="67" t="s">
        <v>839</v>
      </c>
      <c r="H24151" s="69">
        <v>0.5033333333333333</v>
      </c>
    </row>
    <row r="24152" spans="6:8">
      <c r="F24152" s="68" t="s">
        <v>303</v>
      </c>
      <c r="G24152" s="67" t="s">
        <v>839</v>
      </c>
      <c r="H24152" s="69">
        <v>16.21875</v>
      </c>
    </row>
    <row r="24153" spans="6:8">
      <c r="F24153" s="68" t="s">
        <v>131</v>
      </c>
      <c r="G24153" s="67" t="s">
        <v>839</v>
      </c>
      <c r="H24153" s="69">
        <v>-0.47500000000000003</v>
      </c>
    </row>
    <row r="24154" spans="6:8">
      <c r="F24154" s="68" t="s">
        <v>130</v>
      </c>
      <c r="G24154" s="67" t="s">
        <v>839</v>
      </c>
      <c r="H24154" s="69">
        <v>-1.04</v>
      </c>
    </row>
    <row r="24155" spans="6:8">
      <c r="F24155" s="68" t="s">
        <v>569</v>
      </c>
      <c r="G24155" s="67" t="s">
        <v>839</v>
      </c>
      <c r="H24155" s="69">
        <v>-0.68</v>
      </c>
    </row>
    <row r="24156" spans="6:8">
      <c r="F24156" s="68" t="s">
        <v>423</v>
      </c>
      <c r="G24156" s="67" t="s">
        <v>839</v>
      </c>
      <c r="H24156" s="69">
        <v>2.1074715462622073</v>
      </c>
    </row>
    <row r="24157" spans="6:8">
      <c r="F24157" s="68" t="s">
        <v>256</v>
      </c>
      <c r="G24157" s="67" t="s">
        <v>839</v>
      </c>
      <c r="H24157" s="69">
        <v>0.66166666666666674</v>
      </c>
    </row>
    <row r="24158" spans="6:8">
      <c r="F24158" s="68" t="s">
        <v>133</v>
      </c>
      <c r="G24158" s="67" t="s">
        <v>839</v>
      </c>
      <c r="H24158" s="69">
        <v>-0.56000000000000005</v>
      </c>
    </row>
    <row r="24159" spans="6:8">
      <c r="F24159" s="68" t="s">
        <v>132</v>
      </c>
      <c r="G24159" s="67" t="s">
        <v>839</v>
      </c>
      <c r="H24159" s="69">
        <v>-1.0066666666666666</v>
      </c>
    </row>
    <row r="24160" spans="6:8">
      <c r="F24160" s="68" t="s">
        <v>424</v>
      </c>
      <c r="G24160" s="67" t="s">
        <v>839</v>
      </c>
      <c r="H24160" s="69">
        <v>2.7808986537756208</v>
      </c>
    </row>
    <row r="24161" spans="6:8">
      <c r="F24161" s="68" t="s">
        <v>258</v>
      </c>
      <c r="G24161" s="67" t="s">
        <v>839</v>
      </c>
      <c r="H24161" s="69">
        <v>0.15</v>
      </c>
    </row>
    <row r="24162" spans="6:8">
      <c r="F24162" s="68" t="s">
        <v>257</v>
      </c>
      <c r="G24162" s="67" t="s">
        <v>839</v>
      </c>
      <c r="H24162" s="69">
        <v>0.80199999999999994</v>
      </c>
    </row>
    <row r="24163" spans="6:8">
      <c r="F24163" s="68" t="s">
        <v>135</v>
      </c>
      <c r="G24163" s="67" t="s">
        <v>839</v>
      </c>
      <c r="H24163" s="69">
        <v>-0.74</v>
      </c>
    </row>
    <row r="24164" spans="6:8">
      <c r="F24164" s="68" t="s">
        <v>134</v>
      </c>
      <c r="G24164" s="67" t="s">
        <v>839</v>
      </c>
      <c r="H24164" s="69">
        <v>-1.0033333333333334</v>
      </c>
    </row>
    <row r="24165" spans="6:8">
      <c r="F24165" s="68" t="s">
        <v>425</v>
      </c>
      <c r="G24165" s="67" t="s">
        <v>839</v>
      </c>
      <c r="H24165" s="69">
        <v>2.7914140965909162</v>
      </c>
    </row>
    <row r="24166" spans="6:8">
      <c r="F24166" s="68" t="s">
        <v>259</v>
      </c>
      <c r="G24166" s="67" t="s">
        <v>839</v>
      </c>
      <c r="H24166" s="69">
        <v>0.12</v>
      </c>
    </row>
    <row r="24167" spans="6:8">
      <c r="F24167" s="68" t="s">
        <v>138</v>
      </c>
      <c r="G24167" s="67" t="s">
        <v>839</v>
      </c>
      <c r="H24167" s="69">
        <v>-0.84000000000000008</v>
      </c>
    </row>
    <row r="24168" spans="6:8">
      <c r="F24168" s="68" t="s">
        <v>137</v>
      </c>
      <c r="G24168" s="67" t="s">
        <v>839</v>
      </c>
      <c r="H24168" s="69">
        <v>-0.64666666666666661</v>
      </c>
    </row>
    <row r="24169" spans="6:8">
      <c r="F24169" s="68" t="s">
        <v>136</v>
      </c>
      <c r="G24169" s="67" t="s">
        <v>839</v>
      </c>
      <c r="H24169" s="69">
        <v>-1.03</v>
      </c>
    </row>
    <row r="24170" spans="6:8">
      <c r="F24170" s="68" t="s">
        <v>136</v>
      </c>
      <c r="G24170" s="67" t="s">
        <v>840</v>
      </c>
      <c r="H24170" s="69">
        <v>-1.0633333333333335</v>
      </c>
    </row>
    <row r="24171" spans="6:8">
      <c r="F24171" s="68" t="s">
        <v>137</v>
      </c>
      <c r="G24171" s="67" t="s">
        <v>840</v>
      </c>
      <c r="H24171" s="69">
        <v>-0.64666666666666661</v>
      </c>
    </row>
    <row r="24172" spans="6:8">
      <c r="F24172" s="68" t="s">
        <v>138</v>
      </c>
      <c r="G24172" s="67" t="s">
        <v>840</v>
      </c>
      <c r="H24172" s="69">
        <v>-0.86</v>
      </c>
    </row>
    <row r="24173" spans="6:8">
      <c r="F24173" s="68" t="s">
        <v>259</v>
      </c>
      <c r="G24173" s="67" t="s">
        <v>840</v>
      </c>
      <c r="H24173" s="69">
        <v>0.12</v>
      </c>
    </row>
    <row r="24174" spans="6:8">
      <c r="F24174" s="68" t="s">
        <v>425</v>
      </c>
      <c r="G24174" s="67" t="s">
        <v>840</v>
      </c>
      <c r="H24174" s="69">
        <v>2.7379282322419929</v>
      </c>
    </row>
    <row r="24175" spans="6:8">
      <c r="F24175" s="68" t="s">
        <v>134</v>
      </c>
      <c r="G24175" s="67" t="s">
        <v>840</v>
      </c>
      <c r="H24175" s="69">
        <v>-1.0033333333333334</v>
      </c>
    </row>
    <row r="24176" spans="6:8">
      <c r="F24176" s="68" t="s">
        <v>135</v>
      </c>
      <c r="G24176" s="67" t="s">
        <v>840</v>
      </c>
      <c r="H24176" s="69">
        <v>-0.69666666666666666</v>
      </c>
    </row>
    <row r="24177" spans="6:8">
      <c r="F24177" s="68" t="s">
        <v>257</v>
      </c>
      <c r="G24177" s="67" t="s">
        <v>840</v>
      </c>
      <c r="H24177" s="69">
        <v>0.80199999999999994</v>
      </c>
    </row>
    <row r="24178" spans="6:8">
      <c r="F24178" s="68" t="s">
        <v>258</v>
      </c>
      <c r="G24178" s="67" t="s">
        <v>840</v>
      </c>
      <c r="H24178" s="69">
        <v>0</v>
      </c>
    </row>
    <row r="24179" spans="6:8">
      <c r="F24179" s="68" t="s">
        <v>424</v>
      </c>
      <c r="G24179" s="67" t="s">
        <v>840</v>
      </c>
      <c r="H24179" s="69">
        <v>2.7296658771960303</v>
      </c>
    </row>
    <row r="24180" spans="6:8">
      <c r="F24180" s="68" t="s">
        <v>132</v>
      </c>
      <c r="G24180" s="67" t="s">
        <v>840</v>
      </c>
      <c r="H24180" s="69">
        <v>-1.0066666666666666</v>
      </c>
    </row>
    <row r="24181" spans="6:8">
      <c r="F24181" s="68" t="s">
        <v>133</v>
      </c>
      <c r="G24181" s="67" t="s">
        <v>840</v>
      </c>
      <c r="H24181" s="69">
        <v>-0.57666666666666666</v>
      </c>
    </row>
    <row r="24182" spans="6:8">
      <c r="F24182" s="68" t="s">
        <v>256</v>
      </c>
      <c r="G24182" s="67" t="s">
        <v>840</v>
      </c>
      <c r="H24182" s="69">
        <v>0.66166666666666674</v>
      </c>
    </row>
    <row r="24183" spans="6:8">
      <c r="F24183" s="68" t="s">
        <v>423</v>
      </c>
      <c r="G24183" s="67" t="s">
        <v>840</v>
      </c>
      <c r="H24183" s="69">
        <v>2.0289301196641407</v>
      </c>
    </row>
    <row r="24184" spans="6:8">
      <c r="F24184" s="68" t="s">
        <v>569</v>
      </c>
      <c r="G24184" s="67" t="s">
        <v>840</v>
      </c>
      <c r="H24184" s="69">
        <v>-0.64666666666666661</v>
      </c>
    </row>
    <row r="24185" spans="6:8">
      <c r="F24185" s="68" t="s">
        <v>130</v>
      </c>
      <c r="G24185" s="67" t="s">
        <v>840</v>
      </c>
      <c r="H24185" s="69">
        <v>-1.0733333333333335</v>
      </c>
    </row>
    <row r="24186" spans="6:8">
      <c r="F24186" s="68" t="s">
        <v>131</v>
      </c>
      <c r="G24186" s="67" t="s">
        <v>840</v>
      </c>
      <c r="H24186" s="69">
        <v>-0.52</v>
      </c>
    </row>
    <row r="24187" spans="6:8">
      <c r="F24187" s="68" t="s">
        <v>303</v>
      </c>
      <c r="G24187" s="67" t="s">
        <v>840</v>
      </c>
      <c r="H24187" s="69">
        <v>16.259966666666667</v>
      </c>
    </row>
    <row r="24188" spans="6:8">
      <c r="F24188" s="68" t="s">
        <v>255</v>
      </c>
      <c r="G24188" s="67" t="s">
        <v>840</v>
      </c>
      <c r="H24188" s="69">
        <v>0.5033333333333333</v>
      </c>
    </row>
    <row r="24189" spans="6:8">
      <c r="F24189" s="68" t="s">
        <v>422</v>
      </c>
      <c r="G24189" s="67" t="s">
        <v>840</v>
      </c>
      <c r="H24189" s="69">
        <v>1.6772985250988803</v>
      </c>
    </row>
    <row r="24190" spans="6:8">
      <c r="F24190" s="68" t="s">
        <v>568</v>
      </c>
      <c r="G24190" s="67" t="s">
        <v>840</v>
      </c>
      <c r="H24190" s="69">
        <v>-0.94000000000000006</v>
      </c>
    </row>
    <row r="24191" spans="6:8">
      <c r="F24191" s="68" t="s">
        <v>128</v>
      </c>
      <c r="G24191" s="67" t="s">
        <v>840</v>
      </c>
      <c r="H24191" s="69">
        <v>-0.88666666666666671</v>
      </c>
    </row>
    <row r="24192" spans="6:8">
      <c r="F24192" s="68" t="s">
        <v>129</v>
      </c>
      <c r="G24192" s="67" t="s">
        <v>840</v>
      </c>
      <c r="H24192" s="69">
        <v>-0.57999999999999996</v>
      </c>
    </row>
    <row r="24193" spans="6:8">
      <c r="F24193" s="68" t="s">
        <v>304</v>
      </c>
      <c r="G24193" s="67" t="s">
        <v>840</v>
      </c>
      <c r="H24193" s="69">
        <v>16.298266666666667</v>
      </c>
    </row>
    <row r="24194" spans="6:8">
      <c r="F24194" s="68" t="s">
        <v>254</v>
      </c>
      <c r="G24194" s="67" t="s">
        <v>840</v>
      </c>
      <c r="H24194" s="69">
        <v>0.35333333333333333</v>
      </c>
    </row>
    <row r="24195" spans="6:8">
      <c r="F24195" s="68" t="s">
        <v>421</v>
      </c>
      <c r="G24195" s="67" t="s">
        <v>840</v>
      </c>
      <c r="H24195" s="69">
        <v>1.67155261391434</v>
      </c>
    </row>
    <row r="24196" spans="6:8">
      <c r="F24196" s="68" t="s">
        <v>567</v>
      </c>
      <c r="G24196" s="67" t="s">
        <v>840</v>
      </c>
      <c r="H24196" s="69">
        <v>-1.3233333333333335</v>
      </c>
    </row>
    <row r="24197" spans="6:8">
      <c r="F24197" s="68" t="s">
        <v>125</v>
      </c>
      <c r="G24197" s="67" t="s">
        <v>840</v>
      </c>
      <c r="H24197" s="69">
        <v>-0.87000000000000011</v>
      </c>
    </row>
    <row r="24198" spans="6:8">
      <c r="F24198" s="68" t="s">
        <v>126</v>
      </c>
      <c r="G24198" s="67" t="s">
        <v>840</v>
      </c>
      <c r="H24198" s="69">
        <v>-0.94666666666666666</v>
      </c>
    </row>
    <row r="24199" spans="6:8">
      <c r="F24199" s="68" t="s">
        <v>127</v>
      </c>
      <c r="G24199" s="67" t="s">
        <v>840</v>
      </c>
      <c r="H24199" s="69">
        <v>-0.38999999999999996</v>
      </c>
    </row>
    <row r="24200" spans="6:8">
      <c r="F24200" s="68" t="s">
        <v>253</v>
      </c>
      <c r="G24200" s="67" t="s">
        <v>840</v>
      </c>
      <c r="H24200" s="69">
        <v>0.24666666666666667</v>
      </c>
    </row>
    <row r="24201" spans="6:8">
      <c r="F24201" s="68" t="s">
        <v>315</v>
      </c>
      <c r="G24201" s="67" t="s">
        <v>840</v>
      </c>
      <c r="H24201" s="69">
        <v>-0.64333333333333331</v>
      </c>
    </row>
    <row r="24202" spans="6:8">
      <c r="F24202" s="68" t="s">
        <v>122</v>
      </c>
      <c r="G24202" s="67" t="s">
        <v>840</v>
      </c>
      <c r="H24202" s="69">
        <v>-1.0133333333333334</v>
      </c>
    </row>
    <row r="24203" spans="6:8">
      <c r="F24203" s="68" t="s">
        <v>123</v>
      </c>
      <c r="G24203" s="67" t="s">
        <v>840</v>
      </c>
      <c r="H24203" s="69">
        <v>-0.8833333333333333</v>
      </c>
    </row>
    <row r="24204" spans="6:8">
      <c r="F24204" s="68" t="s">
        <v>124</v>
      </c>
      <c r="G24204" s="67" t="s">
        <v>840</v>
      </c>
      <c r="H24204" s="69">
        <v>-0.84</v>
      </c>
    </row>
    <row r="24205" spans="6:8">
      <c r="F24205" s="68" t="s">
        <v>252</v>
      </c>
      <c r="G24205" s="67" t="s">
        <v>840</v>
      </c>
      <c r="H24205" s="69">
        <v>0.16333333333333333</v>
      </c>
    </row>
    <row r="24206" spans="6:8">
      <c r="F24206" s="68" t="s">
        <v>314</v>
      </c>
      <c r="G24206" s="67" t="s">
        <v>840</v>
      </c>
      <c r="H24206" s="69">
        <v>-0.87666666666666659</v>
      </c>
    </row>
    <row r="24207" spans="6:8">
      <c r="F24207" s="68" t="s">
        <v>420</v>
      </c>
      <c r="G24207" s="67" t="s">
        <v>840</v>
      </c>
      <c r="H24207" s="69">
        <v>2.8066377519870844</v>
      </c>
    </row>
    <row r="24208" spans="6:8">
      <c r="F24208" s="68" t="s">
        <v>119</v>
      </c>
      <c r="G24208" s="67" t="s">
        <v>840</v>
      </c>
      <c r="H24208" s="69">
        <v>-1.0066666666666666</v>
      </c>
    </row>
    <row r="24209" spans="6:8">
      <c r="F24209" s="68" t="s">
        <v>120</v>
      </c>
      <c r="G24209" s="67" t="s">
        <v>840</v>
      </c>
      <c r="H24209" s="69">
        <v>-0.73666666666666669</v>
      </c>
    </row>
    <row r="24210" spans="6:8">
      <c r="F24210" s="68" t="s">
        <v>121</v>
      </c>
      <c r="G24210" s="67" t="s">
        <v>840</v>
      </c>
      <c r="H24210" s="69">
        <v>-0.84</v>
      </c>
    </row>
    <row r="24211" spans="6:8">
      <c r="F24211" s="68" t="s">
        <v>251</v>
      </c>
      <c r="G24211" s="67" t="s">
        <v>840</v>
      </c>
      <c r="H24211" s="69">
        <v>0.13666666666666669</v>
      </c>
    </row>
    <row r="24212" spans="6:8">
      <c r="F24212" s="68" t="s">
        <v>251</v>
      </c>
      <c r="G24212" s="67" t="s">
        <v>841</v>
      </c>
      <c r="H24212" s="69">
        <v>0.13500000000000001</v>
      </c>
    </row>
    <row r="24213" spans="6:8">
      <c r="F24213" s="68" t="s">
        <v>121</v>
      </c>
      <c r="G24213" s="67" t="s">
        <v>841</v>
      </c>
      <c r="H24213" s="69">
        <v>-0.9</v>
      </c>
    </row>
    <row r="24214" spans="6:8">
      <c r="F24214" s="68" t="s">
        <v>120</v>
      </c>
      <c r="G24214" s="67" t="s">
        <v>841</v>
      </c>
      <c r="H24214" s="69">
        <v>-0.74666666666666659</v>
      </c>
    </row>
    <row r="24215" spans="6:8">
      <c r="F24215" s="68" t="s">
        <v>119</v>
      </c>
      <c r="G24215" s="67" t="s">
        <v>841</v>
      </c>
      <c r="H24215" s="69">
        <v>-1.0266666666666666</v>
      </c>
    </row>
    <row r="24216" spans="6:8">
      <c r="F24216" s="68" t="s">
        <v>420</v>
      </c>
      <c r="G24216" s="67" t="s">
        <v>841</v>
      </c>
      <c r="H24216" s="69">
        <v>2.8310816393070759</v>
      </c>
    </row>
    <row r="24217" spans="6:8">
      <c r="F24217" s="68" t="s">
        <v>314</v>
      </c>
      <c r="G24217" s="67" t="s">
        <v>841</v>
      </c>
      <c r="H24217" s="69">
        <v>-0.89333333333333342</v>
      </c>
    </row>
    <row r="24218" spans="6:8">
      <c r="F24218" s="68" t="s">
        <v>252</v>
      </c>
      <c r="G24218" s="67" t="s">
        <v>841</v>
      </c>
      <c r="H24218" s="69">
        <v>0.16166666666666665</v>
      </c>
    </row>
    <row r="24219" spans="6:8">
      <c r="F24219" s="68" t="s">
        <v>124</v>
      </c>
      <c r="G24219" s="67" t="s">
        <v>841</v>
      </c>
      <c r="H24219" s="69">
        <v>-0.9</v>
      </c>
    </row>
    <row r="24220" spans="6:8">
      <c r="F24220" s="68" t="s">
        <v>123</v>
      </c>
      <c r="G24220" s="67" t="s">
        <v>841</v>
      </c>
      <c r="H24220" s="69">
        <v>-0.89333333333333342</v>
      </c>
    </row>
    <row r="24221" spans="6:8">
      <c r="F24221" s="68" t="s">
        <v>122</v>
      </c>
      <c r="G24221" s="67" t="s">
        <v>841</v>
      </c>
      <c r="H24221" s="69">
        <v>-1.0366666666666666</v>
      </c>
    </row>
    <row r="24222" spans="6:8">
      <c r="F24222" s="68" t="s">
        <v>315</v>
      </c>
      <c r="G24222" s="67" t="s">
        <v>841</v>
      </c>
      <c r="H24222" s="69">
        <v>-0.66333333333333333</v>
      </c>
    </row>
    <row r="24223" spans="6:8">
      <c r="F24223" s="68" t="s">
        <v>253</v>
      </c>
      <c r="G24223" s="67" t="s">
        <v>841</v>
      </c>
      <c r="H24223" s="69">
        <v>0.24333333333333332</v>
      </c>
    </row>
    <row r="24224" spans="6:8">
      <c r="F24224" s="68" t="s">
        <v>127</v>
      </c>
      <c r="G24224" s="67" t="s">
        <v>841</v>
      </c>
      <c r="H24224" s="69">
        <v>-0.39333333333333337</v>
      </c>
    </row>
    <row r="24225" spans="6:8">
      <c r="F24225" s="68" t="s">
        <v>126</v>
      </c>
      <c r="G24225" s="67" t="s">
        <v>841</v>
      </c>
      <c r="H24225" s="69">
        <v>-0.95666666666666667</v>
      </c>
    </row>
    <row r="24226" spans="6:8">
      <c r="F24226" s="68" t="s">
        <v>125</v>
      </c>
      <c r="G24226" s="67" t="s">
        <v>841</v>
      </c>
      <c r="H24226" s="69">
        <v>-0.88333333333333341</v>
      </c>
    </row>
    <row r="24227" spans="6:8">
      <c r="F24227" s="68" t="s">
        <v>567</v>
      </c>
      <c r="G24227" s="67" t="s">
        <v>841</v>
      </c>
      <c r="H24227" s="69">
        <v>-1.3500000000000003</v>
      </c>
    </row>
    <row r="24228" spans="6:8">
      <c r="F24228" s="68" t="s">
        <v>421</v>
      </c>
      <c r="G24228" s="67" t="s">
        <v>841</v>
      </c>
      <c r="H24228" s="69">
        <v>1.6806936886677004</v>
      </c>
    </row>
    <row r="24229" spans="6:8">
      <c r="F24229" s="68" t="s">
        <v>254</v>
      </c>
      <c r="G24229" s="67" t="s">
        <v>841</v>
      </c>
      <c r="H24229" s="69">
        <v>0.34833333333333333</v>
      </c>
    </row>
    <row r="24230" spans="6:8">
      <c r="F24230" s="68" t="s">
        <v>304</v>
      </c>
      <c r="G24230" s="67" t="s">
        <v>841</v>
      </c>
      <c r="H24230" s="69">
        <v>16.293150000000001</v>
      </c>
    </row>
    <row r="24231" spans="6:8">
      <c r="F24231" s="68" t="s">
        <v>129</v>
      </c>
      <c r="G24231" s="67" t="s">
        <v>841</v>
      </c>
      <c r="H24231" s="69">
        <v>-0.57999999999999996</v>
      </c>
    </row>
    <row r="24232" spans="6:8">
      <c r="F24232" s="68" t="s">
        <v>128</v>
      </c>
      <c r="G24232" s="67" t="s">
        <v>841</v>
      </c>
      <c r="H24232" s="69">
        <v>-0.8933333333333332</v>
      </c>
    </row>
    <row r="24233" spans="6:8">
      <c r="F24233" s="68" t="s">
        <v>568</v>
      </c>
      <c r="G24233" s="67" t="s">
        <v>841</v>
      </c>
      <c r="H24233" s="69">
        <v>-0.96</v>
      </c>
    </row>
    <row r="24234" spans="6:8">
      <c r="F24234" s="68" t="s">
        <v>422</v>
      </c>
      <c r="G24234" s="67" t="s">
        <v>841</v>
      </c>
      <c r="H24234" s="69">
        <v>1.6864711313241632</v>
      </c>
    </row>
    <row r="24235" spans="6:8">
      <c r="F24235" s="68" t="s">
        <v>255</v>
      </c>
      <c r="G24235" s="67" t="s">
        <v>841</v>
      </c>
      <c r="H24235" s="69">
        <v>0.5</v>
      </c>
    </row>
    <row r="24236" spans="6:8">
      <c r="F24236" s="68" t="s">
        <v>303</v>
      </c>
      <c r="G24236" s="67" t="s">
        <v>841</v>
      </c>
      <c r="H24236" s="69">
        <v>16.253166666666669</v>
      </c>
    </row>
    <row r="24237" spans="6:8">
      <c r="F24237" s="68" t="s">
        <v>131</v>
      </c>
      <c r="G24237" s="67" t="s">
        <v>841</v>
      </c>
      <c r="H24237" s="69">
        <v>-0.52333333333333332</v>
      </c>
    </row>
    <row r="24238" spans="6:8">
      <c r="F24238" s="68" t="s">
        <v>130</v>
      </c>
      <c r="G24238" s="67" t="s">
        <v>841</v>
      </c>
      <c r="H24238" s="69">
        <v>-1.0799999999999998</v>
      </c>
    </row>
    <row r="24239" spans="6:8">
      <c r="F24239" s="68" t="s">
        <v>569</v>
      </c>
      <c r="G24239" s="67" t="s">
        <v>841</v>
      </c>
      <c r="H24239" s="69">
        <v>-0.66333333333333333</v>
      </c>
    </row>
    <row r="24240" spans="6:8">
      <c r="F24240" s="68" t="s">
        <v>423</v>
      </c>
      <c r="G24240" s="67" t="s">
        <v>841</v>
      </c>
      <c r="H24240" s="69">
        <v>2.0368183914345472</v>
      </c>
    </row>
    <row r="24241" spans="6:8">
      <c r="F24241" s="68" t="s">
        <v>256</v>
      </c>
      <c r="G24241" s="67" t="s">
        <v>841</v>
      </c>
      <c r="H24241" s="69">
        <v>0.65666666666666673</v>
      </c>
    </row>
    <row r="24242" spans="6:8">
      <c r="F24242" s="68" t="s">
        <v>133</v>
      </c>
      <c r="G24242" s="67" t="s">
        <v>841</v>
      </c>
      <c r="H24242" s="69">
        <v>-0.58333333333333337</v>
      </c>
    </row>
    <row r="24243" spans="6:8">
      <c r="F24243" s="68" t="s">
        <v>132</v>
      </c>
      <c r="G24243" s="67" t="s">
        <v>841</v>
      </c>
      <c r="H24243" s="69">
        <v>-1.0133333333333334</v>
      </c>
    </row>
    <row r="24244" spans="6:8">
      <c r="F24244" s="68" t="s">
        <v>424</v>
      </c>
      <c r="G24244" s="67" t="s">
        <v>841</v>
      </c>
      <c r="H24244" s="69">
        <v>2.739928243371148</v>
      </c>
    </row>
    <row r="24245" spans="6:8">
      <c r="F24245" s="68" t="s">
        <v>258</v>
      </c>
      <c r="G24245" s="67" t="s">
        <v>841</v>
      </c>
      <c r="H24245" s="69">
        <v>6.3333333333333339E-2</v>
      </c>
    </row>
    <row r="24246" spans="6:8">
      <c r="F24246" s="68" t="s">
        <v>257</v>
      </c>
      <c r="G24246" s="67" t="s">
        <v>841</v>
      </c>
      <c r="H24246" s="69">
        <v>0.79799999999999993</v>
      </c>
    </row>
    <row r="24247" spans="6:8">
      <c r="F24247" s="68" t="s">
        <v>135</v>
      </c>
      <c r="G24247" s="67" t="s">
        <v>841</v>
      </c>
      <c r="H24247" s="69">
        <v>-0.70333333333333325</v>
      </c>
    </row>
    <row r="24248" spans="6:8">
      <c r="F24248" s="68" t="s">
        <v>134</v>
      </c>
      <c r="G24248" s="67" t="s">
        <v>841</v>
      </c>
      <c r="H24248" s="69">
        <v>-1.0066666666666666</v>
      </c>
    </row>
    <row r="24249" spans="6:8">
      <c r="F24249" s="68" t="s">
        <v>425</v>
      </c>
      <c r="G24249" s="67" t="s">
        <v>841</v>
      </c>
      <c r="H24249" s="69">
        <v>2.7472157161008592</v>
      </c>
    </row>
    <row r="24250" spans="6:8">
      <c r="F24250" s="68" t="s">
        <v>259</v>
      </c>
      <c r="G24250" s="67" t="s">
        <v>841</v>
      </c>
      <c r="H24250" s="69">
        <v>0.11833333333333335</v>
      </c>
    </row>
    <row r="24251" spans="6:8">
      <c r="F24251" s="68" t="s">
        <v>138</v>
      </c>
      <c r="G24251" s="67" t="s">
        <v>841</v>
      </c>
      <c r="H24251" s="69">
        <v>-0.9</v>
      </c>
    </row>
    <row r="24252" spans="6:8">
      <c r="F24252" s="68" t="s">
        <v>137</v>
      </c>
      <c r="G24252" s="67" t="s">
        <v>841</v>
      </c>
      <c r="H24252" s="69">
        <v>-0.65333333333333332</v>
      </c>
    </row>
    <row r="24253" spans="6:8">
      <c r="F24253" s="68" t="s">
        <v>136</v>
      </c>
      <c r="G24253" s="67" t="s">
        <v>841</v>
      </c>
      <c r="H24253" s="69">
        <v>-1.08</v>
      </c>
    </row>
    <row r="24254" spans="6:8">
      <c r="F24254" s="68" t="s">
        <v>136</v>
      </c>
      <c r="G24254" s="67" t="s">
        <v>842</v>
      </c>
      <c r="H24254" s="69">
        <v>-1.07</v>
      </c>
    </row>
    <row r="24255" spans="6:8">
      <c r="F24255" s="68" t="s">
        <v>137</v>
      </c>
      <c r="G24255" s="67" t="s">
        <v>842</v>
      </c>
      <c r="H24255" s="69">
        <v>-0.65</v>
      </c>
    </row>
    <row r="24256" spans="6:8">
      <c r="F24256" s="68" t="s">
        <v>138</v>
      </c>
      <c r="G24256" s="67" t="s">
        <v>842</v>
      </c>
      <c r="H24256" s="69">
        <v>-0.9</v>
      </c>
    </row>
    <row r="24257" spans="6:8">
      <c r="F24257" s="68" t="s">
        <v>259</v>
      </c>
      <c r="G24257" s="67" t="s">
        <v>842</v>
      </c>
      <c r="H24257" s="69">
        <v>0.12</v>
      </c>
    </row>
    <row r="24258" spans="6:8">
      <c r="F24258" s="68" t="s">
        <v>425</v>
      </c>
      <c r="G24258" s="67" t="s">
        <v>842</v>
      </c>
      <c r="H24258" s="69">
        <v>2.7661069028875218</v>
      </c>
    </row>
    <row r="24259" spans="6:8">
      <c r="F24259" s="68" t="s">
        <v>134</v>
      </c>
      <c r="G24259" s="67" t="s">
        <v>842</v>
      </c>
      <c r="H24259" s="69">
        <v>-1</v>
      </c>
    </row>
    <row r="24260" spans="6:8">
      <c r="F24260" s="68" t="s">
        <v>135</v>
      </c>
      <c r="G24260" s="67" t="s">
        <v>842</v>
      </c>
      <c r="H24260" s="69">
        <v>-0.69666666666666666</v>
      </c>
    </row>
    <row r="24261" spans="6:8">
      <c r="F24261" s="68" t="s">
        <v>257</v>
      </c>
      <c r="G24261" s="67" t="s">
        <v>842</v>
      </c>
      <c r="H24261" s="69">
        <v>0.80199999999999994</v>
      </c>
    </row>
    <row r="24262" spans="6:8">
      <c r="F24262" s="68" t="s">
        <v>258</v>
      </c>
      <c r="G24262" s="67" t="s">
        <v>842</v>
      </c>
      <c r="H24262" s="69">
        <v>6.5000000000000002E-2</v>
      </c>
    </row>
    <row r="24263" spans="6:8">
      <c r="F24263" s="68" t="s">
        <v>424</v>
      </c>
      <c r="G24263" s="67" t="s">
        <v>842</v>
      </c>
      <c r="H24263" s="69">
        <v>2.7592834149709144</v>
      </c>
    </row>
    <row r="24264" spans="6:8">
      <c r="F24264" s="68" t="s">
        <v>132</v>
      </c>
      <c r="G24264" s="67" t="s">
        <v>842</v>
      </c>
      <c r="H24264" s="69">
        <v>-1.0033333333333334</v>
      </c>
    </row>
    <row r="24265" spans="6:8">
      <c r="F24265" s="68" t="s">
        <v>133</v>
      </c>
      <c r="G24265" s="67" t="s">
        <v>842</v>
      </c>
      <c r="H24265" s="69">
        <v>-0.57999999999999996</v>
      </c>
    </row>
    <row r="24266" spans="6:8">
      <c r="F24266" s="68" t="s">
        <v>256</v>
      </c>
      <c r="G24266" s="67" t="s">
        <v>842</v>
      </c>
      <c r="H24266" s="69">
        <v>0.66333333333333333</v>
      </c>
    </row>
    <row r="24267" spans="6:8">
      <c r="F24267" s="68" t="s">
        <v>423</v>
      </c>
      <c r="G24267" s="67" t="s">
        <v>842</v>
      </c>
      <c r="H24267" s="69">
        <v>2.0634995291643143</v>
      </c>
    </row>
    <row r="24268" spans="6:8">
      <c r="F24268" s="68" t="s">
        <v>569</v>
      </c>
      <c r="G24268" s="67" t="s">
        <v>842</v>
      </c>
      <c r="H24268" s="69">
        <v>-0.65333333333333332</v>
      </c>
    </row>
    <row r="24269" spans="6:8">
      <c r="F24269" s="68" t="s">
        <v>130</v>
      </c>
      <c r="G24269" s="67" t="s">
        <v>842</v>
      </c>
      <c r="H24269" s="69">
        <v>-1.0733333333333335</v>
      </c>
    </row>
    <row r="24270" spans="6:8">
      <c r="F24270" s="68" t="s">
        <v>131</v>
      </c>
      <c r="G24270" s="67" t="s">
        <v>842</v>
      </c>
      <c r="H24270" s="69">
        <v>-0.52</v>
      </c>
    </row>
    <row r="24271" spans="6:8">
      <c r="F24271" s="68" t="s">
        <v>303</v>
      </c>
      <c r="G24271" s="67" t="s">
        <v>842</v>
      </c>
      <c r="H24271" s="69">
        <v>16.214833333333335</v>
      </c>
    </row>
    <row r="24272" spans="6:8">
      <c r="F24272" s="68" t="s">
        <v>255</v>
      </c>
      <c r="G24272" s="67" t="s">
        <v>842</v>
      </c>
      <c r="H24272" s="69">
        <v>0.50666666666666671</v>
      </c>
    </row>
    <row r="24273" spans="6:8">
      <c r="F24273" s="68" t="s">
        <v>422</v>
      </c>
      <c r="G24273" s="67" t="s">
        <v>842</v>
      </c>
      <c r="H24273" s="69">
        <v>1.7092278758151558</v>
      </c>
    </row>
    <row r="24274" spans="6:8">
      <c r="F24274" s="68" t="s">
        <v>568</v>
      </c>
      <c r="G24274" s="67" t="s">
        <v>842</v>
      </c>
      <c r="H24274" s="69">
        <v>-0.94666666666666666</v>
      </c>
    </row>
    <row r="24275" spans="6:8">
      <c r="F24275" s="68" t="s">
        <v>128</v>
      </c>
      <c r="G24275" s="67" t="s">
        <v>842</v>
      </c>
      <c r="H24275" s="69">
        <v>-0.91999999999999993</v>
      </c>
    </row>
    <row r="24276" spans="6:8">
      <c r="F24276" s="68" t="s">
        <v>129</v>
      </c>
      <c r="G24276" s="67" t="s">
        <v>842</v>
      </c>
      <c r="H24276" s="69">
        <v>-0.57666666666666666</v>
      </c>
    </row>
    <row r="24277" spans="6:8">
      <c r="F24277" s="68" t="s">
        <v>304</v>
      </c>
      <c r="G24277" s="67" t="s">
        <v>842</v>
      </c>
      <c r="H24277" s="69">
        <v>16.259649999999997</v>
      </c>
    </row>
    <row r="24278" spans="6:8">
      <c r="F24278" s="68" t="s">
        <v>254</v>
      </c>
      <c r="G24278" s="67" t="s">
        <v>842</v>
      </c>
      <c r="H24278" s="69">
        <v>0.35666666666666669</v>
      </c>
    </row>
    <row r="24279" spans="6:8">
      <c r="F24279" s="68" t="s">
        <v>421</v>
      </c>
      <c r="G24279" s="67" t="s">
        <v>842</v>
      </c>
      <c r="H24279" s="69">
        <v>1.7033722001674523</v>
      </c>
    </row>
    <row r="24280" spans="6:8">
      <c r="F24280" s="68" t="s">
        <v>567</v>
      </c>
      <c r="G24280" s="67" t="s">
        <v>842</v>
      </c>
      <c r="H24280" s="69">
        <v>-1.27</v>
      </c>
    </row>
    <row r="24281" spans="6:8">
      <c r="F24281" s="68" t="s">
        <v>125</v>
      </c>
      <c r="G24281" s="67" t="s">
        <v>842</v>
      </c>
      <c r="H24281" s="69">
        <v>-0.87333333333333341</v>
      </c>
    </row>
    <row r="24282" spans="6:8">
      <c r="F24282" s="68" t="s">
        <v>126</v>
      </c>
      <c r="G24282" s="67" t="s">
        <v>842</v>
      </c>
      <c r="H24282" s="69">
        <v>-0.95000000000000007</v>
      </c>
    </row>
    <row r="24283" spans="6:8">
      <c r="F24283" s="68" t="s">
        <v>127</v>
      </c>
      <c r="G24283" s="67" t="s">
        <v>842</v>
      </c>
      <c r="H24283" s="69">
        <v>-0.38999999999999996</v>
      </c>
    </row>
    <row r="24284" spans="6:8">
      <c r="F24284" s="68" t="s">
        <v>253</v>
      </c>
      <c r="G24284" s="67" t="s">
        <v>842</v>
      </c>
      <c r="H24284" s="69">
        <v>0.25166666666666665</v>
      </c>
    </row>
    <row r="24285" spans="6:8">
      <c r="F24285" s="68" t="s">
        <v>315</v>
      </c>
      <c r="G24285" s="67" t="s">
        <v>842</v>
      </c>
      <c r="H24285" s="69">
        <v>-0.65333333333333332</v>
      </c>
    </row>
    <row r="24286" spans="6:8">
      <c r="F24286" s="68" t="s">
        <v>122</v>
      </c>
      <c r="G24286" s="67" t="s">
        <v>842</v>
      </c>
      <c r="H24286" s="69">
        <v>-1.0233333333333332</v>
      </c>
    </row>
    <row r="24287" spans="6:8">
      <c r="F24287" s="68" t="s">
        <v>123</v>
      </c>
      <c r="G24287" s="67" t="s">
        <v>842</v>
      </c>
      <c r="H24287" s="69">
        <v>-0.88666666666666671</v>
      </c>
    </row>
    <row r="24288" spans="6:8">
      <c r="F24288" s="68" t="s">
        <v>124</v>
      </c>
      <c r="G24288" s="67" t="s">
        <v>842</v>
      </c>
      <c r="H24288" s="69">
        <v>-0.9</v>
      </c>
    </row>
    <row r="24289" spans="6:8">
      <c r="F24289" s="68" t="s">
        <v>252</v>
      </c>
      <c r="G24289" s="67" t="s">
        <v>842</v>
      </c>
      <c r="H24289" s="69">
        <v>0.16166666666666665</v>
      </c>
    </row>
    <row r="24290" spans="6:8">
      <c r="F24290" s="68" t="s">
        <v>314</v>
      </c>
      <c r="G24290" s="67" t="s">
        <v>842</v>
      </c>
      <c r="H24290" s="69">
        <v>-0.88</v>
      </c>
    </row>
    <row r="24291" spans="6:8">
      <c r="F24291" s="68" t="s">
        <v>420</v>
      </c>
      <c r="G24291" s="67" t="s">
        <v>842</v>
      </c>
      <c r="H24291" s="69">
        <v>2.8495343936509876</v>
      </c>
    </row>
    <row r="24292" spans="6:8">
      <c r="F24292" s="68" t="s">
        <v>119</v>
      </c>
      <c r="G24292" s="67" t="s">
        <v>842</v>
      </c>
      <c r="H24292" s="69">
        <v>-1.0166666666666666</v>
      </c>
    </row>
    <row r="24293" spans="6:8">
      <c r="F24293" s="68" t="s">
        <v>120</v>
      </c>
      <c r="G24293" s="67" t="s">
        <v>842</v>
      </c>
      <c r="H24293" s="69">
        <v>-0.7400000000000001</v>
      </c>
    </row>
    <row r="24294" spans="6:8">
      <c r="F24294" s="68" t="s">
        <v>121</v>
      </c>
      <c r="G24294" s="67" t="s">
        <v>842</v>
      </c>
      <c r="H24294" s="69">
        <v>-0.9</v>
      </c>
    </row>
    <row r="24295" spans="6:8">
      <c r="F24295" s="68" t="s">
        <v>251</v>
      </c>
      <c r="G24295" s="67" t="s">
        <v>842</v>
      </c>
      <c r="H24295" s="69">
        <v>0.13666666666666669</v>
      </c>
    </row>
    <row r="24296" spans="6:8">
      <c r="F24296" s="68" t="s">
        <v>251</v>
      </c>
      <c r="G24296" s="67" t="s">
        <v>843</v>
      </c>
      <c r="H24296" s="69">
        <v>0.13666666666666669</v>
      </c>
    </row>
    <row r="24297" spans="6:8">
      <c r="F24297" s="68" t="s">
        <v>121</v>
      </c>
      <c r="G24297" s="67" t="s">
        <v>843</v>
      </c>
      <c r="H24297" s="69">
        <v>-0.9</v>
      </c>
    </row>
    <row r="24298" spans="6:8">
      <c r="F24298" s="68" t="s">
        <v>120</v>
      </c>
      <c r="G24298" s="67" t="s">
        <v>843</v>
      </c>
      <c r="H24298" s="69">
        <v>-0.7400000000000001</v>
      </c>
    </row>
    <row r="24299" spans="6:8">
      <c r="F24299" s="68" t="s">
        <v>119</v>
      </c>
      <c r="G24299" s="67" t="s">
        <v>843</v>
      </c>
      <c r="H24299" s="69">
        <v>-1.01</v>
      </c>
    </row>
    <row r="24300" spans="6:8">
      <c r="F24300" s="68" t="s">
        <v>420</v>
      </c>
      <c r="G24300" s="67" t="s">
        <v>843</v>
      </c>
      <c r="H24300" s="69">
        <v>2.8051692512697457</v>
      </c>
    </row>
    <row r="24301" spans="6:8">
      <c r="F24301" s="68" t="s">
        <v>314</v>
      </c>
      <c r="G24301" s="67" t="s">
        <v>843</v>
      </c>
      <c r="H24301" s="69">
        <v>-0.87666666666666659</v>
      </c>
    </row>
    <row r="24302" spans="6:8">
      <c r="F24302" s="68" t="s">
        <v>252</v>
      </c>
      <c r="G24302" s="67" t="s">
        <v>843</v>
      </c>
      <c r="H24302" s="69">
        <v>0.16166666666666665</v>
      </c>
    </row>
    <row r="24303" spans="6:8">
      <c r="F24303" s="68" t="s">
        <v>124</v>
      </c>
      <c r="G24303" s="67" t="s">
        <v>843</v>
      </c>
      <c r="H24303" s="69">
        <v>-0.9</v>
      </c>
    </row>
    <row r="24304" spans="6:8">
      <c r="F24304" s="68" t="s">
        <v>123</v>
      </c>
      <c r="G24304" s="67" t="s">
        <v>843</v>
      </c>
      <c r="H24304" s="69">
        <v>-0.8833333333333333</v>
      </c>
    </row>
    <row r="24305" spans="6:8">
      <c r="F24305" s="68" t="s">
        <v>122</v>
      </c>
      <c r="G24305" s="67" t="s">
        <v>843</v>
      </c>
      <c r="H24305" s="69">
        <v>-1.0166666666666666</v>
      </c>
    </row>
    <row r="24306" spans="6:8">
      <c r="F24306" s="68" t="s">
        <v>315</v>
      </c>
      <c r="G24306" s="67" t="s">
        <v>843</v>
      </c>
      <c r="H24306" s="69">
        <v>-0.65</v>
      </c>
    </row>
    <row r="24307" spans="6:8">
      <c r="F24307" s="68" t="s">
        <v>253</v>
      </c>
      <c r="G24307" s="67" t="s">
        <v>843</v>
      </c>
      <c r="H24307" s="69">
        <v>0.25166666666666665</v>
      </c>
    </row>
    <row r="24308" spans="6:8">
      <c r="F24308" s="68" t="s">
        <v>127</v>
      </c>
      <c r="G24308" s="67" t="s">
        <v>843</v>
      </c>
      <c r="H24308" s="69">
        <v>-0.38999999999999996</v>
      </c>
    </row>
    <row r="24309" spans="6:8">
      <c r="F24309" s="68" t="s">
        <v>126</v>
      </c>
      <c r="G24309" s="67" t="s">
        <v>843</v>
      </c>
      <c r="H24309" s="69">
        <v>-0.94666666666666666</v>
      </c>
    </row>
    <row r="24310" spans="6:8">
      <c r="F24310" s="68" t="s">
        <v>125</v>
      </c>
      <c r="G24310" s="67" t="s">
        <v>843</v>
      </c>
      <c r="H24310" s="69">
        <v>-0.87000000000000011</v>
      </c>
    </row>
    <row r="24311" spans="6:8">
      <c r="F24311" s="68" t="s">
        <v>567</v>
      </c>
      <c r="G24311" s="67" t="s">
        <v>843</v>
      </c>
      <c r="H24311" s="69">
        <v>-1.26</v>
      </c>
    </row>
    <row r="24312" spans="6:8">
      <c r="F24312" s="68" t="s">
        <v>421</v>
      </c>
      <c r="G24312" s="67" t="s">
        <v>843</v>
      </c>
      <c r="H24312" s="69">
        <v>1.6461958332113724</v>
      </c>
    </row>
    <row r="24313" spans="6:8">
      <c r="F24313" s="68" t="s">
        <v>254</v>
      </c>
      <c r="G24313" s="67" t="s">
        <v>843</v>
      </c>
      <c r="H24313" s="69">
        <v>0.35833333333333334</v>
      </c>
    </row>
    <row r="24314" spans="6:8">
      <c r="F24314" s="68" t="s">
        <v>304</v>
      </c>
      <c r="G24314" s="67" t="s">
        <v>843</v>
      </c>
      <c r="H24314" s="69">
        <v>16.255099999999999</v>
      </c>
    </row>
    <row r="24315" spans="6:8">
      <c r="F24315" s="68" t="s">
        <v>129</v>
      </c>
      <c r="G24315" s="67" t="s">
        <v>843</v>
      </c>
      <c r="H24315" s="69">
        <v>-0.57666666666666666</v>
      </c>
    </row>
    <row r="24316" spans="6:8">
      <c r="F24316" s="68" t="s">
        <v>128</v>
      </c>
      <c r="G24316" s="67" t="s">
        <v>843</v>
      </c>
      <c r="H24316" s="69">
        <v>-0.91999999999999993</v>
      </c>
    </row>
    <row r="24317" spans="6:8">
      <c r="F24317" s="68" t="s">
        <v>568</v>
      </c>
      <c r="G24317" s="67" t="s">
        <v>843</v>
      </c>
      <c r="H24317" s="69">
        <v>-0.94000000000000006</v>
      </c>
    </row>
    <row r="24318" spans="6:8">
      <c r="F24318" s="68" t="s">
        <v>422</v>
      </c>
      <c r="G24318" s="67" t="s">
        <v>843</v>
      </c>
      <c r="H24318" s="69">
        <v>1.652034281918624</v>
      </c>
    </row>
    <row r="24319" spans="6:8">
      <c r="F24319" s="68" t="s">
        <v>255</v>
      </c>
      <c r="G24319" s="67" t="s">
        <v>843</v>
      </c>
      <c r="H24319" s="69">
        <v>0.50833333333333341</v>
      </c>
    </row>
    <row r="24320" spans="6:8">
      <c r="F24320" s="68" t="s">
        <v>303</v>
      </c>
      <c r="G24320" s="67" t="s">
        <v>843</v>
      </c>
      <c r="H24320" s="69">
        <v>16.205233333333336</v>
      </c>
    </row>
    <row r="24321" spans="6:8">
      <c r="F24321" s="68" t="s">
        <v>131</v>
      </c>
      <c r="G24321" s="67" t="s">
        <v>843</v>
      </c>
      <c r="H24321" s="69">
        <v>-0.52</v>
      </c>
    </row>
    <row r="24322" spans="6:8">
      <c r="F24322" s="68" t="s">
        <v>130</v>
      </c>
      <c r="G24322" s="67" t="s">
        <v>843</v>
      </c>
      <c r="H24322" s="69">
        <v>-1.0733333333333335</v>
      </c>
    </row>
    <row r="24323" spans="6:8">
      <c r="F24323" s="68" t="s">
        <v>569</v>
      </c>
      <c r="G24323" s="67" t="s">
        <v>843</v>
      </c>
      <c r="H24323" s="69">
        <v>-0.65</v>
      </c>
    </row>
    <row r="24324" spans="6:8">
      <c r="F24324" s="68" t="s">
        <v>423</v>
      </c>
      <c r="G24324" s="67" t="s">
        <v>843</v>
      </c>
      <c r="H24324" s="69">
        <v>2.0321820834128257</v>
      </c>
    </row>
    <row r="24325" spans="6:8">
      <c r="F24325" s="68" t="s">
        <v>256</v>
      </c>
      <c r="G24325" s="67" t="s">
        <v>843</v>
      </c>
      <c r="H24325" s="69">
        <v>0.66666666666666663</v>
      </c>
    </row>
    <row r="24326" spans="6:8">
      <c r="F24326" s="68" t="s">
        <v>133</v>
      </c>
      <c r="G24326" s="67" t="s">
        <v>843</v>
      </c>
      <c r="H24326" s="69">
        <v>-0.57999999999999996</v>
      </c>
    </row>
    <row r="24327" spans="6:8">
      <c r="F24327" s="68" t="s">
        <v>132</v>
      </c>
      <c r="G24327" s="67" t="s">
        <v>843</v>
      </c>
      <c r="H24327" s="69">
        <v>-1.0033333333333334</v>
      </c>
    </row>
    <row r="24328" spans="6:8">
      <c r="F24328" s="68" t="s">
        <v>424</v>
      </c>
      <c r="G24328" s="67" t="s">
        <v>843</v>
      </c>
      <c r="H24328" s="69">
        <v>2.7175067353701898</v>
      </c>
    </row>
    <row r="24329" spans="6:8">
      <c r="F24329" s="68" t="s">
        <v>258</v>
      </c>
      <c r="G24329" s="67" t="s">
        <v>843</v>
      </c>
      <c r="H24329" s="69">
        <v>6.5000000000000002E-2</v>
      </c>
    </row>
    <row r="24330" spans="6:8">
      <c r="F24330" s="68" t="s">
        <v>257</v>
      </c>
      <c r="G24330" s="67" t="s">
        <v>843</v>
      </c>
      <c r="H24330" s="69">
        <v>0.80399999999999994</v>
      </c>
    </row>
    <row r="24331" spans="6:8">
      <c r="F24331" s="68" t="s">
        <v>135</v>
      </c>
      <c r="G24331" s="67" t="s">
        <v>843</v>
      </c>
      <c r="H24331" s="69">
        <v>-0.69666666666666666</v>
      </c>
    </row>
    <row r="24332" spans="6:8">
      <c r="F24332" s="68" t="s">
        <v>134</v>
      </c>
      <c r="G24332" s="67" t="s">
        <v>843</v>
      </c>
      <c r="H24332" s="69">
        <v>-1</v>
      </c>
    </row>
    <row r="24333" spans="6:8">
      <c r="F24333" s="68" t="s">
        <v>425</v>
      </c>
      <c r="G24333" s="67" t="s">
        <v>843</v>
      </c>
      <c r="H24333" s="69">
        <v>2.7210642355684378</v>
      </c>
    </row>
    <row r="24334" spans="6:8">
      <c r="F24334" s="68" t="s">
        <v>259</v>
      </c>
      <c r="G24334" s="67" t="s">
        <v>843</v>
      </c>
      <c r="H24334" s="69">
        <v>0.12</v>
      </c>
    </row>
    <row r="24335" spans="6:8">
      <c r="F24335" s="68" t="s">
        <v>138</v>
      </c>
      <c r="G24335" s="67" t="s">
        <v>843</v>
      </c>
      <c r="H24335" s="69">
        <v>-0.9</v>
      </c>
    </row>
    <row r="24336" spans="6:8">
      <c r="F24336" s="68" t="s">
        <v>137</v>
      </c>
      <c r="G24336" s="67" t="s">
        <v>843</v>
      </c>
      <c r="H24336" s="69">
        <v>-0.65</v>
      </c>
    </row>
    <row r="24337" spans="6:8">
      <c r="F24337" s="68" t="s">
        <v>136</v>
      </c>
      <c r="G24337" s="67" t="s">
        <v>843</v>
      </c>
      <c r="H24337" s="69">
        <v>-1.0666666666666667</v>
      </c>
    </row>
    <row r="24338" spans="6:8">
      <c r="F24338" s="68" t="s">
        <v>136</v>
      </c>
      <c r="G24338" s="67" t="s">
        <v>844</v>
      </c>
      <c r="H24338" s="69">
        <v>-1.0766666666666669</v>
      </c>
    </row>
    <row r="24339" spans="6:8">
      <c r="F24339" s="68" t="s">
        <v>137</v>
      </c>
      <c r="G24339" s="67" t="s">
        <v>844</v>
      </c>
      <c r="H24339" s="69">
        <v>-0.65333333333333332</v>
      </c>
    </row>
    <row r="24340" spans="6:8">
      <c r="F24340" s="68" t="s">
        <v>138</v>
      </c>
      <c r="G24340" s="67" t="s">
        <v>844</v>
      </c>
      <c r="H24340" s="69">
        <v>-0.9</v>
      </c>
    </row>
    <row r="24341" spans="6:8">
      <c r="F24341" s="68" t="s">
        <v>259</v>
      </c>
      <c r="G24341" s="67" t="s">
        <v>844</v>
      </c>
      <c r="H24341" s="69">
        <v>0.11833333333333335</v>
      </c>
    </row>
    <row r="24342" spans="6:8">
      <c r="F24342" s="68" t="s">
        <v>425</v>
      </c>
      <c r="G24342" s="67" t="s">
        <v>844</v>
      </c>
      <c r="H24342" s="69">
        <v>2.6660307510363079</v>
      </c>
    </row>
    <row r="24343" spans="6:8">
      <c r="F24343" s="68" t="s">
        <v>134</v>
      </c>
      <c r="G24343" s="67" t="s">
        <v>844</v>
      </c>
      <c r="H24343" s="69">
        <v>-1.0033333333333334</v>
      </c>
    </row>
    <row r="24344" spans="6:8">
      <c r="F24344" s="68" t="s">
        <v>135</v>
      </c>
      <c r="G24344" s="67" t="s">
        <v>844</v>
      </c>
      <c r="H24344" s="69">
        <v>-0.70000000000000007</v>
      </c>
    </row>
    <row r="24345" spans="6:8">
      <c r="F24345" s="68" t="s">
        <v>257</v>
      </c>
      <c r="G24345" s="67" t="s">
        <v>844</v>
      </c>
      <c r="H24345" s="69">
        <v>0.79799999999999993</v>
      </c>
    </row>
    <row r="24346" spans="6:8">
      <c r="F24346" s="68" t="s">
        <v>258</v>
      </c>
      <c r="G24346" s="67" t="s">
        <v>844</v>
      </c>
      <c r="H24346" s="69">
        <v>6.5000000000000002E-2</v>
      </c>
    </row>
    <row r="24347" spans="6:8">
      <c r="F24347" s="68" t="s">
        <v>424</v>
      </c>
      <c r="G24347" s="67" t="s">
        <v>844</v>
      </c>
      <c r="H24347" s="69">
        <v>2.6626285575043873</v>
      </c>
    </row>
    <row r="24348" spans="6:8">
      <c r="F24348" s="68" t="s">
        <v>132</v>
      </c>
      <c r="G24348" s="67" t="s">
        <v>844</v>
      </c>
      <c r="H24348" s="69">
        <v>-1.01</v>
      </c>
    </row>
    <row r="24349" spans="6:8">
      <c r="F24349" s="68" t="s">
        <v>133</v>
      </c>
      <c r="G24349" s="67" t="s">
        <v>844</v>
      </c>
      <c r="H24349" s="69">
        <v>-0.58333333333333337</v>
      </c>
    </row>
    <row r="24350" spans="6:8">
      <c r="F24350" s="68" t="s">
        <v>256</v>
      </c>
      <c r="G24350" s="67" t="s">
        <v>844</v>
      </c>
      <c r="H24350" s="69">
        <v>0.66166666666666674</v>
      </c>
    </row>
    <row r="24351" spans="6:8">
      <c r="F24351" s="68" t="s">
        <v>423</v>
      </c>
      <c r="G24351" s="67" t="s">
        <v>844</v>
      </c>
      <c r="H24351" s="69">
        <v>1.9303538819569699</v>
      </c>
    </row>
    <row r="24352" spans="6:8">
      <c r="F24352" s="68" t="s">
        <v>569</v>
      </c>
      <c r="G24352" s="67" t="s">
        <v>844</v>
      </c>
      <c r="H24352" s="69">
        <v>-0.66333333333333333</v>
      </c>
    </row>
    <row r="24353" spans="6:8">
      <c r="F24353" s="68" t="s">
        <v>130</v>
      </c>
      <c r="G24353" s="67" t="s">
        <v>844</v>
      </c>
      <c r="H24353" s="69">
        <v>-1.0766666666666667</v>
      </c>
    </row>
    <row r="24354" spans="6:8">
      <c r="F24354" s="68" t="s">
        <v>131</v>
      </c>
      <c r="G24354" s="67" t="s">
        <v>844</v>
      </c>
      <c r="H24354" s="69">
        <v>-0.52333333333333332</v>
      </c>
    </row>
    <row r="24355" spans="6:8">
      <c r="F24355" s="68" t="s">
        <v>303</v>
      </c>
      <c r="G24355" s="67" t="s">
        <v>844</v>
      </c>
      <c r="H24355" s="69">
        <v>16.091933333333333</v>
      </c>
    </row>
    <row r="24356" spans="6:8">
      <c r="F24356" s="68" t="s">
        <v>255</v>
      </c>
      <c r="G24356" s="67" t="s">
        <v>844</v>
      </c>
      <c r="H24356" s="69">
        <v>0.505</v>
      </c>
    </row>
    <row r="24357" spans="6:8">
      <c r="F24357" s="68" t="s">
        <v>422</v>
      </c>
      <c r="G24357" s="67" t="s">
        <v>844</v>
      </c>
      <c r="H24357" s="69">
        <v>1.5689595920520105</v>
      </c>
    </row>
    <row r="24358" spans="6:8">
      <c r="F24358" s="68" t="s">
        <v>568</v>
      </c>
      <c r="G24358" s="67" t="s">
        <v>844</v>
      </c>
      <c r="H24358" s="69">
        <v>-0.95666666666666667</v>
      </c>
    </row>
    <row r="24359" spans="6:8">
      <c r="F24359" s="68" t="s">
        <v>128</v>
      </c>
      <c r="G24359" s="67" t="s">
        <v>844</v>
      </c>
      <c r="H24359" s="69">
        <v>-0.92666666666666675</v>
      </c>
    </row>
    <row r="24360" spans="6:8">
      <c r="F24360" s="68" t="s">
        <v>129</v>
      </c>
      <c r="G24360" s="67" t="s">
        <v>844</v>
      </c>
      <c r="H24360" s="69">
        <v>-0.57666666666666666</v>
      </c>
    </row>
    <row r="24361" spans="6:8">
      <c r="F24361" s="68" t="s">
        <v>304</v>
      </c>
      <c r="G24361" s="67" t="s">
        <v>844</v>
      </c>
      <c r="H24361" s="69">
        <v>16.165099999999999</v>
      </c>
    </row>
    <row r="24362" spans="6:8">
      <c r="F24362" s="68" t="s">
        <v>254</v>
      </c>
      <c r="G24362" s="67" t="s">
        <v>844</v>
      </c>
      <c r="H24362" s="69">
        <v>0.35333333333333333</v>
      </c>
    </row>
    <row r="24363" spans="6:8">
      <c r="F24363" s="68" t="s">
        <v>421</v>
      </c>
      <c r="G24363" s="67" t="s">
        <v>844</v>
      </c>
      <c r="H24363" s="69">
        <v>1.5632806760952356</v>
      </c>
    </row>
    <row r="24364" spans="6:8">
      <c r="F24364" s="68" t="s">
        <v>567</v>
      </c>
      <c r="G24364" s="67" t="s">
        <v>844</v>
      </c>
      <c r="H24364" s="69">
        <v>-1.28</v>
      </c>
    </row>
    <row r="24365" spans="6:8">
      <c r="F24365" s="68" t="s">
        <v>125</v>
      </c>
      <c r="G24365" s="67" t="s">
        <v>844</v>
      </c>
      <c r="H24365" s="69">
        <v>-0.88333333333333341</v>
      </c>
    </row>
    <row r="24366" spans="6:8">
      <c r="F24366" s="68" t="s">
        <v>126</v>
      </c>
      <c r="G24366" s="67" t="s">
        <v>844</v>
      </c>
      <c r="H24366" s="69">
        <v>-0.95333333333333348</v>
      </c>
    </row>
    <row r="24367" spans="6:8">
      <c r="F24367" s="68" t="s">
        <v>127</v>
      </c>
      <c r="G24367" s="67" t="s">
        <v>844</v>
      </c>
      <c r="H24367" s="69">
        <v>-0.39333333333333337</v>
      </c>
    </row>
    <row r="24368" spans="6:8">
      <c r="F24368" s="68" t="s">
        <v>253</v>
      </c>
      <c r="G24368" s="67" t="s">
        <v>844</v>
      </c>
      <c r="H24368" s="69">
        <v>0.24833333333333332</v>
      </c>
    </row>
    <row r="24369" spans="6:8">
      <c r="F24369" s="68" t="s">
        <v>315</v>
      </c>
      <c r="G24369" s="67" t="s">
        <v>844</v>
      </c>
      <c r="H24369" s="69">
        <v>-0.66333333333333333</v>
      </c>
    </row>
    <row r="24370" spans="6:8">
      <c r="F24370" s="68" t="s">
        <v>122</v>
      </c>
      <c r="G24370" s="67" t="s">
        <v>844</v>
      </c>
      <c r="H24370" s="69">
        <v>-1.0333333333333332</v>
      </c>
    </row>
    <row r="24371" spans="6:8">
      <c r="F24371" s="68" t="s">
        <v>123</v>
      </c>
      <c r="G24371" s="67" t="s">
        <v>844</v>
      </c>
      <c r="H24371" s="69">
        <v>-0.89</v>
      </c>
    </row>
    <row r="24372" spans="6:8">
      <c r="F24372" s="68" t="s">
        <v>124</v>
      </c>
      <c r="G24372" s="67" t="s">
        <v>844</v>
      </c>
      <c r="H24372" s="69">
        <v>-0.9</v>
      </c>
    </row>
    <row r="24373" spans="6:8">
      <c r="F24373" s="68" t="s">
        <v>252</v>
      </c>
      <c r="G24373" s="67" t="s">
        <v>844</v>
      </c>
      <c r="H24373" s="69">
        <v>0.16166666666666665</v>
      </c>
    </row>
    <row r="24374" spans="6:8">
      <c r="F24374" s="68" t="s">
        <v>314</v>
      </c>
      <c r="G24374" s="67" t="s">
        <v>844</v>
      </c>
      <c r="H24374" s="69">
        <v>-0.89</v>
      </c>
    </row>
    <row r="24375" spans="6:8">
      <c r="F24375" s="68" t="s">
        <v>420</v>
      </c>
      <c r="G24375" s="67" t="s">
        <v>844</v>
      </c>
      <c r="H24375" s="69">
        <v>2.7456841844873292</v>
      </c>
    </row>
    <row r="24376" spans="6:8">
      <c r="F24376" s="68" t="s">
        <v>119</v>
      </c>
      <c r="G24376" s="67" t="s">
        <v>844</v>
      </c>
      <c r="H24376" s="69">
        <v>-1.0233333333333332</v>
      </c>
    </row>
    <row r="24377" spans="6:8">
      <c r="F24377" s="68" t="s">
        <v>120</v>
      </c>
      <c r="G24377" s="67" t="s">
        <v>844</v>
      </c>
      <c r="H24377" s="69">
        <v>-0.74666666666666659</v>
      </c>
    </row>
    <row r="24378" spans="6:8">
      <c r="F24378" s="68" t="s">
        <v>121</v>
      </c>
      <c r="G24378" s="67" t="s">
        <v>844</v>
      </c>
      <c r="H24378" s="69">
        <v>-0.9</v>
      </c>
    </row>
    <row r="24379" spans="6:8">
      <c r="F24379" s="68" t="s">
        <v>251</v>
      </c>
      <c r="G24379" s="67" t="s">
        <v>844</v>
      </c>
      <c r="H24379" s="69">
        <v>0.13500000000000001</v>
      </c>
    </row>
    <row r="24380" spans="6:8">
      <c r="F24380" s="68" t="s">
        <v>251</v>
      </c>
      <c r="G24380" s="67" t="s">
        <v>845</v>
      </c>
      <c r="H24380" s="69">
        <v>0.13166666666666668</v>
      </c>
    </row>
    <row r="24381" spans="6:8">
      <c r="F24381" s="68" t="s">
        <v>121</v>
      </c>
      <c r="G24381" s="67" t="s">
        <v>845</v>
      </c>
      <c r="H24381" s="69">
        <v>-0.9</v>
      </c>
    </row>
    <row r="24382" spans="6:8">
      <c r="F24382" s="68" t="s">
        <v>120</v>
      </c>
      <c r="G24382" s="67" t="s">
        <v>845</v>
      </c>
      <c r="H24382" s="69">
        <v>-0.7533333333333333</v>
      </c>
    </row>
    <row r="24383" spans="6:8">
      <c r="F24383" s="68" t="s">
        <v>119</v>
      </c>
      <c r="G24383" s="67" t="s">
        <v>845</v>
      </c>
      <c r="H24383" s="69">
        <v>-1.0433333333333332</v>
      </c>
    </row>
    <row r="24384" spans="6:8">
      <c r="F24384" s="68" t="s">
        <v>420</v>
      </c>
      <c r="G24384" s="67" t="s">
        <v>845</v>
      </c>
      <c r="H24384" s="69">
        <v>2.7262373083687397</v>
      </c>
    </row>
    <row r="24385" spans="6:8">
      <c r="F24385" s="68" t="s">
        <v>314</v>
      </c>
      <c r="G24385" s="67" t="s">
        <v>845</v>
      </c>
      <c r="H24385" s="69">
        <v>-0.91</v>
      </c>
    </row>
    <row r="24386" spans="6:8">
      <c r="F24386" s="68" t="s">
        <v>252</v>
      </c>
      <c r="G24386" s="67" t="s">
        <v>845</v>
      </c>
      <c r="H24386" s="69">
        <v>0.15666666666666665</v>
      </c>
    </row>
    <row r="24387" spans="6:8">
      <c r="F24387" s="68" t="s">
        <v>124</v>
      </c>
      <c r="G24387" s="67" t="s">
        <v>845</v>
      </c>
      <c r="H24387" s="69">
        <v>-0.9</v>
      </c>
    </row>
    <row r="24388" spans="6:8">
      <c r="F24388" s="68" t="s">
        <v>123</v>
      </c>
      <c r="G24388" s="67" t="s">
        <v>845</v>
      </c>
      <c r="H24388" s="69">
        <v>-0.9</v>
      </c>
    </row>
    <row r="24389" spans="6:8">
      <c r="F24389" s="68" t="s">
        <v>122</v>
      </c>
      <c r="G24389" s="67" t="s">
        <v>845</v>
      </c>
      <c r="H24389" s="69">
        <v>-1.0533333333333332</v>
      </c>
    </row>
    <row r="24390" spans="6:8">
      <c r="F24390" s="68" t="s">
        <v>315</v>
      </c>
      <c r="G24390" s="67" t="s">
        <v>845</v>
      </c>
      <c r="H24390" s="69">
        <v>-0.68333333333333324</v>
      </c>
    </row>
    <row r="24391" spans="6:8">
      <c r="F24391" s="68" t="s">
        <v>253</v>
      </c>
      <c r="G24391" s="67" t="s">
        <v>845</v>
      </c>
      <c r="H24391" s="69">
        <v>0.24</v>
      </c>
    </row>
    <row r="24392" spans="6:8">
      <c r="F24392" s="68" t="s">
        <v>127</v>
      </c>
      <c r="G24392" s="67" t="s">
        <v>845</v>
      </c>
      <c r="H24392" s="69">
        <v>-0.39666666666666667</v>
      </c>
    </row>
    <row r="24393" spans="6:8">
      <c r="F24393" s="68" t="s">
        <v>126</v>
      </c>
      <c r="G24393" s="67" t="s">
        <v>845</v>
      </c>
      <c r="H24393" s="69">
        <v>-0.96333333333333337</v>
      </c>
    </row>
    <row r="24394" spans="6:8">
      <c r="F24394" s="68" t="s">
        <v>125</v>
      </c>
      <c r="G24394" s="67" t="s">
        <v>845</v>
      </c>
      <c r="H24394" s="69">
        <v>-0.9</v>
      </c>
    </row>
    <row r="24395" spans="6:8">
      <c r="F24395" s="68" t="s">
        <v>567</v>
      </c>
      <c r="G24395" s="67" t="s">
        <v>845</v>
      </c>
      <c r="H24395" s="69">
        <v>-1.31</v>
      </c>
    </row>
    <row r="24396" spans="6:8">
      <c r="F24396" s="68" t="s">
        <v>421</v>
      </c>
      <c r="G24396" s="67" t="s">
        <v>845</v>
      </c>
      <c r="H24396" s="69">
        <v>1.562025068198114</v>
      </c>
    </row>
    <row r="24397" spans="6:8">
      <c r="F24397" s="68" t="s">
        <v>254</v>
      </c>
      <c r="G24397" s="67" t="s">
        <v>845</v>
      </c>
      <c r="H24397" s="69">
        <v>0.33666666666666667</v>
      </c>
    </row>
    <row r="24398" spans="6:8">
      <c r="F24398" s="68" t="s">
        <v>304</v>
      </c>
      <c r="G24398" s="67" t="s">
        <v>845</v>
      </c>
      <c r="H24398" s="69">
        <v>16.157866666666667</v>
      </c>
    </row>
    <row r="24399" spans="6:8">
      <c r="F24399" s="68" t="s">
        <v>129</v>
      </c>
      <c r="G24399" s="67" t="s">
        <v>845</v>
      </c>
      <c r="H24399" s="69">
        <v>-0.57999999999999996</v>
      </c>
    </row>
    <row r="24400" spans="6:8">
      <c r="F24400" s="68" t="s">
        <v>128</v>
      </c>
      <c r="G24400" s="67" t="s">
        <v>845</v>
      </c>
      <c r="H24400" s="69">
        <v>-0.93333333333333324</v>
      </c>
    </row>
    <row r="24401" spans="6:8">
      <c r="F24401" s="68" t="s">
        <v>568</v>
      </c>
      <c r="G24401" s="67" t="s">
        <v>845</v>
      </c>
      <c r="H24401" s="69">
        <v>-0.97666666666666657</v>
      </c>
    </row>
    <row r="24402" spans="6:8">
      <c r="F24402" s="68" t="s">
        <v>422</v>
      </c>
      <c r="G24402" s="67" t="s">
        <v>845</v>
      </c>
      <c r="H24402" s="69">
        <v>1.5676309026660729</v>
      </c>
    </row>
    <row r="24403" spans="6:8">
      <c r="F24403" s="68" t="s">
        <v>255</v>
      </c>
      <c r="G24403" s="67" t="s">
        <v>845</v>
      </c>
      <c r="H24403" s="69">
        <v>0.48833333333333329</v>
      </c>
    </row>
    <row r="24404" spans="6:8">
      <c r="F24404" s="68" t="s">
        <v>303</v>
      </c>
      <c r="G24404" s="67" t="s">
        <v>845</v>
      </c>
      <c r="H24404" s="69">
        <v>16.075199999999999</v>
      </c>
    </row>
    <row r="24405" spans="6:8">
      <c r="F24405" s="68" t="s">
        <v>131</v>
      </c>
      <c r="G24405" s="67" t="s">
        <v>845</v>
      </c>
      <c r="H24405" s="69">
        <v>-0.52666666666666673</v>
      </c>
    </row>
    <row r="24406" spans="6:8">
      <c r="F24406" s="68" t="s">
        <v>130</v>
      </c>
      <c r="G24406" s="67" t="s">
        <v>845</v>
      </c>
      <c r="H24406" s="69">
        <v>-1.0866666666666667</v>
      </c>
    </row>
    <row r="24407" spans="6:8">
      <c r="F24407" s="68" t="s">
        <v>569</v>
      </c>
      <c r="G24407" s="67" t="s">
        <v>845</v>
      </c>
      <c r="H24407" s="69">
        <v>-0.68333333333333324</v>
      </c>
    </row>
    <row r="24408" spans="6:8">
      <c r="F24408" s="68" t="s">
        <v>423</v>
      </c>
      <c r="G24408" s="67" t="s">
        <v>845</v>
      </c>
      <c r="H24408" s="69">
        <v>1.9252945927699106</v>
      </c>
    </row>
    <row r="24409" spans="6:8">
      <c r="F24409" s="68" t="s">
        <v>256</v>
      </c>
      <c r="G24409" s="67" t="s">
        <v>845</v>
      </c>
      <c r="H24409" s="69">
        <v>0.64500000000000002</v>
      </c>
    </row>
    <row r="24410" spans="6:8">
      <c r="F24410" s="68" t="s">
        <v>133</v>
      </c>
      <c r="G24410" s="67" t="s">
        <v>845</v>
      </c>
      <c r="H24410" s="69">
        <v>-0.58666666666666656</v>
      </c>
    </row>
    <row r="24411" spans="6:8">
      <c r="F24411" s="68" t="s">
        <v>132</v>
      </c>
      <c r="G24411" s="67" t="s">
        <v>845</v>
      </c>
      <c r="H24411" s="69">
        <v>-1.0166666666666666</v>
      </c>
    </row>
    <row r="24412" spans="6:8">
      <c r="F24412" s="68" t="s">
        <v>424</v>
      </c>
      <c r="G24412" s="67" t="s">
        <v>845</v>
      </c>
      <c r="H24412" s="69">
        <v>2.6443026086157673</v>
      </c>
    </row>
    <row r="24413" spans="6:8">
      <c r="F24413" s="68" t="s">
        <v>258</v>
      </c>
      <c r="G24413" s="67" t="s">
        <v>845</v>
      </c>
      <c r="H24413" s="69">
        <v>6.3333333333333339E-2</v>
      </c>
    </row>
    <row r="24414" spans="6:8">
      <c r="F24414" s="68" t="s">
        <v>257</v>
      </c>
      <c r="G24414" s="67" t="s">
        <v>845</v>
      </c>
      <c r="H24414" s="69">
        <v>0.78800000000000003</v>
      </c>
    </row>
    <row r="24415" spans="6:8">
      <c r="F24415" s="68" t="s">
        <v>135</v>
      </c>
      <c r="G24415" s="67" t="s">
        <v>845</v>
      </c>
      <c r="H24415" s="69">
        <v>-0.70666666666666667</v>
      </c>
    </row>
    <row r="24416" spans="6:8">
      <c r="F24416" s="68" t="s">
        <v>134</v>
      </c>
      <c r="G24416" s="67" t="s">
        <v>845</v>
      </c>
      <c r="H24416" s="69">
        <v>-1.01</v>
      </c>
    </row>
    <row r="24417" spans="6:8">
      <c r="F24417" s="68" t="s">
        <v>425</v>
      </c>
      <c r="G24417" s="67" t="s">
        <v>845</v>
      </c>
      <c r="H24417" s="69">
        <v>2.6458355836215031</v>
      </c>
    </row>
    <row r="24418" spans="6:8">
      <c r="F24418" s="68" t="s">
        <v>259</v>
      </c>
      <c r="G24418" s="67" t="s">
        <v>845</v>
      </c>
      <c r="H24418" s="69">
        <v>0.11666666666666668</v>
      </c>
    </row>
    <row r="24419" spans="6:8">
      <c r="F24419" s="68" t="s">
        <v>138</v>
      </c>
      <c r="G24419" s="67" t="s">
        <v>845</v>
      </c>
      <c r="H24419" s="69">
        <v>-0.9</v>
      </c>
    </row>
    <row r="24420" spans="6:8">
      <c r="F24420" s="68" t="s">
        <v>137</v>
      </c>
      <c r="G24420" s="67" t="s">
        <v>845</v>
      </c>
      <c r="H24420" s="69">
        <v>-0.66333333333333333</v>
      </c>
    </row>
    <row r="24421" spans="6:8">
      <c r="F24421" s="68" t="s">
        <v>136</v>
      </c>
      <c r="G24421" s="67" t="s">
        <v>845</v>
      </c>
      <c r="H24421" s="69">
        <v>-1.0933333333333335</v>
      </c>
    </row>
    <row r="24422" spans="6:8">
      <c r="F24422" s="68" t="s">
        <v>136</v>
      </c>
      <c r="G24422" s="67" t="s">
        <v>846</v>
      </c>
      <c r="H24422" s="69">
        <v>-1.0999999999999999</v>
      </c>
    </row>
    <row r="24423" spans="6:8">
      <c r="F24423" s="68" t="s">
        <v>137</v>
      </c>
      <c r="G24423" s="67" t="s">
        <v>846</v>
      </c>
      <c r="H24423" s="69">
        <v>-0.66333333333333333</v>
      </c>
    </row>
    <row r="24424" spans="6:8">
      <c r="F24424" s="68" t="s">
        <v>138</v>
      </c>
      <c r="G24424" s="67" t="s">
        <v>846</v>
      </c>
      <c r="H24424" s="69">
        <v>-0.9</v>
      </c>
    </row>
    <row r="24425" spans="6:8">
      <c r="F24425" s="68" t="s">
        <v>259</v>
      </c>
      <c r="G24425" s="67" t="s">
        <v>846</v>
      </c>
      <c r="H24425" s="69">
        <v>0.11666666666666668</v>
      </c>
    </row>
    <row r="24426" spans="6:8">
      <c r="F24426" s="68" t="s">
        <v>425</v>
      </c>
      <c r="G24426" s="67" t="s">
        <v>846</v>
      </c>
      <c r="H24426" s="69">
        <v>2.6788809649159528</v>
      </c>
    </row>
    <row r="24427" spans="6:8">
      <c r="F24427" s="68" t="s">
        <v>134</v>
      </c>
      <c r="G24427" s="67" t="s">
        <v>846</v>
      </c>
      <c r="H24427" s="69">
        <v>-1.0133333333333334</v>
      </c>
    </row>
    <row r="24428" spans="6:8">
      <c r="F24428" s="68" t="s">
        <v>135</v>
      </c>
      <c r="G24428" s="67" t="s">
        <v>846</v>
      </c>
      <c r="H24428" s="69">
        <v>-0.70666666666666667</v>
      </c>
    </row>
    <row r="24429" spans="6:8">
      <c r="F24429" s="68" t="s">
        <v>257</v>
      </c>
      <c r="G24429" s="67" t="s">
        <v>846</v>
      </c>
      <c r="H24429" s="69">
        <v>0.78599999999999992</v>
      </c>
    </row>
    <row r="24430" spans="6:8">
      <c r="F24430" s="68" t="s">
        <v>258</v>
      </c>
      <c r="G24430" s="67" t="s">
        <v>846</v>
      </c>
      <c r="H24430" s="69">
        <v>6.3333333333333339E-2</v>
      </c>
    </row>
    <row r="24431" spans="6:8">
      <c r="F24431" s="68" t="s">
        <v>424</v>
      </c>
      <c r="G24431" s="67" t="s">
        <v>846</v>
      </c>
      <c r="H24431" s="69">
        <v>2.6794638562236184</v>
      </c>
    </row>
    <row r="24432" spans="6:8">
      <c r="F24432" s="68" t="s">
        <v>132</v>
      </c>
      <c r="G24432" s="67" t="s">
        <v>846</v>
      </c>
      <c r="H24432" s="69">
        <v>-1.02</v>
      </c>
    </row>
    <row r="24433" spans="6:8">
      <c r="F24433" s="68" t="s">
        <v>133</v>
      </c>
      <c r="G24433" s="67" t="s">
        <v>846</v>
      </c>
      <c r="H24433" s="69">
        <v>-0.59</v>
      </c>
    </row>
    <row r="24434" spans="6:8">
      <c r="F24434" s="68" t="s">
        <v>256</v>
      </c>
      <c r="G24434" s="67" t="s">
        <v>846</v>
      </c>
      <c r="H24434" s="69">
        <v>0.64166666666666661</v>
      </c>
    </row>
    <row r="24435" spans="6:8">
      <c r="F24435" s="68" t="s">
        <v>423</v>
      </c>
      <c r="G24435" s="67" t="s">
        <v>846</v>
      </c>
      <c r="H24435" s="69">
        <v>1.9912420118390006</v>
      </c>
    </row>
    <row r="24436" spans="6:8">
      <c r="F24436" s="68" t="s">
        <v>569</v>
      </c>
      <c r="G24436" s="67" t="s">
        <v>846</v>
      </c>
      <c r="H24436" s="69">
        <v>-0.69</v>
      </c>
    </row>
    <row r="24437" spans="6:8">
      <c r="F24437" s="68" t="s">
        <v>130</v>
      </c>
      <c r="G24437" s="67" t="s">
        <v>846</v>
      </c>
      <c r="H24437" s="69">
        <v>-1.0866666666666667</v>
      </c>
    </row>
    <row r="24438" spans="6:8">
      <c r="F24438" s="68" t="s">
        <v>131</v>
      </c>
      <c r="G24438" s="67" t="s">
        <v>846</v>
      </c>
      <c r="H24438" s="69">
        <v>-0.52666666666666673</v>
      </c>
    </row>
    <row r="24439" spans="6:8">
      <c r="F24439" s="68" t="s">
        <v>303</v>
      </c>
      <c r="G24439" s="67" t="s">
        <v>846</v>
      </c>
      <c r="H24439" s="69">
        <v>16.103616666666667</v>
      </c>
    </row>
    <row r="24440" spans="6:8">
      <c r="F24440" s="68" t="s">
        <v>255</v>
      </c>
      <c r="G24440" s="67" t="s">
        <v>846</v>
      </c>
      <c r="H24440" s="69">
        <v>0.48499999999999993</v>
      </c>
    </row>
    <row r="24441" spans="6:8">
      <c r="F24441" s="68" t="s">
        <v>422</v>
      </c>
      <c r="G24441" s="67" t="s">
        <v>846</v>
      </c>
      <c r="H24441" s="69">
        <v>1.6561874943856303</v>
      </c>
    </row>
    <row r="24442" spans="6:8">
      <c r="F24442" s="68" t="s">
        <v>568</v>
      </c>
      <c r="G24442" s="67" t="s">
        <v>846</v>
      </c>
      <c r="H24442" s="69">
        <v>-0.98333333333333339</v>
      </c>
    </row>
    <row r="24443" spans="6:8">
      <c r="F24443" s="68" t="s">
        <v>128</v>
      </c>
      <c r="G24443" s="67" t="s">
        <v>846</v>
      </c>
      <c r="H24443" s="69">
        <v>-0.93666666666666665</v>
      </c>
    </row>
    <row r="24444" spans="6:8">
      <c r="F24444" s="68" t="s">
        <v>129</v>
      </c>
      <c r="G24444" s="67" t="s">
        <v>846</v>
      </c>
      <c r="H24444" s="69">
        <v>-0.57999999999999996</v>
      </c>
    </row>
    <row r="24445" spans="6:8">
      <c r="F24445" s="68" t="s">
        <v>304</v>
      </c>
      <c r="G24445" s="67" t="s">
        <v>846</v>
      </c>
      <c r="H24445" s="69">
        <v>16.209399999999999</v>
      </c>
    </row>
    <row r="24446" spans="6:8">
      <c r="F24446" s="68" t="s">
        <v>254</v>
      </c>
      <c r="G24446" s="67" t="s">
        <v>846</v>
      </c>
      <c r="H24446" s="69">
        <v>0.33333333333333331</v>
      </c>
    </row>
    <row r="24447" spans="6:8">
      <c r="F24447" s="68" t="s">
        <v>421</v>
      </c>
      <c r="G24447" s="67" t="s">
        <v>846</v>
      </c>
      <c r="H24447" s="69">
        <v>1.6504922781038101</v>
      </c>
    </row>
    <row r="24448" spans="6:8">
      <c r="F24448" s="68" t="s">
        <v>567</v>
      </c>
      <c r="G24448" s="67" t="s">
        <v>846</v>
      </c>
      <c r="H24448" s="69">
        <v>-1.3166666666666667</v>
      </c>
    </row>
    <row r="24449" spans="6:8">
      <c r="F24449" s="68" t="s">
        <v>125</v>
      </c>
      <c r="G24449" s="67" t="s">
        <v>846</v>
      </c>
      <c r="H24449" s="69">
        <v>-0.90333333333333332</v>
      </c>
    </row>
    <row r="24450" spans="6:8">
      <c r="F24450" s="68" t="s">
        <v>126</v>
      </c>
      <c r="G24450" s="67" t="s">
        <v>846</v>
      </c>
      <c r="H24450" s="69">
        <v>-0.96333333333333337</v>
      </c>
    </row>
    <row r="24451" spans="6:8">
      <c r="F24451" s="68" t="s">
        <v>127</v>
      </c>
      <c r="G24451" s="67" t="s">
        <v>846</v>
      </c>
      <c r="H24451" s="69">
        <v>-0.39666666666666667</v>
      </c>
    </row>
    <row r="24452" spans="6:8">
      <c r="F24452" s="68" t="s">
        <v>253</v>
      </c>
      <c r="G24452" s="67" t="s">
        <v>846</v>
      </c>
      <c r="H24452" s="69">
        <v>0.23500000000000001</v>
      </c>
    </row>
    <row r="24453" spans="6:8">
      <c r="F24453" s="68" t="s">
        <v>315</v>
      </c>
      <c r="G24453" s="67" t="s">
        <v>846</v>
      </c>
      <c r="H24453" s="69">
        <v>-0.69</v>
      </c>
    </row>
    <row r="24454" spans="6:8">
      <c r="F24454" s="68" t="s">
        <v>122</v>
      </c>
      <c r="G24454" s="67" t="s">
        <v>846</v>
      </c>
      <c r="H24454" s="69">
        <v>-1.0566666666666666</v>
      </c>
    </row>
    <row r="24455" spans="6:8">
      <c r="F24455" s="68" t="s">
        <v>123</v>
      </c>
      <c r="G24455" s="67" t="s">
        <v>846</v>
      </c>
      <c r="H24455" s="69">
        <v>-0.90333333333333332</v>
      </c>
    </row>
    <row r="24456" spans="6:8">
      <c r="F24456" s="68" t="s">
        <v>124</v>
      </c>
      <c r="G24456" s="67" t="s">
        <v>846</v>
      </c>
      <c r="H24456" s="69">
        <v>-0.9</v>
      </c>
    </row>
    <row r="24457" spans="6:8">
      <c r="F24457" s="68" t="s">
        <v>252</v>
      </c>
      <c r="G24457" s="67" t="s">
        <v>846</v>
      </c>
      <c r="H24457" s="69">
        <v>0.15666666666666665</v>
      </c>
    </row>
    <row r="24458" spans="6:8">
      <c r="F24458" s="68" t="s">
        <v>314</v>
      </c>
      <c r="G24458" s="67" t="s">
        <v>846</v>
      </c>
      <c r="H24458" s="69">
        <v>-0.91333333333333344</v>
      </c>
    </row>
    <row r="24459" spans="6:8">
      <c r="F24459" s="68" t="s">
        <v>420</v>
      </c>
      <c r="G24459" s="67" t="s">
        <v>846</v>
      </c>
      <c r="H24459" s="69">
        <v>2.7641939622688128</v>
      </c>
    </row>
    <row r="24460" spans="6:8">
      <c r="F24460" s="68" t="s">
        <v>119</v>
      </c>
      <c r="G24460" s="67" t="s">
        <v>846</v>
      </c>
      <c r="H24460" s="69">
        <v>-1.0466666666666666</v>
      </c>
    </row>
    <row r="24461" spans="6:8">
      <c r="F24461" s="68" t="s">
        <v>120</v>
      </c>
      <c r="G24461" s="67" t="s">
        <v>846</v>
      </c>
      <c r="H24461" s="69">
        <v>-0.7533333333333333</v>
      </c>
    </row>
    <row r="24462" spans="6:8">
      <c r="F24462" s="68" t="s">
        <v>121</v>
      </c>
      <c r="G24462" s="67" t="s">
        <v>846</v>
      </c>
      <c r="H24462" s="69">
        <v>-0.9</v>
      </c>
    </row>
    <row r="24463" spans="6:8">
      <c r="F24463" s="68" t="s">
        <v>251</v>
      </c>
      <c r="G24463" s="67" t="s">
        <v>846</v>
      </c>
      <c r="H24463" s="69">
        <v>0.13166666666666668</v>
      </c>
    </row>
    <row r="24464" spans="6:8">
      <c r="F24464" s="68" t="s">
        <v>251</v>
      </c>
      <c r="G24464" s="67" t="s">
        <v>847</v>
      </c>
      <c r="H24464" s="69">
        <v>0.13333333333333333</v>
      </c>
    </row>
    <row r="24465" spans="6:8">
      <c r="F24465" s="68" t="s">
        <v>121</v>
      </c>
      <c r="G24465" s="67" t="s">
        <v>847</v>
      </c>
      <c r="H24465" s="69">
        <v>-0.9</v>
      </c>
    </row>
    <row r="24466" spans="6:8">
      <c r="F24466" s="68" t="s">
        <v>120</v>
      </c>
      <c r="G24466" s="67" t="s">
        <v>847</v>
      </c>
      <c r="H24466" s="69">
        <v>-0.74666666666666659</v>
      </c>
    </row>
    <row r="24467" spans="6:8">
      <c r="F24467" s="68" t="s">
        <v>119</v>
      </c>
      <c r="G24467" s="67" t="s">
        <v>847</v>
      </c>
      <c r="H24467" s="69">
        <v>-1.0333333333333332</v>
      </c>
    </row>
    <row r="24468" spans="6:8">
      <c r="F24468" s="68" t="s">
        <v>420</v>
      </c>
      <c r="G24468" s="67" t="s">
        <v>847</v>
      </c>
      <c r="H24468" s="69">
        <v>2.7365985708724061</v>
      </c>
    </row>
    <row r="24469" spans="6:8">
      <c r="F24469" s="68" t="s">
        <v>314</v>
      </c>
      <c r="G24469" s="67" t="s">
        <v>847</v>
      </c>
      <c r="H24469" s="69">
        <v>-0.90333333333333332</v>
      </c>
    </row>
    <row r="24470" spans="6:8">
      <c r="F24470" s="68" t="s">
        <v>252</v>
      </c>
      <c r="G24470" s="67" t="s">
        <v>847</v>
      </c>
      <c r="H24470" s="69">
        <v>0.15833333333333333</v>
      </c>
    </row>
    <row r="24471" spans="6:8">
      <c r="F24471" s="68" t="s">
        <v>124</v>
      </c>
      <c r="G24471" s="67" t="s">
        <v>847</v>
      </c>
      <c r="H24471" s="69">
        <v>-0.9</v>
      </c>
    </row>
    <row r="24472" spans="6:8">
      <c r="F24472" s="68" t="s">
        <v>123</v>
      </c>
      <c r="G24472" s="67" t="s">
        <v>847</v>
      </c>
      <c r="H24472" s="69">
        <v>-0.89333333333333342</v>
      </c>
    </row>
    <row r="24473" spans="6:8">
      <c r="F24473" s="68" t="s">
        <v>122</v>
      </c>
      <c r="G24473" s="67" t="s">
        <v>847</v>
      </c>
      <c r="H24473" s="69">
        <v>-1.0433333333333332</v>
      </c>
    </row>
    <row r="24474" spans="6:8">
      <c r="F24474" s="68" t="s">
        <v>315</v>
      </c>
      <c r="G24474" s="67" t="s">
        <v>847</v>
      </c>
      <c r="H24474" s="69">
        <v>-0.67666666666666664</v>
      </c>
    </row>
    <row r="24475" spans="6:8">
      <c r="F24475" s="68" t="s">
        <v>253</v>
      </c>
      <c r="G24475" s="67" t="s">
        <v>847</v>
      </c>
      <c r="H24475" s="69">
        <v>0.23833333333333331</v>
      </c>
    </row>
    <row r="24476" spans="6:8">
      <c r="F24476" s="68" t="s">
        <v>127</v>
      </c>
      <c r="G24476" s="67" t="s">
        <v>847</v>
      </c>
      <c r="H24476" s="69">
        <v>-0.39333333333333337</v>
      </c>
    </row>
    <row r="24477" spans="6:8">
      <c r="F24477" s="68" t="s">
        <v>126</v>
      </c>
      <c r="G24477" s="67" t="s">
        <v>847</v>
      </c>
      <c r="H24477" s="69">
        <v>-0.95666666666666667</v>
      </c>
    </row>
    <row r="24478" spans="6:8">
      <c r="F24478" s="68" t="s">
        <v>125</v>
      </c>
      <c r="G24478" s="67" t="s">
        <v>847</v>
      </c>
      <c r="H24478" s="69">
        <v>-0.8933333333333332</v>
      </c>
    </row>
    <row r="24479" spans="6:8">
      <c r="F24479" s="68" t="s">
        <v>567</v>
      </c>
      <c r="G24479" s="67" t="s">
        <v>847</v>
      </c>
      <c r="H24479" s="69">
        <v>-1.2966666666666666</v>
      </c>
    </row>
    <row r="24480" spans="6:8">
      <c r="F24480" s="68" t="s">
        <v>421</v>
      </c>
      <c r="G24480" s="67" t="s">
        <v>847</v>
      </c>
      <c r="H24480" s="69">
        <v>1.614184774934202</v>
      </c>
    </row>
    <row r="24481" spans="6:8">
      <c r="F24481" s="68" t="s">
        <v>254</v>
      </c>
      <c r="G24481" s="67" t="s">
        <v>847</v>
      </c>
      <c r="H24481" s="69">
        <v>0.33499999999999996</v>
      </c>
    </row>
    <row r="24482" spans="6:8">
      <c r="F24482" s="68" t="s">
        <v>304</v>
      </c>
      <c r="G24482" s="67" t="s">
        <v>847</v>
      </c>
      <c r="H24482" s="69">
        <v>16.209399999999999</v>
      </c>
    </row>
    <row r="24483" spans="6:8">
      <c r="F24483" s="68" t="s">
        <v>129</v>
      </c>
      <c r="G24483" s="67" t="s">
        <v>847</v>
      </c>
      <c r="H24483" s="69">
        <v>-0.57666666666666666</v>
      </c>
    </row>
    <row r="24484" spans="6:8">
      <c r="F24484" s="68" t="s">
        <v>128</v>
      </c>
      <c r="G24484" s="67" t="s">
        <v>847</v>
      </c>
      <c r="H24484" s="69">
        <v>-0.92666666666666675</v>
      </c>
    </row>
    <row r="24485" spans="6:8">
      <c r="F24485" s="68" t="s">
        <v>568</v>
      </c>
      <c r="G24485" s="67" t="s">
        <v>847</v>
      </c>
      <c r="H24485" s="69">
        <v>-0.97000000000000008</v>
      </c>
    </row>
    <row r="24486" spans="6:8">
      <c r="F24486" s="68" t="s">
        <v>422</v>
      </c>
      <c r="G24486" s="67" t="s">
        <v>847</v>
      </c>
      <c r="H24486" s="69">
        <v>1.6197115240614846</v>
      </c>
    </row>
    <row r="24487" spans="6:8">
      <c r="F24487" s="68" t="s">
        <v>255</v>
      </c>
      <c r="G24487" s="67" t="s">
        <v>847</v>
      </c>
      <c r="H24487" s="69">
        <v>0.48833333333333334</v>
      </c>
    </row>
    <row r="24488" spans="6:8">
      <c r="F24488" s="68" t="s">
        <v>303</v>
      </c>
      <c r="G24488" s="67" t="s">
        <v>847</v>
      </c>
      <c r="H24488" s="69">
        <v>16.15625</v>
      </c>
    </row>
    <row r="24489" spans="6:8">
      <c r="F24489" s="68" t="s">
        <v>131</v>
      </c>
      <c r="G24489" s="67" t="s">
        <v>847</v>
      </c>
      <c r="H24489" s="69">
        <v>-0.52333333333333332</v>
      </c>
    </row>
    <row r="24490" spans="6:8">
      <c r="F24490" s="68" t="s">
        <v>130</v>
      </c>
      <c r="G24490" s="67" t="s">
        <v>847</v>
      </c>
      <c r="H24490" s="69">
        <v>-1.0799999999999998</v>
      </c>
    </row>
    <row r="24491" spans="6:8">
      <c r="F24491" s="68" t="s">
        <v>569</v>
      </c>
      <c r="G24491" s="67" t="s">
        <v>847</v>
      </c>
      <c r="H24491" s="69">
        <v>-0.67666666666666664</v>
      </c>
    </row>
    <row r="24492" spans="6:8">
      <c r="F24492" s="68" t="s">
        <v>423</v>
      </c>
      <c r="G24492" s="67" t="s">
        <v>847</v>
      </c>
      <c r="H24492" s="69">
        <v>1.9566743710282442</v>
      </c>
    </row>
    <row r="24493" spans="6:8">
      <c r="F24493" s="68" t="s">
        <v>256</v>
      </c>
      <c r="G24493" s="67" t="s">
        <v>847</v>
      </c>
      <c r="H24493" s="69">
        <v>0.64500000000000002</v>
      </c>
    </row>
    <row r="24494" spans="6:8">
      <c r="F24494" s="68" t="s">
        <v>133</v>
      </c>
      <c r="G24494" s="67" t="s">
        <v>847</v>
      </c>
      <c r="H24494" s="69">
        <v>-0.58333333333333337</v>
      </c>
    </row>
    <row r="24495" spans="6:8">
      <c r="F24495" s="68" t="s">
        <v>132</v>
      </c>
      <c r="G24495" s="67" t="s">
        <v>847</v>
      </c>
      <c r="H24495" s="69">
        <v>-1.01</v>
      </c>
    </row>
    <row r="24496" spans="6:8">
      <c r="F24496" s="68" t="s">
        <v>424</v>
      </c>
      <c r="G24496" s="67" t="s">
        <v>847</v>
      </c>
      <c r="H24496" s="69">
        <v>2.6409404584103235</v>
      </c>
    </row>
    <row r="24497" spans="6:8">
      <c r="F24497" s="68" t="s">
        <v>258</v>
      </c>
      <c r="G24497" s="67" t="s">
        <v>847</v>
      </c>
      <c r="H24497" s="69">
        <v>6.3333333333333339E-2</v>
      </c>
    </row>
    <row r="24498" spans="6:8">
      <c r="F24498" s="68" t="s">
        <v>257</v>
      </c>
      <c r="G24498" s="67" t="s">
        <v>847</v>
      </c>
      <c r="H24498" s="69">
        <v>0.78800000000000003</v>
      </c>
    </row>
    <row r="24499" spans="6:8">
      <c r="F24499" s="68" t="s">
        <v>135</v>
      </c>
      <c r="G24499" s="67" t="s">
        <v>847</v>
      </c>
      <c r="H24499" s="69">
        <v>-0.70000000000000007</v>
      </c>
    </row>
    <row r="24500" spans="6:8">
      <c r="F24500" s="68" t="s">
        <v>134</v>
      </c>
      <c r="G24500" s="67" t="s">
        <v>847</v>
      </c>
      <c r="H24500" s="69">
        <v>-1.0066666666666666</v>
      </c>
    </row>
    <row r="24501" spans="6:8">
      <c r="F24501" s="68" t="s">
        <v>425</v>
      </c>
      <c r="G24501" s="67" t="s">
        <v>847</v>
      </c>
      <c r="H24501" s="69">
        <v>2.640111824047997</v>
      </c>
    </row>
    <row r="24502" spans="6:8">
      <c r="F24502" s="68" t="s">
        <v>259</v>
      </c>
      <c r="G24502" s="67" t="s">
        <v>847</v>
      </c>
      <c r="H24502" s="69">
        <v>0.11666666666666668</v>
      </c>
    </row>
    <row r="24503" spans="6:8">
      <c r="F24503" s="68" t="s">
        <v>138</v>
      </c>
      <c r="G24503" s="67" t="s">
        <v>847</v>
      </c>
      <c r="H24503" s="69">
        <v>-0.9</v>
      </c>
    </row>
    <row r="24504" spans="6:8">
      <c r="F24504" s="68" t="s">
        <v>137</v>
      </c>
      <c r="G24504" s="67" t="s">
        <v>847</v>
      </c>
      <c r="H24504" s="69">
        <v>-0.65666666666666662</v>
      </c>
    </row>
    <row r="24505" spans="6:8">
      <c r="F24505" s="68" t="s">
        <v>136</v>
      </c>
      <c r="G24505" s="67" t="s">
        <v>847</v>
      </c>
      <c r="H24505" s="69">
        <v>-1.0866666666666667</v>
      </c>
    </row>
    <row r="24506" spans="6:8">
      <c r="F24506" s="68" t="s">
        <v>136</v>
      </c>
      <c r="G24506" s="67" t="s">
        <v>848</v>
      </c>
      <c r="H24506" s="69">
        <v>-1.0733333333333333</v>
      </c>
    </row>
    <row r="24507" spans="6:8">
      <c r="F24507" s="68" t="s">
        <v>137</v>
      </c>
      <c r="G24507" s="67" t="s">
        <v>848</v>
      </c>
      <c r="H24507" s="69">
        <v>-0.65</v>
      </c>
    </row>
    <row r="24508" spans="6:8">
      <c r="F24508" s="68" t="s">
        <v>138</v>
      </c>
      <c r="G24508" s="67" t="s">
        <v>848</v>
      </c>
      <c r="H24508" s="69">
        <v>-0.9</v>
      </c>
    </row>
    <row r="24509" spans="6:8">
      <c r="F24509" s="68" t="s">
        <v>259</v>
      </c>
      <c r="G24509" s="67" t="s">
        <v>848</v>
      </c>
      <c r="H24509" s="69">
        <v>0.11666666666666668</v>
      </c>
    </row>
    <row r="24510" spans="6:8">
      <c r="F24510" s="68" t="s">
        <v>425</v>
      </c>
      <c r="G24510" s="67" t="s">
        <v>848</v>
      </c>
      <c r="H24510" s="69">
        <v>2.6880483483578743</v>
      </c>
    </row>
    <row r="24511" spans="6:8">
      <c r="F24511" s="68" t="s">
        <v>134</v>
      </c>
      <c r="G24511" s="67" t="s">
        <v>848</v>
      </c>
      <c r="H24511" s="69">
        <v>-1</v>
      </c>
    </row>
    <row r="24512" spans="6:8">
      <c r="F24512" s="68" t="s">
        <v>135</v>
      </c>
      <c r="G24512" s="67" t="s">
        <v>848</v>
      </c>
      <c r="H24512" s="69">
        <v>-0.69333333333333336</v>
      </c>
    </row>
    <row r="24513" spans="6:8">
      <c r="F24513" s="68" t="s">
        <v>257</v>
      </c>
      <c r="G24513" s="67" t="s">
        <v>848</v>
      </c>
      <c r="H24513" s="69">
        <v>0.79</v>
      </c>
    </row>
    <row r="24514" spans="6:8">
      <c r="F24514" s="68" t="s">
        <v>258</v>
      </c>
      <c r="G24514" s="67" t="s">
        <v>848</v>
      </c>
      <c r="H24514" s="69">
        <v>6.3333333333333339E-2</v>
      </c>
    </row>
    <row r="24515" spans="6:8">
      <c r="F24515" s="68" t="s">
        <v>424</v>
      </c>
      <c r="G24515" s="67" t="s">
        <v>848</v>
      </c>
      <c r="H24515" s="69">
        <v>2.6935273563363449</v>
      </c>
    </row>
    <row r="24516" spans="6:8">
      <c r="F24516" s="68" t="s">
        <v>132</v>
      </c>
      <c r="G24516" s="67" t="s">
        <v>848</v>
      </c>
      <c r="H24516" s="69">
        <v>-1.0066666666666666</v>
      </c>
    </row>
    <row r="24517" spans="6:8">
      <c r="F24517" s="68" t="s">
        <v>133</v>
      </c>
      <c r="G24517" s="67" t="s">
        <v>848</v>
      </c>
      <c r="H24517" s="69">
        <v>-0.57999999999999996</v>
      </c>
    </row>
    <row r="24518" spans="6:8">
      <c r="F24518" s="68" t="s">
        <v>256</v>
      </c>
      <c r="G24518" s="67" t="s">
        <v>848</v>
      </c>
      <c r="H24518" s="69">
        <v>0.64833333333333332</v>
      </c>
    </row>
    <row r="24519" spans="6:8">
      <c r="F24519" s="68" t="s">
        <v>423</v>
      </c>
      <c r="G24519" s="67" t="s">
        <v>848</v>
      </c>
      <c r="H24519" s="69">
        <v>1.9925125217887807</v>
      </c>
    </row>
    <row r="24520" spans="6:8">
      <c r="F24520" s="68" t="s">
        <v>569</v>
      </c>
      <c r="G24520" s="67" t="s">
        <v>848</v>
      </c>
      <c r="H24520" s="69">
        <v>-0.66333333333333333</v>
      </c>
    </row>
    <row r="24521" spans="6:8">
      <c r="F24521" s="68" t="s">
        <v>130</v>
      </c>
      <c r="G24521" s="67" t="s">
        <v>848</v>
      </c>
      <c r="H24521" s="69">
        <v>-1.0733333333333335</v>
      </c>
    </row>
    <row r="24522" spans="6:8">
      <c r="F24522" s="68" t="s">
        <v>131</v>
      </c>
      <c r="G24522" s="67" t="s">
        <v>848</v>
      </c>
      <c r="H24522" s="69">
        <v>-0.52</v>
      </c>
    </row>
    <row r="24523" spans="6:8">
      <c r="F24523" s="68" t="s">
        <v>303</v>
      </c>
      <c r="G24523" s="67" t="s">
        <v>848</v>
      </c>
      <c r="H24523" s="69">
        <v>16.151083333333332</v>
      </c>
    </row>
    <row r="24524" spans="6:8">
      <c r="F24524" s="68" t="s">
        <v>255</v>
      </c>
      <c r="G24524" s="67" t="s">
        <v>848</v>
      </c>
      <c r="H24524" s="69">
        <v>0.49499999999999994</v>
      </c>
    </row>
    <row r="24525" spans="6:8">
      <c r="F24525" s="68" t="s">
        <v>422</v>
      </c>
      <c r="G24525" s="67" t="s">
        <v>848</v>
      </c>
      <c r="H24525" s="69">
        <v>1.7010051645034885</v>
      </c>
    </row>
    <row r="24526" spans="6:8">
      <c r="F24526" s="68" t="s">
        <v>568</v>
      </c>
      <c r="G24526" s="67" t="s">
        <v>848</v>
      </c>
      <c r="H24526" s="69">
        <v>-0.95333333333333348</v>
      </c>
    </row>
    <row r="24527" spans="6:8">
      <c r="F24527" s="68" t="s">
        <v>128</v>
      </c>
      <c r="G24527" s="67" t="s">
        <v>848</v>
      </c>
      <c r="H24527" s="69">
        <v>-0.91999999999999993</v>
      </c>
    </row>
    <row r="24528" spans="6:8">
      <c r="F24528" s="68" t="s">
        <v>129</v>
      </c>
      <c r="G24528" s="67" t="s">
        <v>848</v>
      </c>
      <c r="H24528" s="69">
        <v>-0.57333333333333336</v>
      </c>
    </row>
    <row r="24529" spans="6:8">
      <c r="F24529" s="68" t="s">
        <v>304</v>
      </c>
      <c r="G24529" s="67" t="s">
        <v>848</v>
      </c>
      <c r="H24529" s="69">
        <v>16.212016666666667</v>
      </c>
    </row>
    <row r="24530" spans="6:8">
      <c r="F24530" s="68" t="s">
        <v>254</v>
      </c>
      <c r="G24530" s="67" t="s">
        <v>848</v>
      </c>
      <c r="H24530" s="69">
        <v>0.34166666666666662</v>
      </c>
    </row>
    <row r="24531" spans="6:8">
      <c r="F24531" s="68" t="s">
        <v>421</v>
      </c>
      <c r="G24531" s="67" t="s">
        <v>848</v>
      </c>
      <c r="H24531" s="69">
        <v>1.6953724523733449</v>
      </c>
    </row>
    <row r="24532" spans="6:8">
      <c r="F24532" s="68" t="s">
        <v>567</v>
      </c>
      <c r="G24532" s="67" t="s">
        <v>848</v>
      </c>
      <c r="H24532" s="69">
        <v>-1.2733333333333332</v>
      </c>
    </row>
    <row r="24533" spans="6:8">
      <c r="F24533" s="68" t="s">
        <v>125</v>
      </c>
      <c r="G24533" s="67" t="s">
        <v>848</v>
      </c>
      <c r="H24533" s="69">
        <v>-0.88333333333333341</v>
      </c>
    </row>
    <row r="24534" spans="6:8">
      <c r="F24534" s="68" t="s">
        <v>126</v>
      </c>
      <c r="G24534" s="67" t="s">
        <v>848</v>
      </c>
      <c r="H24534" s="69">
        <v>-0.95000000000000007</v>
      </c>
    </row>
    <row r="24535" spans="6:8">
      <c r="F24535" s="68" t="s">
        <v>127</v>
      </c>
      <c r="G24535" s="67" t="s">
        <v>848</v>
      </c>
      <c r="H24535" s="69">
        <v>-0.38999999999999996</v>
      </c>
    </row>
    <row r="24536" spans="6:8">
      <c r="F24536" s="68" t="s">
        <v>253</v>
      </c>
      <c r="G24536" s="67" t="s">
        <v>848</v>
      </c>
      <c r="H24536" s="69">
        <v>0.24</v>
      </c>
    </row>
    <row r="24537" spans="6:8">
      <c r="F24537" s="68" t="s">
        <v>315</v>
      </c>
      <c r="G24537" s="67" t="s">
        <v>848</v>
      </c>
      <c r="H24537" s="69">
        <v>-0.66333333333333333</v>
      </c>
    </row>
    <row r="24538" spans="6:8">
      <c r="F24538" s="68" t="s">
        <v>122</v>
      </c>
      <c r="G24538" s="67" t="s">
        <v>848</v>
      </c>
      <c r="H24538" s="69">
        <v>-1.0266666666666666</v>
      </c>
    </row>
    <row r="24539" spans="6:8">
      <c r="F24539" s="68" t="s">
        <v>123</v>
      </c>
      <c r="G24539" s="67" t="s">
        <v>848</v>
      </c>
      <c r="H24539" s="69">
        <v>-0.88666666666666671</v>
      </c>
    </row>
    <row r="24540" spans="6:8">
      <c r="F24540" s="68" t="s">
        <v>124</v>
      </c>
      <c r="G24540" s="67" t="s">
        <v>848</v>
      </c>
      <c r="H24540" s="69">
        <v>-0.9</v>
      </c>
    </row>
    <row r="24541" spans="6:8">
      <c r="F24541" s="68" t="s">
        <v>252</v>
      </c>
      <c r="G24541" s="67" t="s">
        <v>848</v>
      </c>
      <c r="H24541" s="69">
        <v>0.16166666666666665</v>
      </c>
    </row>
    <row r="24542" spans="6:8">
      <c r="F24542" s="68" t="s">
        <v>314</v>
      </c>
      <c r="G24542" s="67" t="s">
        <v>848</v>
      </c>
      <c r="H24542" s="69">
        <v>-0.89</v>
      </c>
    </row>
    <row r="24543" spans="6:8">
      <c r="F24543" s="68" t="s">
        <v>420</v>
      </c>
      <c r="G24543" s="67" t="s">
        <v>848</v>
      </c>
      <c r="H24543" s="69">
        <v>2.7916349569467425</v>
      </c>
    </row>
    <row r="24544" spans="6:8">
      <c r="F24544" s="68" t="s">
        <v>119</v>
      </c>
      <c r="G24544" s="67" t="s">
        <v>848</v>
      </c>
      <c r="H24544" s="69">
        <v>-1.02</v>
      </c>
    </row>
    <row r="24545" spans="6:8">
      <c r="F24545" s="68" t="s">
        <v>120</v>
      </c>
      <c r="G24545" s="67" t="s">
        <v>848</v>
      </c>
      <c r="H24545" s="69">
        <v>-0.7400000000000001</v>
      </c>
    </row>
    <row r="24546" spans="6:8">
      <c r="F24546" s="68" t="s">
        <v>121</v>
      </c>
      <c r="G24546" s="67" t="s">
        <v>848</v>
      </c>
      <c r="H24546" s="69">
        <v>-0.9</v>
      </c>
    </row>
    <row r="24547" spans="6:8">
      <c r="F24547" s="68" t="s">
        <v>251</v>
      </c>
      <c r="G24547" s="67" t="s">
        <v>848</v>
      </c>
      <c r="H24547" s="69">
        <v>0.13500000000000001</v>
      </c>
    </row>
    <row r="24548" spans="6:8">
      <c r="F24548" s="68" t="s">
        <v>251</v>
      </c>
      <c r="G24548" s="67" t="s">
        <v>849</v>
      </c>
      <c r="H24548" s="69">
        <v>0.13500000000000001</v>
      </c>
    </row>
    <row r="24549" spans="6:8">
      <c r="F24549" s="68" t="s">
        <v>121</v>
      </c>
      <c r="G24549" s="67" t="s">
        <v>849</v>
      </c>
      <c r="H24549" s="69">
        <v>-0.9</v>
      </c>
    </row>
    <row r="24550" spans="6:8">
      <c r="F24550" s="68" t="s">
        <v>120</v>
      </c>
      <c r="G24550" s="67" t="s">
        <v>849</v>
      </c>
      <c r="H24550" s="69">
        <v>-0.73666666666666669</v>
      </c>
    </row>
    <row r="24551" spans="6:8">
      <c r="F24551" s="68" t="s">
        <v>119</v>
      </c>
      <c r="G24551" s="67" t="s">
        <v>849</v>
      </c>
      <c r="H24551" s="69">
        <v>-1.0066666666666666</v>
      </c>
    </row>
    <row r="24552" spans="6:8">
      <c r="F24552" s="68" t="s">
        <v>420</v>
      </c>
      <c r="G24552" s="67" t="s">
        <v>849</v>
      </c>
      <c r="H24552" s="69">
        <v>2.8341999400292917</v>
      </c>
    </row>
    <row r="24553" spans="6:8">
      <c r="F24553" s="68" t="s">
        <v>314</v>
      </c>
      <c r="G24553" s="67" t="s">
        <v>849</v>
      </c>
      <c r="H24553" s="69">
        <v>-0.88</v>
      </c>
    </row>
    <row r="24554" spans="6:8">
      <c r="F24554" s="68" t="s">
        <v>252</v>
      </c>
      <c r="G24554" s="67" t="s">
        <v>849</v>
      </c>
      <c r="H24554" s="69">
        <v>0.16166666666666665</v>
      </c>
    </row>
    <row r="24555" spans="6:8">
      <c r="F24555" s="68" t="s">
        <v>124</v>
      </c>
      <c r="G24555" s="67" t="s">
        <v>849</v>
      </c>
      <c r="H24555" s="69">
        <v>-0.9</v>
      </c>
    </row>
    <row r="24556" spans="6:8">
      <c r="F24556" s="68" t="s">
        <v>123</v>
      </c>
      <c r="G24556" s="67" t="s">
        <v>849</v>
      </c>
      <c r="H24556" s="69">
        <v>-0.88</v>
      </c>
    </row>
    <row r="24557" spans="6:8">
      <c r="F24557" s="68" t="s">
        <v>122</v>
      </c>
      <c r="G24557" s="67" t="s">
        <v>849</v>
      </c>
      <c r="H24557" s="69">
        <v>-1.0133333333333334</v>
      </c>
    </row>
    <row r="24558" spans="6:8">
      <c r="F24558" s="68" t="s">
        <v>315</v>
      </c>
      <c r="G24558" s="67" t="s">
        <v>849</v>
      </c>
      <c r="H24558" s="69">
        <v>-0.65333333333333332</v>
      </c>
    </row>
    <row r="24559" spans="6:8">
      <c r="F24559" s="68" t="s">
        <v>253</v>
      </c>
      <c r="G24559" s="67" t="s">
        <v>849</v>
      </c>
      <c r="H24559" s="69">
        <v>0.24666666666666667</v>
      </c>
    </row>
    <row r="24560" spans="6:8">
      <c r="F24560" s="68" t="s">
        <v>127</v>
      </c>
      <c r="G24560" s="67" t="s">
        <v>849</v>
      </c>
      <c r="H24560" s="69">
        <v>-0.38999999999999996</v>
      </c>
    </row>
    <row r="24561" spans="6:8">
      <c r="F24561" s="68" t="s">
        <v>126</v>
      </c>
      <c r="G24561" s="67" t="s">
        <v>849</v>
      </c>
      <c r="H24561" s="69">
        <v>-0.94333333333333336</v>
      </c>
    </row>
    <row r="24562" spans="6:8">
      <c r="F24562" s="68" t="s">
        <v>125</v>
      </c>
      <c r="G24562" s="67" t="s">
        <v>849</v>
      </c>
      <c r="H24562" s="69">
        <v>-0.87333333333333341</v>
      </c>
    </row>
    <row r="24563" spans="6:8">
      <c r="F24563" s="68" t="s">
        <v>567</v>
      </c>
      <c r="G24563" s="67" t="s">
        <v>849</v>
      </c>
      <c r="H24563" s="69">
        <v>-1.2566666666666666</v>
      </c>
    </row>
    <row r="24564" spans="6:8">
      <c r="F24564" s="68" t="s">
        <v>421</v>
      </c>
      <c r="G24564" s="67" t="s">
        <v>849</v>
      </c>
      <c r="H24564" s="69">
        <v>1.7565526701103007</v>
      </c>
    </row>
    <row r="24565" spans="6:8">
      <c r="F24565" s="68" t="s">
        <v>254</v>
      </c>
      <c r="G24565" s="67" t="s">
        <v>849</v>
      </c>
      <c r="H24565" s="69">
        <v>0.35499999999999998</v>
      </c>
    </row>
    <row r="24566" spans="6:8">
      <c r="F24566" s="68" t="s">
        <v>304</v>
      </c>
      <c r="G24566" s="67" t="s">
        <v>849</v>
      </c>
      <c r="H24566" s="69">
        <v>16.197149999999997</v>
      </c>
    </row>
    <row r="24567" spans="6:8">
      <c r="F24567" s="68" t="s">
        <v>129</v>
      </c>
      <c r="G24567" s="67" t="s">
        <v>849</v>
      </c>
      <c r="H24567" s="69">
        <v>-0.57666666666666666</v>
      </c>
    </row>
    <row r="24568" spans="6:8">
      <c r="F24568" s="68" t="s">
        <v>128</v>
      </c>
      <c r="G24568" s="67" t="s">
        <v>849</v>
      </c>
      <c r="H24568" s="69">
        <v>-0.91666666666666663</v>
      </c>
    </row>
    <row r="24569" spans="6:8">
      <c r="F24569" s="68" t="s">
        <v>568</v>
      </c>
      <c r="G24569" s="67" t="s">
        <v>849</v>
      </c>
      <c r="H24569" s="69">
        <v>-0.94000000000000006</v>
      </c>
    </row>
    <row r="24570" spans="6:8">
      <c r="F24570" s="68" t="s">
        <v>422</v>
      </c>
      <c r="G24570" s="67" t="s">
        <v>849</v>
      </c>
      <c r="H24570" s="69">
        <v>1.7623037052919788</v>
      </c>
    </row>
    <row r="24571" spans="6:8">
      <c r="F24571" s="68" t="s">
        <v>255</v>
      </c>
      <c r="G24571" s="67" t="s">
        <v>849</v>
      </c>
      <c r="H24571" s="69">
        <v>0.5083333333333333</v>
      </c>
    </row>
    <row r="24572" spans="6:8">
      <c r="F24572" s="68" t="s">
        <v>303</v>
      </c>
      <c r="G24572" s="67" t="s">
        <v>849</v>
      </c>
      <c r="H24572" s="69">
        <v>16.127866666666666</v>
      </c>
    </row>
    <row r="24573" spans="6:8">
      <c r="F24573" s="68" t="s">
        <v>131</v>
      </c>
      <c r="G24573" s="67" t="s">
        <v>849</v>
      </c>
      <c r="H24573" s="69">
        <v>-0.52</v>
      </c>
    </row>
    <row r="24574" spans="6:8">
      <c r="F24574" s="68" t="s">
        <v>130</v>
      </c>
      <c r="G24574" s="67" t="s">
        <v>849</v>
      </c>
      <c r="H24574" s="69">
        <v>-1.07</v>
      </c>
    </row>
    <row r="24575" spans="6:8">
      <c r="F24575" s="68" t="s">
        <v>569</v>
      </c>
      <c r="G24575" s="67" t="s">
        <v>849</v>
      </c>
      <c r="H24575" s="69">
        <v>-0.65333333333333332</v>
      </c>
    </row>
    <row r="24576" spans="6:8">
      <c r="F24576" s="68" t="s">
        <v>423</v>
      </c>
      <c r="G24576" s="67" t="s">
        <v>849</v>
      </c>
      <c r="H24576" s="69">
        <v>2.0425657027016708</v>
      </c>
    </row>
    <row r="24577" spans="6:8">
      <c r="F24577" s="68" t="s">
        <v>256</v>
      </c>
      <c r="G24577" s="67" t="s">
        <v>849</v>
      </c>
      <c r="H24577" s="69">
        <v>0.66</v>
      </c>
    </row>
    <row r="24578" spans="6:8">
      <c r="F24578" s="68" t="s">
        <v>133</v>
      </c>
      <c r="G24578" s="67" t="s">
        <v>849</v>
      </c>
      <c r="H24578" s="69">
        <v>-0.57666666666666666</v>
      </c>
    </row>
    <row r="24579" spans="6:8">
      <c r="F24579" s="68" t="s">
        <v>132</v>
      </c>
      <c r="G24579" s="67" t="s">
        <v>849</v>
      </c>
      <c r="H24579" s="69">
        <v>-1.0033333333333334</v>
      </c>
    </row>
    <row r="24580" spans="6:8">
      <c r="F24580" s="68" t="s">
        <v>424</v>
      </c>
      <c r="G24580" s="67" t="s">
        <v>849</v>
      </c>
      <c r="H24580" s="69">
        <v>2.7133952260696592</v>
      </c>
    </row>
    <row r="24581" spans="6:8">
      <c r="F24581" s="68" t="s">
        <v>258</v>
      </c>
      <c r="G24581" s="67" t="s">
        <v>849</v>
      </c>
      <c r="H24581" s="69">
        <v>6.3333333333333339E-2</v>
      </c>
    </row>
    <row r="24582" spans="6:8">
      <c r="F24582" s="68" t="s">
        <v>257</v>
      </c>
      <c r="G24582" s="67" t="s">
        <v>849</v>
      </c>
      <c r="H24582" s="69">
        <v>0.79600000000000004</v>
      </c>
    </row>
    <row r="24583" spans="6:8">
      <c r="F24583" s="68" t="s">
        <v>135</v>
      </c>
      <c r="G24583" s="67" t="s">
        <v>849</v>
      </c>
      <c r="H24583" s="69">
        <v>-0.69</v>
      </c>
    </row>
    <row r="24584" spans="6:8">
      <c r="F24584" s="68" t="s">
        <v>134</v>
      </c>
      <c r="G24584" s="67" t="s">
        <v>849</v>
      </c>
      <c r="H24584" s="69">
        <v>-0.9966666666666667</v>
      </c>
    </row>
    <row r="24585" spans="6:8">
      <c r="F24585" s="68" t="s">
        <v>425</v>
      </c>
      <c r="G24585" s="67" t="s">
        <v>849</v>
      </c>
      <c r="H24585" s="69">
        <v>2.7061408635550954</v>
      </c>
    </row>
    <row r="24586" spans="6:8">
      <c r="F24586" s="68" t="s">
        <v>259</v>
      </c>
      <c r="G24586" s="67" t="s">
        <v>849</v>
      </c>
      <c r="H24586" s="69">
        <v>0.11666666666666668</v>
      </c>
    </row>
    <row r="24587" spans="6:8">
      <c r="F24587" s="68" t="s">
        <v>138</v>
      </c>
      <c r="G24587" s="67" t="s">
        <v>849</v>
      </c>
      <c r="H24587" s="69">
        <v>-0.9</v>
      </c>
    </row>
    <row r="24588" spans="6:8">
      <c r="F24588" s="68" t="s">
        <v>137</v>
      </c>
      <c r="G24588" s="67" t="s">
        <v>849</v>
      </c>
      <c r="H24588" s="69">
        <v>-0.64666666666666661</v>
      </c>
    </row>
    <row r="24589" spans="6:8">
      <c r="F24589" s="68" t="s">
        <v>136</v>
      </c>
      <c r="G24589" s="67" t="s">
        <v>849</v>
      </c>
      <c r="H24589" s="69">
        <v>-1.0633333333333335</v>
      </c>
    </row>
    <row r="24590" spans="6:8">
      <c r="F24590" s="68" t="s">
        <v>136</v>
      </c>
      <c r="G24590" s="67" t="s">
        <v>850</v>
      </c>
      <c r="H24590" s="69">
        <v>-1.0633333333333335</v>
      </c>
    </row>
    <row r="24591" spans="6:8">
      <c r="F24591" s="68" t="s">
        <v>137</v>
      </c>
      <c r="G24591" s="67" t="s">
        <v>850</v>
      </c>
      <c r="H24591" s="69">
        <v>-0.64666666666666661</v>
      </c>
    </row>
    <row r="24592" spans="6:8">
      <c r="F24592" s="68" t="s">
        <v>138</v>
      </c>
      <c r="G24592" s="67" t="s">
        <v>850</v>
      </c>
      <c r="H24592" s="69">
        <v>-0.9</v>
      </c>
    </row>
    <row r="24593" spans="6:8">
      <c r="F24593" s="68" t="s">
        <v>259</v>
      </c>
      <c r="G24593" s="67" t="s">
        <v>850</v>
      </c>
      <c r="H24593" s="69">
        <v>0.11666666666666668</v>
      </c>
    </row>
    <row r="24594" spans="6:8">
      <c r="F24594" s="68" t="s">
        <v>425</v>
      </c>
      <c r="G24594" s="67" t="s">
        <v>850</v>
      </c>
      <c r="H24594" s="69">
        <v>2.6944846024596902</v>
      </c>
    </row>
    <row r="24595" spans="6:8">
      <c r="F24595" s="68" t="s">
        <v>134</v>
      </c>
      <c r="G24595" s="67" t="s">
        <v>850</v>
      </c>
      <c r="H24595" s="69">
        <v>-0.9966666666666667</v>
      </c>
    </row>
    <row r="24596" spans="6:8">
      <c r="F24596" s="68" t="s">
        <v>135</v>
      </c>
      <c r="G24596" s="67" t="s">
        <v>850</v>
      </c>
      <c r="H24596" s="69">
        <v>-0.69</v>
      </c>
    </row>
    <row r="24597" spans="6:8">
      <c r="F24597" s="68" t="s">
        <v>257</v>
      </c>
      <c r="G24597" s="67" t="s">
        <v>850</v>
      </c>
      <c r="H24597" s="69">
        <v>0.79600000000000004</v>
      </c>
    </row>
    <row r="24598" spans="6:8">
      <c r="F24598" s="68" t="s">
        <v>258</v>
      </c>
      <c r="G24598" s="67" t="s">
        <v>850</v>
      </c>
      <c r="H24598" s="69">
        <v>6.3333333333333339E-2</v>
      </c>
    </row>
    <row r="24599" spans="6:8">
      <c r="F24599" s="68" t="s">
        <v>424</v>
      </c>
      <c r="G24599" s="67" t="s">
        <v>850</v>
      </c>
      <c r="H24599" s="69">
        <v>2.7028379500158017</v>
      </c>
    </row>
    <row r="24600" spans="6:8">
      <c r="F24600" s="68" t="s">
        <v>132</v>
      </c>
      <c r="G24600" s="67" t="s">
        <v>850</v>
      </c>
      <c r="H24600" s="69">
        <v>-1.0033333333333334</v>
      </c>
    </row>
    <row r="24601" spans="6:8">
      <c r="F24601" s="68" t="s">
        <v>133</v>
      </c>
      <c r="G24601" s="67" t="s">
        <v>850</v>
      </c>
      <c r="H24601" s="69">
        <v>-0.57666666666666666</v>
      </c>
    </row>
    <row r="24602" spans="6:8">
      <c r="F24602" s="68" t="s">
        <v>256</v>
      </c>
      <c r="G24602" s="67" t="s">
        <v>850</v>
      </c>
      <c r="H24602" s="69">
        <v>0.66</v>
      </c>
    </row>
    <row r="24603" spans="6:8">
      <c r="F24603" s="68" t="s">
        <v>423</v>
      </c>
      <c r="G24603" s="67" t="s">
        <v>850</v>
      </c>
      <c r="H24603" s="69">
        <v>2.0360991228534964</v>
      </c>
    </row>
    <row r="24604" spans="6:8">
      <c r="F24604" s="68" t="s">
        <v>569</v>
      </c>
      <c r="G24604" s="67" t="s">
        <v>850</v>
      </c>
      <c r="H24604" s="69">
        <v>-0.65333333333333332</v>
      </c>
    </row>
    <row r="24605" spans="6:8">
      <c r="F24605" s="68" t="s">
        <v>130</v>
      </c>
      <c r="G24605" s="67" t="s">
        <v>850</v>
      </c>
      <c r="H24605" s="69">
        <v>-1.07</v>
      </c>
    </row>
    <row r="24606" spans="6:8">
      <c r="F24606" s="68" t="s">
        <v>131</v>
      </c>
      <c r="G24606" s="67" t="s">
        <v>850</v>
      </c>
      <c r="H24606" s="69">
        <v>-0.52</v>
      </c>
    </row>
    <row r="24607" spans="6:8">
      <c r="F24607" s="68" t="s">
        <v>303</v>
      </c>
      <c r="G24607" s="67" t="s">
        <v>850</v>
      </c>
      <c r="H24607" s="69">
        <v>16.122683333333331</v>
      </c>
    </row>
    <row r="24608" spans="6:8">
      <c r="F24608" s="68" t="s">
        <v>255</v>
      </c>
      <c r="G24608" s="67" t="s">
        <v>850</v>
      </c>
      <c r="H24608" s="69">
        <v>0.5083333333333333</v>
      </c>
    </row>
    <row r="24609" spans="6:8">
      <c r="F24609" s="68" t="s">
        <v>422</v>
      </c>
      <c r="G24609" s="67" t="s">
        <v>850</v>
      </c>
      <c r="H24609" s="69">
        <v>1.7498097671773571</v>
      </c>
    </row>
    <row r="24610" spans="6:8">
      <c r="F24610" s="68" t="s">
        <v>568</v>
      </c>
      <c r="G24610" s="67" t="s">
        <v>850</v>
      </c>
      <c r="H24610" s="69">
        <v>-0.94000000000000006</v>
      </c>
    </row>
    <row r="24611" spans="6:8">
      <c r="F24611" s="68" t="s">
        <v>128</v>
      </c>
      <c r="G24611" s="67" t="s">
        <v>850</v>
      </c>
      <c r="H24611" s="69">
        <v>-0.91666666666666663</v>
      </c>
    </row>
    <row r="24612" spans="6:8">
      <c r="F24612" s="68" t="s">
        <v>129</v>
      </c>
      <c r="G24612" s="67" t="s">
        <v>850</v>
      </c>
      <c r="H24612" s="69">
        <v>-0.57666666666666666</v>
      </c>
    </row>
    <row r="24613" spans="6:8">
      <c r="F24613" s="68" t="s">
        <v>304</v>
      </c>
      <c r="G24613" s="67" t="s">
        <v>850</v>
      </c>
      <c r="H24613" s="69">
        <v>16.181516666666667</v>
      </c>
    </row>
    <row r="24614" spans="6:8">
      <c r="F24614" s="68" t="s">
        <v>254</v>
      </c>
      <c r="G24614" s="67" t="s">
        <v>850</v>
      </c>
      <c r="H24614" s="69">
        <v>0.35499999999999998</v>
      </c>
    </row>
    <row r="24615" spans="6:8">
      <c r="F24615" s="68" t="s">
        <v>421</v>
      </c>
      <c r="G24615" s="67" t="s">
        <v>850</v>
      </c>
      <c r="H24615" s="69">
        <v>1.7441204630780138</v>
      </c>
    </row>
    <row r="24616" spans="6:8">
      <c r="F24616" s="68" t="s">
        <v>567</v>
      </c>
      <c r="G24616" s="67" t="s">
        <v>850</v>
      </c>
      <c r="H24616" s="69">
        <v>-1.2566666666666666</v>
      </c>
    </row>
    <row r="24617" spans="6:8">
      <c r="F24617" s="68" t="s">
        <v>125</v>
      </c>
      <c r="G24617" s="67" t="s">
        <v>850</v>
      </c>
      <c r="H24617" s="69">
        <v>-0.87333333333333341</v>
      </c>
    </row>
    <row r="24618" spans="6:8">
      <c r="F24618" s="68" t="s">
        <v>126</v>
      </c>
      <c r="G24618" s="67" t="s">
        <v>850</v>
      </c>
      <c r="H24618" s="69">
        <v>-0.94333333333333336</v>
      </c>
    </row>
    <row r="24619" spans="6:8">
      <c r="F24619" s="68" t="s">
        <v>127</v>
      </c>
      <c r="G24619" s="67" t="s">
        <v>850</v>
      </c>
      <c r="H24619" s="69">
        <v>-0.38999999999999996</v>
      </c>
    </row>
    <row r="24620" spans="6:8">
      <c r="F24620" s="68" t="s">
        <v>253</v>
      </c>
      <c r="G24620" s="67" t="s">
        <v>850</v>
      </c>
      <c r="H24620" s="69">
        <v>0.24666666666666667</v>
      </c>
    </row>
    <row r="24621" spans="6:8">
      <c r="F24621" s="68" t="s">
        <v>315</v>
      </c>
      <c r="G24621" s="67" t="s">
        <v>850</v>
      </c>
      <c r="H24621" s="69">
        <v>-0.65333333333333332</v>
      </c>
    </row>
    <row r="24622" spans="6:8">
      <c r="F24622" s="68" t="s">
        <v>122</v>
      </c>
      <c r="G24622" s="67" t="s">
        <v>850</v>
      </c>
      <c r="H24622" s="69">
        <v>-1.0133333333333334</v>
      </c>
    </row>
    <row r="24623" spans="6:8">
      <c r="F24623" s="68" t="s">
        <v>123</v>
      </c>
      <c r="G24623" s="67" t="s">
        <v>850</v>
      </c>
      <c r="H24623" s="69">
        <v>-0.88</v>
      </c>
    </row>
    <row r="24624" spans="6:8">
      <c r="F24624" s="68" t="s">
        <v>124</v>
      </c>
      <c r="G24624" s="67" t="s">
        <v>850</v>
      </c>
      <c r="H24624" s="69">
        <v>-0.9</v>
      </c>
    </row>
    <row r="24625" spans="6:8">
      <c r="F24625" s="68" t="s">
        <v>252</v>
      </c>
      <c r="G24625" s="67" t="s">
        <v>850</v>
      </c>
      <c r="H24625" s="69">
        <v>0.16166666666666665</v>
      </c>
    </row>
    <row r="24626" spans="6:8">
      <c r="F24626" s="68" t="s">
        <v>314</v>
      </c>
      <c r="G24626" s="67" t="s">
        <v>850</v>
      </c>
      <c r="H24626" s="69">
        <v>-0.88</v>
      </c>
    </row>
    <row r="24627" spans="6:8">
      <c r="F24627" s="68" t="s">
        <v>420</v>
      </c>
      <c r="G24627" s="67" t="s">
        <v>850</v>
      </c>
      <c r="H24627" s="69">
        <v>2.8241837227534372</v>
      </c>
    </row>
    <row r="24628" spans="6:8">
      <c r="F24628" s="68" t="s">
        <v>119</v>
      </c>
      <c r="G24628" s="67" t="s">
        <v>850</v>
      </c>
      <c r="H24628" s="69">
        <v>-1.0066666666666666</v>
      </c>
    </row>
    <row r="24629" spans="6:8">
      <c r="F24629" s="68" t="s">
        <v>120</v>
      </c>
      <c r="G24629" s="67" t="s">
        <v>850</v>
      </c>
      <c r="H24629" s="69">
        <v>-0.73666666666666669</v>
      </c>
    </row>
    <row r="24630" spans="6:8">
      <c r="F24630" s="68" t="s">
        <v>121</v>
      </c>
      <c r="G24630" s="67" t="s">
        <v>850</v>
      </c>
      <c r="H24630" s="69">
        <v>-0.9</v>
      </c>
    </row>
    <row r="24631" spans="6:8">
      <c r="F24631" s="68" t="s">
        <v>251</v>
      </c>
      <c r="G24631" s="67" t="s">
        <v>850</v>
      </c>
      <c r="H24631" s="69">
        <v>0.13500000000000001</v>
      </c>
    </row>
    <row r="24632" spans="6:8">
      <c r="F24632" s="68" t="s">
        <v>251</v>
      </c>
      <c r="G24632" s="67" t="s">
        <v>851</v>
      </c>
      <c r="H24632" s="69">
        <v>0.13500000000000001</v>
      </c>
    </row>
    <row r="24633" spans="6:8">
      <c r="F24633" s="68" t="s">
        <v>121</v>
      </c>
      <c r="G24633" s="67" t="s">
        <v>851</v>
      </c>
      <c r="H24633" s="69">
        <v>-0.9</v>
      </c>
    </row>
    <row r="24634" spans="6:8">
      <c r="F24634" s="68" t="s">
        <v>120</v>
      </c>
      <c r="G24634" s="67" t="s">
        <v>851</v>
      </c>
      <c r="H24634" s="69">
        <v>-0.73666666666666669</v>
      </c>
    </row>
    <row r="24635" spans="6:8">
      <c r="F24635" s="68" t="s">
        <v>119</v>
      </c>
      <c r="G24635" s="67" t="s">
        <v>851</v>
      </c>
      <c r="H24635" s="69">
        <v>-1.01</v>
      </c>
    </row>
    <row r="24636" spans="6:8">
      <c r="F24636" s="68" t="s">
        <v>420</v>
      </c>
      <c r="G24636" s="67" t="s">
        <v>851</v>
      </c>
      <c r="H24636" s="69">
        <v>2.815561574976666</v>
      </c>
    </row>
    <row r="24637" spans="6:8">
      <c r="F24637" s="68" t="s">
        <v>314</v>
      </c>
      <c r="G24637" s="67" t="s">
        <v>851</v>
      </c>
      <c r="H24637" s="69">
        <v>-0.88</v>
      </c>
    </row>
    <row r="24638" spans="6:8">
      <c r="F24638" s="68" t="s">
        <v>252</v>
      </c>
      <c r="G24638" s="67" t="s">
        <v>851</v>
      </c>
      <c r="H24638" s="69">
        <v>0.16166666666666665</v>
      </c>
    </row>
    <row r="24639" spans="6:8">
      <c r="F24639" s="68" t="s">
        <v>124</v>
      </c>
      <c r="G24639" s="67" t="s">
        <v>851</v>
      </c>
      <c r="H24639" s="69">
        <v>-0.9</v>
      </c>
    </row>
    <row r="24640" spans="6:8">
      <c r="F24640" s="68" t="s">
        <v>123</v>
      </c>
      <c r="G24640" s="67" t="s">
        <v>851</v>
      </c>
      <c r="H24640" s="69">
        <v>-0.88</v>
      </c>
    </row>
    <row r="24641" spans="6:8">
      <c r="F24641" s="68" t="s">
        <v>122</v>
      </c>
      <c r="G24641" s="67" t="s">
        <v>851</v>
      </c>
      <c r="H24641" s="69">
        <v>-1.0166666666666666</v>
      </c>
    </row>
    <row r="24642" spans="6:8">
      <c r="F24642" s="68" t="s">
        <v>315</v>
      </c>
      <c r="G24642" s="67" t="s">
        <v>851</v>
      </c>
      <c r="H24642" s="69">
        <v>-0.65333333333333332</v>
      </c>
    </row>
    <row r="24643" spans="6:8">
      <c r="F24643" s="68" t="s">
        <v>253</v>
      </c>
      <c r="G24643" s="67" t="s">
        <v>851</v>
      </c>
      <c r="H24643" s="69">
        <v>0.24833333333333329</v>
      </c>
    </row>
    <row r="24644" spans="6:8">
      <c r="F24644" s="68" t="s">
        <v>127</v>
      </c>
      <c r="G24644" s="67" t="s">
        <v>851</v>
      </c>
      <c r="H24644" s="69">
        <v>-0.38999999999999996</v>
      </c>
    </row>
    <row r="24645" spans="6:8">
      <c r="F24645" s="68" t="s">
        <v>126</v>
      </c>
      <c r="G24645" s="67" t="s">
        <v>851</v>
      </c>
      <c r="H24645" s="69">
        <v>-0.94333333333333336</v>
      </c>
    </row>
    <row r="24646" spans="6:8">
      <c r="F24646" s="68" t="s">
        <v>125</v>
      </c>
      <c r="G24646" s="67" t="s">
        <v>851</v>
      </c>
      <c r="H24646" s="69">
        <v>-0.87333333333333341</v>
      </c>
    </row>
    <row r="24647" spans="6:8">
      <c r="F24647" s="68" t="s">
        <v>567</v>
      </c>
      <c r="G24647" s="67" t="s">
        <v>851</v>
      </c>
      <c r="H24647" s="69">
        <v>-1.26</v>
      </c>
    </row>
    <row r="24648" spans="6:8">
      <c r="F24648" s="68" t="s">
        <v>421</v>
      </c>
      <c r="G24648" s="67" t="s">
        <v>851</v>
      </c>
      <c r="H24648" s="69">
        <v>1.7223879124908414</v>
      </c>
    </row>
    <row r="24649" spans="6:8">
      <c r="F24649" s="68" t="s">
        <v>254</v>
      </c>
      <c r="G24649" s="67" t="s">
        <v>851</v>
      </c>
      <c r="H24649" s="69">
        <v>0.35833333333333334</v>
      </c>
    </row>
    <row r="24650" spans="6:8">
      <c r="F24650" s="68" t="s">
        <v>304</v>
      </c>
      <c r="G24650" s="67" t="s">
        <v>851</v>
      </c>
      <c r="H24650" s="69">
        <v>16.186916666666665</v>
      </c>
    </row>
    <row r="24651" spans="6:8">
      <c r="F24651" s="68" t="s">
        <v>129</v>
      </c>
      <c r="G24651" s="67" t="s">
        <v>851</v>
      </c>
      <c r="H24651" s="69">
        <v>-0.57333333333333336</v>
      </c>
    </row>
    <row r="24652" spans="6:8">
      <c r="F24652" s="68" t="s">
        <v>128</v>
      </c>
      <c r="G24652" s="67" t="s">
        <v>851</v>
      </c>
      <c r="H24652" s="69">
        <v>-0.91666666666666663</v>
      </c>
    </row>
    <row r="24653" spans="6:8">
      <c r="F24653" s="68" t="s">
        <v>568</v>
      </c>
      <c r="G24653" s="67" t="s">
        <v>851</v>
      </c>
      <c r="H24653" s="69">
        <v>-0.94333333333333336</v>
      </c>
    </row>
    <row r="24654" spans="6:8">
      <c r="F24654" s="68" t="s">
        <v>422</v>
      </c>
      <c r="G24654" s="67" t="s">
        <v>851</v>
      </c>
      <c r="H24654" s="69">
        <v>1.728026692137874</v>
      </c>
    </row>
    <row r="24655" spans="6:8">
      <c r="F24655" s="68" t="s">
        <v>255</v>
      </c>
      <c r="G24655" s="67" t="s">
        <v>851</v>
      </c>
      <c r="H24655" s="69">
        <v>0.51166666666666671</v>
      </c>
    </row>
    <row r="24656" spans="6:8">
      <c r="F24656" s="68" t="s">
        <v>303</v>
      </c>
      <c r="G24656" s="67" t="s">
        <v>851</v>
      </c>
      <c r="H24656" s="69">
        <v>16.123850000000001</v>
      </c>
    </row>
    <row r="24657" spans="6:8">
      <c r="F24657" s="68" t="s">
        <v>131</v>
      </c>
      <c r="G24657" s="67" t="s">
        <v>851</v>
      </c>
      <c r="H24657" s="69">
        <v>-0.52</v>
      </c>
    </row>
    <row r="24658" spans="6:8">
      <c r="F24658" s="68" t="s">
        <v>130</v>
      </c>
      <c r="G24658" s="67" t="s">
        <v>851</v>
      </c>
      <c r="H24658" s="69">
        <v>-1.07</v>
      </c>
    </row>
    <row r="24659" spans="6:8">
      <c r="F24659" s="68" t="s">
        <v>569</v>
      </c>
      <c r="G24659" s="67" t="s">
        <v>851</v>
      </c>
      <c r="H24659" s="69">
        <v>-0.65333333333333332</v>
      </c>
    </row>
    <row r="24660" spans="6:8">
      <c r="F24660" s="68" t="s">
        <v>423</v>
      </c>
      <c r="G24660" s="67" t="s">
        <v>851</v>
      </c>
      <c r="H24660" s="69">
        <v>2.0174755042385417</v>
      </c>
    </row>
    <row r="24661" spans="6:8">
      <c r="F24661" s="68" t="s">
        <v>256</v>
      </c>
      <c r="G24661" s="67" t="s">
        <v>851</v>
      </c>
      <c r="H24661" s="69">
        <v>0.66500000000000004</v>
      </c>
    </row>
    <row r="24662" spans="6:8">
      <c r="F24662" s="68" t="s">
        <v>133</v>
      </c>
      <c r="G24662" s="67" t="s">
        <v>851</v>
      </c>
      <c r="H24662" s="69">
        <v>-0.57666666666666666</v>
      </c>
    </row>
    <row r="24663" spans="6:8">
      <c r="F24663" s="68" t="s">
        <v>132</v>
      </c>
      <c r="G24663" s="67" t="s">
        <v>851</v>
      </c>
      <c r="H24663" s="69">
        <v>-1.0033333333333334</v>
      </c>
    </row>
    <row r="24664" spans="6:8">
      <c r="F24664" s="68" t="s">
        <v>424</v>
      </c>
      <c r="G24664" s="67" t="s">
        <v>851</v>
      </c>
      <c r="H24664" s="69">
        <v>2.6949227523672903</v>
      </c>
    </row>
    <row r="24665" spans="6:8">
      <c r="F24665" s="68" t="s">
        <v>258</v>
      </c>
      <c r="G24665" s="67" t="s">
        <v>851</v>
      </c>
      <c r="H24665" s="69">
        <v>6.3333333333333339E-2</v>
      </c>
    </row>
    <row r="24666" spans="6:8">
      <c r="F24666" s="68" t="s">
        <v>257</v>
      </c>
      <c r="G24666" s="67" t="s">
        <v>851</v>
      </c>
      <c r="H24666" s="69">
        <v>0.79600000000000004</v>
      </c>
    </row>
    <row r="24667" spans="6:8">
      <c r="F24667" s="68" t="s">
        <v>135</v>
      </c>
      <c r="G24667" s="67" t="s">
        <v>851</v>
      </c>
      <c r="H24667" s="69">
        <v>-0.69</v>
      </c>
    </row>
    <row r="24668" spans="6:8">
      <c r="F24668" s="68" t="s">
        <v>134</v>
      </c>
      <c r="G24668" s="67" t="s">
        <v>851</v>
      </c>
      <c r="H24668" s="69">
        <v>-0.9966666666666667</v>
      </c>
    </row>
    <row r="24669" spans="6:8">
      <c r="F24669" s="68" t="s">
        <v>425</v>
      </c>
      <c r="G24669" s="67" t="s">
        <v>851</v>
      </c>
      <c r="H24669" s="69">
        <v>2.6857096414131476</v>
      </c>
    </row>
    <row r="24670" spans="6:8">
      <c r="F24670" s="68" t="s">
        <v>259</v>
      </c>
      <c r="G24670" s="67" t="s">
        <v>851</v>
      </c>
      <c r="H24670" s="69">
        <v>0.11666666666666668</v>
      </c>
    </row>
    <row r="24671" spans="6:8">
      <c r="F24671" s="68" t="s">
        <v>138</v>
      </c>
      <c r="G24671" s="67" t="s">
        <v>851</v>
      </c>
      <c r="H24671" s="69">
        <v>-0.9</v>
      </c>
    </row>
    <row r="24672" spans="6:8">
      <c r="F24672" s="68" t="s">
        <v>137</v>
      </c>
      <c r="G24672" s="67" t="s">
        <v>851</v>
      </c>
      <c r="H24672" s="69">
        <v>-0.64666666666666661</v>
      </c>
    </row>
    <row r="24673" spans="6:8">
      <c r="F24673" s="68" t="s">
        <v>136</v>
      </c>
      <c r="G24673" s="67" t="s">
        <v>851</v>
      </c>
      <c r="H24673" s="69">
        <v>-1.0666666666666667</v>
      </c>
    </row>
    <row r="24674" spans="6:8">
      <c r="F24674" s="66"/>
      <c r="G24674" s="66"/>
      <c r="H24674" s="66"/>
    </row>
    <row r="24675" spans="6:8">
      <c r="F24675" s="66"/>
      <c r="G24675" s="66"/>
      <c r="H24675" s="66"/>
    </row>
    <row r="24676" spans="6:8">
      <c r="F24676" s="54"/>
      <c r="G24676" s="54"/>
      <c r="H24676" s="54"/>
    </row>
    <row r="24677" spans="6:8">
      <c r="F24677" s="54"/>
      <c r="G24677" s="54"/>
      <c r="H24677" s="54"/>
    </row>
    <row r="24678" spans="6:8">
      <c r="F24678" s="54"/>
      <c r="G24678" s="54"/>
      <c r="H24678" s="54"/>
    </row>
    <row r="24679" spans="6:8">
      <c r="F24679" s="54"/>
      <c r="G24679" s="54"/>
      <c r="H24679" s="54"/>
    </row>
    <row r="24680" spans="6:8">
      <c r="F24680" s="54"/>
      <c r="G24680" s="54"/>
      <c r="H24680" s="54"/>
    </row>
    <row r="24681" spans="6:8">
      <c r="F24681" s="54"/>
      <c r="G24681" s="54"/>
      <c r="H24681" s="54"/>
    </row>
    <row r="24682" spans="6:8">
      <c r="F24682" s="54"/>
      <c r="G24682" s="54"/>
      <c r="H24682" s="54"/>
    </row>
    <row r="24683" spans="6:8">
      <c r="F24683" s="54"/>
      <c r="G24683" s="54"/>
      <c r="H24683" s="54"/>
    </row>
    <row r="24684" spans="6:8">
      <c r="F24684" s="54"/>
      <c r="G24684" s="54"/>
      <c r="H24684" s="54"/>
    </row>
    <row r="24685" spans="6:8">
      <c r="F24685" s="54"/>
      <c r="G24685" s="54"/>
      <c r="H24685" s="54"/>
    </row>
    <row r="24686" spans="6:8">
      <c r="F24686" s="54"/>
      <c r="G24686" s="54"/>
      <c r="H24686" s="54"/>
    </row>
    <row r="24687" spans="6:8">
      <c r="F24687" s="54"/>
      <c r="G24687" s="54"/>
      <c r="H24687" s="54"/>
    </row>
    <row r="24688" spans="6:8">
      <c r="F24688" s="54"/>
      <c r="G24688" s="54"/>
      <c r="H24688" s="54"/>
    </row>
    <row r="24689" spans="6:8">
      <c r="F24689" s="54"/>
      <c r="G24689" s="54"/>
      <c r="H24689" s="54"/>
    </row>
    <row r="24690" spans="6:8">
      <c r="F24690" s="54"/>
      <c r="G24690" s="54"/>
      <c r="H24690" s="54"/>
    </row>
    <row r="24691" spans="6:8">
      <c r="F24691" s="54"/>
      <c r="G24691" s="54"/>
      <c r="H24691" s="54"/>
    </row>
    <row r="24692" spans="6:8">
      <c r="F24692" s="54"/>
      <c r="G24692" s="54"/>
      <c r="H24692" s="54"/>
    </row>
    <row r="24693" spans="6:8">
      <c r="F24693" s="54"/>
      <c r="G24693" s="54"/>
      <c r="H24693" s="54"/>
    </row>
    <row r="24694" spans="6:8">
      <c r="F24694" s="54"/>
      <c r="G24694" s="54"/>
      <c r="H24694" s="54"/>
    </row>
    <row r="24695" spans="6:8">
      <c r="F24695" s="54"/>
      <c r="G24695" s="54"/>
      <c r="H24695" s="54"/>
    </row>
    <row r="24696" spans="6:8">
      <c r="F24696" s="54"/>
      <c r="G24696" s="54"/>
      <c r="H24696" s="54"/>
    </row>
    <row r="24697" spans="6:8">
      <c r="F24697" s="54"/>
      <c r="G24697" s="54"/>
      <c r="H24697" s="54"/>
    </row>
    <row r="24698" spans="6:8">
      <c r="F24698" s="54"/>
      <c r="G24698" s="54"/>
      <c r="H24698" s="54"/>
    </row>
    <row r="24699" spans="6:8">
      <c r="F24699" s="54"/>
      <c r="G24699" s="54"/>
      <c r="H24699" s="54"/>
    </row>
    <row r="24700" spans="6:8">
      <c r="F24700" s="54"/>
      <c r="G24700" s="54"/>
      <c r="H24700" s="54"/>
    </row>
    <row r="24701" spans="6:8">
      <c r="F24701" s="54"/>
      <c r="G24701" s="54"/>
      <c r="H24701" s="54"/>
    </row>
    <row r="24702" spans="6:8">
      <c r="F24702" s="54"/>
      <c r="G24702" s="54"/>
      <c r="H24702" s="54"/>
    </row>
    <row r="24703" spans="6:8">
      <c r="F24703" s="54"/>
      <c r="G24703" s="54"/>
      <c r="H24703" s="54"/>
    </row>
    <row r="24704" spans="6:8">
      <c r="F24704" s="54"/>
      <c r="G24704" s="66"/>
      <c r="H24704" s="66"/>
    </row>
    <row r="24705" spans="6:8">
      <c r="F24705" s="54"/>
      <c r="G24705" s="66"/>
      <c r="H24705" s="66"/>
    </row>
    <row r="24706" spans="6:8">
      <c r="F24706" s="54"/>
      <c r="G24706" s="66"/>
      <c r="H24706" s="66"/>
    </row>
    <row r="24707" spans="6:8">
      <c r="F24707" s="54"/>
      <c r="G24707" s="66"/>
      <c r="H24707" s="66"/>
    </row>
    <row r="24708" spans="6:8">
      <c r="F24708" s="54"/>
      <c r="G24708" s="66"/>
      <c r="H24708" s="66"/>
    </row>
    <row r="24709" spans="6:8">
      <c r="F24709" s="54"/>
      <c r="G24709" s="66"/>
      <c r="H24709" s="66"/>
    </row>
    <row r="24710" spans="6:8">
      <c r="F24710" s="54"/>
      <c r="G24710" s="66"/>
      <c r="H24710" s="66"/>
    </row>
    <row r="24711" spans="6:8">
      <c r="F24711" s="54"/>
      <c r="G24711" s="66"/>
      <c r="H24711" s="66"/>
    </row>
    <row r="24712" spans="6:8">
      <c r="F24712" s="54"/>
      <c r="G24712" s="66"/>
      <c r="H24712" s="66"/>
    </row>
    <row r="24713" spans="6:8">
      <c r="F24713" s="54"/>
      <c r="G24713" s="66"/>
      <c r="H24713" s="66"/>
    </row>
    <row r="24714" spans="6:8">
      <c r="F24714" s="54"/>
      <c r="G24714" s="66"/>
      <c r="H24714" s="66"/>
    </row>
    <row r="24715" spans="6:8">
      <c r="F24715" s="54"/>
      <c r="G24715" s="66"/>
      <c r="H24715" s="66"/>
    </row>
    <row r="24716" spans="6:8">
      <c r="F24716" s="54"/>
      <c r="G24716" s="66"/>
      <c r="H24716" s="66"/>
    </row>
    <row r="24717" spans="6:8">
      <c r="F24717" s="66"/>
      <c r="G24717" s="66"/>
      <c r="H24717" s="66"/>
    </row>
    <row r="24718" spans="6:8">
      <c r="F24718" s="66"/>
      <c r="G24718" s="66"/>
      <c r="H24718" s="66"/>
    </row>
    <row r="24719" spans="6:8">
      <c r="F24719" s="66"/>
      <c r="G24719" s="66"/>
      <c r="H24719" s="66"/>
    </row>
    <row r="24720" spans="6:8">
      <c r="F24720" s="66"/>
      <c r="G24720" s="66"/>
      <c r="H24720" s="66"/>
    </row>
    <row r="24721" spans="6:8">
      <c r="F24721" s="66"/>
      <c r="G24721" s="66"/>
      <c r="H24721" s="66"/>
    </row>
    <row r="24722" spans="6:8">
      <c r="F24722" s="66"/>
      <c r="G24722" s="66"/>
      <c r="H24722" s="66"/>
    </row>
    <row r="24723" spans="6:8">
      <c r="F24723" s="66"/>
      <c r="G24723" s="66"/>
      <c r="H24723" s="66"/>
    </row>
    <row r="24724" spans="6:8">
      <c r="F24724" s="66"/>
      <c r="G24724" s="66"/>
      <c r="H24724" s="66"/>
    </row>
    <row r="24725" spans="6:8">
      <c r="F24725" s="66"/>
      <c r="G24725" s="66"/>
      <c r="H24725" s="66"/>
    </row>
    <row r="24726" spans="6:8">
      <c r="F24726" s="66"/>
      <c r="G24726" s="66"/>
      <c r="H24726" s="66"/>
    </row>
    <row r="24727" spans="6:8">
      <c r="F24727" s="66"/>
      <c r="G24727" s="66"/>
      <c r="H24727" s="66"/>
    </row>
    <row r="24728" spans="6:8">
      <c r="F24728" s="66"/>
      <c r="G24728" s="66"/>
      <c r="H24728" s="66"/>
    </row>
    <row r="24729" spans="6:8">
      <c r="F24729" s="66"/>
      <c r="G24729" s="66"/>
      <c r="H24729" s="66"/>
    </row>
    <row r="24730" spans="6:8">
      <c r="F24730" s="66"/>
      <c r="G24730" s="66"/>
      <c r="H24730" s="66"/>
    </row>
    <row r="24731" spans="6:8">
      <c r="F24731" s="66"/>
      <c r="G24731" s="66"/>
      <c r="H24731" s="66"/>
    </row>
    <row r="24732" spans="6:8">
      <c r="F24732" s="66"/>
      <c r="G24732" s="66"/>
      <c r="H24732" s="66"/>
    </row>
    <row r="24733" spans="6:8">
      <c r="F24733" s="66"/>
      <c r="G24733" s="66"/>
      <c r="H24733" s="66"/>
    </row>
    <row r="24734" spans="6:8">
      <c r="F24734" s="66"/>
      <c r="G24734" s="66"/>
      <c r="H24734" s="66"/>
    </row>
    <row r="24735" spans="6:8">
      <c r="F24735" s="66"/>
      <c r="G24735" s="66"/>
      <c r="H24735" s="66"/>
    </row>
    <row r="24736" spans="6:8">
      <c r="F24736" s="66"/>
      <c r="G24736" s="66"/>
      <c r="H24736" s="66"/>
    </row>
    <row r="24737" spans="6:8">
      <c r="F24737" s="66"/>
      <c r="G24737" s="66"/>
      <c r="H24737" s="66"/>
    </row>
    <row r="24738" spans="6:8">
      <c r="F24738" s="66"/>
      <c r="G24738" s="66"/>
      <c r="H24738" s="66"/>
    </row>
    <row r="24739" spans="6:8">
      <c r="F24739" s="66"/>
      <c r="G24739" s="66"/>
      <c r="H24739" s="66"/>
    </row>
    <row r="24740" spans="6:8">
      <c r="F24740" s="66"/>
      <c r="G24740" s="66"/>
      <c r="H24740" s="66"/>
    </row>
    <row r="24741" spans="6:8">
      <c r="F24741" s="66"/>
      <c r="G24741" s="66"/>
      <c r="H24741" s="66"/>
    </row>
    <row r="24742" spans="6:8">
      <c r="F24742" s="66"/>
      <c r="G24742" s="66"/>
      <c r="H24742" s="66"/>
    </row>
    <row r="24743" spans="6:8">
      <c r="F24743" s="66"/>
      <c r="G24743" s="66"/>
      <c r="H24743" s="66"/>
    </row>
    <row r="24744" spans="6:8">
      <c r="F24744" s="66"/>
      <c r="G24744" s="66"/>
      <c r="H24744" s="66"/>
    </row>
    <row r="24745" spans="6:8">
      <c r="F24745" s="66"/>
      <c r="G24745" s="66"/>
      <c r="H24745" s="66"/>
    </row>
    <row r="24746" spans="6:8">
      <c r="F24746" s="66"/>
      <c r="G24746" s="66"/>
      <c r="H24746" s="66"/>
    </row>
    <row r="24747" spans="6:8">
      <c r="F24747" s="66"/>
      <c r="G24747" s="66"/>
      <c r="H24747" s="66"/>
    </row>
    <row r="24748" spans="6:8">
      <c r="F24748" s="66"/>
      <c r="G24748" s="66"/>
      <c r="H24748" s="66"/>
    </row>
    <row r="24749" spans="6:8">
      <c r="F24749" s="66"/>
      <c r="G24749" s="66"/>
      <c r="H24749" s="66"/>
    </row>
    <row r="24750" spans="6:8">
      <c r="F24750" s="66"/>
      <c r="G24750" s="66"/>
      <c r="H24750" s="66"/>
    </row>
    <row r="24751" spans="6:8">
      <c r="F24751" s="66"/>
      <c r="G24751" s="66"/>
      <c r="H24751" s="66"/>
    </row>
    <row r="24752" spans="6:8">
      <c r="F24752" s="66"/>
      <c r="G24752" s="66"/>
      <c r="H24752" s="66"/>
    </row>
    <row r="24753" spans="6:8">
      <c r="F24753" s="66"/>
      <c r="G24753" s="66"/>
      <c r="H24753" s="66"/>
    </row>
    <row r="24754" spans="6:8">
      <c r="F24754" s="66"/>
      <c r="G24754" s="66"/>
      <c r="H24754" s="66"/>
    </row>
    <row r="24755" spans="6:8">
      <c r="F24755" s="66"/>
      <c r="G24755" s="66"/>
      <c r="H24755" s="66"/>
    </row>
    <row r="24756" spans="6:8">
      <c r="F24756" s="66"/>
      <c r="G24756" s="66"/>
      <c r="H24756" s="66"/>
    </row>
    <row r="24757" spans="6:8">
      <c r="F24757" s="66"/>
      <c r="G24757" s="66"/>
      <c r="H24757" s="66"/>
    </row>
    <row r="24758" spans="6:8">
      <c r="F24758" s="66"/>
      <c r="G24758" s="66"/>
      <c r="H24758" s="66"/>
    </row>
    <row r="24759" spans="6:8">
      <c r="F24759" s="66"/>
      <c r="G24759" s="66"/>
      <c r="H24759" s="66"/>
    </row>
    <row r="24760" spans="6:8">
      <c r="F24760" s="66"/>
      <c r="G24760" s="66"/>
      <c r="H24760" s="66"/>
    </row>
    <row r="24761" spans="6:8">
      <c r="F24761" s="66"/>
      <c r="G24761" s="66"/>
      <c r="H24761" s="66"/>
    </row>
    <row r="24762" spans="6:8">
      <c r="F24762" s="66"/>
      <c r="G24762" s="66"/>
      <c r="H24762" s="66"/>
    </row>
    <row r="24763" spans="6:8">
      <c r="F24763" s="66"/>
      <c r="G24763" s="66"/>
      <c r="H24763" s="66"/>
    </row>
    <row r="24764" spans="6:8">
      <c r="F24764" s="66"/>
      <c r="G24764" s="66"/>
      <c r="H24764" s="66"/>
    </row>
    <row r="24765" spans="6:8">
      <c r="F24765" s="66"/>
      <c r="G24765" s="66"/>
      <c r="H24765" s="66"/>
    </row>
    <row r="24766" spans="6:8">
      <c r="F24766" s="66"/>
      <c r="G24766" s="66"/>
      <c r="H24766" s="66"/>
    </row>
    <row r="24767" spans="6:8">
      <c r="F24767" s="66"/>
      <c r="G24767" s="66"/>
      <c r="H24767" s="66"/>
    </row>
    <row r="24768" spans="6:8">
      <c r="F24768" s="66"/>
      <c r="G24768" s="66"/>
      <c r="H24768" s="66"/>
    </row>
    <row r="24769" spans="6:8">
      <c r="F24769" s="66"/>
      <c r="G24769" s="66"/>
      <c r="H24769" s="66"/>
    </row>
    <row r="24770" spans="6:8">
      <c r="F24770" s="66"/>
      <c r="G24770" s="66"/>
      <c r="H24770" s="66"/>
    </row>
    <row r="24771" spans="6:8">
      <c r="F24771" s="66"/>
      <c r="G24771" s="66"/>
      <c r="H24771" s="66"/>
    </row>
    <row r="24772" spans="6:8">
      <c r="F24772" s="66"/>
      <c r="G24772" s="66"/>
      <c r="H24772" s="66"/>
    </row>
    <row r="24773" spans="6:8">
      <c r="F24773" s="66"/>
      <c r="G24773" s="66"/>
      <c r="H24773" s="66"/>
    </row>
    <row r="24774" spans="6:8">
      <c r="F24774" s="66"/>
      <c r="G24774" s="66"/>
      <c r="H24774" s="66"/>
    </row>
    <row r="24775" spans="6:8">
      <c r="F24775" s="66"/>
      <c r="G24775" s="66"/>
      <c r="H24775" s="66"/>
    </row>
    <row r="24776" spans="6:8">
      <c r="F24776" s="66"/>
      <c r="G24776" s="66"/>
      <c r="H24776" s="66"/>
    </row>
    <row r="24777" spans="6:8">
      <c r="F24777" s="66"/>
    </row>
    <row r="24778" spans="6:8">
      <c r="F24778" s="66"/>
    </row>
    <row r="24779" spans="6:8">
      <c r="F24779" s="66"/>
    </row>
    <row r="24780" spans="6:8">
      <c r="F24780" s="66"/>
    </row>
    <row r="24781" spans="6:8">
      <c r="F24781" s="66"/>
    </row>
    <row r="24782" spans="6:8">
      <c r="F24782" s="66"/>
    </row>
    <row r="24783" spans="6:8">
      <c r="F24783" s="66"/>
    </row>
    <row r="24784" spans="6:8">
      <c r="F24784" s="66"/>
    </row>
    <row r="24785" spans="6:6">
      <c r="F24785" s="66"/>
    </row>
    <row r="24786" spans="6:6">
      <c r="F24786" s="66"/>
    </row>
    <row r="24787" spans="6:6">
      <c r="F24787" s="66"/>
    </row>
    <row r="24788" spans="6:6">
      <c r="F24788" s="66"/>
    </row>
    <row r="24789" spans="6:6">
      <c r="F24789" s="66"/>
    </row>
  </sheetData>
  <conditionalFormatting sqref="M5:M48 W62:W92 T51:T61 S49:S50">
    <cfRule type="cellIs" dxfId="3" priority="1" operator="between">
      <formula>30</formula>
      <formula>60</formula>
    </cfRule>
    <cfRule type="cellIs" priority="2" operator="between">
      <formula>30</formula>
      <formula>60</formula>
    </cfRule>
  </conditionalFormatting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269"/>
  <sheetViews>
    <sheetView workbookViewId="0">
      <pane ySplit="1" topLeftCell="A2" activePane="bottomLeft" state="frozen"/>
      <selection activeCell="F1" sqref="F1"/>
      <selection pane="bottomLeft" activeCell="E2" sqref="E2"/>
    </sheetView>
  </sheetViews>
  <sheetFormatPr defaultRowHeight="15"/>
  <cols>
    <col min="1" max="1" width="10.7109375" bestFit="1" customWidth="1"/>
    <col min="2" max="2" width="12.28515625" customWidth="1"/>
    <col min="3" max="3" width="17.5703125" bestFit="1" customWidth="1"/>
    <col min="7" max="7" width="24.5703125" bestFit="1" customWidth="1"/>
    <col min="8" max="8" width="19" bestFit="1" customWidth="1"/>
    <col min="12" max="12" width="10.7109375" bestFit="1" customWidth="1"/>
  </cols>
  <sheetData>
    <row r="1" spans="1:13">
      <c r="A1" t="s">
        <v>0</v>
      </c>
      <c r="B1" t="s">
        <v>15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3">
      <c r="A2" s="1">
        <v>38720</v>
      </c>
      <c r="B2">
        <v>5.7025300000000003</v>
      </c>
      <c r="C2">
        <v>6.085</v>
      </c>
      <c r="D2">
        <f>WEEKDAY(A2,14)</f>
        <v>6</v>
      </c>
      <c r="E2">
        <f>VLOOKUP(D2,L$2:M$8,2,FALSE)</f>
        <v>0.7</v>
      </c>
      <c r="F2">
        <f>IF(AND(D2&gt;D1,F1&lt;6),F1+1,1)</f>
        <v>1</v>
      </c>
      <c r="G2">
        <f>B2*E2</f>
        <v>3.991771</v>
      </c>
      <c r="H2">
        <v>0.7</v>
      </c>
      <c r="I2">
        <v>0</v>
      </c>
      <c r="K2" t="s">
        <v>7</v>
      </c>
      <c r="L2">
        <v>5</v>
      </c>
      <c r="M2">
        <v>0.05</v>
      </c>
    </row>
    <row r="3" spans="1:13">
      <c r="A3" s="1">
        <v>38721</v>
      </c>
      <c r="B3">
        <v>5.6532400000000003</v>
      </c>
      <c r="C3">
        <v>6.085</v>
      </c>
      <c r="D3">
        <f>WEEKDAY(A3,14)</f>
        <v>7</v>
      </c>
      <c r="E3">
        <f>VLOOKUP(D3,L$2:M$8,2,FALSE)</f>
        <v>0.25</v>
      </c>
      <c r="F3">
        <f t="shared" ref="F3:F66" si="0">IF(AND(D3&gt;D2,F2&lt;6),F2+1,1)</f>
        <v>2</v>
      </c>
      <c r="G3">
        <f>IF(F3&gt;F2,G2+B3*E3,B3*E3)</f>
        <v>5.405081</v>
      </c>
      <c r="H3">
        <f>IF(AND(F3&lt;6,F3&gt;F2),E3+H2,E3)</f>
        <v>0.95</v>
      </c>
      <c r="I3">
        <f>IF(F2&gt;F3,G2/H2,0)</f>
        <v>0</v>
      </c>
      <c r="K3" t="s">
        <v>8</v>
      </c>
      <c r="L3">
        <v>6</v>
      </c>
      <c r="M3">
        <v>0.7</v>
      </c>
    </row>
    <row r="4" spans="1:13">
      <c r="A4" s="1">
        <v>38722</v>
      </c>
      <c r="B4">
        <v>5.6396800000000002</v>
      </c>
      <c r="C4">
        <v>6.05</v>
      </c>
      <c r="D4">
        <f>WEEKDAY(A4,14)</f>
        <v>1</v>
      </c>
      <c r="E4">
        <f>VLOOKUP(D4,L$2:M$8,2,FALSE)</f>
        <v>0</v>
      </c>
      <c r="F4">
        <f t="shared" si="0"/>
        <v>1</v>
      </c>
      <c r="G4">
        <f>IF(F4&gt;F3,G3+B4*E4,B4*E4)</f>
        <v>0</v>
      </c>
      <c r="H4">
        <f t="shared" ref="H4:H67" si="1">IF(AND(F4&lt;6,F4&gt;F3),E4+H3,E4)</f>
        <v>0</v>
      </c>
      <c r="I4">
        <f t="shared" ref="I4:I67" si="2">IF(F3&gt;F4,G3/H3,0)</f>
        <v>5.6895589473684209</v>
      </c>
      <c r="K4" t="s">
        <v>9</v>
      </c>
      <c r="L4">
        <v>7</v>
      </c>
      <c r="M4">
        <v>0.25</v>
      </c>
    </row>
    <row r="5" spans="1:13">
      <c r="A5" s="1">
        <v>38723</v>
      </c>
      <c r="B5">
        <v>5.6332199999999997</v>
      </c>
      <c r="C5">
        <v>6.05</v>
      </c>
      <c r="D5">
        <f>WEEKDAY(A5,14)</f>
        <v>2</v>
      </c>
      <c r="E5">
        <f>VLOOKUP(D5,L$2:M$8,2,FALSE)</f>
        <v>0</v>
      </c>
      <c r="F5">
        <f t="shared" si="0"/>
        <v>2</v>
      </c>
      <c r="G5">
        <f>IF(F5&gt;F4,G4+B5*E5,B5*E5)</f>
        <v>0</v>
      </c>
      <c r="H5">
        <f t="shared" si="1"/>
        <v>0</v>
      </c>
      <c r="I5">
        <f t="shared" si="2"/>
        <v>0</v>
      </c>
      <c r="K5" t="s">
        <v>10</v>
      </c>
      <c r="L5">
        <v>1</v>
      </c>
      <c r="M5">
        <v>0</v>
      </c>
    </row>
    <row r="6" spans="1:13">
      <c r="A6" s="1">
        <v>38726</v>
      </c>
      <c r="B6">
        <v>5.6210399999999998</v>
      </c>
      <c r="C6">
        <v>6.05</v>
      </c>
      <c r="D6">
        <f>WEEKDAY(A6,14)</f>
        <v>5</v>
      </c>
      <c r="E6">
        <f>VLOOKUP(D6,L$2:M$8,2,FALSE)</f>
        <v>0.05</v>
      </c>
      <c r="F6">
        <f t="shared" si="0"/>
        <v>3</v>
      </c>
      <c r="G6">
        <f>IF(F6&gt;F5,G5+B6*E6,B6*E6)</f>
        <v>0.28105200000000002</v>
      </c>
      <c r="H6">
        <f t="shared" si="1"/>
        <v>0.05</v>
      </c>
      <c r="I6">
        <f t="shared" si="2"/>
        <v>0</v>
      </c>
      <c r="K6" t="s">
        <v>11</v>
      </c>
      <c r="L6">
        <v>2</v>
      </c>
      <c r="M6">
        <v>0</v>
      </c>
    </row>
    <row r="7" spans="1:13">
      <c r="A7" s="1">
        <v>38727</v>
      </c>
      <c r="B7">
        <v>5.6824599999999998</v>
      </c>
      <c r="C7">
        <v>6.05</v>
      </c>
      <c r="D7">
        <f>WEEKDAY(A7,14)</f>
        <v>6</v>
      </c>
      <c r="E7">
        <f>VLOOKUP(D7,L$2:M$8,2,FALSE)</f>
        <v>0.7</v>
      </c>
      <c r="F7">
        <f t="shared" si="0"/>
        <v>4</v>
      </c>
      <c r="G7">
        <f>IF(F7&gt;F6,G6+B7*E7,B7*E7)</f>
        <v>4.2587739999999998</v>
      </c>
      <c r="H7">
        <f t="shared" si="1"/>
        <v>0.75</v>
      </c>
      <c r="I7">
        <f t="shared" si="2"/>
        <v>0</v>
      </c>
      <c r="K7" t="s">
        <v>12</v>
      </c>
      <c r="L7">
        <v>3</v>
      </c>
      <c r="M7">
        <v>0</v>
      </c>
    </row>
    <row r="8" spans="1:13">
      <c r="A8" s="1">
        <v>38728</v>
      </c>
      <c r="B8">
        <v>5.7069999999999999</v>
      </c>
      <c r="C8">
        <v>6.05</v>
      </c>
      <c r="D8">
        <f>WEEKDAY(A8,14)</f>
        <v>7</v>
      </c>
      <c r="E8">
        <f>VLOOKUP(D8,L$2:M$8,2,FALSE)</f>
        <v>0.25</v>
      </c>
      <c r="F8">
        <f t="shared" si="0"/>
        <v>5</v>
      </c>
      <c r="G8">
        <f>IF(F8&gt;F7,G7+B8*E8,B8*E8)</f>
        <v>5.685524</v>
      </c>
      <c r="H8">
        <f t="shared" si="1"/>
        <v>1</v>
      </c>
      <c r="I8">
        <f t="shared" si="2"/>
        <v>0</v>
      </c>
      <c r="K8" t="s">
        <v>13</v>
      </c>
      <c r="L8">
        <v>4</v>
      </c>
      <c r="M8">
        <v>0</v>
      </c>
    </row>
    <row r="9" spans="1:13">
      <c r="A9" s="1">
        <v>38729</v>
      </c>
      <c r="B9">
        <v>5.6444099999999997</v>
      </c>
      <c r="C9">
        <v>5.9749999999999996</v>
      </c>
      <c r="D9">
        <f>WEEKDAY(A9,14)</f>
        <v>1</v>
      </c>
      <c r="E9">
        <f>VLOOKUP(D9,L$2:M$8,2,FALSE)</f>
        <v>0</v>
      </c>
      <c r="F9">
        <f t="shared" si="0"/>
        <v>1</v>
      </c>
      <c r="G9">
        <f>IF(F9&gt;F8,G8+B9*E9,B9*E9)</f>
        <v>0</v>
      </c>
      <c r="H9">
        <f t="shared" si="1"/>
        <v>0</v>
      </c>
      <c r="I9">
        <f t="shared" si="2"/>
        <v>5.685524</v>
      </c>
    </row>
    <row r="10" spans="1:13">
      <c r="A10" s="1">
        <v>38730</v>
      </c>
      <c r="B10">
        <v>5.5807000000000002</v>
      </c>
      <c r="C10">
        <v>5.9749999999999996</v>
      </c>
      <c r="D10">
        <f>WEEKDAY(A10,14)</f>
        <v>2</v>
      </c>
      <c r="E10">
        <f>VLOOKUP(D10,L$2:M$8,2,FALSE)</f>
        <v>0</v>
      </c>
      <c r="F10">
        <f t="shared" si="0"/>
        <v>2</v>
      </c>
      <c r="G10">
        <f>IF(F10&gt;F9,G9+B10*E10,B10*E10)</f>
        <v>0</v>
      </c>
      <c r="H10">
        <f t="shared" si="1"/>
        <v>0</v>
      </c>
      <c r="I10">
        <f t="shared" si="2"/>
        <v>0</v>
      </c>
    </row>
    <row r="11" spans="1:13">
      <c r="A11" s="1">
        <v>38734</v>
      </c>
      <c r="B11">
        <v>5.5762400000000003</v>
      </c>
      <c r="C11">
        <v>5.9749999999999996</v>
      </c>
      <c r="D11">
        <f>WEEKDAY(A11,14)</f>
        <v>6</v>
      </c>
      <c r="E11">
        <f>VLOOKUP(D11,L$2:M$8,2,FALSE)</f>
        <v>0.7</v>
      </c>
      <c r="F11">
        <f t="shared" si="0"/>
        <v>3</v>
      </c>
      <c r="G11">
        <f>IF(F11&gt;F10,G10+B11*E11,B11*E11)</f>
        <v>3.9033679999999999</v>
      </c>
      <c r="H11">
        <f t="shared" si="1"/>
        <v>0.7</v>
      </c>
      <c r="I11">
        <f t="shared" si="2"/>
        <v>0</v>
      </c>
    </row>
    <row r="12" spans="1:13">
      <c r="A12" s="1">
        <v>38735</v>
      </c>
      <c r="B12">
        <v>5.5866100000000003</v>
      </c>
      <c r="C12">
        <v>5.9749999999999996</v>
      </c>
      <c r="D12">
        <f>WEEKDAY(A12,14)</f>
        <v>7</v>
      </c>
      <c r="E12">
        <f>VLOOKUP(D12,L$2:M$8,2,FALSE)</f>
        <v>0.25</v>
      </c>
      <c r="F12">
        <f t="shared" si="0"/>
        <v>4</v>
      </c>
      <c r="G12">
        <f>IF(F12&gt;F11,G11+B12*E12,B12*E12)</f>
        <v>5.3000205000000005</v>
      </c>
      <c r="H12">
        <f t="shared" si="1"/>
        <v>0.95</v>
      </c>
      <c r="I12">
        <f t="shared" si="2"/>
        <v>0</v>
      </c>
    </row>
    <row r="13" spans="1:13">
      <c r="A13" s="1">
        <v>38736</v>
      </c>
      <c r="B13">
        <v>5.6221100000000002</v>
      </c>
      <c r="C13">
        <v>5.9950000000000001</v>
      </c>
      <c r="D13">
        <f>WEEKDAY(A13,14)</f>
        <v>1</v>
      </c>
      <c r="E13">
        <f>VLOOKUP(D13,L$2:M$8,2,FALSE)</f>
        <v>0</v>
      </c>
      <c r="F13">
        <f t="shared" si="0"/>
        <v>1</v>
      </c>
      <c r="G13">
        <f>IF(F13&gt;F12,G12+B13*E13,B13*E13)</f>
        <v>0</v>
      </c>
      <c r="H13">
        <f t="shared" si="1"/>
        <v>0</v>
      </c>
      <c r="I13">
        <f t="shared" si="2"/>
        <v>5.5789689473684216</v>
      </c>
    </row>
    <row r="14" spans="1:13">
      <c r="A14" s="1">
        <v>38737</v>
      </c>
      <c r="B14">
        <v>5.5842299999999998</v>
      </c>
      <c r="C14">
        <v>5.9950000000000001</v>
      </c>
      <c r="D14">
        <f>WEEKDAY(A14,14)</f>
        <v>2</v>
      </c>
      <c r="E14">
        <f>VLOOKUP(D14,L$2:M$8,2,FALSE)</f>
        <v>0</v>
      </c>
      <c r="F14">
        <f t="shared" si="0"/>
        <v>2</v>
      </c>
      <c r="G14">
        <f>IF(F14&gt;F13,G13+B14*E14,B14*E14)</f>
        <v>0</v>
      </c>
      <c r="H14">
        <f t="shared" si="1"/>
        <v>0</v>
      </c>
      <c r="I14">
        <f t="shared" si="2"/>
        <v>0</v>
      </c>
    </row>
    <row r="15" spans="1:13">
      <c r="A15" s="1">
        <v>38740</v>
      </c>
      <c r="B15">
        <v>5.5809600000000001</v>
      </c>
      <c r="C15">
        <v>5.9950000000000001</v>
      </c>
      <c r="D15">
        <f>WEEKDAY(A15,14)</f>
        <v>5</v>
      </c>
      <c r="E15">
        <f>VLOOKUP(D15,L$2:M$8,2,FALSE)</f>
        <v>0.05</v>
      </c>
      <c r="F15">
        <f t="shared" si="0"/>
        <v>3</v>
      </c>
      <c r="G15">
        <f>IF(F15&gt;F14,G14+B15*E15,B15*E15)</f>
        <v>0.27904800000000002</v>
      </c>
      <c r="H15">
        <f t="shared" si="1"/>
        <v>0.05</v>
      </c>
      <c r="I15">
        <f t="shared" si="2"/>
        <v>0</v>
      </c>
    </row>
    <row r="16" spans="1:13">
      <c r="A16" s="1">
        <v>38741</v>
      </c>
      <c r="B16">
        <v>5.6148899999999999</v>
      </c>
      <c r="C16">
        <v>5.9950000000000001</v>
      </c>
      <c r="D16">
        <f>WEEKDAY(A16,14)</f>
        <v>6</v>
      </c>
      <c r="E16">
        <f>VLOOKUP(D16,L$2:M$8,2,FALSE)</f>
        <v>0.7</v>
      </c>
      <c r="F16">
        <f t="shared" si="0"/>
        <v>4</v>
      </c>
      <c r="G16">
        <f>IF(F16&gt;F15,G15+B16*E16,B16*E16)</f>
        <v>4.2094709999999997</v>
      </c>
      <c r="H16">
        <f t="shared" si="1"/>
        <v>0.75</v>
      </c>
      <c r="I16">
        <f t="shared" si="2"/>
        <v>0</v>
      </c>
    </row>
    <row r="17" spans="1:9">
      <c r="A17" s="1">
        <v>38742</v>
      </c>
      <c r="B17">
        <v>5.7073999999999998</v>
      </c>
      <c r="C17">
        <v>5.9950000000000001</v>
      </c>
      <c r="D17">
        <f>WEEKDAY(A17,14)</f>
        <v>7</v>
      </c>
      <c r="E17">
        <f>VLOOKUP(D17,L$2:M$8,2,FALSE)</f>
        <v>0.25</v>
      </c>
      <c r="F17">
        <f t="shared" si="0"/>
        <v>5</v>
      </c>
      <c r="G17">
        <f>IF(F17&gt;F16,G16+B17*E17,B17*E17)</f>
        <v>5.6363209999999997</v>
      </c>
      <c r="H17">
        <f t="shared" si="1"/>
        <v>1</v>
      </c>
      <c r="I17">
        <f t="shared" si="2"/>
        <v>0</v>
      </c>
    </row>
    <row r="18" spans="1:9">
      <c r="A18" s="1">
        <v>38743</v>
      </c>
      <c r="B18">
        <v>5.7554100000000004</v>
      </c>
      <c r="C18">
        <v>6.1050000000000004</v>
      </c>
      <c r="D18">
        <f>WEEKDAY(A18,14)</f>
        <v>1</v>
      </c>
      <c r="E18">
        <f>VLOOKUP(D18,L$2:M$8,2,FALSE)</f>
        <v>0</v>
      </c>
      <c r="F18">
        <f t="shared" si="0"/>
        <v>1</v>
      </c>
      <c r="G18">
        <f>IF(F18&gt;F17,G17+B18*E18,B18*E18)</f>
        <v>0</v>
      </c>
      <c r="H18">
        <f t="shared" si="1"/>
        <v>0</v>
      </c>
      <c r="I18">
        <f t="shared" si="2"/>
        <v>5.6363209999999997</v>
      </c>
    </row>
    <row r="19" spans="1:9">
      <c r="A19" s="1">
        <v>38744</v>
      </c>
      <c r="B19">
        <v>5.7334800000000001</v>
      </c>
      <c r="C19">
        <v>6.1050000000000004</v>
      </c>
      <c r="D19">
        <f>WEEKDAY(A19,14)</f>
        <v>2</v>
      </c>
      <c r="E19">
        <f>VLOOKUP(D19,L$2:M$8,2,FALSE)</f>
        <v>0</v>
      </c>
      <c r="F19">
        <f t="shared" si="0"/>
        <v>2</v>
      </c>
      <c r="G19">
        <f>IF(F19&gt;F18,G18+B19*E19,B19*E19)</f>
        <v>0</v>
      </c>
      <c r="H19">
        <f t="shared" si="1"/>
        <v>0</v>
      </c>
      <c r="I19">
        <f t="shared" si="2"/>
        <v>0</v>
      </c>
    </row>
    <row r="20" spans="1:9">
      <c r="A20" s="1">
        <v>38747</v>
      </c>
      <c r="B20">
        <v>5.7553900000000002</v>
      </c>
      <c r="C20">
        <v>6.1050000000000004</v>
      </c>
      <c r="D20">
        <f>WEEKDAY(A20,14)</f>
        <v>5</v>
      </c>
      <c r="E20">
        <f>VLOOKUP(D20,L$2:M$8,2,FALSE)</f>
        <v>0.05</v>
      </c>
      <c r="F20">
        <f t="shared" si="0"/>
        <v>3</v>
      </c>
      <c r="G20">
        <f>IF(F20&gt;F19,G19+B20*E20,B20*E20)</f>
        <v>0.28776950000000001</v>
      </c>
      <c r="H20">
        <f t="shared" si="1"/>
        <v>0.05</v>
      </c>
      <c r="I20">
        <f t="shared" si="2"/>
        <v>0</v>
      </c>
    </row>
    <row r="21" spans="1:9">
      <c r="A21" s="1">
        <v>38748</v>
      </c>
      <c r="B21">
        <v>5.7637299999999998</v>
      </c>
      <c r="C21">
        <v>6.1050000000000004</v>
      </c>
      <c r="D21">
        <f>WEEKDAY(A21,14)</f>
        <v>6</v>
      </c>
      <c r="E21">
        <f>VLOOKUP(D21,L$2:M$8,2,FALSE)</f>
        <v>0.7</v>
      </c>
      <c r="F21">
        <f t="shared" si="0"/>
        <v>4</v>
      </c>
      <c r="G21">
        <f>IF(F21&gt;F20,G20+B21*E21,B21*E21)</f>
        <v>4.3223804999999995</v>
      </c>
      <c r="H21">
        <f t="shared" si="1"/>
        <v>0.75</v>
      </c>
      <c r="I21">
        <f t="shared" si="2"/>
        <v>0</v>
      </c>
    </row>
    <row r="22" spans="1:9">
      <c r="A22" s="1">
        <v>38749</v>
      </c>
      <c r="B22">
        <v>5.8087299999999997</v>
      </c>
      <c r="C22">
        <v>6.1050000000000004</v>
      </c>
      <c r="D22">
        <f>WEEKDAY(A22,14)</f>
        <v>7</v>
      </c>
      <c r="E22">
        <f>VLOOKUP(D22,L$2:M$8,2,FALSE)</f>
        <v>0.25</v>
      </c>
      <c r="F22">
        <f t="shared" si="0"/>
        <v>5</v>
      </c>
      <c r="G22">
        <f>IF(F22&gt;F21,G21+B22*E22,B22*E22)</f>
        <v>5.7745629999999997</v>
      </c>
      <c r="H22">
        <f t="shared" si="1"/>
        <v>1</v>
      </c>
      <c r="I22">
        <f t="shared" si="2"/>
        <v>0</v>
      </c>
    </row>
    <row r="23" spans="1:9">
      <c r="A23" s="1">
        <v>38750</v>
      </c>
      <c r="B23">
        <v>5.8067200000000003</v>
      </c>
      <c r="C23">
        <v>6.14</v>
      </c>
      <c r="D23">
        <f>WEEKDAY(A23,14)</f>
        <v>1</v>
      </c>
      <c r="E23">
        <f>VLOOKUP(D23,L$2:M$8,2,FALSE)</f>
        <v>0</v>
      </c>
      <c r="F23">
        <f t="shared" si="0"/>
        <v>1</v>
      </c>
      <c r="G23">
        <f>IF(F23&gt;F22,G22+B23*E23,B23*E23)</f>
        <v>0</v>
      </c>
      <c r="H23">
        <f t="shared" si="1"/>
        <v>0</v>
      </c>
      <c r="I23">
        <f t="shared" si="2"/>
        <v>5.7745629999999997</v>
      </c>
    </row>
    <row r="24" spans="1:9">
      <c r="A24" s="1">
        <v>38751</v>
      </c>
      <c r="B24">
        <v>5.7988799999999996</v>
      </c>
      <c r="C24">
        <v>6.14</v>
      </c>
      <c r="D24">
        <f>WEEKDAY(A24,14)</f>
        <v>2</v>
      </c>
      <c r="E24">
        <f>VLOOKUP(D24,L$2:M$8,2,FALSE)</f>
        <v>0</v>
      </c>
      <c r="F24">
        <f t="shared" si="0"/>
        <v>2</v>
      </c>
      <c r="G24">
        <f>IF(F24&gt;F23,G23+B24*E24,B24*E24)</f>
        <v>0</v>
      </c>
      <c r="H24">
        <f t="shared" si="1"/>
        <v>0</v>
      </c>
      <c r="I24">
        <f t="shared" si="2"/>
        <v>0</v>
      </c>
    </row>
    <row r="25" spans="1:9">
      <c r="A25" s="1">
        <v>38754</v>
      </c>
      <c r="B25">
        <v>5.8018599999999996</v>
      </c>
      <c r="C25">
        <v>6.14</v>
      </c>
      <c r="D25">
        <f>WEEKDAY(A25,14)</f>
        <v>5</v>
      </c>
      <c r="E25">
        <f>VLOOKUP(D25,L$2:M$8,2,FALSE)</f>
        <v>0.05</v>
      </c>
      <c r="F25">
        <f t="shared" si="0"/>
        <v>3</v>
      </c>
      <c r="G25">
        <f>IF(F25&gt;F24,G24+B25*E25,B25*E25)</f>
        <v>0.29009299999999999</v>
      </c>
      <c r="H25">
        <f t="shared" si="1"/>
        <v>0.05</v>
      </c>
      <c r="I25">
        <f t="shared" si="2"/>
        <v>0</v>
      </c>
    </row>
    <row r="26" spans="1:9">
      <c r="A26" s="1">
        <v>38755</v>
      </c>
      <c r="B26">
        <v>5.8017899999999996</v>
      </c>
      <c r="C26">
        <v>6.14</v>
      </c>
      <c r="D26">
        <f>WEEKDAY(A26,14)</f>
        <v>6</v>
      </c>
      <c r="E26">
        <f>VLOOKUP(D26,L$2:M$8,2,FALSE)</f>
        <v>0.7</v>
      </c>
      <c r="F26">
        <f t="shared" si="0"/>
        <v>4</v>
      </c>
      <c r="G26">
        <f>IF(F26&gt;F25,G25+B26*E26,B26*E26)</f>
        <v>4.3513459999999995</v>
      </c>
      <c r="H26">
        <f t="shared" si="1"/>
        <v>0.75</v>
      </c>
      <c r="I26">
        <f t="shared" si="2"/>
        <v>0</v>
      </c>
    </row>
    <row r="27" spans="1:9">
      <c r="A27" s="1">
        <v>38756</v>
      </c>
      <c r="B27">
        <v>5.8233800000000002</v>
      </c>
      <c r="C27">
        <v>6.14</v>
      </c>
      <c r="D27">
        <f>WEEKDAY(A27,14)</f>
        <v>7</v>
      </c>
      <c r="E27">
        <f>VLOOKUP(D27,L$2:M$8,2,FALSE)</f>
        <v>0.25</v>
      </c>
      <c r="F27">
        <f t="shared" si="0"/>
        <v>5</v>
      </c>
      <c r="G27">
        <f>IF(F27&gt;F26,G26+B27*E27,B27*E27)</f>
        <v>5.8071909999999995</v>
      </c>
      <c r="H27">
        <f t="shared" si="1"/>
        <v>1</v>
      </c>
      <c r="I27">
        <f t="shared" si="2"/>
        <v>0</v>
      </c>
    </row>
    <row r="28" spans="1:9">
      <c r="A28" s="1">
        <v>38757</v>
      </c>
      <c r="B28">
        <v>5.81487</v>
      </c>
      <c r="C28">
        <v>6.1550000000000002</v>
      </c>
      <c r="D28">
        <f>WEEKDAY(A28,14)</f>
        <v>1</v>
      </c>
      <c r="E28">
        <f>VLOOKUP(D28,L$2:M$8,2,FALSE)</f>
        <v>0</v>
      </c>
      <c r="F28">
        <f t="shared" si="0"/>
        <v>1</v>
      </c>
      <c r="G28">
        <f>IF(F28&gt;F27,G27+B28*E28,B28*E28)</f>
        <v>0</v>
      </c>
      <c r="H28">
        <f t="shared" si="1"/>
        <v>0</v>
      </c>
      <c r="I28">
        <f t="shared" si="2"/>
        <v>5.8071909999999995</v>
      </c>
    </row>
    <row r="29" spans="1:9">
      <c r="A29" s="1">
        <v>38758</v>
      </c>
      <c r="B29">
        <v>5.8434999999999997</v>
      </c>
      <c r="C29">
        <v>6.1550000000000002</v>
      </c>
      <c r="D29">
        <f>WEEKDAY(A29,14)</f>
        <v>2</v>
      </c>
      <c r="E29">
        <f>VLOOKUP(D29,L$2:M$8,2,FALSE)</f>
        <v>0</v>
      </c>
      <c r="F29">
        <f t="shared" si="0"/>
        <v>2</v>
      </c>
      <c r="G29">
        <f>IF(F29&gt;F28,G28+B29*E29,B29*E29)</f>
        <v>0</v>
      </c>
      <c r="H29">
        <f t="shared" si="1"/>
        <v>0</v>
      </c>
      <c r="I29">
        <f t="shared" si="2"/>
        <v>0</v>
      </c>
    </row>
    <row r="30" spans="1:9">
      <c r="A30" s="1">
        <v>38761</v>
      </c>
      <c r="B30">
        <v>5.8497700000000004</v>
      </c>
      <c r="C30">
        <v>6.1550000000000002</v>
      </c>
      <c r="D30">
        <f>WEEKDAY(A30,14)</f>
        <v>5</v>
      </c>
      <c r="E30">
        <f>VLOOKUP(D30,L$2:M$8,2,FALSE)</f>
        <v>0.05</v>
      </c>
      <c r="F30">
        <f t="shared" si="0"/>
        <v>3</v>
      </c>
      <c r="G30">
        <f>IF(F30&gt;F29,G29+B30*E30,B30*E30)</f>
        <v>0.29248850000000004</v>
      </c>
      <c r="H30">
        <f t="shared" si="1"/>
        <v>0.05</v>
      </c>
      <c r="I30">
        <f t="shared" si="2"/>
        <v>0</v>
      </c>
    </row>
    <row r="31" spans="1:9">
      <c r="A31" s="1">
        <v>38762</v>
      </c>
      <c r="B31">
        <v>5.8794599999999999</v>
      </c>
      <c r="C31">
        <v>6.1550000000000002</v>
      </c>
      <c r="D31">
        <f>WEEKDAY(A31,14)</f>
        <v>6</v>
      </c>
      <c r="E31">
        <f>VLOOKUP(D31,L$2:M$8,2,FALSE)</f>
        <v>0.7</v>
      </c>
      <c r="F31">
        <f t="shared" si="0"/>
        <v>4</v>
      </c>
      <c r="G31">
        <f>IF(F31&gt;F30,G30+B31*E31,B31*E31)</f>
        <v>4.4081105000000003</v>
      </c>
      <c r="H31">
        <f t="shared" si="1"/>
        <v>0.75</v>
      </c>
      <c r="I31">
        <f t="shared" si="2"/>
        <v>0</v>
      </c>
    </row>
    <row r="32" spans="1:9">
      <c r="A32" s="1">
        <v>38763</v>
      </c>
      <c r="B32">
        <v>5.8683800000000002</v>
      </c>
      <c r="C32">
        <v>6.1550000000000002</v>
      </c>
      <c r="D32">
        <f>WEEKDAY(A32,14)</f>
        <v>7</v>
      </c>
      <c r="E32">
        <f>VLOOKUP(D32,L$2:M$8,2,FALSE)</f>
        <v>0.25</v>
      </c>
      <c r="F32">
        <f t="shared" si="0"/>
        <v>5</v>
      </c>
      <c r="G32">
        <f>IF(F32&gt;F31,G31+B32*E32,B32*E32)</f>
        <v>5.8752054999999999</v>
      </c>
      <c r="H32">
        <f t="shared" si="1"/>
        <v>1</v>
      </c>
      <c r="I32">
        <f t="shared" si="2"/>
        <v>0</v>
      </c>
    </row>
    <row r="33" spans="1:9">
      <c r="A33" s="1">
        <v>38764</v>
      </c>
      <c r="B33">
        <v>5.8481500000000004</v>
      </c>
      <c r="C33">
        <v>6.16</v>
      </c>
      <c r="D33">
        <f>WEEKDAY(A33,14)</f>
        <v>1</v>
      </c>
      <c r="E33">
        <f>VLOOKUP(D33,L$2:M$8,2,FALSE)</f>
        <v>0</v>
      </c>
      <c r="F33">
        <f t="shared" si="0"/>
        <v>1</v>
      </c>
      <c r="G33">
        <f>IF(F33&gt;F32,G32+B33*E33,B33*E33)</f>
        <v>0</v>
      </c>
      <c r="H33">
        <f t="shared" si="1"/>
        <v>0</v>
      </c>
      <c r="I33">
        <f t="shared" si="2"/>
        <v>5.8752054999999999</v>
      </c>
    </row>
    <row r="34" spans="1:9">
      <c r="A34" s="1">
        <v>38765</v>
      </c>
      <c r="B34">
        <v>5.7808299999999999</v>
      </c>
      <c r="C34">
        <v>6.16</v>
      </c>
      <c r="D34">
        <f>WEEKDAY(A34,14)</f>
        <v>2</v>
      </c>
      <c r="E34">
        <f>VLOOKUP(D34,L$2:M$8,2,FALSE)</f>
        <v>0</v>
      </c>
      <c r="F34">
        <f t="shared" si="0"/>
        <v>2</v>
      </c>
      <c r="G34">
        <f>IF(F34&gt;F33,G33+B34*E34,B34*E34)</f>
        <v>0</v>
      </c>
      <c r="H34">
        <f t="shared" si="1"/>
        <v>0</v>
      </c>
      <c r="I34">
        <f t="shared" si="2"/>
        <v>0</v>
      </c>
    </row>
    <row r="35" spans="1:9">
      <c r="A35" s="1">
        <v>38769</v>
      </c>
      <c r="B35">
        <v>5.8075200000000002</v>
      </c>
      <c r="C35">
        <v>6.16</v>
      </c>
      <c r="D35">
        <f>WEEKDAY(A35,14)</f>
        <v>6</v>
      </c>
      <c r="E35">
        <f>VLOOKUP(D35,L$2:M$8,2,FALSE)</f>
        <v>0.7</v>
      </c>
      <c r="F35">
        <f t="shared" si="0"/>
        <v>3</v>
      </c>
      <c r="G35">
        <f>IF(F35&gt;F34,G34+B35*E35,B35*E35)</f>
        <v>4.065264</v>
      </c>
      <c r="H35">
        <f t="shared" si="1"/>
        <v>0.7</v>
      </c>
      <c r="I35">
        <f t="shared" si="2"/>
        <v>0</v>
      </c>
    </row>
    <row r="36" spans="1:9">
      <c r="A36" s="1">
        <v>38770</v>
      </c>
      <c r="B36">
        <v>5.7741600000000002</v>
      </c>
      <c r="C36">
        <v>6.16</v>
      </c>
      <c r="D36">
        <f>WEEKDAY(A36,14)</f>
        <v>7</v>
      </c>
      <c r="E36">
        <f>VLOOKUP(D36,L$2:M$8,2,FALSE)</f>
        <v>0.25</v>
      </c>
      <c r="F36">
        <f t="shared" si="0"/>
        <v>4</v>
      </c>
      <c r="G36">
        <f>IF(F36&gt;F35,G35+B36*E36,B36*E36)</f>
        <v>5.5088039999999996</v>
      </c>
      <c r="H36">
        <f t="shared" si="1"/>
        <v>0.95</v>
      </c>
      <c r="I36">
        <f t="shared" si="2"/>
        <v>0</v>
      </c>
    </row>
    <row r="37" spans="1:9">
      <c r="A37" s="1">
        <v>38771</v>
      </c>
      <c r="B37">
        <v>5.7953700000000001</v>
      </c>
      <c r="C37">
        <v>6.14</v>
      </c>
      <c r="D37">
        <f>WEEKDAY(A37,14)</f>
        <v>1</v>
      </c>
      <c r="E37">
        <f>VLOOKUP(D37,L$2:M$8,2,FALSE)</f>
        <v>0</v>
      </c>
      <c r="F37">
        <f t="shared" si="0"/>
        <v>1</v>
      </c>
      <c r="G37">
        <f>IF(F37&gt;F36,G36+B37*E37,B37*E37)</f>
        <v>0</v>
      </c>
      <c r="H37">
        <f t="shared" si="1"/>
        <v>0</v>
      </c>
      <c r="I37">
        <f t="shared" si="2"/>
        <v>5.7987410526315788</v>
      </c>
    </row>
    <row r="38" spans="1:9">
      <c r="A38" s="1">
        <v>38772</v>
      </c>
      <c r="B38">
        <v>5.76417</v>
      </c>
      <c r="C38">
        <v>6.14</v>
      </c>
      <c r="D38">
        <f>WEEKDAY(A38,14)</f>
        <v>2</v>
      </c>
      <c r="E38">
        <f>VLOOKUP(D38,L$2:M$8,2,FALSE)</f>
        <v>0</v>
      </c>
      <c r="F38">
        <f t="shared" si="0"/>
        <v>2</v>
      </c>
      <c r="G38">
        <f>IF(F38&gt;F37,G37+B38*E38,B38*E38)</f>
        <v>0</v>
      </c>
      <c r="H38">
        <f t="shared" si="1"/>
        <v>0</v>
      </c>
      <c r="I38">
        <f t="shared" si="2"/>
        <v>0</v>
      </c>
    </row>
    <row r="39" spans="1:9">
      <c r="A39" s="1">
        <v>38775</v>
      </c>
      <c r="B39">
        <v>5.7724900000000003</v>
      </c>
      <c r="C39">
        <v>6.14</v>
      </c>
      <c r="D39">
        <f>WEEKDAY(A39,14)</f>
        <v>5</v>
      </c>
      <c r="E39">
        <f>VLOOKUP(D39,L$2:M$8,2,FALSE)</f>
        <v>0.05</v>
      </c>
      <c r="F39">
        <f t="shared" si="0"/>
        <v>3</v>
      </c>
      <c r="G39">
        <f>IF(F39&gt;F38,G38+B39*E39,B39*E39)</f>
        <v>0.28862450000000001</v>
      </c>
      <c r="H39">
        <f t="shared" si="1"/>
        <v>0.05</v>
      </c>
      <c r="I39">
        <f t="shared" si="2"/>
        <v>0</v>
      </c>
    </row>
    <row r="40" spans="1:9">
      <c r="A40" s="1">
        <v>38776</v>
      </c>
      <c r="B40">
        <v>5.7345300000000003</v>
      </c>
      <c r="C40">
        <v>6.14</v>
      </c>
      <c r="D40">
        <f>WEEKDAY(A40,14)</f>
        <v>6</v>
      </c>
      <c r="E40">
        <f>VLOOKUP(D40,L$2:M$8,2,FALSE)</f>
        <v>0.7</v>
      </c>
      <c r="F40">
        <f t="shared" si="0"/>
        <v>4</v>
      </c>
      <c r="G40">
        <f>IF(F40&gt;F39,G39+B40*E40,B40*E40)</f>
        <v>4.3027955000000002</v>
      </c>
      <c r="H40">
        <f t="shared" si="1"/>
        <v>0.75</v>
      </c>
      <c r="I40">
        <f t="shared" si="2"/>
        <v>0</v>
      </c>
    </row>
    <row r="41" spans="1:9">
      <c r="A41" s="1">
        <v>38777</v>
      </c>
      <c r="B41">
        <v>5.8000400000000001</v>
      </c>
      <c r="C41">
        <v>6.14</v>
      </c>
      <c r="D41">
        <f>WEEKDAY(A41,14)</f>
        <v>7</v>
      </c>
      <c r="E41">
        <f>VLOOKUP(D41,L$2:M$8,2,FALSE)</f>
        <v>0.25</v>
      </c>
      <c r="F41">
        <f t="shared" si="0"/>
        <v>5</v>
      </c>
      <c r="G41">
        <f>IF(F41&gt;F40,G40+B41*E41,B41*E41)</f>
        <v>5.7528055</v>
      </c>
      <c r="H41">
        <f t="shared" si="1"/>
        <v>1</v>
      </c>
      <c r="I41">
        <f t="shared" si="2"/>
        <v>0</v>
      </c>
    </row>
    <row r="42" spans="1:9">
      <c r="A42" s="1">
        <v>38778</v>
      </c>
      <c r="B42">
        <v>5.8539199999999996</v>
      </c>
      <c r="C42">
        <v>6.27</v>
      </c>
      <c r="D42">
        <f>WEEKDAY(A42,14)</f>
        <v>1</v>
      </c>
      <c r="E42">
        <f>VLOOKUP(D42,L$2:M$8,2,FALSE)</f>
        <v>0</v>
      </c>
      <c r="F42">
        <f t="shared" si="0"/>
        <v>1</v>
      </c>
      <c r="G42">
        <f>IF(F42&gt;F41,G41+B42*E42,B42*E42)</f>
        <v>0</v>
      </c>
      <c r="H42">
        <f t="shared" si="1"/>
        <v>0</v>
      </c>
      <c r="I42">
        <f t="shared" si="2"/>
        <v>5.7528055</v>
      </c>
    </row>
    <row r="43" spans="1:9">
      <c r="A43" s="1">
        <v>38779</v>
      </c>
      <c r="B43">
        <v>5.8861299999999996</v>
      </c>
      <c r="C43">
        <v>6.27</v>
      </c>
      <c r="D43">
        <f>WEEKDAY(A43,14)</f>
        <v>2</v>
      </c>
      <c r="E43">
        <f>VLOOKUP(D43,L$2:M$8,2,FALSE)</f>
        <v>0</v>
      </c>
      <c r="F43">
        <f t="shared" si="0"/>
        <v>2</v>
      </c>
      <c r="G43">
        <f>IF(F43&gt;F42,G42+B43*E43,B43*E43)</f>
        <v>0</v>
      </c>
      <c r="H43">
        <f t="shared" si="1"/>
        <v>0</v>
      </c>
      <c r="I43">
        <f t="shared" si="2"/>
        <v>0</v>
      </c>
    </row>
    <row r="44" spans="1:9">
      <c r="A44" s="1">
        <v>38782</v>
      </c>
      <c r="B44">
        <v>5.94346</v>
      </c>
      <c r="C44">
        <v>6.27</v>
      </c>
      <c r="D44">
        <f>WEEKDAY(A44,14)</f>
        <v>5</v>
      </c>
      <c r="E44">
        <f>VLOOKUP(D44,L$2:M$8,2,FALSE)</f>
        <v>0.05</v>
      </c>
      <c r="F44">
        <f t="shared" si="0"/>
        <v>3</v>
      </c>
      <c r="G44">
        <f>IF(F44&gt;F43,G43+B44*E44,B44*E44)</f>
        <v>0.29717300000000002</v>
      </c>
      <c r="H44">
        <f t="shared" si="1"/>
        <v>0.05</v>
      </c>
      <c r="I44">
        <f t="shared" si="2"/>
        <v>0</v>
      </c>
    </row>
    <row r="45" spans="1:9">
      <c r="A45" s="1">
        <v>38783</v>
      </c>
      <c r="B45">
        <v>5.95092</v>
      </c>
      <c r="C45">
        <v>6.27</v>
      </c>
      <c r="D45">
        <f>WEEKDAY(A45,14)</f>
        <v>6</v>
      </c>
      <c r="E45">
        <f>VLOOKUP(D45,L$2:M$8,2,FALSE)</f>
        <v>0.7</v>
      </c>
      <c r="F45">
        <f t="shared" si="0"/>
        <v>4</v>
      </c>
      <c r="G45">
        <f>IF(F45&gt;F44,G44+B45*E45,B45*E45)</f>
        <v>4.4628169999999994</v>
      </c>
      <c r="H45">
        <f t="shared" si="1"/>
        <v>0.75</v>
      </c>
      <c r="I45">
        <f t="shared" si="2"/>
        <v>0</v>
      </c>
    </row>
    <row r="46" spans="1:9">
      <c r="A46" s="1">
        <v>38784</v>
      </c>
      <c r="B46">
        <v>5.9458299999999999</v>
      </c>
      <c r="C46">
        <v>6.27</v>
      </c>
      <c r="D46">
        <f>WEEKDAY(A46,14)</f>
        <v>7</v>
      </c>
      <c r="E46">
        <f>VLOOKUP(D46,L$2:M$8,2,FALSE)</f>
        <v>0.25</v>
      </c>
      <c r="F46">
        <f t="shared" si="0"/>
        <v>5</v>
      </c>
      <c r="G46">
        <f>IF(F46&gt;F45,G45+B46*E46,B46*E46)</f>
        <v>5.9492744999999996</v>
      </c>
      <c r="H46">
        <f t="shared" si="1"/>
        <v>1</v>
      </c>
      <c r="I46">
        <f t="shared" si="2"/>
        <v>0</v>
      </c>
    </row>
    <row r="47" spans="1:9">
      <c r="A47" s="1">
        <v>38785</v>
      </c>
      <c r="B47">
        <v>5.9135</v>
      </c>
      <c r="C47">
        <v>6.2649999999999997</v>
      </c>
      <c r="D47">
        <f>WEEKDAY(A47,14)</f>
        <v>1</v>
      </c>
      <c r="E47">
        <f>VLOOKUP(D47,L$2:M$8,2,FALSE)</f>
        <v>0</v>
      </c>
      <c r="F47">
        <f t="shared" si="0"/>
        <v>1</v>
      </c>
      <c r="G47">
        <f>IF(F47&gt;F46,G46+B47*E47,B47*E47)</f>
        <v>0</v>
      </c>
      <c r="H47">
        <f t="shared" si="1"/>
        <v>0</v>
      </c>
      <c r="I47">
        <f t="shared" si="2"/>
        <v>5.9492744999999996</v>
      </c>
    </row>
    <row r="48" spans="1:9">
      <c r="A48" s="1">
        <v>38786</v>
      </c>
      <c r="B48">
        <v>5.9355399999999996</v>
      </c>
      <c r="C48">
        <v>6.2649999999999997</v>
      </c>
      <c r="D48">
        <f>WEEKDAY(A48,14)</f>
        <v>2</v>
      </c>
      <c r="E48">
        <f>VLOOKUP(D48,L$2:M$8,2,FALSE)</f>
        <v>0</v>
      </c>
      <c r="F48">
        <f t="shared" si="0"/>
        <v>2</v>
      </c>
      <c r="G48">
        <f>IF(F48&gt;F47,G47+B48*E48,B48*E48)</f>
        <v>0</v>
      </c>
      <c r="H48">
        <f t="shared" si="1"/>
        <v>0</v>
      </c>
      <c r="I48">
        <f t="shared" si="2"/>
        <v>0</v>
      </c>
    </row>
    <row r="49" spans="1:9">
      <c r="A49" s="1">
        <v>38789</v>
      </c>
      <c r="B49">
        <v>5.9576599999999997</v>
      </c>
      <c r="C49">
        <v>6.2649999999999997</v>
      </c>
      <c r="D49">
        <f>WEEKDAY(A49,14)</f>
        <v>5</v>
      </c>
      <c r="E49">
        <f>VLOOKUP(D49,L$2:M$8,2,FALSE)</f>
        <v>0.05</v>
      </c>
      <c r="F49">
        <f t="shared" si="0"/>
        <v>3</v>
      </c>
      <c r="G49">
        <f>IF(F49&gt;F48,G48+B49*E49,B49*E49)</f>
        <v>0.29788300000000001</v>
      </c>
      <c r="H49">
        <f t="shared" si="1"/>
        <v>0.05</v>
      </c>
      <c r="I49">
        <f t="shared" si="2"/>
        <v>0</v>
      </c>
    </row>
    <row r="50" spans="1:9">
      <c r="A50" s="1">
        <v>38790</v>
      </c>
      <c r="B50">
        <v>5.8723599999999996</v>
      </c>
      <c r="C50">
        <v>6.2649999999999997</v>
      </c>
      <c r="D50">
        <f>WEEKDAY(A50,14)</f>
        <v>6</v>
      </c>
      <c r="E50">
        <f>VLOOKUP(D50,L$2:M$8,2,FALSE)</f>
        <v>0.7</v>
      </c>
      <c r="F50">
        <f t="shared" si="0"/>
        <v>4</v>
      </c>
      <c r="G50">
        <f>IF(F50&gt;F49,G49+B50*E50,B50*E50)</f>
        <v>4.4085349999999988</v>
      </c>
      <c r="H50">
        <f t="shared" si="1"/>
        <v>0.75</v>
      </c>
      <c r="I50">
        <f t="shared" si="2"/>
        <v>0</v>
      </c>
    </row>
    <row r="51" spans="1:9">
      <c r="A51" s="1">
        <v>38791</v>
      </c>
      <c r="B51">
        <v>5.9081200000000003</v>
      </c>
      <c r="C51">
        <v>6.2649999999999997</v>
      </c>
      <c r="D51">
        <f>WEEKDAY(A51,14)</f>
        <v>7</v>
      </c>
      <c r="E51">
        <f>VLOOKUP(D51,L$2:M$8,2,FALSE)</f>
        <v>0.25</v>
      </c>
      <c r="F51">
        <f t="shared" si="0"/>
        <v>5</v>
      </c>
      <c r="G51">
        <f>IF(F51&gt;F50,G50+B51*E51,B51*E51)</f>
        <v>5.8855649999999988</v>
      </c>
      <c r="H51">
        <f t="shared" si="1"/>
        <v>1</v>
      </c>
      <c r="I51">
        <f t="shared" si="2"/>
        <v>0</v>
      </c>
    </row>
    <row r="52" spans="1:9">
      <c r="A52" s="1">
        <v>38792</v>
      </c>
      <c r="B52">
        <v>5.8306699999999996</v>
      </c>
      <c r="C52">
        <v>6.22</v>
      </c>
      <c r="D52">
        <f>WEEKDAY(A52,14)</f>
        <v>1</v>
      </c>
      <c r="E52">
        <f>VLOOKUP(D52,L$2:M$8,2,FALSE)</f>
        <v>0</v>
      </c>
      <c r="F52">
        <f t="shared" si="0"/>
        <v>1</v>
      </c>
      <c r="G52">
        <f>IF(F52&gt;F51,G51+B52*E52,B52*E52)</f>
        <v>0</v>
      </c>
      <c r="H52">
        <f t="shared" si="1"/>
        <v>0</v>
      </c>
      <c r="I52">
        <f t="shared" si="2"/>
        <v>5.8855649999999988</v>
      </c>
    </row>
    <row r="53" spans="1:9">
      <c r="A53" s="1">
        <v>38793</v>
      </c>
      <c r="B53">
        <v>5.8586200000000002</v>
      </c>
      <c r="C53">
        <v>6.22</v>
      </c>
      <c r="D53">
        <f>WEEKDAY(A53,14)</f>
        <v>2</v>
      </c>
      <c r="E53">
        <f>VLOOKUP(D53,L$2:M$8,2,FALSE)</f>
        <v>0</v>
      </c>
      <c r="F53">
        <f t="shared" si="0"/>
        <v>2</v>
      </c>
      <c r="G53">
        <f>IF(F53&gt;F52,G52+B53*E53,B53*E53)</f>
        <v>0</v>
      </c>
      <c r="H53">
        <f t="shared" si="1"/>
        <v>0</v>
      </c>
      <c r="I53">
        <f t="shared" si="2"/>
        <v>0</v>
      </c>
    </row>
    <row r="54" spans="1:9">
      <c r="A54" s="1">
        <v>38796</v>
      </c>
      <c r="B54">
        <v>5.84727</v>
      </c>
      <c r="C54">
        <v>6.22</v>
      </c>
      <c r="D54">
        <f>WEEKDAY(A54,14)</f>
        <v>5</v>
      </c>
      <c r="E54">
        <f>VLOOKUP(D54,L$2:M$8,2,FALSE)</f>
        <v>0.05</v>
      </c>
      <c r="F54">
        <f t="shared" si="0"/>
        <v>3</v>
      </c>
      <c r="G54">
        <f>IF(F54&gt;F53,G53+B54*E54,B54*E54)</f>
        <v>0.2923635</v>
      </c>
      <c r="H54">
        <f t="shared" si="1"/>
        <v>0.05</v>
      </c>
      <c r="I54">
        <f t="shared" si="2"/>
        <v>0</v>
      </c>
    </row>
    <row r="55" spans="1:9">
      <c r="A55" s="1">
        <v>38797</v>
      </c>
      <c r="B55">
        <v>5.9080000000000004</v>
      </c>
      <c r="C55">
        <v>6.22</v>
      </c>
      <c r="D55">
        <f>WEEKDAY(A55,14)</f>
        <v>6</v>
      </c>
      <c r="E55">
        <f>VLOOKUP(D55,L$2:M$8,2,FALSE)</f>
        <v>0.7</v>
      </c>
      <c r="F55">
        <f t="shared" si="0"/>
        <v>4</v>
      </c>
      <c r="G55">
        <f>IF(F55&gt;F54,G54+B55*E55,B55*E55)</f>
        <v>4.4279635000000006</v>
      </c>
      <c r="H55">
        <f t="shared" si="1"/>
        <v>0.75</v>
      </c>
      <c r="I55">
        <f t="shared" si="2"/>
        <v>0</v>
      </c>
    </row>
    <row r="56" spans="1:9">
      <c r="A56" s="1">
        <v>38798</v>
      </c>
      <c r="B56">
        <v>5.8988699999999996</v>
      </c>
      <c r="C56">
        <v>6.22</v>
      </c>
      <c r="D56">
        <f>WEEKDAY(A56,14)</f>
        <v>7</v>
      </c>
      <c r="E56">
        <f>VLOOKUP(D56,L$2:M$8,2,FALSE)</f>
        <v>0.25</v>
      </c>
      <c r="F56">
        <f t="shared" si="0"/>
        <v>5</v>
      </c>
      <c r="G56">
        <f>IF(F56&gt;F55,G55+B56*E56,B56*E56)</f>
        <v>5.9026810000000003</v>
      </c>
      <c r="H56">
        <f t="shared" si="1"/>
        <v>1</v>
      </c>
      <c r="I56">
        <f t="shared" si="2"/>
        <v>0</v>
      </c>
    </row>
    <row r="57" spans="1:9">
      <c r="A57" s="1">
        <v>38799</v>
      </c>
      <c r="B57">
        <v>5.9218099999999998</v>
      </c>
      <c r="C57">
        <v>6.2249999999999996</v>
      </c>
      <c r="D57">
        <f>WEEKDAY(A57,14)</f>
        <v>1</v>
      </c>
      <c r="E57">
        <f>VLOOKUP(D57,L$2:M$8,2,FALSE)</f>
        <v>0</v>
      </c>
      <c r="F57">
        <f t="shared" si="0"/>
        <v>1</v>
      </c>
      <c r="G57">
        <f>IF(F57&gt;F56,G56+B57*E57,B57*E57)</f>
        <v>0</v>
      </c>
      <c r="H57">
        <f t="shared" si="1"/>
        <v>0</v>
      </c>
      <c r="I57">
        <f t="shared" si="2"/>
        <v>5.9026810000000003</v>
      </c>
    </row>
    <row r="58" spans="1:9">
      <c r="A58" s="1">
        <v>38800</v>
      </c>
      <c r="B58">
        <v>5.8624099999999997</v>
      </c>
      <c r="C58">
        <v>6.2249999999999996</v>
      </c>
      <c r="D58">
        <f>WEEKDAY(A58,14)</f>
        <v>2</v>
      </c>
      <c r="E58">
        <f>VLOOKUP(D58,L$2:M$8,2,FALSE)</f>
        <v>0</v>
      </c>
      <c r="F58">
        <f t="shared" si="0"/>
        <v>2</v>
      </c>
      <c r="G58">
        <f>IF(F58&gt;F57,G57+B58*E58,B58*E58)</f>
        <v>0</v>
      </c>
      <c r="H58">
        <f t="shared" si="1"/>
        <v>0</v>
      </c>
      <c r="I58">
        <f t="shared" si="2"/>
        <v>0</v>
      </c>
    </row>
    <row r="59" spans="1:9">
      <c r="A59" s="1">
        <v>38803</v>
      </c>
      <c r="B59">
        <v>5.8787799999999999</v>
      </c>
      <c r="C59">
        <v>6.2249999999999996</v>
      </c>
      <c r="D59">
        <f>WEEKDAY(A59,14)</f>
        <v>5</v>
      </c>
      <c r="E59">
        <f>VLOOKUP(D59,L$2:M$8,2,FALSE)</f>
        <v>0.05</v>
      </c>
      <c r="F59">
        <f t="shared" si="0"/>
        <v>3</v>
      </c>
      <c r="G59">
        <f>IF(F59&gt;F58,G58+B59*E59,B59*E59)</f>
        <v>0.29393900000000001</v>
      </c>
      <c r="H59">
        <f t="shared" si="1"/>
        <v>0.05</v>
      </c>
      <c r="I59">
        <f t="shared" si="2"/>
        <v>0</v>
      </c>
    </row>
    <row r="60" spans="1:9">
      <c r="A60" s="1">
        <v>38804</v>
      </c>
      <c r="B60">
        <v>5.9448600000000003</v>
      </c>
      <c r="C60">
        <v>6.2249999999999996</v>
      </c>
      <c r="D60">
        <f>WEEKDAY(A60,14)</f>
        <v>6</v>
      </c>
      <c r="E60">
        <f>VLOOKUP(D60,L$2:M$8,2,FALSE)</f>
        <v>0.7</v>
      </c>
      <c r="F60">
        <f t="shared" si="0"/>
        <v>4</v>
      </c>
      <c r="G60">
        <f>IF(F60&gt;F59,G59+B60*E60,B60*E60)</f>
        <v>4.4553409999999998</v>
      </c>
      <c r="H60">
        <f t="shared" si="1"/>
        <v>0.75</v>
      </c>
      <c r="I60">
        <f t="shared" si="2"/>
        <v>0</v>
      </c>
    </row>
    <row r="61" spans="1:9">
      <c r="A61" s="1">
        <v>38805</v>
      </c>
      <c r="B61">
        <v>5.9759000000000002</v>
      </c>
      <c r="C61">
        <v>6.2249999999999996</v>
      </c>
      <c r="D61">
        <f>WEEKDAY(A61,14)</f>
        <v>7</v>
      </c>
      <c r="E61">
        <f>VLOOKUP(D61,L$2:M$8,2,FALSE)</f>
        <v>0.25</v>
      </c>
      <c r="F61">
        <f t="shared" si="0"/>
        <v>5</v>
      </c>
      <c r="G61">
        <f>IF(F61&gt;F60,G60+B61*E61,B61*E61)</f>
        <v>5.9493159999999996</v>
      </c>
      <c r="H61">
        <f t="shared" si="1"/>
        <v>1</v>
      </c>
      <c r="I61">
        <f t="shared" si="2"/>
        <v>0</v>
      </c>
    </row>
    <row r="62" spans="1:9">
      <c r="A62" s="1">
        <v>38806</v>
      </c>
      <c r="B62">
        <v>6.0082399999999998</v>
      </c>
      <c r="C62">
        <v>6.33</v>
      </c>
      <c r="D62">
        <f>WEEKDAY(A62,14)</f>
        <v>1</v>
      </c>
      <c r="E62">
        <f>VLOOKUP(D62,L$2:M$8,2,FALSE)</f>
        <v>0</v>
      </c>
      <c r="F62">
        <f t="shared" si="0"/>
        <v>1</v>
      </c>
      <c r="G62">
        <f>IF(F62&gt;F61,G61+B62*E62,B62*E62)</f>
        <v>0</v>
      </c>
      <c r="H62">
        <f t="shared" si="1"/>
        <v>0</v>
      </c>
      <c r="I62">
        <f t="shared" si="2"/>
        <v>5.9493159999999996</v>
      </c>
    </row>
    <row r="63" spans="1:9">
      <c r="A63" s="1">
        <v>38807</v>
      </c>
      <c r="B63">
        <v>6.0064099999999998</v>
      </c>
      <c r="C63">
        <v>6.33</v>
      </c>
      <c r="D63">
        <f>WEEKDAY(A63,14)</f>
        <v>2</v>
      </c>
      <c r="E63">
        <f>VLOOKUP(D63,L$2:M$8,2,FALSE)</f>
        <v>0</v>
      </c>
      <c r="F63">
        <f t="shared" si="0"/>
        <v>2</v>
      </c>
      <c r="G63">
        <f>IF(F63&gt;F62,G62+B63*E63,B63*E63)</f>
        <v>0</v>
      </c>
      <c r="H63">
        <f t="shared" si="1"/>
        <v>0</v>
      </c>
      <c r="I63">
        <f t="shared" si="2"/>
        <v>0</v>
      </c>
    </row>
    <row r="64" spans="1:9">
      <c r="A64" s="1">
        <v>38810</v>
      </c>
      <c r="B64">
        <v>6.0304500000000001</v>
      </c>
      <c r="C64">
        <v>6.33</v>
      </c>
      <c r="D64">
        <f>WEEKDAY(A64,14)</f>
        <v>5</v>
      </c>
      <c r="E64">
        <f>VLOOKUP(D64,L$2:M$8,2,FALSE)</f>
        <v>0.05</v>
      </c>
      <c r="F64">
        <f t="shared" si="0"/>
        <v>3</v>
      </c>
      <c r="G64">
        <f>IF(F64&gt;F63,G63+B64*E64,B64*E64)</f>
        <v>0.30152250000000003</v>
      </c>
      <c r="H64">
        <f t="shared" si="1"/>
        <v>0.05</v>
      </c>
      <c r="I64">
        <f t="shared" si="2"/>
        <v>0</v>
      </c>
    </row>
    <row r="65" spans="1:9">
      <c r="A65" s="1">
        <v>38811</v>
      </c>
      <c r="B65">
        <v>6.02555</v>
      </c>
      <c r="C65">
        <v>6.33</v>
      </c>
      <c r="D65">
        <f>WEEKDAY(A65,14)</f>
        <v>6</v>
      </c>
      <c r="E65">
        <f>VLOOKUP(D65,L$2:M$8,2,FALSE)</f>
        <v>0.7</v>
      </c>
      <c r="F65">
        <f t="shared" si="0"/>
        <v>4</v>
      </c>
      <c r="G65">
        <f>IF(F65&gt;F64,G64+B65*E65,B65*E65)</f>
        <v>4.5194074999999998</v>
      </c>
      <c r="H65">
        <f t="shared" si="1"/>
        <v>0.75</v>
      </c>
      <c r="I65">
        <f t="shared" si="2"/>
        <v>0</v>
      </c>
    </row>
    <row r="66" spans="1:9">
      <c r="A66" s="1">
        <v>38812</v>
      </c>
      <c r="B66">
        <v>5.9968500000000002</v>
      </c>
      <c r="C66">
        <v>6.33</v>
      </c>
      <c r="D66">
        <f>WEEKDAY(A66,14)</f>
        <v>7</v>
      </c>
      <c r="E66">
        <f>VLOOKUP(D66,L$2:M$8,2,FALSE)</f>
        <v>0.25</v>
      </c>
      <c r="F66">
        <f t="shared" si="0"/>
        <v>5</v>
      </c>
      <c r="G66">
        <f>IF(F66&gt;F65,G65+B66*E66,B66*E66)</f>
        <v>6.0186200000000003</v>
      </c>
      <c r="H66">
        <f t="shared" si="1"/>
        <v>1</v>
      </c>
      <c r="I66">
        <f t="shared" si="2"/>
        <v>0</v>
      </c>
    </row>
    <row r="67" spans="1:9">
      <c r="A67" s="1">
        <v>38813</v>
      </c>
      <c r="B67">
        <v>6.01797</v>
      </c>
      <c r="C67">
        <v>6.39</v>
      </c>
      <c r="D67">
        <f>WEEKDAY(A67,14)</f>
        <v>1</v>
      </c>
      <c r="E67">
        <f>VLOOKUP(D67,L$2:M$8,2,FALSE)</f>
        <v>0</v>
      </c>
      <c r="F67">
        <f t="shared" ref="F67:F130" si="3">IF(AND(D67&gt;D66,F66&lt;6),F66+1,1)</f>
        <v>1</v>
      </c>
      <c r="G67">
        <f>IF(F67&gt;F66,G66+B67*E67,B67*E67)</f>
        <v>0</v>
      </c>
      <c r="H67">
        <f t="shared" si="1"/>
        <v>0</v>
      </c>
      <c r="I67">
        <f t="shared" si="2"/>
        <v>6.0186200000000003</v>
      </c>
    </row>
    <row r="68" spans="1:9">
      <c r="A68" s="1">
        <v>38814</v>
      </c>
      <c r="B68">
        <v>6.0854900000000001</v>
      </c>
      <c r="C68">
        <v>6.39</v>
      </c>
      <c r="D68">
        <f>WEEKDAY(A68,14)</f>
        <v>2</v>
      </c>
      <c r="E68">
        <f>VLOOKUP(D68,L$2:M$8,2,FALSE)</f>
        <v>0</v>
      </c>
      <c r="F68">
        <f t="shared" si="3"/>
        <v>2</v>
      </c>
      <c r="G68">
        <f>IF(F68&gt;F67,G67+B68*E68,B68*E68)</f>
        <v>0</v>
      </c>
      <c r="H68">
        <f t="shared" ref="H68:H131" si="4">IF(AND(F68&lt;6,F68&gt;F67),E68+H67,E68)</f>
        <v>0</v>
      </c>
      <c r="I68">
        <f t="shared" ref="I68:I131" si="5">IF(F67&gt;F68,G67/H67,0)</f>
        <v>0</v>
      </c>
    </row>
    <row r="69" spans="1:9">
      <c r="A69" s="1">
        <v>38817</v>
      </c>
      <c r="B69">
        <v>6.0939199999999998</v>
      </c>
      <c r="C69">
        <v>6.39</v>
      </c>
      <c r="D69">
        <f>WEEKDAY(A69,14)</f>
        <v>5</v>
      </c>
      <c r="E69">
        <f>VLOOKUP(D69,L$2:M$8,2,FALSE)</f>
        <v>0.05</v>
      </c>
      <c r="F69">
        <f t="shared" si="3"/>
        <v>3</v>
      </c>
      <c r="G69">
        <f>IF(F69&gt;F68,G68+B69*E69,B69*E69)</f>
        <v>0.30469600000000002</v>
      </c>
      <c r="H69">
        <f t="shared" si="4"/>
        <v>0.05</v>
      </c>
      <c r="I69">
        <f t="shared" si="5"/>
        <v>0</v>
      </c>
    </row>
    <row r="70" spans="1:9">
      <c r="A70" s="1">
        <v>38818</v>
      </c>
      <c r="B70">
        <v>6.0623300000000002</v>
      </c>
      <c r="C70">
        <v>6.39</v>
      </c>
      <c r="D70">
        <f>WEEKDAY(A70,14)</f>
        <v>6</v>
      </c>
      <c r="E70">
        <f>VLOOKUP(D70,L$2:M$8,2,FALSE)</f>
        <v>0.7</v>
      </c>
      <c r="F70">
        <f t="shared" si="3"/>
        <v>4</v>
      </c>
      <c r="G70">
        <f>IF(F70&gt;F69,G69+B70*E70,B70*E70)</f>
        <v>4.5483269999999996</v>
      </c>
      <c r="H70">
        <f t="shared" si="4"/>
        <v>0.75</v>
      </c>
      <c r="I70">
        <f t="shared" si="5"/>
        <v>0</v>
      </c>
    </row>
    <row r="71" spans="1:9">
      <c r="A71" s="1">
        <v>38819</v>
      </c>
      <c r="B71">
        <v>6.09232</v>
      </c>
      <c r="C71">
        <v>6.39</v>
      </c>
      <c r="D71">
        <f>WEEKDAY(A71,14)</f>
        <v>7</v>
      </c>
      <c r="E71">
        <f>VLOOKUP(D71,L$2:M$8,2,FALSE)</f>
        <v>0.25</v>
      </c>
      <c r="F71">
        <f t="shared" si="3"/>
        <v>5</v>
      </c>
      <c r="G71">
        <f>IF(F71&gt;F70,G70+B71*E71,B71*E71)</f>
        <v>6.0714069999999998</v>
      </c>
      <c r="H71">
        <f t="shared" si="4"/>
        <v>1</v>
      </c>
      <c r="I71">
        <f t="shared" si="5"/>
        <v>0</v>
      </c>
    </row>
    <row r="72" spans="1:9">
      <c r="A72" s="1">
        <v>38820</v>
      </c>
      <c r="B72">
        <v>6.14222</v>
      </c>
      <c r="C72">
        <v>6.43</v>
      </c>
      <c r="D72">
        <f>WEEKDAY(A72,14)</f>
        <v>1</v>
      </c>
      <c r="E72">
        <f>VLOOKUP(D72,L$2:M$8,2,FALSE)</f>
        <v>0</v>
      </c>
      <c r="F72">
        <f t="shared" si="3"/>
        <v>1</v>
      </c>
      <c r="G72">
        <f>IF(F72&gt;F71,G71+B72*E72,B72*E72)</f>
        <v>0</v>
      </c>
      <c r="H72">
        <f t="shared" si="4"/>
        <v>0</v>
      </c>
      <c r="I72">
        <f t="shared" si="5"/>
        <v>6.0714069999999998</v>
      </c>
    </row>
    <row r="73" spans="1:9">
      <c r="A73" s="1">
        <v>38824</v>
      </c>
      <c r="B73">
        <v>6.1154599999999997</v>
      </c>
      <c r="C73">
        <v>6.43</v>
      </c>
      <c r="D73">
        <f>WEEKDAY(A73,14)</f>
        <v>5</v>
      </c>
      <c r="E73">
        <f>VLOOKUP(D73,L$2:M$8,2,FALSE)</f>
        <v>0.05</v>
      </c>
      <c r="F73">
        <f t="shared" si="3"/>
        <v>2</v>
      </c>
      <c r="G73">
        <f>IF(F73&gt;F72,G72+B73*E73,B73*E73)</f>
        <v>0.30577300000000002</v>
      </c>
      <c r="H73">
        <f t="shared" si="4"/>
        <v>0.05</v>
      </c>
      <c r="I73">
        <f t="shared" si="5"/>
        <v>0</v>
      </c>
    </row>
    <row r="74" spans="1:9">
      <c r="A74" s="1">
        <v>38825</v>
      </c>
      <c r="B74">
        <v>6.0614499999999998</v>
      </c>
      <c r="C74">
        <v>6.43</v>
      </c>
      <c r="D74">
        <f>WEEKDAY(A74,14)</f>
        <v>6</v>
      </c>
      <c r="E74">
        <f>VLOOKUP(D74,L$2:M$8,2,FALSE)</f>
        <v>0.7</v>
      </c>
      <c r="F74">
        <f t="shared" si="3"/>
        <v>3</v>
      </c>
      <c r="G74">
        <f>IF(F74&gt;F73,G73+B74*E74,B74*E74)</f>
        <v>4.5487880000000001</v>
      </c>
      <c r="H74">
        <f t="shared" si="4"/>
        <v>0.75</v>
      </c>
      <c r="I74">
        <f t="shared" si="5"/>
        <v>0</v>
      </c>
    </row>
    <row r="75" spans="1:9">
      <c r="A75" s="1">
        <v>38826</v>
      </c>
      <c r="B75">
        <v>6.0952599999999997</v>
      </c>
      <c r="C75">
        <v>6.43</v>
      </c>
      <c r="D75">
        <f>WEEKDAY(A75,14)</f>
        <v>7</v>
      </c>
      <c r="E75">
        <f>VLOOKUP(D75,L$2:M$8,2,FALSE)</f>
        <v>0.25</v>
      </c>
      <c r="F75">
        <f t="shared" si="3"/>
        <v>4</v>
      </c>
      <c r="G75">
        <f>IF(F75&gt;F74,G74+B75*E75,B75*E75)</f>
        <v>6.072603</v>
      </c>
      <c r="H75">
        <f t="shared" si="4"/>
        <v>1</v>
      </c>
      <c r="I75">
        <f t="shared" si="5"/>
        <v>0</v>
      </c>
    </row>
    <row r="76" spans="1:9">
      <c r="A76" s="1">
        <v>38827</v>
      </c>
      <c r="B76">
        <v>6.1110499999999996</v>
      </c>
      <c r="C76">
        <v>6.4550000000000001</v>
      </c>
      <c r="D76">
        <f>WEEKDAY(A76,14)</f>
        <v>1</v>
      </c>
      <c r="E76">
        <f>VLOOKUP(D76,L$2:M$8,2,FALSE)</f>
        <v>0</v>
      </c>
      <c r="F76">
        <f t="shared" si="3"/>
        <v>1</v>
      </c>
      <c r="G76">
        <f>IF(F76&gt;F75,G75+B76*E76,B76*E76)</f>
        <v>0</v>
      </c>
      <c r="H76">
        <f t="shared" si="4"/>
        <v>0</v>
      </c>
      <c r="I76">
        <f t="shared" si="5"/>
        <v>6.072603</v>
      </c>
    </row>
    <row r="77" spans="1:9">
      <c r="A77" s="1">
        <v>38828</v>
      </c>
      <c r="B77">
        <v>6.0893499999999996</v>
      </c>
      <c r="C77">
        <v>6.4550000000000001</v>
      </c>
      <c r="D77">
        <f>WEEKDAY(A77,14)</f>
        <v>2</v>
      </c>
      <c r="E77">
        <f>VLOOKUP(D77,L$2:M$8,2,FALSE)</f>
        <v>0</v>
      </c>
      <c r="F77">
        <f t="shared" si="3"/>
        <v>2</v>
      </c>
      <c r="G77">
        <f>IF(F77&gt;F76,G76+B77*E77,B77*E77)</f>
        <v>0</v>
      </c>
      <c r="H77">
        <f t="shared" si="4"/>
        <v>0</v>
      </c>
      <c r="I77">
        <f t="shared" si="5"/>
        <v>0</v>
      </c>
    </row>
    <row r="78" spans="1:9">
      <c r="A78" s="1">
        <v>38831</v>
      </c>
      <c r="B78">
        <v>6.0686400000000003</v>
      </c>
      <c r="C78">
        <v>6.4550000000000001</v>
      </c>
      <c r="D78">
        <f>WEEKDAY(A78,14)</f>
        <v>5</v>
      </c>
      <c r="E78">
        <f>VLOOKUP(D78,L$2:M$8,2,FALSE)</f>
        <v>0.05</v>
      </c>
      <c r="F78">
        <f t="shared" si="3"/>
        <v>3</v>
      </c>
      <c r="G78">
        <f>IF(F78&gt;F77,G77+B78*E78,B78*E78)</f>
        <v>0.30343200000000004</v>
      </c>
      <c r="H78">
        <f t="shared" si="4"/>
        <v>0.05</v>
      </c>
      <c r="I78">
        <f t="shared" si="5"/>
        <v>0</v>
      </c>
    </row>
    <row r="79" spans="1:9">
      <c r="A79" s="1">
        <v>38832</v>
      </c>
      <c r="B79">
        <v>6.1404399999999999</v>
      </c>
      <c r="C79">
        <v>6.4550000000000001</v>
      </c>
      <c r="D79">
        <f>WEEKDAY(A79,14)</f>
        <v>6</v>
      </c>
      <c r="E79">
        <f>VLOOKUP(D79,L$2:M$8,2,FALSE)</f>
        <v>0.7</v>
      </c>
      <c r="F79">
        <f t="shared" si="3"/>
        <v>4</v>
      </c>
      <c r="G79">
        <f>IF(F79&gt;F78,G78+B79*E79,B79*E79)</f>
        <v>4.6017399999999995</v>
      </c>
      <c r="H79">
        <f t="shared" si="4"/>
        <v>0.75</v>
      </c>
      <c r="I79">
        <f t="shared" si="5"/>
        <v>0</v>
      </c>
    </row>
    <row r="80" spans="1:9">
      <c r="A80" s="1">
        <v>38833</v>
      </c>
      <c r="B80">
        <v>6.1759199999999996</v>
      </c>
      <c r="C80">
        <v>6.4550000000000001</v>
      </c>
      <c r="D80">
        <f>WEEKDAY(A80,14)</f>
        <v>7</v>
      </c>
      <c r="E80">
        <f>VLOOKUP(D80,L$2:M$8,2,FALSE)</f>
        <v>0.25</v>
      </c>
      <c r="F80">
        <f t="shared" si="3"/>
        <v>5</v>
      </c>
      <c r="G80">
        <f>IF(F80&gt;F79,G79+B80*E80,B80*E80)</f>
        <v>6.145719999999999</v>
      </c>
      <c r="H80">
        <f t="shared" si="4"/>
        <v>1</v>
      </c>
      <c r="I80">
        <f t="shared" si="5"/>
        <v>0</v>
      </c>
    </row>
    <row r="81" spans="1:9">
      <c r="A81" s="1">
        <v>38834</v>
      </c>
      <c r="B81">
        <v>6.1333500000000001</v>
      </c>
      <c r="C81">
        <v>6.49</v>
      </c>
      <c r="D81">
        <f>WEEKDAY(A81,14)</f>
        <v>1</v>
      </c>
      <c r="E81">
        <f>VLOOKUP(D81,L$2:M$8,2,FALSE)</f>
        <v>0</v>
      </c>
      <c r="F81">
        <f t="shared" si="3"/>
        <v>1</v>
      </c>
      <c r="G81">
        <f>IF(F81&gt;F80,G80+B81*E81,B81*E81)</f>
        <v>0</v>
      </c>
      <c r="H81">
        <f t="shared" si="4"/>
        <v>0</v>
      </c>
      <c r="I81">
        <f t="shared" si="5"/>
        <v>6.145719999999999</v>
      </c>
    </row>
    <row r="82" spans="1:9">
      <c r="A82" s="1">
        <v>38835</v>
      </c>
      <c r="B82">
        <v>6.1003299999999996</v>
      </c>
      <c r="C82">
        <v>6.49</v>
      </c>
      <c r="D82">
        <f>WEEKDAY(A82,14)</f>
        <v>2</v>
      </c>
      <c r="E82">
        <f>VLOOKUP(D82,L$2:M$8,2,FALSE)</f>
        <v>0</v>
      </c>
      <c r="F82">
        <f t="shared" si="3"/>
        <v>2</v>
      </c>
      <c r="G82">
        <f>IF(F82&gt;F81,G81+B82*E82,B82*E82)</f>
        <v>0</v>
      </c>
      <c r="H82">
        <f t="shared" si="4"/>
        <v>0</v>
      </c>
      <c r="I82">
        <f t="shared" si="5"/>
        <v>0</v>
      </c>
    </row>
    <row r="83" spans="1:9">
      <c r="A83" s="1">
        <v>38838</v>
      </c>
      <c r="B83">
        <v>6.1676500000000001</v>
      </c>
      <c r="C83">
        <v>6.49</v>
      </c>
      <c r="D83">
        <f>WEEKDAY(A83,14)</f>
        <v>5</v>
      </c>
      <c r="E83">
        <f>VLOOKUP(D83,L$2:M$8,2,FALSE)</f>
        <v>0.05</v>
      </c>
      <c r="F83">
        <f t="shared" si="3"/>
        <v>3</v>
      </c>
      <c r="G83">
        <f>IF(F83&gt;F82,G82+B83*E83,B83*E83)</f>
        <v>0.3083825</v>
      </c>
      <c r="H83">
        <f t="shared" si="4"/>
        <v>0.05</v>
      </c>
      <c r="I83">
        <f t="shared" si="5"/>
        <v>0</v>
      </c>
    </row>
    <row r="84" spans="1:9">
      <c r="A84" s="1">
        <v>38839</v>
      </c>
      <c r="B84">
        <v>6.1707799999999997</v>
      </c>
      <c r="C84">
        <v>6.49</v>
      </c>
      <c r="D84">
        <f>WEEKDAY(A84,14)</f>
        <v>6</v>
      </c>
      <c r="E84">
        <f>VLOOKUP(D84,L$2:M$8,2,FALSE)</f>
        <v>0.7</v>
      </c>
      <c r="F84">
        <f t="shared" si="3"/>
        <v>4</v>
      </c>
      <c r="G84">
        <f>IF(F84&gt;F83,G83+B84*E84,B84*E84)</f>
        <v>4.6279284999999994</v>
      </c>
      <c r="H84">
        <f t="shared" si="4"/>
        <v>0.75</v>
      </c>
      <c r="I84">
        <f t="shared" si="5"/>
        <v>0</v>
      </c>
    </row>
    <row r="85" spans="1:9">
      <c r="A85" s="1">
        <v>38840</v>
      </c>
      <c r="B85">
        <v>6.2117500000000003</v>
      </c>
      <c r="C85">
        <v>6.49</v>
      </c>
      <c r="D85">
        <f>WEEKDAY(A85,14)</f>
        <v>7</v>
      </c>
      <c r="E85">
        <f>VLOOKUP(D85,L$2:M$8,2,FALSE)</f>
        <v>0.25</v>
      </c>
      <c r="F85">
        <f t="shared" si="3"/>
        <v>5</v>
      </c>
      <c r="G85">
        <f>IF(F85&gt;F84,G84+B85*E85,B85*E85)</f>
        <v>6.180866</v>
      </c>
      <c r="H85">
        <f t="shared" si="4"/>
        <v>1</v>
      </c>
      <c r="I85">
        <f t="shared" si="5"/>
        <v>0</v>
      </c>
    </row>
    <row r="86" spans="1:9">
      <c r="A86" s="1">
        <v>38841</v>
      </c>
      <c r="B86">
        <v>6.2185699999999997</v>
      </c>
      <c r="C86">
        <v>6.4550000000000001</v>
      </c>
      <c r="D86">
        <f>WEEKDAY(A86,14)</f>
        <v>1</v>
      </c>
      <c r="E86">
        <f>VLOOKUP(D86,L$2:M$8,2,FALSE)</f>
        <v>0</v>
      </c>
      <c r="F86">
        <f t="shared" si="3"/>
        <v>1</v>
      </c>
      <c r="G86">
        <f>IF(F86&gt;F85,G85+B86*E86,B86*E86)</f>
        <v>0</v>
      </c>
      <c r="H86">
        <f t="shared" si="4"/>
        <v>0</v>
      </c>
      <c r="I86">
        <f t="shared" si="5"/>
        <v>6.180866</v>
      </c>
    </row>
    <row r="87" spans="1:9">
      <c r="A87" s="1">
        <v>38842</v>
      </c>
      <c r="B87">
        <v>6.1718000000000002</v>
      </c>
      <c r="C87">
        <v>6.4550000000000001</v>
      </c>
      <c r="D87">
        <f>WEEKDAY(A87,14)</f>
        <v>2</v>
      </c>
      <c r="E87">
        <f>VLOOKUP(D87,L$2:M$8,2,FALSE)</f>
        <v>0</v>
      </c>
      <c r="F87">
        <f t="shared" si="3"/>
        <v>2</v>
      </c>
      <c r="G87">
        <f>IF(F87&gt;F86,G86+B87*E87,B87*E87)</f>
        <v>0</v>
      </c>
      <c r="H87">
        <f t="shared" si="4"/>
        <v>0</v>
      </c>
      <c r="I87">
        <f t="shared" si="5"/>
        <v>0</v>
      </c>
    </row>
    <row r="88" spans="1:9">
      <c r="A88" s="1">
        <v>38845</v>
      </c>
      <c r="B88">
        <v>6.1839399999999998</v>
      </c>
      <c r="C88">
        <v>6.4550000000000001</v>
      </c>
      <c r="D88">
        <f>WEEKDAY(A88,14)</f>
        <v>5</v>
      </c>
      <c r="E88">
        <f>VLOOKUP(D88,L$2:M$8,2,FALSE)</f>
        <v>0.05</v>
      </c>
      <c r="F88">
        <f t="shared" si="3"/>
        <v>3</v>
      </c>
      <c r="G88">
        <f>IF(F88&gt;F87,G87+B88*E88,B88*E88)</f>
        <v>0.309197</v>
      </c>
      <c r="H88">
        <f t="shared" si="4"/>
        <v>0.05</v>
      </c>
      <c r="I88">
        <f t="shared" si="5"/>
        <v>0</v>
      </c>
    </row>
    <row r="89" spans="1:9">
      <c r="A89" s="1">
        <v>38846</v>
      </c>
      <c r="B89">
        <v>6.18872</v>
      </c>
      <c r="C89">
        <v>6.4550000000000001</v>
      </c>
      <c r="D89">
        <f>WEEKDAY(A89,14)</f>
        <v>6</v>
      </c>
      <c r="E89">
        <f>VLOOKUP(D89,L$2:M$8,2,FALSE)</f>
        <v>0.7</v>
      </c>
      <c r="F89">
        <f t="shared" si="3"/>
        <v>4</v>
      </c>
      <c r="G89">
        <f>IF(F89&gt;F88,G88+B89*E89,B89*E89)</f>
        <v>4.6413009999999995</v>
      </c>
      <c r="H89">
        <f t="shared" si="4"/>
        <v>0.75</v>
      </c>
      <c r="I89">
        <f t="shared" si="5"/>
        <v>0</v>
      </c>
    </row>
    <row r="90" spans="1:9">
      <c r="A90" s="1">
        <v>38847</v>
      </c>
      <c r="B90">
        <v>6.1970700000000001</v>
      </c>
      <c r="C90">
        <v>6.4550000000000001</v>
      </c>
      <c r="D90">
        <f>WEEKDAY(A90,14)</f>
        <v>7</v>
      </c>
      <c r="E90">
        <f>VLOOKUP(D90,L$2:M$8,2,FALSE)</f>
        <v>0.25</v>
      </c>
      <c r="F90">
        <f t="shared" si="3"/>
        <v>5</v>
      </c>
      <c r="G90">
        <f>IF(F90&gt;F89,G89+B90*E90,B90*E90)</f>
        <v>6.1905684999999995</v>
      </c>
      <c r="H90">
        <f t="shared" si="4"/>
        <v>1</v>
      </c>
      <c r="I90">
        <f t="shared" si="5"/>
        <v>0</v>
      </c>
    </row>
    <row r="91" spans="1:9">
      <c r="A91" s="1">
        <v>38848</v>
      </c>
      <c r="B91">
        <v>6.2202099999999998</v>
      </c>
      <c r="C91">
        <v>6.4749999999999996</v>
      </c>
      <c r="D91">
        <f>WEEKDAY(A91,14)</f>
        <v>1</v>
      </c>
      <c r="E91">
        <f>VLOOKUP(D91,L$2:M$8,2,FALSE)</f>
        <v>0</v>
      </c>
      <c r="F91">
        <f t="shared" si="3"/>
        <v>1</v>
      </c>
      <c r="G91">
        <f>IF(F91&gt;F90,G90+B91*E91,B91*E91)</f>
        <v>0</v>
      </c>
      <c r="H91">
        <f t="shared" si="4"/>
        <v>0</v>
      </c>
      <c r="I91">
        <f t="shared" si="5"/>
        <v>6.1905684999999995</v>
      </c>
    </row>
    <row r="92" spans="1:9">
      <c r="A92" s="1">
        <v>38849</v>
      </c>
      <c r="B92">
        <v>6.2636799999999999</v>
      </c>
      <c r="C92">
        <v>6.4749999999999996</v>
      </c>
      <c r="D92">
        <f>WEEKDAY(A92,14)</f>
        <v>2</v>
      </c>
      <c r="E92">
        <f>VLOOKUP(D92,L$2:M$8,2,FALSE)</f>
        <v>0</v>
      </c>
      <c r="F92">
        <f t="shared" si="3"/>
        <v>2</v>
      </c>
      <c r="G92">
        <f>IF(F92&gt;F91,G91+B92*E92,B92*E92)</f>
        <v>0</v>
      </c>
      <c r="H92">
        <f t="shared" si="4"/>
        <v>0</v>
      </c>
      <c r="I92">
        <f t="shared" si="5"/>
        <v>0</v>
      </c>
    </row>
    <row r="93" spans="1:9">
      <c r="A93" s="1">
        <v>38852</v>
      </c>
      <c r="B93">
        <v>6.2413299999999996</v>
      </c>
      <c r="C93">
        <v>6.4749999999999996</v>
      </c>
      <c r="D93">
        <f>WEEKDAY(A93,14)</f>
        <v>5</v>
      </c>
      <c r="E93">
        <f>VLOOKUP(D93,L$2:M$8,2,FALSE)</f>
        <v>0.05</v>
      </c>
      <c r="F93">
        <f t="shared" si="3"/>
        <v>3</v>
      </c>
      <c r="G93">
        <f>IF(F93&gt;F92,G92+B93*E93,B93*E93)</f>
        <v>0.31206650000000002</v>
      </c>
      <c r="H93">
        <f t="shared" si="4"/>
        <v>0.05</v>
      </c>
      <c r="I93">
        <f t="shared" si="5"/>
        <v>0</v>
      </c>
    </row>
    <row r="94" spans="1:9">
      <c r="A94" s="1">
        <v>38853</v>
      </c>
      <c r="B94">
        <v>6.1936900000000001</v>
      </c>
      <c r="C94">
        <v>6.4749999999999996</v>
      </c>
      <c r="D94">
        <f>WEEKDAY(A94,14)</f>
        <v>6</v>
      </c>
      <c r="E94">
        <f>VLOOKUP(D94,L$2:M$8,2,FALSE)</f>
        <v>0.7</v>
      </c>
      <c r="F94">
        <f t="shared" si="3"/>
        <v>4</v>
      </c>
      <c r="G94">
        <f>IF(F94&gt;F93,G93+B94*E94,B94*E94)</f>
        <v>4.6476495</v>
      </c>
      <c r="H94">
        <f t="shared" si="4"/>
        <v>0.75</v>
      </c>
      <c r="I94">
        <f t="shared" si="5"/>
        <v>0</v>
      </c>
    </row>
    <row r="95" spans="1:9">
      <c r="A95" s="1">
        <v>38854</v>
      </c>
      <c r="B95">
        <v>6.2419399999999996</v>
      </c>
      <c r="C95">
        <v>6.4749999999999996</v>
      </c>
      <c r="D95">
        <f>WEEKDAY(A95,14)</f>
        <v>7</v>
      </c>
      <c r="E95">
        <f>VLOOKUP(D95,L$2:M$8,2,FALSE)</f>
        <v>0.25</v>
      </c>
      <c r="F95">
        <f t="shared" si="3"/>
        <v>5</v>
      </c>
      <c r="G95">
        <f>IF(F95&gt;F94,G94+B95*E95,B95*E95)</f>
        <v>6.2081344999999999</v>
      </c>
      <c r="H95">
        <f t="shared" si="4"/>
        <v>1</v>
      </c>
      <c r="I95">
        <f t="shared" si="5"/>
        <v>0</v>
      </c>
    </row>
    <row r="96" spans="1:9">
      <c r="A96" s="1">
        <v>38855</v>
      </c>
      <c r="B96">
        <v>6.1873300000000002</v>
      </c>
      <c r="C96">
        <v>6.47</v>
      </c>
      <c r="D96">
        <f>WEEKDAY(A96,14)</f>
        <v>1</v>
      </c>
      <c r="E96">
        <f>VLOOKUP(D96,L$2:M$8,2,FALSE)</f>
        <v>0</v>
      </c>
      <c r="F96">
        <f t="shared" si="3"/>
        <v>1</v>
      </c>
      <c r="G96">
        <f>IF(F96&gt;F95,G95+B96*E96,B96*E96)</f>
        <v>0</v>
      </c>
      <c r="H96">
        <f t="shared" si="4"/>
        <v>0</v>
      </c>
      <c r="I96">
        <f t="shared" si="5"/>
        <v>6.2081344999999999</v>
      </c>
    </row>
    <row r="97" spans="1:9">
      <c r="A97" s="1">
        <v>38856</v>
      </c>
      <c r="B97">
        <v>6.1990299999999996</v>
      </c>
      <c r="C97">
        <v>6.47</v>
      </c>
      <c r="D97">
        <f>WEEKDAY(A97,14)</f>
        <v>2</v>
      </c>
      <c r="E97">
        <f>VLOOKUP(D97,L$2:M$8,2,FALSE)</f>
        <v>0</v>
      </c>
      <c r="F97">
        <f t="shared" si="3"/>
        <v>2</v>
      </c>
      <c r="G97">
        <f>IF(F97&gt;F96,G96+B97*E97,B97*E97)</f>
        <v>0</v>
      </c>
      <c r="H97">
        <f t="shared" si="4"/>
        <v>0</v>
      </c>
      <c r="I97">
        <f t="shared" si="5"/>
        <v>0</v>
      </c>
    </row>
    <row r="98" spans="1:9">
      <c r="A98" s="1">
        <v>38859</v>
      </c>
      <c r="B98">
        <v>6.2031099999999997</v>
      </c>
      <c r="C98">
        <v>6.47</v>
      </c>
      <c r="D98">
        <f>WEEKDAY(A98,14)</f>
        <v>5</v>
      </c>
      <c r="E98">
        <f>VLOOKUP(D98,L$2:M$8,2,FALSE)</f>
        <v>0.05</v>
      </c>
      <c r="F98">
        <f t="shared" si="3"/>
        <v>3</v>
      </c>
      <c r="G98">
        <f>IF(F98&gt;F97,G97+B98*E98,B98*E98)</f>
        <v>0.31015550000000003</v>
      </c>
      <c r="H98">
        <f t="shared" si="4"/>
        <v>0.05</v>
      </c>
      <c r="I98">
        <f t="shared" si="5"/>
        <v>0</v>
      </c>
    </row>
    <row r="99" spans="1:9">
      <c r="A99" s="1">
        <v>38860</v>
      </c>
      <c r="B99">
        <v>6.22234</v>
      </c>
      <c r="C99">
        <v>6.47</v>
      </c>
      <c r="D99">
        <f>WEEKDAY(A99,14)</f>
        <v>6</v>
      </c>
      <c r="E99">
        <f>VLOOKUP(D99,L$2:M$8,2,FALSE)</f>
        <v>0.7</v>
      </c>
      <c r="F99">
        <f t="shared" si="3"/>
        <v>4</v>
      </c>
      <c r="G99">
        <f>IF(F99&gt;F98,G98+B99*E99,B99*E99)</f>
        <v>4.6657934999999995</v>
      </c>
      <c r="H99">
        <f t="shared" si="4"/>
        <v>0.75</v>
      </c>
      <c r="I99">
        <f t="shared" si="5"/>
        <v>0</v>
      </c>
    </row>
    <row r="100" spans="1:9">
      <c r="A100" s="1">
        <v>38861</v>
      </c>
      <c r="B100">
        <v>6.21225</v>
      </c>
      <c r="C100">
        <v>6.47</v>
      </c>
      <c r="D100">
        <f>WEEKDAY(A100,14)</f>
        <v>7</v>
      </c>
      <c r="E100">
        <f>VLOOKUP(D100,L$2:M$8,2,FALSE)</f>
        <v>0.25</v>
      </c>
      <c r="F100">
        <f t="shared" si="3"/>
        <v>5</v>
      </c>
      <c r="G100">
        <f>IF(F100&gt;F99,G99+B100*E100,B100*E100)</f>
        <v>6.2188559999999997</v>
      </c>
      <c r="H100">
        <f t="shared" si="4"/>
        <v>1</v>
      </c>
      <c r="I100">
        <f t="shared" si="5"/>
        <v>0</v>
      </c>
    </row>
    <row r="101" spans="1:9">
      <c r="A101" s="1">
        <v>38862</v>
      </c>
      <c r="B101">
        <v>6.2326499999999996</v>
      </c>
      <c r="C101">
        <v>6.52</v>
      </c>
      <c r="D101">
        <f>WEEKDAY(A101,14)</f>
        <v>1</v>
      </c>
      <c r="E101">
        <f>VLOOKUP(D101,L$2:M$8,2,FALSE)</f>
        <v>0</v>
      </c>
      <c r="F101">
        <f t="shared" si="3"/>
        <v>1</v>
      </c>
      <c r="G101">
        <f>IF(F101&gt;F100,G100+B101*E101,B101*E101)</f>
        <v>0</v>
      </c>
      <c r="H101">
        <f t="shared" si="4"/>
        <v>0</v>
      </c>
      <c r="I101">
        <f t="shared" si="5"/>
        <v>6.2188559999999997</v>
      </c>
    </row>
    <row r="102" spans="1:9">
      <c r="A102" s="1">
        <v>38863</v>
      </c>
      <c r="B102">
        <v>6.2119499999999999</v>
      </c>
      <c r="C102">
        <v>6.52</v>
      </c>
      <c r="D102">
        <f>WEEKDAY(A102,14)</f>
        <v>2</v>
      </c>
      <c r="E102">
        <f>VLOOKUP(D102,L$2:M$8,2,FALSE)</f>
        <v>0</v>
      </c>
      <c r="F102">
        <f t="shared" si="3"/>
        <v>2</v>
      </c>
      <c r="G102">
        <f>IF(F102&gt;F101,G101+B102*E102,B102*E102)</f>
        <v>0</v>
      </c>
      <c r="H102">
        <f t="shared" si="4"/>
        <v>0</v>
      </c>
      <c r="I102">
        <f t="shared" si="5"/>
        <v>0</v>
      </c>
    </row>
    <row r="103" spans="1:9">
      <c r="A103" s="1">
        <v>38867</v>
      </c>
      <c r="B103">
        <v>6.25047</v>
      </c>
      <c r="C103">
        <v>6.52</v>
      </c>
      <c r="D103">
        <f>WEEKDAY(A103,14)</f>
        <v>6</v>
      </c>
      <c r="E103">
        <f>VLOOKUP(D103,L$2:M$8,2,FALSE)</f>
        <v>0.7</v>
      </c>
      <c r="F103">
        <f t="shared" si="3"/>
        <v>3</v>
      </c>
      <c r="G103">
        <f>IF(F103&gt;F102,G102+B103*E103,B103*E103)</f>
        <v>4.3753289999999998</v>
      </c>
      <c r="H103">
        <f t="shared" si="4"/>
        <v>0.7</v>
      </c>
      <c r="I103">
        <f t="shared" si="5"/>
        <v>0</v>
      </c>
    </row>
    <row r="104" spans="1:9">
      <c r="A104" s="1">
        <v>38868</v>
      </c>
      <c r="B104">
        <v>6.2857200000000004</v>
      </c>
      <c r="C104">
        <v>6.52</v>
      </c>
      <c r="D104">
        <f>WEEKDAY(A104,14)</f>
        <v>7</v>
      </c>
      <c r="E104">
        <f>VLOOKUP(D104,L$2:M$8,2,FALSE)</f>
        <v>0.25</v>
      </c>
      <c r="F104">
        <f t="shared" si="3"/>
        <v>4</v>
      </c>
      <c r="G104">
        <f>IF(F104&gt;F103,G103+B104*E104,B104*E104)</f>
        <v>5.9467590000000001</v>
      </c>
      <c r="H104">
        <f t="shared" si="4"/>
        <v>0.95</v>
      </c>
      <c r="I104">
        <f t="shared" si="5"/>
        <v>0</v>
      </c>
    </row>
    <row r="105" spans="1:9">
      <c r="A105" s="1">
        <v>38869</v>
      </c>
      <c r="B105">
        <v>6.28186</v>
      </c>
      <c r="C105">
        <v>6.4950000000000001</v>
      </c>
      <c r="D105">
        <f>WEEKDAY(A105,14)</f>
        <v>1</v>
      </c>
      <c r="E105">
        <f>VLOOKUP(D105,L$2:M$8,2,FALSE)</f>
        <v>0</v>
      </c>
      <c r="F105">
        <f t="shared" si="3"/>
        <v>1</v>
      </c>
      <c r="G105">
        <f>IF(F105&gt;F104,G104+B105*E105,B105*E105)</f>
        <v>0</v>
      </c>
      <c r="H105">
        <f t="shared" si="4"/>
        <v>0</v>
      </c>
      <c r="I105">
        <f t="shared" si="5"/>
        <v>6.2597463157894744</v>
      </c>
    </row>
    <row r="106" spans="1:9">
      <c r="A106" s="1">
        <v>38870</v>
      </c>
      <c r="B106">
        <v>6.1632899999999999</v>
      </c>
      <c r="C106">
        <v>6.4950000000000001</v>
      </c>
      <c r="D106">
        <f>WEEKDAY(A106,14)</f>
        <v>2</v>
      </c>
      <c r="E106">
        <f>VLOOKUP(D106,L$2:M$8,2,FALSE)</f>
        <v>0</v>
      </c>
      <c r="F106">
        <f t="shared" si="3"/>
        <v>2</v>
      </c>
      <c r="G106">
        <f>IF(F106&gt;F105,G105+B106*E106,B106*E106)</f>
        <v>0</v>
      </c>
      <c r="H106">
        <f t="shared" si="4"/>
        <v>0</v>
      </c>
      <c r="I106">
        <f t="shared" si="5"/>
        <v>0</v>
      </c>
    </row>
    <row r="107" spans="1:9">
      <c r="A107" s="1">
        <v>38873</v>
      </c>
      <c r="B107">
        <v>6.1950900000000004</v>
      </c>
      <c r="C107">
        <v>6.4950000000000001</v>
      </c>
      <c r="D107">
        <f>WEEKDAY(A107,14)</f>
        <v>5</v>
      </c>
      <c r="E107">
        <f>VLOOKUP(D107,L$2:M$8,2,FALSE)</f>
        <v>0.05</v>
      </c>
      <c r="F107">
        <f t="shared" si="3"/>
        <v>3</v>
      </c>
      <c r="G107">
        <f>IF(F107&gt;F106,G106+B107*E107,B107*E107)</f>
        <v>0.30975450000000004</v>
      </c>
      <c r="H107">
        <f t="shared" si="4"/>
        <v>0.05</v>
      </c>
      <c r="I107">
        <f t="shared" si="5"/>
        <v>0</v>
      </c>
    </row>
    <row r="108" spans="1:9">
      <c r="A108" s="1">
        <v>38874</v>
      </c>
      <c r="B108">
        <v>6.18614</v>
      </c>
      <c r="C108">
        <v>6.4950000000000001</v>
      </c>
      <c r="D108">
        <f>WEEKDAY(A108,14)</f>
        <v>6</v>
      </c>
      <c r="E108">
        <f>VLOOKUP(D108,L$2:M$8,2,FALSE)</f>
        <v>0.7</v>
      </c>
      <c r="F108">
        <f t="shared" si="3"/>
        <v>4</v>
      </c>
      <c r="G108">
        <f>IF(F108&gt;F107,G107+B108*E108,B108*E108)</f>
        <v>4.6400525000000004</v>
      </c>
      <c r="H108">
        <f t="shared" si="4"/>
        <v>0.75</v>
      </c>
      <c r="I108">
        <f t="shared" si="5"/>
        <v>0</v>
      </c>
    </row>
    <row r="109" spans="1:9">
      <c r="A109" s="1">
        <v>38875</v>
      </c>
      <c r="B109">
        <v>6.21197</v>
      </c>
      <c r="C109">
        <v>6.4950000000000001</v>
      </c>
      <c r="D109">
        <f>WEEKDAY(A109,14)</f>
        <v>7</v>
      </c>
      <c r="E109">
        <f>VLOOKUP(D109,L$2:M$8,2,FALSE)</f>
        <v>0.25</v>
      </c>
      <c r="F109">
        <f t="shared" si="3"/>
        <v>5</v>
      </c>
      <c r="G109">
        <f>IF(F109&gt;F108,G108+B109*E109,B109*E109)</f>
        <v>6.1930450000000006</v>
      </c>
      <c r="H109">
        <f t="shared" si="4"/>
        <v>1</v>
      </c>
      <c r="I109">
        <f t="shared" si="5"/>
        <v>0</v>
      </c>
    </row>
    <row r="110" spans="1:9">
      <c r="A110" s="1">
        <v>38876</v>
      </c>
      <c r="B110">
        <v>6.1878500000000001</v>
      </c>
      <c r="C110">
        <v>6.5049999999999999</v>
      </c>
      <c r="D110">
        <f>WEEKDAY(A110,14)</f>
        <v>1</v>
      </c>
      <c r="E110">
        <f>VLOOKUP(D110,L$2:M$8,2,FALSE)</f>
        <v>0</v>
      </c>
      <c r="F110">
        <f t="shared" si="3"/>
        <v>1</v>
      </c>
      <c r="G110">
        <f>IF(F110&gt;F109,G109+B110*E110,B110*E110)</f>
        <v>0</v>
      </c>
      <c r="H110">
        <f t="shared" si="4"/>
        <v>0</v>
      </c>
      <c r="I110">
        <f t="shared" si="5"/>
        <v>6.1930450000000006</v>
      </c>
    </row>
    <row r="111" spans="1:9">
      <c r="A111" s="1">
        <v>38877</v>
      </c>
      <c r="B111">
        <v>6.1793899999999997</v>
      </c>
      <c r="C111">
        <v>6.5049999999999999</v>
      </c>
      <c r="D111">
        <f>WEEKDAY(A111,14)</f>
        <v>2</v>
      </c>
      <c r="E111">
        <f>VLOOKUP(D111,L$2:M$8,2,FALSE)</f>
        <v>0</v>
      </c>
      <c r="F111">
        <f t="shared" si="3"/>
        <v>2</v>
      </c>
      <c r="G111">
        <f>IF(F111&gt;F110,G110+B111*E111,B111*E111)</f>
        <v>0</v>
      </c>
      <c r="H111">
        <f t="shared" si="4"/>
        <v>0</v>
      </c>
      <c r="I111">
        <f t="shared" si="5"/>
        <v>0</v>
      </c>
    </row>
    <row r="112" spans="1:9">
      <c r="A112" s="1">
        <v>38880</v>
      </c>
      <c r="B112">
        <v>6.2003500000000003</v>
      </c>
      <c r="C112">
        <v>6.5049999999999999</v>
      </c>
      <c r="D112">
        <f>WEEKDAY(A112,14)</f>
        <v>5</v>
      </c>
      <c r="E112">
        <f>VLOOKUP(D112,L$2:M$8,2,FALSE)</f>
        <v>0.05</v>
      </c>
      <c r="F112">
        <f t="shared" si="3"/>
        <v>3</v>
      </c>
      <c r="G112">
        <f>IF(F112&gt;F111,G111+B112*E112,B112*E112)</f>
        <v>0.31001750000000006</v>
      </c>
      <c r="H112">
        <f t="shared" si="4"/>
        <v>0.05</v>
      </c>
      <c r="I112">
        <f t="shared" si="5"/>
        <v>0</v>
      </c>
    </row>
    <row r="113" spans="1:9">
      <c r="A113" s="1">
        <v>38881</v>
      </c>
      <c r="B113">
        <v>6.1862199999999996</v>
      </c>
      <c r="C113">
        <v>6.5049999999999999</v>
      </c>
      <c r="D113">
        <f>WEEKDAY(A113,14)</f>
        <v>6</v>
      </c>
      <c r="E113">
        <f>VLOOKUP(D113,L$2:M$8,2,FALSE)</f>
        <v>0.7</v>
      </c>
      <c r="F113">
        <f t="shared" si="3"/>
        <v>4</v>
      </c>
      <c r="G113">
        <f>IF(F113&gt;F112,G112+B113*E113,B113*E113)</f>
        <v>4.6403714999999996</v>
      </c>
      <c r="H113">
        <f t="shared" si="4"/>
        <v>0.75</v>
      </c>
      <c r="I113">
        <f t="shared" si="5"/>
        <v>0</v>
      </c>
    </row>
    <row r="114" spans="1:9">
      <c r="A114" s="1">
        <v>38882</v>
      </c>
      <c r="B114">
        <v>6.2729499999999998</v>
      </c>
      <c r="C114">
        <v>6.5049999999999999</v>
      </c>
      <c r="D114">
        <f>WEEKDAY(A114,14)</f>
        <v>7</v>
      </c>
      <c r="E114">
        <f>VLOOKUP(D114,L$2:M$8,2,FALSE)</f>
        <v>0.25</v>
      </c>
      <c r="F114">
        <f t="shared" si="3"/>
        <v>5</v>
      </c>
      <c r="G114">
        <f>IF(F114&gt;F113,G113+B114*E114,B114*E114)</f>
        <v>6.2086089999999992</v>
      </c>
      <c r="H114">
        <f t="shared" si="4"/>
        <v>1</v>
      </c>
      <c r="I114">
        <f t="shared" si="5"/>
        <v>0</v>
      </c>
    </row>
    <row r="115" spans="1:9">
      <c r="A115" s="1">
        <v>38883</v>
      </c>
      <c r="B115">
        <v>6.3143200000000004</v>
      </c>
      <c r="C115">
        <v>6.585</v>
      </c>
      <c r="D115">
        <f>WEEKDAY(A115,14)</f>
        <v>1</v>
      </c>
      <c r="E115">
        <f>VLOOKUP(D115,L$2:M$8,2,FALSE)</f>
        <v>0</v>
      </c>
      <c r="F115">
        <f t="shared" si="3"/>
        <v>1</v>
      </c>
      <c r="G115">
        <f>IF(F115&gt;F114,G114+B115*E115,B115*E115)</f>
        <v>0</v>
      </c>
      <c r="H115">
        <f t="shared" si="4"/>
        <v>0</v>
      </c>
      <c r="I115">
        <f t="shared" si="5"/>
        <v>6.2086089999999992</v>
      </c>
    </row>
    <row r="116" spans="1:9">
      <c r="A116" s="1">
        <v>38884</v>
      </c>
      <c r="B116">
        <v>6.3351100000000002</v>
      </c>
      <c r="C116">
        <v>6.585</v>
      </c>
      <c r="D116">
        <f>WEEKDAY(A116,14)</f>
        <v>2</v>
      </c>
      <c r="E116">
        <f>VLOOKUP(D116,L$2:M$8,2,FALSE)</f>
        <v>0</v>
      </c>
      <c r="F116">
        <f t="shared" si="3"/>
        <v>2</v>
      </c>
      <c r="G116">
        <f>IF(F116&gt;F115,G115+B116*E116,B116*E116)</f>
        <v>0</v>
      </c>
      <c r="H116">
        <f t="shared" si="4"/>
        <v>0</v>
      </c>
      <c r="I116">
        <f t="shared" si="5"/>
        <v>0</v>
      </c>
    </row>
    <row r="117" spans="1:9">
      <c r="A117" s="1">
        <v>38887</v>
      </c>
      <c r="B117">
        <v>6.3483599999999996</v>
      </c>
      <c r="C117">
        <v>6.585</v>
      </c>
      <c r="D117">
        <f>WEEKDAY(A117,14)</f>
        <v>5</v>
      </c>
      <c r="E117">
        <f>VLOOKUP(D117,L$2:M$8,2,FALSE)</f>
        <v>0.05</v>
      </c>
      <c r="F117">
        <f t="shared" si="3"/>
        <v>3</v>
      </c>
      <c r="G117">
        <f>IF(F117&gt;F116,G116+B117*E117,B117*E117)</f>
        <v>0.31741799999999998</v>
      </c>
      <c r="H117">
        <f t="shared" si="4"/>
        <v>0.05</v>
      </c>
      <c r="I117">
        <f t="shared" si="5"/>
        <v>0</v>
      </c>
    </row>
    <row r="118" spans="1:9">
      <c r="A118" s="1">
        <v>38888</v>
      </c>
      <c r="B118">
        <v>6.3677200000000003</v>
      </c>
      <c r="C118">
        <v>6.585</v>
      </c>
      <c r="D118">
        <f>WEEKDAY(A118,14)</f>
        <v>6</v>
      </c>
      <c r="E118">
        <f>VLOOKUP(D118,L$2:M$8,2,FALSE)</f>
        <v>0.7</v>
      </c>
      <c r="F118">
        <f t="shared" si="3"/>
        <v>4</v>
      </c>
      <c r="G118">
        <f>IF(F118&gt;F117,G117+B118*E118,B118*E118)</f>
        <v>4.7748219999999995</v>
      </c>
      <c r="H118">
        <f t="shared" si="4"/>
        <v>0.75</v>
      </c>
      <c r="I118">
        <f t="shared" si="5"/>
        <v>0</v>
      </c>
    </row>
    <row r="119" spans="1:9">
      <c r="A119" s="1">
        <v>38889</v>
      </c>
      <c r="B119">
        <v>6.3755699999999997</v>
      </c>
      <c r="C119">
        <v>6.585</v>
      </c>
      <c r="D119">
        <f>WEEKDAY(A119,14)</f>
        <v>7</v>
      </c>
      <c r="E119">
        <f>VLOOKUP(D119,L$2:M$8,2,FALSE)</f>
        <v>0.25</v>
      </c>
      <c r="F119">
        <f t="shared" si="3"/>
        <v>5</v>
      </c>
      <c r="G119">
        <f>IF(F119&gt;F118,G118+B119*E119,B119*E119)</f>
        <v>6.3687144999999994</v>
      </c>
      <c r="H119">
        <f t="shared" si="4"/>
        <v>1</v>
      </c>
      <c r="I119">
        <f t="shared" si="5"/>
        <v>0</v>
      </c>
    </row>
    <row r="120" spans="1:9">
      <c r="A120" s="1">
        <v>38890</v>
      </c>
      <c r="B120">
        <v>6.4195900000000004</v>
      </c>
      <c r="C120">
        <v>6.6550000000000002</v>
      </c>
      <c r="D120">
        <f>WEEKDAY(A120,14)</f>
        <v>1</v>
      </c>
      <c r="E120">
        <f>VLOOKUP(D120,L$2:M$8,2,FALSE)</f>
        <v>0</v>
      </c>
      <c r="F120">
        <f t="shared" si="3"/>
        <v>1</v>
      </c>
      <c r="G120">
        <f>IF(F120&gt;F119,G119+B120*E120,B120*E120)</f>
        <v>0</v>
      </c>
      <c r="H120">
        <f t="shared" si="4"/>
        <v>0</v>
      </c>
      <c r="I120">
        <f t="shared" si="5"/>
        <v>6.3687144999999994</v>
      </c>
    </row>
    <row r="121" spans="1:9">
      <c r="A121" s="1">
        <v>38891</v>
      </c>
      <c r="B121">
        <v>6.4599599999999997</v>
      </c>
      <c r="C121">
        <v>6.6550000000000002</v>
      </c>
      <c r="D121">
        <f>WEEKDAY(A121,14)</f>
        <v>2</v>
      </c>
      <c r="E121">
        <f>VLOOKUP(D121,L$2:M$8,2,FALSE)</f>
        <v>0</v>
      </c>
      <c r="F121">
        <f t="shared" si="3"/>
        <v>2</v>
      </c>
      <c r="G121">
        <f>IF(F121&gt;F120,G120+B121*E121,B121*E121)</f>
        <v>0</v>
      </c>
      <c r="H121">
        <f t="shared" si="4"/>
        <v>0</v>
      </c>
      <c r="I121">
        <f t="shared" si="5"/>
        <v>0</v>
      </c>
    </row>
    <row r="122" spans="1:9">
      <c r="A122" s="1">
        <v>38894</v>
      </c>
      <c r="B122">
        <v>6.48238</v>
      </c>
      <c r="C122">
        <v>6.6550000000000002</v>
      </c>
      <c r="D122">
        <f>WEEKDAY(A122,14)</f>
        <v>5</v>
      </c>
      <c r="E122">
        <f>VLOOKUP(D122,L$2:M$8,2,FALSE)</f>
        <v>0.05</v>
      </c>
      <c r="F122">
        <f t="shared" si="3"/>
        <v>3</v>
      </c>
      <c r="G122">
        <f>IF(F122&gt;F121,G121+B122*E122,B122*E122)</f>
        <v>0.32411900000000005</v>
      </c>
      <c r="H122">
        <f t="shared" si="4"/>
        <v>0.05</v>
      </c>
      <c r="I122">
        <f t="shared" si="5"/>
        <v>0</v>
      </c>
    </row>
    <row r="123" spans="1:9">
      <c r="A123" s="1">
        <v>38895</v>
      </c>
      <c r="B123">
        <v>6.4487699999999997</v>
      </c>
      <c r="C123">
        <v>6.6550000000000002</v>
      </c>
      <c r="D123">
        <f>WEEKDAY(A123,14)</f>
        <v>6</v>
      </c>
      <c r="E123">
        <f>VLOOKUP(D123,L$2:M$8,2,FALSE)</f>
        <v>0.7</v>
      </c>
      <c r="F123">
        <f t="shared" si="3"/>
        <v>4</v>
      </c>
      <c r="G123">
        <f>IF(F123&gt;F122,G122+B123*E123,B123*E123)</f>
        <v>4.8382579999999997</v>
      </c>
      <c r="H123">
        <f t="shared" si="4"/>
        <v>0.75</v>
      </c>
      <c r="I123">
        <f t="shared" si="5"/>
        <v>0</v>
      </c>
    </row>
    <row r="124" spans="1:9">
      <c r="A124" s="1">
        <v>38896</v>
      </c>
      <c r="B124">
        <v>6.4646600000000003</v>
      </c>
      <c r="C124">
        <v>6.6550000000000002</v>
      </c>
      <c r="D124">
        <f>WEEKDAY(A124,14)</f>
        <v>7</v>
      </c>
      <c r="E124">
        <f>VLOOKUP(D124,L$2:M$8,2,FALSE)</f>
        <v>0.25</v>
      </c>
      <c r="F124">
        <f t="shared" si="3"/>
        <v>5</v>
      </c>
      <c r="G124">
        <f>IF(F124&gt;F123,G123+B124*E124,B124*E124)</f>
        <v>6.4544230000000002</v>
      </c>
      <c r="H124">
        <f t="shared" si="4"/>
        <v>1</v>
      </c>
      <c r="I124">
        <f t="shared" si="5"/>
        <v>0</v>
      </c>
    </row>
    <row r="125" spans="1:9">
      <c r="A125" s="1">
        <v>38897</v>
      </c>
      <c r="B125">
        <v>6.4165099999999997</v>
      </c>
      <c r="C125">
        <v>6.665</v>
      </c>
      <c r="D125">
        <f>WEEKDAY(A125,14)</f>
        <v>1</v>
      </c>
      <c r="E125">
        <f>VLOOKUP(D125,L$2:M$8,2,FALSE)</f>
        <v>0</v>
      </c>
      <c r="F125">
        <f t="shared" si="3"/>
        <v>1</v>
      </c>
      <c r="G125">
        <f>IF(F125&gt;F124,G124+B125*E125,B125*E125)</f>
        <v>0</v>
      </c>
      <c r="H125">
        <f t="shared" si="4"/>
        <v>0</v>
      </c>
      <c r="I125">
        <f t="shared" si="5"/>
        <v>6.4544230000000002</v>
      </c>
    </row>
    <row r="126" spans="1:9">
      <c r="A126" s="1">
        <v>38898</v>
      </c>
      <c r="B126">
        <v>6.3710500000000003</v>
      </c>
      <c r="C126">
        <v>6.665</v>
      </c>
      <c r="D126">
        <f>WEEKDAY(A126,14)</f>
        <v>2</v>
      </c>
      <c r="E126">
        <f>VLOOKUP(D126,L$2:M$8,2,FALSE)</f>
        <v>0</v>
      </c>
      <c r="F126">
        <f t="shared" si="3"/>
        <v>2</v>
      </c>
      <c r="G126">
        <f>IF(F126&gt;F125,G125+B126*E126,B126*E126)</f>
        <v>0</v>
      </c>
      <c r="H126">
        <f t="shared" si="4"/>
        <v>0</v>
      </c>
      <c r="I126">
        <f t="shared" si="5"/>
        <v>0</v>
      </c>
    </row>
    <row r="127" spans="1:9">
      <c r="A127" s="1">
        <v>38901</v>
      </c>
      <c r="B127">
        <v>6.3933999999999997</v>
      </c>
      <c r="C127">
        <v>6.665</v>
      </c>
      <c r="D127">
        <f>WEEKDAY(A127,14)</f>
        <v>5</v>
      </c>
      <c r="E127">
        <f>VLOOKUP(D127,L$2:M$8,2,FALSE)</f>
        <v>0.05</v>
      </c>
      <c r="F127">
        <f t="shared" si="3"/>
        <v>3</v>
      </c>
      <c r="G127">
        <f>IF(F127&gt;F126,G126+B127*E127,B127*E127)</f>
        <v>0.31967000000000001</v>
      </c>
      <c r="H127">
        <f t="shared" si="4"/>
        <v>0.05</v>
      </c>
      <c r="I127">
        <f t="shared" si="5"/>
        <v>0</v>
      </c>
    </row>
    <row r="128" spans="1:9">
      <c r="A128" s="1">
        <v>38903</v>
      </c>
      <c r="B128">
        <v>6.4616400000000001</v>
      </c>
      <c r="C128">
        <v>6.665</v>
      </c>
      <c r="D128">
        <f>WEEKDAY(A128,14)</f>
        <v>7</v>
      </c>
      <c r="E128">
        <f>VLOOKUP(D128,L$2:M$8,2,FALSE)</f>
        <v>0.25</v>
      </c>
      <c r="F128">
        <f t="shared" si="3"/>
        <v>4</v>
      </c>
      <c r="G128">
        <f>IF(F128&gt;F127,G127+B128*E128,B128*E128)</f>
        <v>1.9350800000000001</v>
      </c>
      <c r="H128">
        <f t="shared" si="4"/>
        <v>0.3</v>
      </c>
      <c r="I128">
        <f t="shared" si="5"/>
        <v>0</v>
      </c>
    </row>
    <row r="129" spans="1:9">
      <c r="A129" s="1">
        <v>38904</v>
      </c>
      <c r="B129">
        <v>6.4276799999999996</v>
      </c>
      <c r="C129">
        <v>6.64</v>
      </c>
      <c r="D129">
        <f>WEEKDAY(A129,14)</f>
        <v>1</v>
      </c>
      <c r="E129">
        <f>VLOOKUP(D129,L$2:M$8,2,FALSE)</f>
        <v>0</v>
      </c>
      <c r="F129">
        <f t="shared" si="3"/>
        <v>1</v>
      </c>
      <c r="G129">
        <f>IF(F129&gt;F128,G128+B129*E129,B129*E129)</f>
        <v>0</v>
      </c>
      <c r="H129">
        <f t="shared" si="4"/>
        <v>0</v>
      </c>
      <c r="I129">
        <f t="shared" si="5"/>
        <v>6.4502666666666677</v>
      </c>
    </row>
    <row r="130" spans="1:9">
      <c r="A130" s="1">
        <v>38905</v>
      </c>
      <c r="B130">
        <v>6.3772799999999998</v>
      </c>
      <c r="C130">
        <v>6.64</v>
      </c>
      <c r="D130">
        <f>WEEKDAY(A130,14)</f>
        <v>2</v>
      </c>
      <c r="E130">
        <f>VLOOKUP(D130,L$2:M$8,2,FALSE)</f>
        <v>0</v>
      </c>
      <c r="F130">
        <f t="shared" si="3"/>
        <v>2</v>
      </c>
      <c r="G130">
        <f>IF(F130&gt;F129,G129+B130*E130,B130*E130)</f>
        <v>0</v>
      </c>
      <c r="H130">
        <f t="shared" si="4"/>
        <v>0</v>
      </c>
      <c r="I130">
        <f t="shared" si="5"/>
        <v>0</v>
      </c>
    </row>
    <row r="131" spans="1:9">
      <c r="A131" s="1">
        <v>38908</v>
      </c>
      <c r="B131">
        <v>6.3762600000000003</v>
      </c>
      <c r="C131">
        <v>6.64</v>
      </c>
      <c r="D131">
        <f>WEEKDAY(A131,14)</f>
        <v>5</v>
      </c>
      <c r="E131">
        <f>VLOOKUP(D131,L$2:M$8,2,FALSE)</f>
        <v>0.05</v>
      </c>
      <c r="F131">
        <f t="shared" ref="F131:F194" si="6">IF(AND(D131&gt;D130,F130&lt;6),F130+1,1)</f>
        <v>3</v>
      </c>
      <c r="G131">
        <f>IF(F131&gt;F130,G130+B131*E131,B131*E131)</f>
        <v>0.31881300000000001</v>
      </c>
      <c r="H131">
        <f t="shared" si="4"/>
        <v>0.05</v>
      </c>
      <c r="I131">
        <f t="shared" si="5"/>
        <v>0</v>
      </c>
    </row>
    <row r="132" spans="1:9">
      <c r="A132" s="1">
        <v>38909</v>
      </c>
      <c r="B132">
        <v>6.3572600000000001</v>
      </c>
      <c r="C132">
        <v>6.64</v>
      </c>
      <c r="D132">
        <f>WEEKDAY(A132,14)</f>
        <v>6</v>
      </c>
      <c r="E132">
        <f>VLOOKUP(D132,L$2:M$8,2,FALSE)</f>
        <v>0.7</v>
      </c>
      <c r="F132">
        <f t="shared" si="6"/>
        <v>4</v>
      </c>
      <c r="G132">
        <f>IF(F132&gt;F131,G131+B132*E132,B132*E132)</f>
        <v>4.7688950000000006</v>
      </c>
      <c r="H132">
        <f t="shared" ref="H132:H195" si="7">IF(AND(F132&lt;6,F132&gt;F131),E132+H131,E132)</f>
        <v>0.75</v>
      </c>
      <c r="I132">
        <f t="shared" ref="I132:I195" si="8">IF(F131&gt;F132,G131/H131,0)</f>
        <v>0</v>
      </c>
    </row>
    <row r="133" spans="1:9">
      <c r="A133" s="1">
        <v>38910</v>
      </c>
      <c r="B133">
        <v>6.3530600000000002</v>
      </c>
      <c r="C133">
        <v>6.64</v>
      </c>
      <c r="D133">
        <f>WEEKDAY(A133,14)</f>
        <v>7</v>
      </c>
      <c r="E133">
        <f>VLOOKUP(D133,L$2:M$8,2,FALSE)</f>
        <v>0.25</v>
      </c>
      <c r="F133">
        <f t="shared" si="6"/>
        <v>5</v>
      </c>
      <c r="G133">
        <f>IF(F133&gt;F132,G132+B133*E133,B133*E133)</f>
        <v>6.3571600000000004</v>
      </c>
      <c r="H133">
        <f t="shared" si="7"/>
        <v>1</v>
      </c>
      <c r="I133">
        <f t="shared" si="8"/>
        <v>0</v>
      </c>
    </row>
    <row r="134" spans="1:9">
      <c r="A134" s="1">
        <v>38911</v>
      </c>
      <c r="B134">
        <v>6.3382100000000001</v>
      </c>
      <c r="C134">
        <v>6.6749999999999998</v>
      </c>
      <c r="D134">
        <f>WEEKDAY(A134,14)</f>
        <v>1</v>
      </c>
      <c r="E134">
        <f>VLOOKUP(D134,L$2:M$8,2,FALSE)</f>
        <v>0</v>
      </c>
      <c r="F134">
        <f t="shared" si="6"/>
        <v>1</v>
      </c>
      <c r="G134">
        <f>IF(F134&gt;F133,G133+B134*E134,B134*E134)</f>
        <v>0</v>
      </c>
      <c r="H134">
        <f t="shared" si="7"/>
        <v>0</v>
      </c>
      <c r="I134">
        <f t="shared" si="8"/>
        <v>6.3571600000000004</v>
      </c>
    </row>
    <row r="135" spans="1:9">
      <c r="A135" s="1">
        <v>38912</v>
      </c>
      <c r="B135">
        <v>6.3309300000000004</v>
      </c>
      <c r="C135">
        <v>6.6749999999999998</v>
      </c>
      <c r="D135">
        <f>WEEKDAY(A135,14)</f>
        <v>2</v>
      </c>
      <c r="E135">
        <f>VLOOKUP(D135,L$2:M$8,2,FALSE)</f>
        <v>0</v>
      </c>
      <c r="F135">
        <f t="shared" si="6"/>
        <v>2</v>
      </c>
      <c r="G135">
        <f>IF(F135&gt;F134,G134+B135*E135,B135*E135)</f>
        <v>0</v>
      </c>
      <c r="H135">
        <f t="shared" si="7"/>
        <v>0</v>
      </c>
      <c r="I135">
        <f t="shared" si="8"/>
        <v>0</v>
      </c>
    </row>
    <row r="136" spans="1:9">
      <c r="A136" s="1">
        <v>38915</v>
      </c>
      <c r="B136">
        <v>6.3384400000000003</v>
      </c>
      <c r="C136">
        <v>6.6749999999999998</v>
      </c>
      <c r="D136">
        <f>WEEKDAY(A136,14)</f>
        <v>5</v>
      </c>
      <c r="E136">
        <f>VLOOKUP(D136,L$2:M$8,2,FALSE)</f>
        <v>0.05</v>
      </c>
      <c r="F136">
        <f t="shared" si="6"/>
        <v>3</v>
      </c>
      <c r="G136">
        <f>IF(F136&gt;F135,G135+B136*E136,B136*E136)</f>
        <v>0.31692200000000004</v>
      </c>
      <c r="H136">
        <f t="shared" si="7"/>
        <v>0.05</v>
      </c>
      <c r="I136">
        <f t="shared" si="8"/>
        <v>0</v>
      </c>
    </row>
    <row r="137" spans="1:9">
      <c r="A137" s="1">
        <v>38916</v>
      </c>
      <c r="B137">
        <v>6.3852399999999996</v>
      </c>
      <c r="C137">
        <v>6.6749999999999998</v>
      </c>
      <c r="D137">
        <f>WEEKDAY(A137,14)</f>
        <v>6</v>
      </c>
      <c r="E137">
        <f>VLOOKUP(D137,L$2:M$8,2,FALSE)</f>
        <v>0.7</v>
      </c>
      <c r="F137">
        <f t="shared" si="6"/>
        <v>4</v>
      </c>
      <c r="G137">
        <f>IF(F137&gt;F136,G136+B137*E137,B137*E137)</f>
        <v>4.7865899999999995</v>
      </c>
      <c r="H137">
        <f t="shared" si="7"/>
        <v>0.75</v>
      </c>
      <c r="I137">
        <f t="shared" si="8"/>
        <v>0</v>
      </c>
    </row>
    <row r="138" spans="1:9">
      <c r="A138" s="1">
        <v>38917</v>
      </c>
      <c r="B138">
        <v>6.30891</v>
      </c>
      <c r="C138">
        <v>6.6749999999999998</v>
      </c>
      <c r="D138">
        <f>WEEKDAY(A138,14)</f>
        <v>7</v>
      </c>
      <c r="E138">
        <f>VLOOKUP(D138,L$2:M$8,2,FALSE)</f>
        <v>0.25</v>
      </c>
      <c r="F138">
        <f t="shared" si="6"/>
        <v>5</v>
      </c>
      <c r="G138">
        <f>IF(F138&gt;F137,G137+B138*E138,B138*E138)</f>
        <v>6.3638174999999997</v>
      </c>
      <c r="H138">
        <f t="shared" si="7"/>
        <v>1</v>
      </c>
      <c r="I138">
        <f t="shared" si="8"/>
        <v>0</v>
      </c>
    </row>
    <row r="139" spans="1:9">
      <c r="A139" s="1">
        <v>38918</v>
      </c>
      <c r="B139">
        <v>6.2619800000000003</v>
      </c>
      <c r="C139">
        <v>6.5449999999999999</v>
      </c>
      <c r="D139">
        <f>WEEKDAY(A139,14)</f>
        <v>1</v>
      </c>
      <c r="E139">
        <f>VLOOKUP(D139,L$2:M$8,2,FALSE)</f>
        <v>0</v>
      </c>
      <c r="F139">
        <f t="shared" si="6"/>
        <v>1</v>
      </c>
      <c r="G139">
        <f>IF(F139&gt;F138,G138+B139*E139,B139*E139)</f>
        <v>0</v>
      </c>
      <c r="H139">
        <f t="shared" si="7"/>
        <v>0</v>
      </c>
      <c r="I139">
        <f t="shared" si="8"/>
        <v>6.3638174999999997</v>
      </c>
    </row>
    <row r="140" spans="1:9">
      <c r="A140" s="1">
        <v>38919</v>
      </c>
      <c r="B140">
        <v>6.2692600000000001</v>
      </c>
      <c r="C140">
        <v>6.5449999999999999</v>
      </c>
      <c r="D140">
        <f>WEEKDAY(A140,14)</f>
        <v>2</v>
      </c>
      <c r="E140">
        <f>VLOOKUP(D140,L$2:M$8,2,FALSE)</f>
        <v>0</v>
      </c>
      <c r="F140">
        <f t="shared" si="6"/>
        <v>2</v>
      </c>
      <c r="G140">
        <f>IF(F140&gt;F139,G139+B140*E140,B140*E140)</f>
        <v>0</v>
      </c>
      <c r="H140">
        <f t="shared" si="7"/>
        <v>0</v>
      </c>
      <c r="I140">
        <f t="shared" si="8"/>
        <v>0</v>
      </c>
    </row>
    <row r="141" spans="1:9">
      <c r="A141" s="1">
        <v>38922</v>
      </c>
      <c r="B141">
        <v>6.2682700000000002</v>
      </c>
      <c r="C141">
        <v>6.5449999999999999</v>
      </c>
      <c r="D141">
        <f>WEEKDAY(A141,14)</f>
        <v>5</v>
      </c>
      <c r="E141">
        <f>VLOOKUP(D141,L$2:M$8,2,FALSE)</f>
        <v>0.05</v>
      </c>
      <c r="F141">
        <f t="shared" si="6"/>
        <v>3</v>
      </c>
      <c r="G141">
        <f>IF(F141&gt;F140,G140+B141*E141,B141*E141)</f>
        <v>0.31341350000000001</v>
      </c>
      <c r="H141">
        <f t="shared" si="7"/>
        <v>0.05</v>
      </c>
      <c r="I141">
        <f t="shared" si="8"/>
        <v>0</v>
      </c>
    </row>
    <row r="142" spans="1:9">
      <c r="A142" s="1">
        <v>38923</v>
      </c>
      <c r="B142">
        <v>6.2874499999999998</v>
      </c>
      <c r="C142">
        <v>6.5449999999999999</v>
      </c>
      <c r="D142">
        <f>WEEKDAY(A142,14)</f>
        <v>6</v>
      </c>
      <c r="E142">
        <f>VLOOKUP(D142,L$2:M$8,2,FALSE)</f>
        <v>0.7</v>
      </c>
      <c r="F142">
        <f t="shared" si="6"/>
        <v>4</v>
      </c>
      <c r="G142">
        <f>IF(F142&gt;F141,G141+B142*E142,B142*E142)</f>
        <v>4.7146284999999999</v>
      </c>
      <c r="H142">
        <f t="shared" si="7"/>
        <v>0.75</v>
      </c>
      <c r="I142">
        <f t="shared" si="8"/>
        <v>0</v>
      </c>
    </row>
    <row r="143" spans="1:9">
      <c r="A143" s="1">
        <v>38924</v>
      </c>
      <c r="B143">
        <v>6.2465900000000003</v>
      </c>
      <c r="C143">
        <v>6.5449999999999999</v>
      </c>
      <c r="D143">
        <f>WEEKDAY(A143,14)</f>
        <v>7</v>
      </c>
      <c r="E143">
        <f>VLOOKUP(D143,L$2:M$8,2,FALSE)</f>
        <v>0.25</v>
      </c>
      <c r="F143">
        <f t="shared" si="6"/>
        <v>5</v>
      </c>
      <c r="G143">
        <f>IF(F143&gt;F142,G142+B143*E143,B143*E143)</f>
        <v>6.2762760000000002</v>
      </c>
      <c r="H143">
        <f t="shared" si="7"/>
        <v>1</v>
      </c>
      <c r="I143">
        <f t="shared" si="8"/>
        <v>0</v>
      </c>
    </row>
    <row r="144" spans="1:9">
      <c r="A144" s="1">
        <v>38925</v>
      </c>
      <c r="B144">
        <v>6.2366099999999998</v>
      </c>
      <c r="C144">
        <v>6.4550000000000001</v>
      </c>
      <c r="D144">
        <f>WEEKDAY(A144,14)</f>
        <v>1</v>
      </c>
      <c r="E144">
        <f>VLOOKUP(D144,L$2:M$8,2,FALSE)</f>
        <v>0</v>
      </c>
      <c r="F144">
        <f t="shared" si="6"/>
        <v>1</v>
      </c>
      <c r="G144">
        <f>IF(F144&gt;F143,G143+B144*E144,B144*E144)</f>
        <v>0</v>
      </c>
      <c r="H144">
        <f t="shared" si="7"/>
        <v>0</v>
      </c>
      <c r="I144">
        <f t="shared" si="8"/>
        <v>6.2762760000000002</v>
      </c>
    </row>
    <row r="145" spans="1:9">
      <c r="A145" s="1">
        <v>38926</v>
      </c>
      <c r="B145">
        <v>6.1639600000000003</v>
      </c>
      <c r="C145">
        <v>6.4550000000000001</v>
      </c>
      <c r="D145">
        <f>WEEKDAY(A145,14)</f>
        <v>2</v>
      </c>
      <c r="E145">
        <f>VLOOKUP(D145,L$2:M$8,2,FALSE)</f>
        <v>0</v>
      </c>
      <c r="F145">
        <f t="shared" si="6"/>
        <v>2</v>
      </c>
      <c r="G145">
        <f>IF(F145&gt;F144,G144+B145*E145,B145*E145)</f>
        <v>0</v>
      </c>
      <c r="H145">
        <f t="shared" si="7"/>
        <v>0</v>
      </c>
      <c r="I145">
        <f t="shared" si="8"/>
        <v>0</v>
      </c>
    </row>
    <row r="146" spans="1:9">
      <c r="A146" s="1">
        <v>38929</v>
      </c>
      <c r="B146">
        <v>6.157</v>
      </c>
      <c r="C146">
        <v>6.4550000000000001</v>
      </c>
      <c r="D146">
        <f>WEEKDAY(A146,14)</f>
        <v>5</v>
      </c>
      <c r="E146">
        <f>VLOOKUP(D146,L$2:M$8,2,FALSE)</f>
        <v>0.05</v>
      </c>
      <c r="F146">
        <f t="shared" si="6"/>
        <v>3</v>
      </c>
      <c r="G146">
        <f>IF(F146&gt;F145,G145+B146*E146,B146*E146)</f>
        <v>0.30785000000000001</v>
      </c>
      <c r="H146">
        <f t="shared" si="7"/>
        <v>0.05</v>
      </c>
      <c r="I146">
        <f t="shared" si="8"/>
        <v>0</v>
      </c>
    </row>
    <row r="147" spans="1:9">
      <c r="A147" s="1">
        <v>38930</v>
      </c>
      <c r="B147">
        <v>6.1477599999999999</v>
      </c>
      <c r="C147">
        <v>6.4550000000000001</v>
      </c>
      <c r="D147">
        <f>WEEKDAY(A147,14)</f>
        <v>6</v>
      </c>
      <c r="E147">
        <f>VLOOKUP(D147,L$2:M$8,2,FALSE)</f>
        <v>0.7</v>
      </c>
      <c r="F147">
        <f t="shared" si="6"/>
        <v>4</v>
      </c>
      <c r="G147">
        <f>IF(F147&gt;F146,G146+B147*E147,B147*E147)</f>
        <v>4.6112820000000001</v>
      </c>
      <c r="H147">
        <f t="shared" si="7"/>
        <v>0.75</v>
      </c>
      <c r="I147">
        <f t="shared" si="8"/>
        <v>0</v>
      </c>
    </row>
    <row r="148" spans="1:9">
      <c r="A148" s="1">
        <v>38931</v>
      </c>
      <c r="B148">
        <v>6.1257000000000001</v>
      </c>
      <c r="C148">
        <v>6.4550000000000001</v>
      </c>
      <c r="D148">
        <f>WEEKDAY(A148,14)</f>
        <v>7</v>
      </c>
      <c r="E148">
        <f>VLOOKUP(D148,L$2:M$8,2,FALSE)</f>
        <v>0.25</v>
      </c>
      <c r="F148">
        <f t="shared" si="6"/>
        <v>5</v>
      </c>
      <c r="G148">
        <f>IF(F148&gt;F147,G147+B148*E148,B148*E148)</f>
        <v>6.1427069999999997</v>
      </c>
      <c r="H148">
        <f t="shared" si="7"/>
        <v>1</v>
      </c>
      <c r="I148">
        <f t="shared" si="8"/>
        <v>0</v>
      </c>
    </row>
    <row r="149" spans="1:9">
      <c r="A149" s="1">
        <v>38932</v>
      </c>
      <c r="B149">
        <v>6.14072</v>
      </c>
      <c r="C149">
        <v>6.4</v>
      </c>
      <c r="D149">
        <f>WEEKDAY(A149,14)</f>
        <v>1</v>
      </c>
      <c r="E149">
        <f>VLOOKUP(D149,L$2:M$8,2,FALSE)</f>
        <v>0</v>
      </c>
      <c r="F149">
        <f t="shared" si="6"/>
        <v>1</v>
      </c>
      <c r="G149">
        <f>IF(F149&gt;F148,G148+B149*E149,B149*E149)</f>
        <v>0</v>
      </c>
      <c r="H149">
        <f t="shared" si="7"/>
        <v>0</v>
      </c>
      <c r="I149">
        <f t="shared" si="8"/>
        <v>6.1427069999999997</v>
      </c>
    </row>
    <row r="150" spans="1:9">
      <c r="A150" s="1">
        <v>38933</v>
      </c>
      <c r="B150">
        <v>6.0519999999999996</v>
      </c>
      <c r="C150">
        <v>6.4</v>
      </c>
      <c r="D150">
        <f>WEEKDAY(A150,14)</f>
        <v>2</v>
      </c>
      <c r="E150">
        <f>VLOOKUP(D150,L$2:M$8,2,FALSE)</f>
        <v>0</v>
      </c>
      <c r="F150">
        <f t="shared" si="6"/>
        <v>2</v>
      </c>
      <c r="G150">
        <f>IF(F150&gt;F149,G149+B150*E150,B150*E150)</f>
        <v>0</v>
      </c>
      <c r="H150">
        <f t="shared" si="7"/>
        <v>0</v>
      </c>
      <c r="I150">
        <f t="shared" si="8"/>
        <v>0</v>
      </c>
    </row>
    <row r="151" spans="1:9">
      <c r="A151" s="1">
        <v>38936</v>
      </c>
      <c r="B151">
        <v>6.0902799999999999</v>
      </c>
      <c r="C151">
        <v>6.4</v>
      </c>
      <c r="D151">
        <f>WEEKDAY(A151,14)</f>
        <v>5</v>
      </c>
      <c r="E151">
        <f>VLOOKUP(D151,L$2:M$8,2,FALSE)</f>
        <v>0.05</v>
      </c>
      <c r="F151">
        <f t="shared" si="6"/>
        <v>3</v>
      </c>
      <c r="G151">
        <f>IF(F151&gt;F150,G150+B151*E151,B151*E151)</f>
        <v>0.30451400000000001</v>
      </c>
      <c r="H151">
        <f t="shared" si="7"/>
        <v>0.05</v>
      </c>
      <c r="I151">
        <f t="shared" si="8"/>
        <v>0</v>
      </c>
    </row>
    <row r="152" spans="1:9">
      <c r="A152" s="1">
        <v>38937</v>
      </c>
      <c r="B152">
        <v>6.0644600000000004</v>
      </c>
      <c r="C152">
        <v>6.4</v>
      </c>
      <c r="D152">
        <f>WEEKDAY(A152,14)</f>
        <v>6</v>
      </c>
      <c r="E152">
        <f>VLOOKUP(D152,L$2:M$8,2,FALSE)</f>
        <v>0.7</v>
      </c>
      <c r="F152">
        <f t="shared" si="6"/>
        <v>4</v>
      </c>
      <c r="G152">
        <f>IF(F152&gt;F151,G151+B152*E152,B152*E152)</f>
        <v>4.5496360000000005</v>
      </c>
      <c r="H152">
        <f t="shared" si="7"/>
        <v>0.75</v>
      </c>
      <c r="I152">
        <f t="shared" si="8"/>
        <v>0</v>
      </c>
    </row>
    <row r="153" spans="1:9">
      <c r="A153" s="1">
        <v>38938</v>
      </c>
      <c r="B153">
        <v>6.0604199999999997</v>
      </c>
      <c r="C153">
        <v>6.4</v>
      </c>
      <c r="D153">
        <f>WEEKDAY(A153,14)</f>
        <v>7</v>
      </c>
      <c r="E153">
        <f>VLOOKUP(D153,L$2:M$8,2,FALSE)</f>
        <v>0.25</v>
      </c>
      <c r="F153">
        <f t="shared" si="6"/>
        <v>5</v>
      </c>
      <c r="G153">
        <f>IF(F153&gt;F152,G152+B153*E153,B153*E153)</f>
        <v>6.0647410000000006</v>
      </c>
      <c r="H153">
        <f t="shared" si="7"/>
        <v>1</v>
      </c>
      <c r="I153">
        <f t="shared" si="8"/>
        <v>0</v>
      </c>
    </row>
    <row r="154" spans="1:9">
      <c r="A154" s="1">
        <v>38939</v>
      </c>
      <c r="B154">
        <v>6.0658799999999999</v>
      </c>
      <c r="C154">
        <v>6.3449999999999998</v>
      </c>
      <c r="D154">
        <f>WEEKDAY(A154,14)</f>
        <v>1</v>
      </c>
      <c r="E154">
        <f>VLOOKUP(D154,L$2:M$8,2,FALSE)</f>
        <v>0</v>
      </c>
      <c r="F154">
        <f t="shared" si="6"/>
        <v>1</v>
      </c>
      <c r="G154">
        <f>IF(F154&gt;F153,G153+B154*E154,B154*E154)</f>
        <v>0</v>
      </c>
      <c r="H154">
        <f t="shared" si="7"/>
        <v>0</v>
      </c>
      <c r="I154">
        <f t="shared" si="8"/>
        <v>6.0647410000000006</v>
      </c>
    </row>
    <row r="155" spans="1:9">
      <c r="A155" s="1">
        <v>38940</v>
      </c>
      <c r="B155">
        <v>6.1082999999999998</v>
      </c>
      <c r="C155">
        <v>6.3449999999999998</v>
      </c>
      <c r="D155">
        <f>WEEKDAY(A155,14)</f>
        <v>2</v>
      </c>
      <c r="E155">
        <f>VLOOKUP(D155,L$2:M$8,2,FALSE)</f>
        <v>0</v>
      </c>
      <c r="F155">
        <f t="shared" si="6"/>
        <v>2</v>
      </c>
      <c r="G155">
        <f>IF(F155&gt;F154,G154+B155*E155,B155*E155)</f>
        <v>0</v>
      </c>
      <c r="H155">
        <f t="shared" si="7"/>
        <v>0</v>
      </c>
      <c r="I155">
        <f t="shared" si="8"/>
        <v>0</v>
      </c>
    </row>
    <row r="156" spans="1:9">
      <c r="A156" s="1">
        <v>38943</v>
      </c>
      <c r="B156">
        <v>6.1548699999999998</v>
      </c>
      <c r="C156">
        <v>6.3449999999999998</v>
      </c>
      <c r="D156">
        <f>WEEKDAY(A156,14)</f>
        <v>5</v>
      </c>
      <c r="E156">
        <f>VLOOKUP(D156,L$2:M$8,2,FALSE)</f>
        <v>0.05</v>
      </c>
      <c r="F156">
        <f t="shared" si="6"/>
        <v>3</v>
      </c>
      <c r="G156">
        <f>IF(F156&gt;F155,G155+B156*E156,B156*E156)</f>
        <v>0.3077435</v>
      </c>
      <c r="H156">
        <f t="shared" si="7"/>
        <v>0.05</v>
      </c>
      <c r="I156">
        <f t="shared" si="8"/>
        <v>0</v>
      </c>
    </row>
    <row r="157" spans="1:9">
      <c r="A157" s="1">
        <v>38944</v>
      </c>
      <c r="B157">
        <v>6.0566199999999997</v>
      </c>
      <c r="C157">
        <v>6.3449999999999998</v>
      </c>
      <c r="D157">
        <f>WEEKDAY(A157,14)</f>
        <v>6</v>
      </c>
      <c r="E157">
        <f>VLOOKUP(D157,L$2:M$8,2,FALSE)</f>
        <v>0.7</v>
      </c>
      <c r="F157">
        <f t="shared" si="6"/>
        <v>4</v>
      </c>
      <c r="G157">
        <f>IF(F157&gt;F156,G156+B157*E157,B157*E157)</f>
        <v>4.5473774999999996</v>
      </c>
      <c r="H157">
        <f t="shared" si="7"/>
        <v>0.75</v>
      </c>
      <c r="I157">
        <f t="shared" si="8"/>
        <v>0</v>
      </c>
    </row>
    <row r="158" spans="1:9">
      <c r="A158" s="1">
        <v>38945</v>
      </c>
      <c r="B158">
        <v>5.9685199999999998</v>
      </c>
      <c r="C158">
        <v>6.3449999999999998</v>
      </c>
      <c r="D158">
        <f>WEEKDAY(A158,14)</f>
        <v>7</v>
      </c>
      <c r="E158">
        <f>VLOOKUP(D158,L$2:M$8,2,FALSE)</f>
        <v>0.25</v>
      </c>
      <c r="F158">
        <f t="shared" si="6"/>
        <v>5</v>
      </c>
      <c r="G158">
        <f>IF(F158&gt;F157,G157+B158*E158,B158*E158)</f>
        <v>6.0395074999999991</v>
      </c>
      <c r="H158">
        <f t="shared" si="7"/>
        <v>1</v>
      </c>
      <c r="I158">
        <f t="shared" si="8"/>
        <v>0</v>
      </c>
    </row>
    <row r="159" spans="1:9">
      <c r="A159" s="1">
        <v>38946</v>
      </c>
      <c r="B159">
        <v>5.9877500000000001</v>
      </c>
      <c r="C159">
        <v>6.33</v>
      </c>
      <c r="D159">
        <f>WEEKDAY(A159,14)</f>
        <v>1</v>
      </c>
      <c r="E159">
        <f>VLOOKUP(D159,L$2:M$8,2,FALSE)</f>
        <v>0</v>
      </c>
      <c r="F159">
        <f t="shared" si="6"/>
        <v>1</v>
      </c>
      <c r="G159">
        <f>IF(F159&gt;F158,G158+B159*E159,B159*E159)</f>
        <v>0</v>
      </c>
      <c r="H159">
        <f t="shared" si="7"/>
        <v>0</v>
      </c>
      <c r="I159">
        <f t="shared" si="8"/>
        <v>6.0395074999999991</v>
      </c>
    </row>
    <row r="160" spans="1:9">
      <c r="A160" s="1">
        <v>38947</v>
      </c>
      <c r="B160">
        <v>5.9580200000000003</v>
      </c>
      <c r="C160">
        <v>6.33</v>
      </c>
      <c r="D160">
        <f>WEEKDAY(A160,14)</f>
        <v>2</v>
      </c>
      <c r="E160">
        <f>VLOOKUP(D160,L$2:M$8,2,FALSE)</f>
        <v>0</v>
      </c>
      <c r="F160">
        <f t="shared" si="6"/>
        <v>2</v>
      </c>
      <c r="G160">
        <f>IF(F160&gt;F159,G159+B160*E160,B160*E160)</f>
        <v>0</v>
      </c>
      <c r="H160">
        <f t="shared" si="7"/>
        <v>0</v>
      </c>
      <c r="I160">
        <f t="shared" si="8"/>
        <v>0</v>
      </c>
    </row>
    <row r="161" spans="1:9">
      <c r="A161" s="1">
        <v>38950</v>
      </c>
      <c r="B161">
        <v>5.9786400000000004</v>
      </c>
      <c r="C161">
        <v>6.33</v>
      </c>
      <c r="D161">
        <f>WEEKDAY(A161,14)</f>
        <v>5</v>
      </c>
      <c r="E161">
        <f>VLOOKUP(D161,L$2:M$8,2,FALSE)</f>
        <v>0.05</v>
      </c>
      <c r="F161">
        <f t="shared" si="6"/>
        <v>3</v>
      </c>
      <c r="G161">
        <f>IF(F161&gt;F160,G160+B161*E161,B161*E161)</f>
        <v>0.29893200000000003</v>
      </c>
      <c r="H161">
        <f t="shared" si="7"/>
        <v>0.05</v>
      </c>
      <c r="I161">
        <f t="shared" si="8"/>
        <v>0</v>
      </c>
    </row>
    <row r="162" spans="1:9">
      <c r="A162" s="1">
        <v>38951</v>
      </c>
      <c r="B162">
        <v>5.9617699999999996</v>
      </c>
      <c r="C162">
        <v>6.33</v>
      </c>
      <c r="D162">
        <f>WEEKDAY(A162,14)</f>
        <v>6</v>
      </c>
      <c r="E162">
        <f>VLOOKUP(D162,L$2:M$8,2,FALSE)</f>
        <v>0.7</v>
      </c>
      <c r="F162">
        <f t="shared" si="6"/>
        <v>4</v>
      </c>
      <c r="G162">
        <f>IF(F162&gt;F161,G161+B162*E162,B162*E162)</f>
        <v>4.4721709999999995</v>
      </c>
      <c r="H162">
        <f t="shared" si="7"/>
        <v>0.75</v>
      </c>
      <c r="I162">
        <f t="shared" si="8"/>
        <v>0</v>
      </c>
    </row>
    <row r="163" spans="1:9">
      <c r="A163" s="1">
        <v>38952</v>
      </c>
      <c r="B163">
        <v>5.96807</v>
      </c>
      <c r="C163">
        <v>6.33</v>
      </c>
      <c r="D163">
        <f>WEEKDAY(A163,14)</f>
        <v>7</v>
      </c>
      <c r="E163">
        <f>VLOOKUP(D163,L$2:M$8,2,FALSE)</f>
        <v>0.25</v>
      </c>
      <c r="F163">
        <f t="shared" si="6"/>
        <v>5</v>
      </c>
      <c r="G163">
        <f>IF(F163&gt;F162,G162+B163*E163,B163*E163)</f>
        <v>5.9641884999999997</v>
      </c>
      <c r="H163">
        <f t="shared" si="7"/>
        <v>1</v>
      </c>
      <c r="I163">
        <f t="shared" si="8"/>
        <v>0</v>
      </c>
    </row>
    <row r="164" spans="1:9">
      <c r="A164" s="1">
        <v>38953</v>
      </c>
      <c r="B164">
        <v>5.9625399999999997</v>
      </c>
      <c r="C164">
        <v>6.29</v>
      </c>
      <c r="D164">
        <f>WEEKDAY(A164,14)</f>
        <v>1</v>
      </c>
      <c r="E164">
        <f>VLOOKUP(D164,L$2:M$8,2,FALSE)</f>
        <v>0</v>
      </c>
      <c r="F164">
        <f t="shared" si="6"/>
        <v>1</v>
      </c>
      <c r="G164">
        <f>IF(F164&gt;F163,G163+B164*E164,B164*E164)</f>
        <v>0</v>
      </c>
      <c r="H164">
        <f t="shared" si="7"/>
        <v>0</v>
      </c>
      <c r="I164">
        <f t="shared" si="8"/>
        <v>5.9641884999999997</v>
      </c>
    </row>
    <row r="165" spans="1:9">
      <c r="A165" s="1">
        <v>38954</v>
      </c>
      <c r="B165">
        <v>5.9806699999999999</v>
      </c>
      <c r="C165">
        <v>6.29</v>
      </c>
      <c r="D165">
        <f>WEEKDAY(A165,14)</f>
        <v>2</v>
      </c>
      <c r="E165">
        <f>VLOOKUP(D165,L$2:M$8,2,FALSE)</f>
        <v>0</v>
      </c>
      <c r="F165">
        <f t="shared" si="6"/>
        <v>2</v>
      </c>
      <c r="G165">
        <f>IF(F165&gt;F164,G164+B165*E165,B165*E165)</f>
        <v>0</v>
      </c>
      <c r="H165">
        <f t="shared" si="7"/>
        <v>0</v>
      </c>
      <c r="I165">
        <f t="shared" si="8"/>
        <v>0</v>
      </c>
    </row>
    <row r="166" spans="1:9">
      <c r="A166" s="1">
        <v>38957</v>
      </c>
      <c r="B166">
        <v>5.9642400000000002</v>
      </c>
      <c r="C166">
        <v>6.29</v>
      </c>
      <c r="D166">
        <f>WEEKDAY(A166,14)</f>
        <v>5</v>
      </c>
      <c r="E166">
        <f>VLOOKUP(D166,L$2:M$8,2,FALSE)</f>
        <v>0.05</v>
      </c>
      <c r="F166">
        <f t="shared" si="6"/>
        <v>3</v>
      </c>
      <c r="G166">
        <f>IF(F166&gt;F165,G165+B166*E166,B166*E166)</f>
        <v>0.29821200000000003</v>
      </c>
      <c r="H166">
        <f t="shared" si="7"/>
        <v>0.05</v>
      </c>
      <c r="I166">
        <f t="shared" si="8"/>
        <v>0</v>
      </c>
    </row>
    <row r="167" spans="1:9">
      <c r="A167" s="1">
        <v>38958</v>
      </c>
      <c r="B167">
        <v>5.9525600000000001</v>
      </c>
      <c r="C167">
        <v>6.29</v>
      </c>
      <c r="D167">
        <f>WEEKDAY(A167,14)</f>
        <v>6</v>
      </c>
      <c r="E167">
        <f>VLOOKUP(D167,L$2:M$8,2,FALSE)</f>
        <v>0.7</v>
      </c>
      <c r="F167">
        <f t="shared" si="6"/>
        <v>4</v>
      </c>
      <c r="G167">
        <f>IF(F167&gt;F166,G166+B167*E167,B167*E167)</f>
        <v>4.4650040000000004</v>
      </c>
      <c r="H167">
        <f t="shared" si="7"/>
        <v>0.75</v>
      </c>
      <c r="I167">
        <f t="shared" si="8"/>
        <v>0</v>
      </c>
    </row>
    <row r="168" spans="1:9">
      <c r="A168" s="1">
        <v>38959</v>
      </c>
      <c r="B168">
        <v>5.9701899999999997</v>
      </c>
      <c r="C168">
        <v>6.29</v>
      </c>
      <c r="D168">
        <f>WEEKDAY(A168,14)</f>
        <v>7</v>
      </c>
      <c r="E168">
        <f>VLOOKUP(D168,L$2:M$8,2,FALSE)</f>
        <v>0.25</v>
      </c>
      <c r="F168">
        <f t="shared" si="6"/>
        <v>5</v>
      </c>
      <c r="G168">
        <f>IF(F168&gt;F167,G167+B168*E168,B168*E168)</f>
        <v>5.9575515000000001</v>
      </c>
      <c r="H168">
        <f t="shared" si="7"/>
        <v>1</v>
      </c>
      <c r="I168">
        <f t="shared" si="8"/>
        <v>0</v>
      </c>
    </row>
    <row r="169" spans="1:9">
      <c r="A169" s="1">
        <v>38960</v>
      </c>
      <c r="B169">
        <v>5.94217</v>
      </c>
      <c r="C169">
        <v>6.32</v>
      </c>
      <c r="D169">
        <f>WEEKDAY(A169,14)</f>
        <v>1</v>
      </c>
      <c r="E169">
        <f>VLOOKUP(D169,L$2:M$8,2,FALSE)</f>
        <v>0</v>
      </c>
      <c r="F169">
        <f t="shared" si="6"/>
        <v>1</v>
      </c>
      <c r="G169">
        <f>IF(F169&gt;F168,G168+B169*E169,B169*E169)</f>
        <v>0</v>
      </c>
      <c r="H169">
        <f t="shared" si="7"/>
        <v>0</v>
      </c>
      <c r="I169">
        <f t="shared" si="8"/>
        <v>5.9575515000000001</v>
      </c>
    </row>
    <row r="170" spans="1:9">
      <c r="A170" s="1">
        <v>38961</v>
      </c>
      <c r="B170">
        <v>5.9284400000000002</v>
      </c>
      <c r="C170">
        <v>6.32</v>
      </c>
      <c r="D170">
        <f>WEEKDAY(A170,14)</f>
        <v>2</v>
      </c>
      <c r="E170">
        <f>VLOOKUP(D170,L$2:M$8,2,FALSE)</f>
        <v>0</v>
      </c>
      <c r="F170">
        <f t="shared" si="6"/>
        <v>2</v>
      </c>
      <c r="G170">
        <f>IF(F170&gt;F169,G169+B170*E170,B170*E170)</f>
        <v>0</v>
      </c>
      <c r="H170">
        <f t="shared" si="7"/>
        <v>0</v>
      </c>
      <c r="I170">
        <f t="shared" si="8"/>
        <v>0</v>
      </c>
    </row>
    <row r="171" spans="1:9">
      <c r="A171" s="1">
        <v>38965</v>
      </c>
      <c r="B171">
        <v>5.9608400000000001</v>
      </c>
      <c r="C171">
        <v>6.32</v>
      </c>
      <c r="D171">
        <f>WEEKDAY(A171,14)</f>
        <v>6</v>
      </c>
      <c r="E171">
        <f>VLOOKUP(D171,L$2:M$8,2,FALSE)</f>
        <v>0.7</v>
      </c>
      <c r="F171">
        <f t="shared" si="6"/>
        <v>3</v>
      </c>
      <c r="G171">
        <f>IF(F171&gt;F170,G170+B171*E171,B171*E171)</f>
        <v>4.1725880000000002</v>
      </c>
      <c r="H171">
        <f t="shared" si="7"/>
        <v>0.7</v>
      </c>
      <c r="I171">
        <f t="shared" si="8"/>
        <v>0</v>
      </c>
    </row>
    <row r="172" spans="1:9">
      <c r="A172" s="1">
        <v>38966</v>
      </c>
      <c r="B172">
        <v>5.9686399999999997</v>
      </c>
      <c r="C172">
        <v>6.32</v>
      </c>
      <c r="D172">
        <f>WEEKDAY(A172,14)</f>
        <v>7</v>
      </c>
      <c r="E172">
        <f>VLOOKUP(D172,L$2:M$8,2,FALSE)</f>
        <v>0.25</v>
      </c>
      <c r="F172">
        <f t="shared" si="6"/>
        <v>4</v>
      </c>
      <c r="G172">
        <f>IF(F172&gt;F171,G171+B172*E172,B172*E172)</f>
        <v>5.6647480000000003</v>
      </c>
      <c r="H172">
        <f t="shared" si="7"/>
        <v>0.95</v>
      </c>
      <c r="I172">
        <f t="shared" si="8"/>
        <v>0</v>
      </c>
    </row>
    <row r="173" spans="1:9">
      <c r="A173" s="1">
        <v>38967</v>
      </c>
      <c r="B173">
        <v>5.95526</v>
      </c>
      <c r="C173">
        <v>6.3049999999999997</v>
      </c>
      <c r="D173">
        <f>WEEKDAY(A173,14)</f>
        <v>1</v>
      </c>
      <c r="E173">
        <f>VLOOKUP(D173,L$2:M$8,2,FALSE)</f>
        <v>0</v>
      </c>
      <c r="F173">
        <f t="shared" si="6"/>
        <v>1</v>
      </c>
      <c r="G173">
        <f>IF(F173&gt;F172,G172+B173*E173,B173*E173)</f>
        <v>0</v>
      </c>
      <c r="H173">
        <f t="shared" si="7"/>
        <v>0</v>
      </c>
      <c r="I173">
        <f t="shared" si="8"/>
        <v>5.9628926315789483</v>
      </c>
    </row>
    <row r="174" spans="1:9">
      <c r="A174" s="1">
        <v>38968</v>
      </c>
      <c r="B174">
        <v>5.9333799999999997</v>
      </c>
      <c r="C174">
        <v>6.3049999999999997</v>
      </c>
      <c r="D174">
        <f>WEEKDAY(A174,14)</f>
        <v>2</v>
      </c>
      <c r="E174">
        <f>VLOOKUP(D174,L$2:M$8,2,FALSE)</f>
        <v>0</v>
      </c>
      <c r="F174">
        <f t="shared" si="6"/>
        <v>2</v>
      </c>
      <c r="G174">
        <f>IF(F174&gt;F173,G173+B174*E174,B174*E174)</f>
        <v>0</v>
      </c>
      <c r="H174">
        <f t="shared" si="7"/>
        <v>0</v>
      </c>
      <c r="I174">
        <f t="shared" si="8"/>
        <v>0</v>
      </c>
    </row>
    <row r="175" spans="1:9">
      <c r="A175" s="1">
        <v>38971</v>
      </c>
      <c r="B175">
        <v>5.9589800000000004</v>
      </c>
      <c r="C175">
        <v>6.3049999999999997</v>
      </c>
      <c r="D175">
        <f>WEEKDAY(A175,14)</f>
        <v>5</v>
      </c>
      <c r="E175">
        <f>VLOOKUP(D175,L$2:M$8,2,FALSE)</f>
        <v>0.05</v>
      </c>
      <c r="F175">
        <f t="shared" si="6"/>
        <v>3</v>
      </c>
      <c r="G175">
        <f>IF(F175&gt;F174,G174+B175*E175,B175*E175)</f>
        <v>0.29794900000000002</v>
      </c>
      <c r="H175">
        <f t="shared" si="7"/>
        <v>0.05</v>
      </c>
      <c r="I175">
        <f t="shared" si="8"/>
        <v>0</v>
      </c>
    </row>
    <row r="176" spans="1:9">
      <c r="A176" s="1">
        <v>38972</v>
      </c>
      <c r="B176">
        <v>5.9401700000000002</v>
      </c>
      <c r="C176">
        <v>6.3049999999999997</v>
      </c>
      <c r="D176">
        <f>WEEKDAY(A176,14)</f>
        <v>6</v>
      </c>
      <c r="E176">
        <f>VLOOKUP(D176,L$2:M$8,2,FALSE)</f>
        <v>0.7</v>
      </c>
      <c r="F176">
        <f t="shared" si="6"/>
        <v>4</v>
      </c>
      <c r="G176">
        <f>IF(F176&gt;F175,G175+B176*E176,B176*E176)</f>
        <v>4.4560680000000001</v>
      </c>
      <c r="H176">
        <f t="shared" si="7"/>
        <v>0.75</v>
      </c>
      <c r="I176">
        <f t="shared" si="8"/>
        <v>0</v>
      </c>
    </row>
    <row r="177" spans="1:9">
      <c r="A177" s="1">
        <v>38973</v>
      </c>
      <c r="B177">
        <v>5.9405599999999996</v>
      </c>
      <c r="C177">
        <v>6.3049999999999997</v>
      </c>
      <c r="D177">
        <f>WEEKDAY(A177,14)</f>
        <v>7</v>
      </c>
      <c r="E177">
        <f>VLOOKUP(D177,L$2:M$8,2,FALSE)</f>
        <v>0.25</v>
      </c>
      <c r="F177">
        <f t="shared" si="6"/>
        <v>5</v>
      </c>
      <c r="G177">
        <f>IF(F177&gt;F176,G176+B177*E177,B177*E177)</f>
        <v>5.9412079999999996</v>
      </c>
      <c r="H177">
        <f t="shared" si="7"/>
        <v>1</v>
      </c>
      <c r="I177">
        <f t="shared" si="8"/>
        <v>0</v>
      </c>
    </row>
    <row r="178" spans="1:9">
      <c r="A178" s="1">
        <v>38974</v>
      </c>
      <c r="B178">
        <v>5.9723199999999999</v>
      </c>
      <c r="C178">
        <v>6.2750000000000004</v>
      </c>
      <c r="D178">
        <f>WEEKDAY(A178,14)</f>
        <v>1</v>
      </c>
      <c r="E178">
        <f>VLOOKUP(D178,L$2:M$8,2,FALSE)</f>
        <v>0</v>
      </c>
      <c r="F178">
        <f t="shared" si="6"/>
        <v>1</v>
      </c>
      <c r="G178">
        <f>IF(F178&gt;F177,G177+B178*E178,B178*E178)</f>
        <v>0</v>
      </c>
      <c r="H178">
        <f t="shared" si="7"/>
        <v>0</v>
      </c>
      <c r="I178">
        <f t="shared" si="8"/>
        <v>5.9412079999999996</v>
      </c>
    </row>
    <row r="179" spans="1:9">
      <c r="A179" s="1">
        <v>38975</v>
      </c>
      <c r="B179">
        <v>5.9597199999999999</v>
      </c>
      <c r="C179">
        <v>6.2750000000000004</v>
      </c>
      <c r="D179">
        <f>WEEKDAY(A179,14)</f>
        <v>2</v>
      </c>
      <c r="E179">
        <f>VLOOKUP(D179,L$2:M$8,2,FALSE)</f>
        <v>0</v>
      </c>
      <c r="F179">
        <f t="shared" si="6"/>
        <v>2</v>
      </c>
      <c r="G179">
        <f>IF(F179&gt;F178,G178+B179*E179,B179*E179)</f>
        <v>0</v>
      </c>
      <c r="H179">
        <f t="shared" si="7"/>
        <v>0</v>
      </c>
      <c r="I179">
        <f t="shared" si="8"/>
        <v>0</v>
      </c>
    </row>
    <row r="180" spans="1:9">
      <c r="A180" s="1">
        <v>38978</v>
      </c>
      <c r="B180">
        <v>5.9754800000000001</v>
      </c>
      <c r="C180">
        <v>6.2750000000000004</v>
      </c>
      <c r="D180">
        <f>WEEKDAY(A180,14)</f>
        <v>5</v>
      </c>
      <c r="E180">
        <f>VLOOKUP(D180,L$2:M$8,2,FALSE)</f>
        <v>0.05</v>
      </c>
      <c r="F180">
        <f t="shared" si="6"/>
        <v>3</v>
      </c>
      <c r="G180">
        <f>IF(F180&gt;F179,G179+B180*E180,B180*E180)</f>
        <v>0.29877400000000004</v>
      </c>
      <c r="H180">
        <f t="shared" si="7"/>
        <v>0.05</v>
      </c>
      <c r="I180">
        <f t="shared" si="8"/>
        <v>0</v>
      </c>
    </row>
    <row r="181" spans="1:9">
      <c r="A181" s="1">
        <v>38979</v>
      </c>
      <c r="B181">
        <v>5.9392399999999999</v>
      </c>
      <c r="C181">
        <v>6.2750000000000004</v>
      </c>
      <c r="D181">
        <f>WEEKDAY(A181,14)</f>
        <v>6</v>
      </c>
      <c r="E181">
        <f>VLOOKUP(D181,L$2:M$8,2,FALSE)</f>
        <v>0.7</v>
      </c>
      <c r="F181">
        <f t="shared" si="6"/>
        <v>4</v>
      </c>
      <c r="G181">
        <f>IF(F181&gt;F180,G180+B181*E181,B181*E181)</f>
        <v>4.4562419999999996</v>
      </c>
      <c r="H181">
        <f t="shared" si="7"/>
        <v>0.75</v>
      </c>
      <c r="I181">
        <f t="shared" si="8"/>
        <v>0</v>
      </c>
    </row>
    <row r="182" spans="1:9">
      <c r="A182" s="1">
        <v>38980</v>
      </c>
      <c r="B182">
        <v>5.9304199999999998</v>
      </c>
      <c r="C182">
        <v>6.2750000000000004</v>
      </c>
      <c r="D182">
        <f>WEEKDAY(A182,14)</f>
        <v>7</v>
      </c>
      <c r="E182">
        <f>VLOOKUP(D182,L$2:M$8,2,FALSE)</f>
        <v>0.25</v>
      </c>
      <c r="F182">
        <f t="shared" si="6"/>
        <v>5</v>
      </c>
      <c r="G182">
        <f>IF(F182&gt;F181,G181+B182*E182,B182*E182)</f>
        <v>5.9388469999999991</v>
      </c>
      <c r="H182">
        <f t="shared" si="7"/>
        <v>1</v>
      </c>
      <c r="I182">
        <f t="shared" si="8"/>
        <v>0</v>
      </c>
    </row>
    <row r="183" spans="1:9">
      <c r="A183" s="1">
        <v>38981</v>
      </c>
      <c r="B183">
        <v>5.8559700000000001</v>
      </c>
      <c r="C183">
        <v>6.16</v>
      </c>
      <c r="D183">
        <f>WEEKDAY(A183,14)</f>
        <v>1</v>
      </c>
      <c r="E183">
        <f>VLOOKUP(D183,L$2:M$8,2,FALSE)</f>
        <v>0</v>
      </c>
      <c r="F183">
        <f t="shared" si="6"/>
        <v>1</v>
      </c>
      <c r="G183">
        <f>IF(F183&gt;F182,G182+B183*E183,B183*E183)</f>
        <v>0</v>
      </c>
      <c r="H183">
        <f t="shared" si="7"/>
        <v>0</v>
      </c>
      <c r="I183">
        <f t="shared" si="8"/>
        <v>5.9388469999999991</v>
      </c>
    </row>
    <row r="184" spans="1:9">
      <c r="A184" s="1">
        <v>38982</v>
      </c>
      <c r="B184">
        <v>5.8206300000000004</v>
      </c>
      <c r="C184">
        <v>6.16</v>
      </c>
      <c r="D184">
        <f>WEEKDAY(A184,14)</f>
        <v>2</v>
      </c>
      <c r="E184">
        <f>VLOOKUP(D184,L$2:M$8,2,FALSE)</f>
        <v>0</v>
      </c>
      <c r="F184">
        <f t="shared" si="6"/>
        <v>2</v>
      </c>
      <c r="G184">
        <f>IF(F184&gt;F183,G183+B184*E184,B184*E184)</f>
        <v>0</v>
      </c>
      <c r="H184">
        <f t="shared" si="7"/>
        <v>0</v>
      </c>
      <c r="I184">
        <f t="shared" si="8"/>
        <v>0</v>
      </c>
    </row>
    <row r="185" spans="1:9">
      <c r="A185" s="1">
        <v>38985</v>
      </c>
      <c r="B185">
        <v>5.7850200000000003</v>
      </c>
      <c r="C185">
        <v>6.16</v>
      </c>
      <c r="D185">
        <f>WEEKDAY(A185,14)</f>
        <v>5</v>
      </c>
      <c r="E185">
        <f>VLOOKUP(D185,L$2:M$8,2,FALSE)</f>
        <v>0.05</v>
      </c>
      <c r="F185">
        <f t="shared" si="6"/>
        <v>3</v>
      </c>
      <c r="G185">
        <f>IF(F185&gt;F184,G184+B185*E185,B185*E185)</f>
        <v>0.28925100000000004</v>
      </c>
      <c r="H185">
        <f t="shared" si="7"/>
        <v>0.05</v>
      </c>
      <c r="I185">
        <f t="shared" si="8"/>
        <v>0</v>
      </c>
    </row>
    <row r="186" spans="1:9">
      <c r="A186" s="1">
        <v>38986</v>
      </c>
      <c r="B186">
        <v>5.8146300000000002</v>
      </c>
      <c r="C186">
        <v>6.16</v>
      </c>
      <c r="D186">
        <f>WEEKDAY(A186,14)</f>
        <v>6</v>
      </c>
      <c r="E186">
        <f>VLOOKUP(D186,L$2:M$8,2,FALSE)</f>
        <v>0.7</v>
      </c>
      <c r="F186">
        <f t="shared" si="6"/>
        <v>4</v>
      </c>
      <c r="G186">
        <f>IF(F186&gt;F185,G185+B186*E186,B186*E186)</f>
        <v>4.3594920000000004</v>
      </c>
      <c r="H186">
        <f t="shared" si="7"/>
        <v>0.75</v>
      </c>
      <c r="I186">
        <f t="shared" si="8"/>
        <v>0</v>
      </c>
    </row>
    <row r="187" spans="1:9">
      <c r="A187" s="1">
        <v>38987</v>
      </c>
      <c r="B187">
        <v>5.8237399999999999</v>
      </c>
      <c r="C187">
        <v>6.16</v>
      </c>
      <c r="D187">
        <f>WEEKDAY(A187,14)</f>
        <v>7</v>
      </c>
      <c r="E187">
        <f>VLOOKUP(D187,L$2:M$8,2,FALSE)</f>
        <v>0.25</v>
      </c>
      <c r="F187">
        <f t="shared" si="6"/>
        <v>5</v>
      </c>
      <c r="G187">
        <f>IF(F187&gt;F186,G186+B187*E187,B187*E187)</f>
        <v>5.8154270000000006</v>
      </c>
      <c r="H187">
        <f t="shared" si="7"/>
        <v>1</v>
      </c>
      <c r="I187">
        <f t="shared" si="8"/>
        <v>0</v>
      </c>
    </row>
    <row r="188" spans="1:9">
      <c r="A188" s="1">
        <v>38988</v>
      </c>
      <c r="B188">
        <v>5.8448099999999998</v>
      </c>
      <c r="C188">
        <v>6.125</v>
      </c>
      <c r="D188">
        <f>WEEKDAY(A188,14)</f>
        <v>1</v>
      </c>
      <c r="E188">
        <f>VLOOKUP(D188,L$2:M$8,2,FALSE)</f>
        <v>0</v>
      </c>
      <c r="F188">
        <f t="shared" si="6"/>
        <v>1</v>
      </c>
      <c r="G188">
        <f>IF(F188&gt;F187,G187+B188*E188,B188*E188)</f>
        <v>0</v>
      </c>
      <c r="H188">
        <f t="shared" si="7"/>
        <v>0</v>
      </c>
      <c r="I188">
        <f t="shared" si="8"/>
        <v>5.8154270000000006</v>
      </c>
    </row>
    <row r="189" spans="1:9">
      <c r="A189" s="1">
        <v>38989</v>
      </c>
      <c r="B189">
        <v>5.8644100000000003</v>
      </c>
      <c r="C189">
        <v>6.125</v>
      </c>
      <c r="D189">
        <f>WEEKDAY(A189,14)</f>
        <v>2</v>
      </c>
      <c r="E189">
        <f>VLOOKUP(D189,L$2:M$8,2,FALSE)</f>
        <v>0</v>
      </c>
      <c r="F189">
        <f t="shared" si="6"/>
        <v>2</v>
      </c>
      <c r="G189">
        <f>IF(F189&gt;F188,G188+B189*E189,B189*E189)</f>
        <v>0</v>
      </c>
      <c r="H189">
        <f t="shared" si="7"/>
        <v>0</v>
      </c>
      <c r="I189">
        <f t="shared" si="8"/>
        <v>0</v>
      </c>
    </row>
    <row r="190" spans="1:9">
      <c r="A190" s="1">
        <v>38992</v>
      </c>
      <c r="B190">
        <v>5.8496600000000001</v>
      </c>
      <c r="C190">
        <v>6.125</v>
      </c>
      <c r="D190">
        <f>WEEKDAY(A190,14)</f>
        <v>5</v>
      </c>
      <c r="E190">
        <f>VLOOKUP(D190,L$2:M$8,2,FALSE)</f>
        <v>0.05</v>
      </c>
      <c r="F190">
        <f t="shared" si="6"/>
        <v>3</v>
      </c>
      <c r="G190">
        <f>IF(F190&gt;F189,G189+B190*E190,B190*E190)</f>
        <v>0.29248299999999999</v>
      </c>
      <c r="H190">
        <f t="shared" si="7"/>
        <v>0.05</v>
      </c>
      <c r="I190">
        <f t="shared" si="8"/>
        <v>0</v>
      </c>
    </row>
    <row r="191" spans="1:9">
      <c r="A191" s="1">
        <v>38993</v>
      </c>
      <c r="B191">
        <v>5.8386399999999998</v>
      </c>
      <c r="C191">
        <v>6.125</v>
      </c>
      <c r="D191">
        <f>WEEKDAY(A191,14)</f>
        <v>6</v>
      </c>
      <c r="E191">
        <f>VLOOKUP(D191,L$2:M$8,2,FALSE)</f>
        <v>0.7</v>
      </c>
      <c r="F191">
        <f t="shared" si="6"/>
        <v>4</v>
      </c>
      <c r="G191">
        <f>IF(F191&gt;F190,G190+B191*E191,B191*E191)</f>
        <v>4.3795309999999992</v>
      </c>
      <c r="H191">
        <f t="shared" si="7"/>
        <v>0.75</v>
      </c>
      <c r="I191">
        <f t="shared" si="8"/>
        <v>0</v>
      </c>
    </row>
    <row r="192" spans="1:9">
      <c r="A192" s="1">
        <v>38994</v>
      </c>
      <c r="B192">
        <v>5.7787300000000004</v>
      </c>
      <c r="C192">
        <v>6.125</v>
      </c>
      <c r="D192">
        <f>WEEKDAY(A192,14)</f>
        <v>7</v>
      </c>
      <c r="E192">
        <f>VLOOKUP(D192,L$2:M$8,2,FALSE)</f>
        <v>0.25</v>
      </c>
      <c r="F192">
        <f t="shared" si="6"/>
        <v>5</v>
      </c>
      <c r="G192">
        <f>IF(F192&gt;F191,G191+B192*E192,B192*E192)</f>
        <v>5.824213499999999</v>
      </c>
      <c r="H192">
        <f t="shared" si="7"/>
        <v>1</v>
      </c>
      <c r="I192">
        <f t="shared" si="8"/>
        <v>0</v>
      </c>
    </row>
    <row r="193" spans="1:9">
      <c r="A193" s="1">
        <v>38995</v>
      </c>
      <c r="B193">
        <v>5.81752</v>
      </c>
      <c r="C193">
        <v>6.2450000000000001</v>
      </c>
      <c r="D193">
        <f>WEEKDAY(A193,14)</f>
        <v>1</v>
      </c>
      <c r="E193">
        <f>VLOOKUP(D193,L$2:M$8,2,FALSE)</f>
        <v>0</v>
      </c>
      <c r="F193">
        <f t="shared" si="6"/>
        <v>1</v>
      </c>
      <c r="G193">
        <f>IF(F193&gt;F192,G192+B193*E193,B193*E193)</f>
        <v>0</v>
      </c>
      <c r="H193">
        <f t="shared" si="7"/>
        <v>0</v>
      </c>
      <c r="I193">
        <f t="shared" si="8"/>
        <v>5.824213499999999</v>
      </c>
    </row>
    <row r="194" spans="1:9">
      <c r="A194" s="1">
        <v>38996</v>
      </c>
      <c r="B194">
        <v>5.90327</v>
      </c>
      <c r="C194">
        <v>6.2450000000000001</v>
      </c>
      <c r="D194">
        <f>WEEKDAY(A194,14)</f>
        <v>2</v>
      </c>
      <c r="E194">
        <f>VLOOKUP(D194,L$2:M$8,2,FALSE)</f>
        <v>0</v>
      </c>
      <c r="F194">
        <f t="shared" si="6"/>
        <v>2</v>
      </c>
      <c r="G194">
        <f>IF(F194&gt;F193,G193+B194*E194,B194*E194)</f>
        <v>0</v>
      </c>
      <c r="H194">
        <f t="shared" si="7"/>
        <v>0</v>
      </c>
      <c r="I194">
        <f t="shared" si="8"/>
        <v>0</v>
      </c>
    </row>
    <row r="195" spans="1:9">
      <c r="A195" s="1">
        <v>39000</v>
      </c>
      <c r="B195">
        <v>5.95749</v>
      </c>
      <c r="C195">
        <v>6.2450000000000001</v>
      </c>
      <c r="D195">
        <f>WEEKDAY(A195,14)</f>
        <v>6</v>
      </c>
      <c r="E195">
        <f>VLOOKUP(D195,L$2:M$8,2,FALSE)</f>
        <v>0.7</v>
      </c>
      <c r="F195">
        <f t="shared" ref="F195:F258" si="9">IF(AND(D195&gt;D194,F194&lt;6),F194+1,1)</f>
        <v>3</v>
      </c>
      <c r="G195">
        <f>IF(F195&gt;F194,G194+B195*E195,B195*E195)</f>
        <v>4.1702430000000001</v>
      </c>
      <c r="H195">
        <f t="shared" si="7"/>
        <v>0.7</v>
      </c>
      <c r="I195">
        <f t="shared" si="8"/>
        <v>0</v>
      </c>
    </row>
    <row r="196" spans="1:9">
      <c r="A196" s="1">
        <v>39001</v>
      </c>
      <c r="B196">
        <v>5.9658300000000004</v>
      </c>
      <c r="C196">
        <v>6.2450000000000001</v>
      </c>
      <c r="D196">
        <f>WEEKDAY(A196,14)</f>
        <v>7</v>
      </c>
      <c r="E196">
        <f>VLOOKUP(D196,L$2:M$8,2,FALSE)</f>
        <v>0.25</v>
      </c>
      <c r="F196">
        <f t="shared" si="9"/>
        <v>4</v>
      </c>
      <c r="G196">
        <f>IF(F196&gt;F195,G195+B196*E196,B196*E196)</f>
        <v>5.6617005000000002</v>
      </c>
      <c r="H196">
        <f t="shared" ref="H196:H259" si="10">IF(AND(F196&lt;6,F196&gt;F195),E196+H195,E196)</f>
        <v>0.95</v>
      </c>
      <c r="I196">
        <f t="shared" ref="I196:I259" si="11">IF(F195&gt;F196,G195/H195,0)</f>
        <v>0</v>
      </c>
    </row>
    <row r="197" spans="1:9">
      <c r="A197" s="1">
        <v>39002</v>
      </c>
      <c r="B197">
        <v>5.9770500000000002</v>
      </c>
      <c r="C197">
        <v>6.2350000000000003</v>
      </c>
      <c r="D197">
        <f>WEEKDAY(A197,14)</f>
        <v>1</v>
      </c>
      <c r="E197">
        <f>VLOOKUP(D197,L$2:M$8,2,FALSE)</f>
        <v>0</v>
      </c>
      <c r="F197">
        <f t="shared" si="9"/>
        <v>1</v>
      </c>
      <c r="G197">
        <f>IF(F197&gt;F196,G196+B197*E197,B197*E197)</f>
        <v>0</v>
      </c>
      <c r="H197">
        <f t="shared" si="10"/>
        <v>0</v>
      </c>
      <c r="I197">
        <f t="shared" si="11"/>
        <v>5.9596847368421058</v>
      </c>
    </row>
    <row r="198" spans="1:9">
      <c r="A198" s="1">
        <v>39003</v>
      </c>
      <c r="B198">
        <v>5.9867100000000004</v>
      </c>
      <c r="C198">
        <v>6.2350000000000003</v>
      </c>
      <c r="D198">
        <f>WEEKDAY(A198,14)</f>
        <v>2</v>
      </c>
      <c r="E198">
        <f>VLOOKUP(D198,L$2:M$8,2,FALSE)</f>
        <v>0</v>
      </c>
      <c r="F198">
        <f t="shared" si="9"/>
        <v>2</v>
      </c>
      <c r="G198">
        <f>IF(F198&gt;F197,G197+B198*E198,B198*E198)</f>
        <v>0</v>
      </c>
      <c r="H198">
        <f t="shared" si="10"/>
        <v>0</v>
      </c>
      <c r="I198">
        <f t="shared" si="11"/>
        <v>0</v>
      </c>
    </row>
    <row r="199" spans="1:9">
      <c r="A199" s="1">
        <v>39006</v>
      </c>
      <c r="B199">
        <v>5.9594800000000001</v>
      </c>
      <c r="C199">
        <v>6.2350000000000003</v>
      </c>
      <c r="D199">
        <f>WEEKDAY(A199,14)</f>
        <v>5</v>
      </c>
      <c r="E199">
        <f>VLOOKUP(D199,L$2:M$8,2,FALSE)</f>
        <v>0.05</v>
      </c>
      <c r="F199">
        <f t="shared" si="9"/>
        <v>3</v>
      </c>
      <c r="G199">
        <f>IF(F199&gt;F198,G198+B199*E199,B199*E199)</f>
        <v>0.29797400000000002</v>
      </c>
      <c r="H199">
        <f t="shared" si="10"/>
        <v>0.05</v>
      </c>
      <c r="I199">
        <f t="shared" si="11"/>
        <v>0</v>
      </c>
    </row>
    <row r="200" spans="1:9">
      <c r="A200" s="1">
        <v>39007</v>
      </c>
      <c r="B200">
        <v>5.9447200000000002</v>
      </c>
      <c r="C200">
        <v>6.2350000000000003</v>
      </c>
      <c r="D200">
        <f>WEEKDAY(A200,14)</f>
        <v>6</v>
      </c>
      <c r="E200">
        <f>VLOOKUP(D200,L$2:M$8,2,FALSE)</f>
        <v>0.7</v>
      </c>
      <c r="F200">
        <f t="shared" si="9"/>
        <v>4</v>
      </c>
      <c r="G200">
        <f>IF(F200&gt;F199,G199+B200*E200,B200*E200)</f>
        <v>4.4592780000000003</v>
      </c>
      <c r="H200">
        <f t="shared" si="10"/>
        <v>0.75</v>
      </c>
      <c r="I200">
        <f t="shared" si="11"/>
        <v>0</v>
      </c>
    </row>
    <row r="201" spans="1:9">
      <c r="A201" s="1">
        <v>39008</v>
      </c>
      <c r="B201">
        <v>5.9333499999999999</v>
      </c>
      <c r="C201">
        <v>6.2350000000000003</v>
      </c>
      <c r="D201">
        <f>WEEKDAY(A201,14)</f>
        <v>7</v>
      </c>
      <c r="E201">
        <f>VLOOKUP(D201,L$2:M$8,2,FALSE)</f>
        <v>0.25</v>
      </c>
      <c r="F201">
        <f t="shared" si="9"/>
        <v>5</v>
      </c>
      <c r="G201">
        <f>IF(F201&gt;F200,G200+B201*E201,B201*E201)</f>
        <v>5.9426155000000005</v>
      </c>
      <c r="H201">
        <f t="shared" si="10"/>
        <v>1</v>
      </c>
      <c r="I201">
        <f t="shared" si="11"/>
        <v>0</v>
      </c>
    </row>
    <row r="202" spans="1:9">
      <c r="A202" s="1">
        <v>39009</v>
      </c>
      <c r="B202">
        <v>5.9627600000000003</v>
      </c>
      <c r="C202">
        <v>6.25</v>
      </c>
      <c r="D202">
        <f>WEEKDAY(A202,14)</f>
        <v>1</v>
      </c>
      <c r="E202">
        <f>VLOOKUP(D202,L$2:M$8,2,FALSE)</f>
        <v>0</v>
      </c>
      <c r="F202">
        <f t="shared" si="9"/>
        <v>1</v>
      </c>
      <c r="G202">
        <f>IF(F202&gt;F201,G201+B202*E202,B202*E202)</f>
        <v>0</v>
      </c>
      <c r="H202">
        <f t="shared" si="10"/>
        <v>0</v>
      </c>
      <c r="I202">
        <f t="shared" si="11"/>
        <v>5.9426155000000005</v>
      </c>
    </row>
    <row r="203" spans="1:9">
      <c r="A203" s="1">
        <v>39010</v>
      </c>
      <c r="B203">
        <v>5.9569599999999996</v>
      </c>
      <c r="C203">
        <v>6.25</v>
      </c>
      <c r="D203">
        <f>WEEKDAY(A203,14)</f>
        <v>2</v>
      </c>
      <c r="E203">
        <f>VLOOKUP(D203,L$2:M$8,2,FALSE)</f>
        <v>0</v>
      </c>
      <c r="F203">
        <f t="shared" si="9"/>
        <v>2</v>
      </c>
      <c r="G203">
        <f>IF(F203&gt;F202,G202+B203*E203,B203*E203)</f>
        <v>0</v>
      </c>
      <c r="H203">
        <f t="shared" si="10"/>
        <v>0</v>
      </c>
      <c r="I203">
        <f t="shared" si="11"/>
        <v>0</v>
      </c>
    </row>
    <row r="204" spans="1:9">
      <c r="A204" s="1">
        <v>39013</v>
      </c>
      <c r="B204">
        <v>5.9640599999999999</v>
      </c>
      <c r="C204">
        <v>6.25</v>
      </c>
      <c r="D204">
        <f>WEEKDAY(A204,14)</f>
        <v>5</v>
      </c>
      <c r="E204">
        <f>VLOOKUP(D204,L$2:M$8,2,FALSE)</f>
        <v>0.05</v>
      </c>
      <c r="F204">
        <f t="shared" si="9"/>
        <v>3</v>
      </c>
      <c r="G204">
        <f>IF(F204&gt;F203,G203+B204*E204,B204*E204)</f>
        <v>0.298203</v>
      </c>
      <c r="H204">
        <f t="shared" si="10"/>
        <v>0.05</v>
      </c>
      <c r="I204">
        <f t="shared" si="11"/>
        <v>0</v>
      </c>
    </row>
    <row r="205" spans="1:9">
      <c r="A205" s="1">
        <v>39014</v>
      </c>
      <c r="B205">
        <v>5.9672000000000001</v>
      </c>
      <c r="C205">
        <v>6.25</v>
      </c>
      <c r="D205">
        <f>WEEKDAY(A205,14)</f>
        <v>6</v>
      </c>
      <c r="E205">
        <f>VLOOKUP(D205,L$2:M$8,2,FALSE)</f>
        <v>0.7</v>
      </c>
      <c r="F205">
        <f t="shared" si="9"/>
        <v>4</v>
      </c>
      <c r="G205">
        <f>IF(F205&gt;F204,G204+B205*E205,B205*E205)</f>
        <v>4.4752429999999999</v>
      </c>
      <c r="H205">
        <f t="shared" si="10"/>
        <v>0.75</v>
      </c>
      <c r="I205">
        <f t="shared" si="11"/>
        <v>0</v>
      </c>
    </row>
    <row r="206" spans="1:9">
      <c r="A206" s="1">
        <v>39015</v>
      </c>
      <c r="B206">
        <v>5.9511500000000002</v>
      </c>
      <c r="C206">
        <v>6.25</v>
      </c>
      <c r="D206">
        <f>WEEKDAY(A206,14)</f>
        <v>7</v>
      </c>
      <c r="E206">
        <f>VLOOKUP(D206,L$2:M$8,2,FALSE)</f>
        <v>0.25</v>
      </c>
      <c r="F206">
        <f t="shared" si="9"/>
        <v>5</v>
      </c>
      <c r="G206">
        <f>IF(F206&gt;F205,G205+B206*E206,B206*E206)</f>
        <v>5.9630305000000003</v>
      </c>
      <c r="H206">
        <f t="shared" si="10"/>
        <v>1</v>
      </c>
      <c r="I206">
        <f t="shared" si="11"/>
        <v>0</v>
      </c>
    </row>
    <row r="207" spans="1:9">
      <c r="A207" s="1">
        <v>39016</v>
      </c>
      <c r="B207">
        <v>5.89961</v>
      </c>
      <c r="C207">
        <v>6.16</v>
      </c>
      <c r="D207">
        <f>WEEKDAY(A207,14)</f>
        <v>1</v>
      </c>
      <c r="E207">
        <f>VLOOKUP(D207,L$2:M$8,2,FALSE)</f>
        <v>0</v>
      </c>
      <c r="F207">
        <f t="shared" si="9"/>
        <v>1</v>
      </c>
      <c r="G207">
        <f>IF(F207&gt;F206,G206+B207*E207,B207*E207)</f>
        <v>0</v>
      </c>
      <c r="H207">
        <f t="shared" si="10"/>
        <v>0</v>
      </c>
      <c r="I207">
        <f t="shared" si="11"/>
        <v>5.9630305000000003</v>
      </c>
    </row>
    <row r="208" spans="1:9">
      <c r="A208" s="1">
        <v>39017</v>
      </c>
      <c r="B208">
        <v>5.86557</v>
      </c>
      <c r="C208">
        <v>6.16</v>
      </c>
      <c r="D208">
        <f>WEEKDAY(A208,14)</f>
        <v>2</v>
      </c>
      <c r="E208">
        <f>VLOOKUP(D208,L$2:M$8,2,FALSE)</f>
        <v>0</v>
      </c>
      <c r="F208">
        <f t="shared" si="9"/>
        <v>2</v>
      </c>
      <c r="G208">
        <f>IF(F208&gt;F207,G207+B208*E208,B208*E208)</f>
        <v>0</v>
      </c>
      <c r="H208">
        <f t="shared" si="10"/>
        <v>0</v>
      </c>
      <c r="I208">
        <f t="shared" si="11"/>
        <v>0</v>
      </c>
    </row>
    <row r="209" spans="1:9">
      <c r="A209" s="1">
        <v>39020</v>
      </c>
      <c r="B209">
        <v>5.8670999999999998</v>
      </c>
      <c r="C209">
        <v>6.16</v>
      </c>
      <c r="D209">
        <f>WEEKDAY(A209,14)</f>
        <v>5</v>
      </c>
      <c r="E209">
        <f>VLOOKUP(D209,L$2:M$8,2,FALSE)</f>
        <v>0.05</v>
      </c>
      <c r="F209">
        <f t="shared" si="9"/>
        <v>3</v>
      </c>
      <c r="G209">
        <f>IF(F209&gt;F208,G208+B209*E209,B209*E209)</f>
        <v>0.29335499999999998</v>
      </c>
      <c r="H209">
        <f t="shared" si="10"/>
        <v>0.05</v>
      </c>
      <c r="I209">
        <f t="shared" si="11"/>
        <v>0</v>
      </c>
    </row>
    <row r="210" spans="1:9">
      <c r="A210" s="1">
        <v>39021</v>
      </c>
      <c r="B210">
        <v>5.8017099999999999</v>
      </c>
      <c r="C210">
        <v>6.16</v>
      </c>
      <c r="D210">
        <f>WEEKDAY(A210,14)</f>
        <v>6</v>
      </c>
      <c r="E210">
        <f>VLOOKUP(D210,L$2:M$8,2,FALSE)</f>
        <v>0.7</v>
      </c>
      <c r="F210">
        <f t="shared" si="9"/>
        <v>4</v>
      </c>
      <c r="G210">
        <f>IF(F210&gt;F209,G209+B210*E210,B210*E210)</f>
        <v>4.354552</v>
      </c>
      <c r="H210">
        <f t="shared" si="10"/>
        <v>0.75</v>
      </c>
      <c r="I210">
        <f t="shared" si="11"/>
        <v>0</v>
      </c>
    </row>
    <row r="211" spans="1:9">
      <c r="A211" s="1">
        <v>39022</v>
      </c>
      <c r="B211">
        <v>5.7592800000000004</v>
      </c>
      <c r="C211">
        <v>6.16</v>
      </c>
      <c r="D211">
        <f>WEEKDAY(A211,14)</f>
        <v>7</v>
      </c>
      <c r="E211">
        <f>VLOOKUP(D211,L$2:M$8,2,FALSE)</f>
        <v>0.25</v>
      </c>
      <c r="F211">
        <f t="shared" si="9"/>
        <v>5</v>
      </c>
      <c r="G211">
        <f>IF(F211&gt;F210,G210+B211*E211,B211*E211)</f>
        <v>5.7943720000000001</v>
      </c>
      <c r="H211">
        <f t="shared" si="10"/>
        <v>1</v>
      </c>
      <c r="I211">
        <f t="shared" si="11"/>
        <v>0</v>
      </c>
    </row>
    <row r="212" spans="1:9">
      <c r="A212" s="1">
        <v>39023</v>
      </c>
      <c r="B212">
        <v>5.7837800000000001</v>
      </c>
      <c r="C212">
        <v>6.23</v>
      </c>
      <c r="D212">
        <f>WEEKDAY(A212,14)</f>
        <v>1</v>
      </c>
      <c r="E212">
        <f>VLOOKUP(D212,L$2:M$8,2,FALSE)</f>
        <v>0</v>
      </c>
      <c r="F212">
        <f t="shared" si="9"/>
        <v>1</v>
      </c>
      <c r="G212">
        <f>IF(F212&gt;F211,G211+B212*E212,B212*E212)</f>
        <v>0</v>
      </c>
      <c r="H212">
        <f t="shared" si="10"/>
        <v>0</v>
      </c>
      <c r="I212">
        <f t="shared" si="11"/>
        <v>5.7943720000000001</v>
      </c>
    </row>
    <row r="213" spans="1:9">
      <c r="A213" s="1">
        <v>39024</v>
      </c>
      <c r="B213">
        <v>5.8829900000000004</v>
      </c>
      <c r="C213">
        <v>6.23</v>
      </c>
      <c r="D213">
        <f>WEEKDAY(A213,14)</f>
        <v>2</v>
      </c>
      <c r="E213">
        <f>VLOOKUP(D213,L$2:M$8,2,FALSE)</f>
        <v>0</v>
      </c>
      <c r="F213">
        <f t="shared" si="9"/>
        <v>2</v>
      </c>
      <c r="G213">
        <f>IF(F213&gt;F212,G212+B213*E213,B213*E213)</f>
        <v>0</v>
      </c>
      <c r="H213">
        <f t="shared" si="10"/>
        <v>0</v>
      </c>
      <c r="I213">
        <f t="shared" si="11"/>
        <v>0</v>
      </c>
    </row>
    <row r="214" spans="1:9">
      <c r="A214" s="1">
        <v>39027</v>
      </c>
      <c r="B214">
        <v>5.87026</v>
      </c>
      <c r="C214">
        <v>6.23</v>
      </c>
      <c r="D214">
        <f>WEEKDAY(A214,14)</f>
        <v>5</v>
      </c>
      <c r="E214">
        <f>VLOOKUP(D214,L$2:M$8,2,FALSE)</f>
        <v>0.05</v>
      </c>
      <c r="F214">
        <f t="shared" si="9"/>
        <v>3</v>
      </c>
      <c r="G214">
        <f>IF(F214&gt;F213,G213+B214*E214,B214*E214)</f>
        <v>0.29351300000000002</v>
      </c>
      <c r="H214">
        <f t="shared" si="10"/>
        <v>0.05</v>
      </c>
      <c r="I214">
        <f t="shared" si="11"/>
        <v>0</v>
      </c>
    </row>
    <row r="215" spans="1:9">
      <c r="A215" s="1">
        <v>39028</v>
      </c>
      <c r="B215">
        <v>5.8219200000000004</v>
      </c>
      <c r="C215">
        <v>6.23</v>
      </c>
      <c r="D215">
        <f>WEEKDAY(A215,14)</f>
        <v>6</v>
      </c>
      <c r="E215">
        <f>VLOOKUP(D215,L$2:M$8,2,FALSE)</f>
        <v>0.7</v>
      </c>
      <c r="F215">
        <f t="shared" si="9"/>
        <v>4</v>
      </c>
      <c r="G215">
        <f>IF(F215&gt;F214,G214+B215*E215,B215*E215)</f>
        <v>4.3688570000000002</v>
      </c>
      <c r="H215">
        <f t="shared" si="10"/>
        <v>0.75</v>
      </c>
      <c r="I215">
        <f t="shared" si="11"/>
        <v>0</v>
      </c>
    </row>
    <row r="216" spans="1:9">
      <c r="A216" s="1">
        <v>39029</v>
      </c>
      <c r="B216">
        <v>5.7933700000000004</v>
      </c>
      <c r="C216">
        <v>6.23</v>
      </c>
      <c r="D216">
        <f>WEEKDAY(A216,14)</f>
        <v>7</v>
      </c>
      <c r="E216">
        <f>VLOOKUP(D216,L$2:M$8,2,FALSE)</f>
        <v>0.25</v>
      </c>
      <c r="F216">
        <f t="shared" si="9"/>
        <v>5</v>
      </c>
      <c r="G216">
        <f>IF(F216&gt;F215,G215+B216*E216,B216*E216)</f>
        <v>5.8171995000000001</v>
      </c>
      <c r="H216">
        <f t="shared" si="10"/>
        <v>1</v>
      </c>
      <c r="I216">
        <f t="shared" si="11"/>
        <v>0</v>
      </c>
    </row>
    <row r="217" spans="1:9">
      <c r="A217" s="1">
        <v>39030</v>
      </c>
      <c r="B217">
        <v>5.7817400000000001</v>
      </c>
      <c r="C217">
        <v>6.1150000000000002</v>
      </c>
      <c r="D217">
        <f>WEEKDAY(A217,14)</f>
        <v>1</v>
      </c>
      <c r="E217">
        <f>VLOOKUP(D217,L$2:M$8,2,FALSE)</f>
        <v>0</v>
      </c>
      <c r="F217">
        <f t="shared" si="9"/>
        <v>1</v>
      </c>
      <c r="G217">
        <f>IF(F217&gt;F216,G216+B217*E217,B217*E217)</f>
        <v>0</v>
      </c>
      <c r="H217">
        <f t="shared" si="10"/>
        <v>0</v>
      </c>
      <c r="I217">
        <f t="shared" si="11"/>
        <v>5.8171995000000001</v>
      </c>
    </row>
    <row r="218" spans="1:9">
      <c r="A218" s="1">
        <v>39031</v>
      </c>
      <c r="B218">
        <v>5.7464199999999996</v>
      </c>
      <c r="C218">
        <v>6.1150000000000002</v>
      </c>
      <c r="D218">
        <f>WEEKDAY(A218,14)</f>
        <v>2</v>
      </c>
      <c r="E218">
        <f>VLOOKUP(D218,L$2:M$8,2,FALSE)</f>
        <v>0</v>
      </c>
      <c r="F218">
        <f t="shared" si="9"/>
        <v>2</v>
      </c>
      <c r="G218">
        <f>IF(F218&gt;F217,G217+B218*E218,B218*E218)</f>
        <v>0</v>
      </c>
      <c r="H218">
        <f t="shared" si="10"/>
        <v>0</v>
      </c>
      <c r="I218">
        <f t="shared" si="11"/>
        <v>0</v>
      </c>
    </row>
    <row r="219" spans="1:9">
      <c r="A219" s="1">
        <v>39034</v>
      </c>
      <c r="B219">
        <v>5.77515</v>
      </c>
      <c r="C219">
        <v>6.1150000000000002</v>
      </c>
      <c r="D219">
        <f>WEEKDAY(A219,14)</f>
        <v>5</v>
      </c>
      <c r="E219">
        <f>VLOOKUP(D219,L$2:M$8,2,FALSE)</f>
        <v>0.05</v>
      </c>
      <c r="F219">
        <f t="shared" si="9"/>
        <v>3</v>
      </c>
      <c r="G219">
        <f>IF(F219&gt;F218,G218+B219*E219,B219*E219)</f>
        <v>0.2887575</v>
      </c>
      <c r="H219">
        <f t="shared" si="10"/>
        <v>0.05</v>
      </c>
      <c r="I219">
        <f t="shared" si="11"/>
        <v>0</v>
      </c>
    </row>
    <row r="220" spans="1:9">
      <c r="A220" s="1">
        <v>39035</v>
      </c>
      <c r="B220">
        <v>5.74146</v>
      </c>
      <c r="C220">
        <v>6.1150000000000002</v>
      </c>
      <c r="D220">
        <f>WEEKDAY(A220,14)</f>
        <v>6</v>
      </c>
      <c r="E220">
        <f>VLOOKUP(D220,L$2:M$8,2,FALSE)</f>
        <v>0.7</v>
      </c>
      <c r="F220">
        <f t="shared" si="9"/>
        <v>4</v>
      </c>
      <c r="G220">
        <f>IF(F220&gt;F219,G219+B220*E220,B220*E220)</f>
        <v>4.3077794999999997</v>
      </c>
      <c r="H220">
        <f t="shared" si="10"/>
        <v>0.75</v>
      </c>
      <c r="I220">
        <f t="shared" si="11"/>
        <v>0</v>
      </c>
    </row>
    <row r="221" spans="1:9">
      <c r="A221" s="1">
        <v>39036</v>
      </c>
      <c r="B221">
        <v>5.7756499999999997</v>
      </c>
      <c r="C221">
        <v>6.1150000000000002</v>
      </c>
      <c r="D221">
        <f>WEEKDAY(A221,14)</f>
        <v>7</v>
      </c>
      <c r="E221">
        <f>VLOOKUP(D221,L$2:M$8,2,FALSE)</f>
        <v>0.25</v>
      </c>
      <c r="F221">
        <f t="shared" si="9"/>
        <v>5</v>
      </c>
      <c r="G221">
        <f>IF(F221&gt;F220,G220+B221*E221,B221*E221)</f>
        <v>5.7516919999999994</v>
      </c>
      <c r="H221">
        <f t="shared" si="10"/>
        <v>1</v>
      </c>
      <c r="I221">
        <f t="shared" si="11"/>
        <v>0</v>
      </c>
    </row>
    <row r="222" spans="1:9">
      <c r="A222" s="1">
        <v>39037</v>
      </c>
      <c r="B222">
        <v>5.7968099999999998</v>
      </c>
      <c r="C222">
        <v>6.0549999999999997</v>
      </c>
      <c r="D222">
        <f>WEEKDAY(A222,14)</f>
        <v>1</v>
      </c>
      <c r="E222">
        <f>VLOOKUP(D222,L$2:M$8,2,FALSE)</f>
        <v>0</v>
      </c>
      <c r="F222">
        <f t="shared" si="9"/>
        <v>1</v>
      </c>
      <c r="G222">
        <f>IF(F222&gt;F221,G221+B222*E222,B222*E222)</f>
        <v>0</v>
      </c>
      <c r="H222">
        <f t="shared" si="10"/>
        <v>0</v>
      </c>
      <c r="I222">
        <f t="shared" si="11"/>
        <v>5.7516919999999994</v>
      </c>
    </row>
    <row r="223" spans="1:9">
      <c r="A223" s="1">
        <v>39038</v>
      </c>
      <c r="B223">
        <v>5.7250199999999998</v>
      </c>
      <c r="C223">
        <v>6.0549999999999997</v>
      </c>
      <c r="D223">
        <f>WEEKDAY(A223,14)</f>
        <v>2</v>
      </c>
      <c r="E223">
        <f>VLOOKUP(D223,L$2:M$8,2,FALSE)</f>
        <v>0</v>
      </c>
      <c r="F223">
        <f t="shared" si="9"/>
        <v>2</v>
      </c>
      <c r="G223">
        <f>IF(F223&gt;F222,G222+B223*E223,B223*E223)</f>
        <v>0</v>
      </c>
      <c r="H223">
        <f t="shared" si="10"/>
        <v>0</v>
      </c>
      <c r="I223">
        <f t="shared" si="11"/>
        <v>0</v>
      </c>
    </row>
    <row r="224" spans="1:9">
      <c r="A224" s="1">
        <v>39041</v>
      </c>
      <c r="B224">
        <v>5.7110700000000003</v>
      </c>
      <c r="C224">
        <v>6.0549999999999997</v>
      </c>
      <c r="D224">
        <f>WEEKDAY(A224,14)</f>
        <v>5</v>
      </c>
      <c r="E224">
        <f>VLOOKUP(D224,L$2:M$8,2,FALSE)</f>
        <v>0.05</v>
      </c>
      <c r="F224">
        <f t="shared" si="9"/>
        <v>3</v>
      </c>
      <c r="G224">
        <f>IF(F224&gt;F223,G223+B224*E224,B224*E224)</f>
        <v>0.28555350000000002</v>
      </c>
      <c r="H224">
        <f t="shared" si="10"/>
        <v>0.05</v>
      </c>
      <c r="I224">
        <f t="shared" si="11"/>
        <v>0</v>
      </c>
    </row>
    <row r="225" spans="1:9">
      <c r="A225" s="1">
        <v>39042</v>
      </c>
      <c r="B225">
        <v>5.71028</v>
      </c>
      <c r="C225">
        <v>6.0549999999999997</v>
      </c>
      <c r="D225">
        <f>WEEKDAY(A225,14)</f>
        <v>6</v>
      </c>
      <c r="E225">
        <f>VLOOKUP(D225,L$2:M$8,2,FALSE)</f>
        <v>0.7</v>
      </c>
      <c r="F225">
        <f t="shared" si="9"/>
        <v>4</v>
      </c>
      <c r="G225">
        <f>IF(F225&gt;F224,G224+B225*E225,B225*E225)</f>
        <v>4.2827494999999995</v>
      </c>
      <c r="H225">
        <f t="shared" si="10"/>
        <v>0.75</v>
      </c>
      <c r="I225">
        <f t="shared" si="11"/>
        <v>0</v>
      </c>
    </row>
    <row r="226" spans="1:9">
      <c r="A226" s="1">
        <v>39043</v>
      </c>
      <c r="B226">
        <v>5.7086600000000001</v>
      </c>
      <c r="C226">
        <v>5.99</v>
      </c>
      <c r="D226">
        <f>WEEKDAY(A226,14)</f>
        <v>7</v>
      </c>
      <c r="E226">
        <f>VLOOKUP(D226,L$2:M$8,2,FALSE)</f>
        <v>0.25</v>
      </c>
      <c r="F226">
        <f t="shared" si="9"/>
        <v>5</v>
      </c>
      <c r="G226">
        <f>IF(F226&gt;F225,G225+B226*E226,B226*E226)</f>
        <v>5.7099145</v>
      </c>
      <c r="H226">
        <f t="shared" si="10"/>
        <v>1</v>
      </c>
      <c r="I226">
        <f t="shared" si="11"/>
        <v>0</v>
      </c>
    </row>
    <row r="227" spans="1:9">
      <c r="A227" s="1">
        <v>39045</v>
      </c>
      <c r="B227">
        <v>5.7000099999999998</v>
      </c>
      <c r="C227">
        <v>5.99</v>
      </c>
      <c r="D227">
        <f>WEEKDAY(A227,14)</f>
        <v>2</v>
      </c>
      <c r="E227">
        <f>VLOOKUP(D227,L$2:M$8,2,FALSE)</f>
        <v>0</v>
      </c>
      <c r="F227">
        <f t="shared" si="9"/>
        <v>1</v>
      </c>
      <c r="G227">
        <f>IF(F227&gt;F226,G226+B227*E227,B227*E227)</f>
        <v>0</v>
      </c>
      <c r="H227">
        <f t="shared" si="10"/>
        <v>0</v>
      </c>
      <c r="I227">
        <f t="shared" si="11"/>
        <v>5.7099145</v>
      </c>
    </row>
    <row r="228" spans="1:9">
      <c r="A228" s="1">
        <v>39048</v>
      </c>
      <c r="B228">
        <v>5.6883699999999999</v>
      </c>
      <c r="C228">
        <v>5.99</v>
      </c>
      <c r="D228">
        <f>WEEKDAY(A228,14)</f>
        <v>5</v>
      </c>
      <c r="E228">
        <f>VLOOKUP(D228,L$2:M$8,2,FALSE)</f>
        <v>0.05</v>
      </c>
      <c r="F228">
        <f t="shared" si="9"/>
        <v>2</v>
      </c>
      <c r="G228">
        <f>IF(F228&gt;F227,G227+B228*E228,B228*E228)</f>
        <v>0.28441850000000002</v>
      </c>
      <c r="H228">
        <f t="shared" si="10"/>
        <v>0.05</v>
      </c>
      <c r="I228">
        <f t="shared" si="11"/>
        <v>0</v>
      </c>
    </row>
    <row r="229" spans="1:9">
      <c r="A229" s="1">
        <v>39049</v>
      </c>
      <c r="B229">
        <v>5.6563400000000001</v>
      </c>
      <c r="C229">
        <v>5.99</v>
      </c>
      <c r="D229">
        <f>WEEKDAY(A229,14)</f>
        <v>6</v>
      </c>
      <c r="E229">
        <f>VLOOKUP(D229,L$2:M$8,2,FALSE)</f>
        <v>0.7</v>
      </c>
      <c r="F229">
        <f t="shared" si="9"/>
        <v>3</v>
      </c>
      <c r="G229">
        <f>IF(F229&gt;F228,G228+B229*E229,B229*E229)</f>
        <v>4.2438564999999997</v>
      </c>
      <c r="H229">
        <f t="shared" si="10"/>
        <v>0.75</v>
      </c>
      <c r="I229">
        <f t="shared" si="11"/>
        <v>0</v>
      </c>
    </row>
    <row r="230" spans="1:9">
      <c r="A230" s="1">
        <v>39050</v>
      </c>
      <c r="B230">
        <v>5.6553599999999999</v>
      </c>
      <c r="C230">
        <v>5.99</v>
      </c>
      <c r="D230">
        <f>WEEKDAY(A230,14)</f>
        <v>7</v>
      </c>
      <c r="E230">
        <f>VLOOKUP(D230,L$2:M$8,2,FALSE)</f>
        <v>0.25</v>
      </c>
      <c r="F230">
        <f t="shared" si="9"/>
        <v>4</v>
      </c>
      <c r="G230">
        <f>IF(F230&gt;F229,G229+B230*E230,B230*E230)</f>
        <v>5.6576965000000001</v>
      </c>
      <c r="H230">
        <f t="shared" si="10"/>
        <v>1</v>
      </c>
      <c r="I230">
        <f t="shared" si="11"/>
        <v>0</v>
      </c>
    </row>
    <row r="231" spans="1:9">
      <c r="A231" s="1">
        <v>39051</v>
      </c>
      <c r="B231">
        <v>5.5715300000000001</v>
      </c>
      <c r="C231">
        <v>5.9850000000000003</v>
      </c>
      <c r="D231">
        <f>WEEKDAY(A231,14)</f>
        <v>1</v>
      </c>
      <c r="E231">
        <f>VLOOKUP(D231,L$2:M$8,2,FALSE)</f>
        <v>0</v>
      </c>
      <c r="F231">
        <f t="shared" si="9"/>
        <v>1</v>
      </c>
      <c r="G231">
        <f>IF(F231&gt;F230,G230+B231*E231,B231*E231)</f>
        <v>0</v>
      </c>
      <c r="H231">
        <f t="shared" si="10"/>
        <v>0</v>
      </c>
      <c r="I231">
        <f t="shared" si="11"/>
        <v>5.6576965000000001</v>
      </c>
    </row>
    <row r="232" spans="1:9">
      <c r="A232" s="1">
        <v>39052</v>
      </c>
      <c r="B232">
        <v>5.5116399999999999</v>
      </c>
      <c r="C232">
        <v>5.9850000000000003</v>
      </c>
      <c r="D232">
        <f>WEEKDAY(A232,14)</f>
        <v>2</v>
      </c>
      <c r="E232">
        <f>VLOOKUP(D232,L$2:M$8,2,FALSE)</f>
        <v>0</v>
      </c>
      <c r="F232">
        <f t="shared" si="9"/>
        <v>2</v>
      </c>
      <c r="G232">
        <f>IF(F232&gt;F231,G231+B232*E232,B232*E232)</f>
        <v>0</v>
      </c>
      <c r="H232">
        <f t="shared" si="10"/>
        <v>0</v>
      </c>
      <c r="I232">
        <f t="shared" si="11"/>
        <v>0</v>
      </c>
    </row>
    <row r="233" spans="1:9">
      <c r="A233" s="1">
        <v>39055</v>
      </c>
      <c r="B233">
        <v>5.5033500000000002</v>
      </c>
      <c r="C233">
        <v>5.9850000000000003</v>
      </c>
      <c r="D233">
        <f>WEEKDAY(A233,14)</f>
        <v>5</v>
      </c>
      <c r="E233">
        <f>VLOOKUP(D233,L$2:M$8,2,FALSE)</f>
        <v>0.05</v>
      </c>
      <c r="F233">
        <f t="shared" si="9"/>
        <v>3</v>
      </c>
      <c r="G233">
        <f>IF(F233&gt;F232,G232+B233*E233,B233*E233)</f>
        <v>0.27516750000000001</v>
      </c>
      <c r="H233">
        <f t="shared" si="10"/>
        <v>0.05</v>
      </c>
      <c r="I233">
        <f t="shared" si="11"/>
        <v>0</v>
      </c>
    </row>
    <row r="234" spans="1:9">
      <c r="A234" s="1">
        <v>39056</v>
      </c>
      <c r="B234">
        <v>5.5082899999999997</v>
      </c>
      <c r="C234">
        <v>5.9850000000000003</v>
      </c>
      <c r="D234">
        <f>WEEKDAY(A234,14)</f>
        <v>6</v>
      </c>
      <c r="E234">
        <f>VLOOKUP(D234,L$2:M$8,2,FALSE)</f>
        <v>0.7</v>
      </c>
      <c r="F234">
        <f t="shared" si="9"/>
        <v>4</v>
      </c>
      <c r="G234">
        <f>IF(F234&gt;F233,G233+B234*E234,B234*E234)</f>
        <v>4.1309704999999992</v>
      </c>
      <c r="H234">
        <f t="shared" si="10"/>
        <v>0.75</v>
      </c>
      <c r="I234">
        <f t="shared" si="11"/>
        <v>0</v>
      </c>
    </row>
    <row r="235" spans="1:9">
      <c r="A235" s="1">
        <v>39057</v>
      </c>
      <c r="B235">
        <v>5.5667099999999996</v>
      </c>
      <c r="C235">
        <v>5.9850000000000003</v>
      </c>
      <c r="D235">
        <f>WEEKDAY(A235,14)</f>
        <v>7</v>
      </c>
      <c r="E235">
        <f>VLOOKUP(D235,L$2:M$8,2,FALSE)</f>
        <v>0.25</v>
      </c>
      <c r="F235">
        <f t="shared" si="9"/>
        <v>5</v>
      </c>
      <c r="G235">
        <f>IF(F235&gt;F234,G234+B235*E235,B235*E235)</f>
        <v>5.5226479999999993</v>
      </c>
      <c r="H235">
        <f t="shared" si="10"/>
        <v>1</v>
      </c>
      <c r="I235">
        <f t="shared" si="11"/>
        <v>0</v>
      </c>
    </row>
    <row r="236" spans="1:9">
      <c r="A236" s="1">
        <v>39058</v>
      </c>
      <c r="B236">
        <v>5.5938800000000004</v>
      </c>
      <c r="C236">
        <v>5.97</v>
      </c>
      <c r="D236">
        <f>WEEKDAY(A236,14)</f>
        <v>1</v>
      </c>
      <c r="E236">
        <f>VLOOKUP(D236,L$2:M$8,2,FALSE)</f>
        <v>0</v>
      </c>
      <c r="F236">
        <f t="shared" si="9"/>
        <v>1</v>
      </c>
      <c r="G236">
        <f>IF(F236&gt;F235,G235+B236*E236,B236*E236)</f>
        <v>0</v>
      </c>
      <c r="H236">
        <f t="shared" si="10"/>
        <v>0</v>
      </c>
      <c r="I236">
        <f t="shared" si="11"/>
        <v>5.5226479999999993</v>
      </c>
    </row>
    <row r="237" spans="1:9">
      <c r="A237" s="1">
        <v>39059</v>
      </c>
      <c r="B237">
        <v>5.6646400000000003</v>
      </c>
      <c r="C237">
        <v>5.97</v>
      </c>
      <c r="D237">
        <f>WEEKDAY(A237,14)</f>
        <v>2</v>
      </c>
      <c r="E237">
        <f>VLOOKUP(D237,L$2:M$8,2,FALSE)</f>
        <v>0</v>
      </c>
      <c r="F237">
        <f t="shared" si="9"/>
        <v>2</v>
      </c>
      <c r="G237">
        <f>IF(F237&gt;F236,G236+B237*E237,B237*E237)</f>
        <v>0</v>
      </c>
      <c r="H237">
        <f t="shared" si="10"/>
        <v>0</v>
      </c>
      <c r="I237">
        <f t="shared" si="11"/>
        <v>0</v>
      </c>
    </row>
    <row r="238" spans="1:9">
      <c r="A238" s="1">
        <v>39062</v>
      </c>
      <c r="B238">
        <v>5.63028</v>
      </c>
      <c r="C238">
        <v>5.97</v>
      </c>
      <c r="D238">
        <f>WEEKDAY(A238,14)</f>
        <v>5</v>
      </c>
      <c r="E238">
        <f>VLOOKUP(D238,L$2:M$8,2,FALSE)</f>
        <v>0.05</v>
      </c>
      <c r="F238">
        <f t="shared" si="9"/>
        <v>3</v>
      </c>
      <c r="G238">
        <f>IF(F238&gt;F237,G237+B238*E238,B238*E238)</f>
        <v>0.28151399999999999</v>
      </c>
      <c r="H238">
        <f t="shared" si="10"/>
        <v>0.05</v>
      </c>
      <c r="I238">
        <f t="shared" si="11"/>
        <v>0</v>
      </c>
    </row>
    <row r="239" spans="1:9">
      <c r="A239" s="1">
        <v>39063</v>
      </c>
      <c r="B239">
        <v>5.5712799999999998</v>
      </c>
      <c r="C239">
        <v>5.97</v>
      </c>
      <c r="D239">
        <f>WEEKDAY(A239,14)</f>
        <v>6</v>
      </c>
      <c r="E239">
        <f>VLOOKUP(D239,L$2:M$8,2,FALSE)</f>
        <v>0.7</v>
      </c>
      <c r="F239">
        <f t="shared" si="9"/>
        <v>4</v>
      </c>
      <c r="G239">
        <f>IF(F239&gt;F238,G238+B239*E239,B239*E239)</f>
        <v>4.1814099999999996</v>
      </c>
      <c r="H239">
        <f t="shared" si="10"/>
        <v>0.75</v>
      </c>
      <c r="I239">
        <f t="shared" si="11"/>
        <v>0</v>
      </c>
    </row>
    <row r="240" spans="1:9">
      <c r="A240" s="1">
        <v>39064</v>
      </c>
      <c r="B240">
        <v>5.6597099999999996</v>
      </c>
      <c r="C240">
        <v>5.97</v>
      </c>
      <c r="D240">
        <f>WEEKDAY(A240,14)</f>
        <v>7</v>
      </c>
      <c r="E240">
        <f>VLOOKUP(D240,L$2:M$8,2,FALSE)</f>
        <v>0.25</v>
      </c>
      <c r="F240">
        <f t="shared" si="9"/>
        <v>5</v>
      </c>
      <c r="G240">
        <f>IF(F240&gt;F239,G239+B240*E240,B240*E240)</f>
        <v>5.5963374999999997</v>
      </c>
      <c r="H240">
        <f t="shared" si="10"/>
        <v>1</v>
      </c>
      <c r="I240">
        <f t="shared" si="11"/>
        <v>0</v>
      </c>
    </row>
    <row r="241" spans="1:9">
      <c r="A241" s="1">
        <v>39065</v>
      </c>
      <c r="B241">
        <v>5.6811400000000001</v>
      </c>
      <c r="C241">
        <v>5.98</v>
      </c>
      <c r="D241">
        <f>WEEKDAY(A241,14)</f>
        <v>1</v>
      </c>
      <c r="E241">
        <f>VLOOKUP(D241,L$2:M$8,2,FALSE)</f>
        <v>0</v>
      </c>
      <c r="F241">
        <f t="shared" si="9"/>
        <v>1</v>
      </c>
      <c r="G241">
        <f>IF(F241&gt;F240,G240+B241*E241,B241*E241)</f>
        <v>0</v>
      </c>
      <c r="H241">
        <f t="shared" si="10"/>
        <v>0</v>
      </c>
      <c r="I241">
        <f t="shared" si="11"/>
        <v>5.5963374999999997</v>
      </c>
    </row>
    <row r="242" spans="1:9">
      <c r="A242" s="1">
        <v>39066</v>
      </c>
      <c r="B242">
        <v>5.6871400000000003</v>
      </c>
      <c r="C242">
        <v>5.98</v>
      </c>
      <c r="D242">
        <f>WEEKDAY(A242,14)</f>
        <v>2</v>
      </c>
      <c r="E242">
        <f>VLOOKUP(D242,L$2:M$8,2,FALSE)</f>
        <v>0</v>
      </c>
      <c r="F242">
        <f t="shared" si="9"/>
        <v>2</v>
      </c>
      <c r="G242">
        <f>IF(F242&gt;F241,G241+B242*E242,B242*E242)</f>
        <v>0</v>
      </c>
      <c r="H242">
        <f t="shared" si="10"/>
        <v>0</v>
      </c>
      <c r="I242">
        <f t="shared" si="11"/>
        <v>0</v>
      </c>
    </row>
    <row r="243" spans="1:9">
      <c r="A243" s="1">
        <v>39069</v>
      </c>
      <c r="B243">
        <v>5.6945899999999998</v>
      </c>
      <c r="C243">
        <v>5.98</v>
      </c>
      <c r="D243">
        <f>WEEKDAY(A243,14)</f>
        <v>5</v>
      </c>
      <c r="E243">
        <f>VLOOKUP(D243,L$2:M$8,2,FALSE)</f>
        <v>0.05</v>
      </c>
      <c r="F243">
        <f t="shared" si="9"/>
        <v>3</v>
      </c>
      <c r="G243">
        <f>IF(F243&gt;F242,G242+B243*E243,B243*E243)</f>
        <v>0.28472950000000002</v>
      </c>
      <c r="H243">
        <f t="shared" si="10"/>
        <v>0.05</v>
      </c>
      <c r="I243">
        <f t="shared" si="11"/>
        <v>0</v>
      </c>
    </row>
    <row r="244" spans="1:9">
      <c r="A244" s="1">
        <v>39070</v>
      </c>
      <c r="B244">
        <v>5.7004799999999998</v>
      </c>
      <c r="C244">
        <v>5.98</v>
      </c>
      <c r="D244">
        <f>WEEKDAY(A244,14)</f>
        <v>6</v>
      </c>
      <c r="E244">
        <f>VLOOKUP(D244,L$2:M$8,2,FALSE)</f>
        <v>0.7</v>
      </c>
      <c r="F244">
        <f t="shared" si="9"/>
        <v>4</v>
      </c>
      <c r="G244">
        <f>IF(F244&gt;F243,G243+B244*E244,B244*E244)</f>
        <v>4.2750654999999993</v>
      </c>
      <c r="H244">
        <f t="shared" si="10"/>
        <v>0.75</v>
      </c>
      <c r="I244">
        <f t="shared" si="11"/>
        <v>0</v>
      </c>
    </row>
    <row r="245" spans="1:9">
      <c r="A245" s="1">
        <v>39071</v>
      </c>
      <c r="B245">
        <v>5.6925699999999999</v>
      </c>
      <c r="C245">
        <v>5.98</v>
      </c>
      <c r="D245">
        <f>WEEKDAY(A245,14)</f>
        <v>7</v>
      </c>
      <c r="E245">
        <f>VLOOKUP(D245,L$2:M$8,2,FALSE)</f>
        <v>0.25</v>
      </c>
      <c r="F245">
        <f t="shared" si="9"/>
        <v>5</v>
      </c>
      <c r="G245">
        <f>IF(F245&gt;F244,G244+B245*E245,B245*E245)</f>
        <v>5.6982079999999993</v>
      </c>
      <c r="H245">
        <f t="shared" si="10"/>
        <v>1</v>
      </c>
      <c r="I245">
        <f t="shared" si="11"/>
        <v>0</v>
      </c>
    </row>
    <row r="246" spans="1:9">
      <c r="A246" s="1">
        <v>39072</v>
      </c>
      <c r="B246">
        <v>5.6332899999999997</v>
      </c>
      <c r="C246">
        <v>6.03</v>
      </c>
      <c r="D246">
        <f>WEEKDAY(A246,14)</f>
        <v>1</v>
      </c>
      <c r="E246">
        <f>VLOOKUP(D246,L$2:M$8,2,FALSE)</f>
        <v>0</v>
      </c>
      <c r="F246">
        <f t="shared" si="9"/>
        <v>1</v>
      </c>
      <c r="G246">
        <f>IF(F246&gt;F245,G245+B246*E246,B246*E246)</f>
        <v>0</v>
      </c>
      <c r="H246">
        <f t="shared" si="10"/>
        <v>0</v>
      </c>
      <c r="I246">
        <f t="shared" si="11"/>
        <v>5.6982079999999993</v>
      </c>
    </row>
    <row r="247" spans="1:9">
      <c r="A247" s="1">
        <v>39073</v>
      </c>
      <c r="B247">
        <v>5.7068700000000003</v>
      </c>
      <c r="C247">
        <v>6.03</v>
      </c>
      <c r="D247">
        <f>WEEKDAY(A247,14)</f>
        <v>2</v>
      </c>
      <c r="E247">
        <f>VLOOKUP(D247,L$2:M$8,2,FALSE)</f>
        <v>0</v>
      </c>
      <c r="F247">
        <f t="shared" si="9"/>
        <v>2</v>
      </c>
      <c r="G247">
        <f>IF(F247&gt;F246,G246+B247*E247,B247*E247)</f>
        <v>0</v>
      </c>
      <c r="H247">
        <f t="shared" si="10"/>
        <v>0</v>
      </c>
      <c r="I247">
        <f t="shared" si="11"/>
        <v>0</v>
      </c>
    </row>
    <row r="248" spans="1:9">
      <c r="A248" s="1">
        <v>39077</v>
      </c>
      <c r="B248">
        <v>5.6947000000000001</v>
      </c>
      <c r="C248">
        <v>6.03</v>
      </c>
      <c r="D248">
        <f>WEEKDAY(A248,14)</f>
        <v>6</v>
      </c>
      <c r="E248">
        <f>VLOOKUP(D248,L$2:M$8,2,FALSE)</f>
        <v>0.7</v>
      </c>
      <c r="F248">
        <f t="shared" si="9"/>
        <v>3</v>
      </c>
      <c r="G248">
        <f>IF(F248&gt;F247,G247+B248*E248,B248*E248)</f>
        <v>3.9862899999999999</v>
      </c>
      <c r="H248">
        <f t="shared" si="10"/>
        <v>0.7</v>
      </c>
      <c r="I248">
        <f t="shared" si="11"/>
        <v>0</v>
      </c>
    </row>
    <row r="249" spans="1:9">
      <c r="A249" s="1">
        <v>39078</v>
      </c>
      <c r="B249">
        <v>5.74329</v>
      </c>
      <c r="C249">
        <v>6.03</v>
      </c>
      <c r="D249">
        <f>WEEKDAY(A249,14)</f>
        <v>7</v>
      </c>
      <c r="E249">
        <f>VLOOKUP(D249,L$2:M$8,2,FALSE)</f>
        <v>0.25</v>
      </c>
      <c r="F249">
        <f t="shared" si="9"/>
        <v>4</v>
      </c>
      <c r="G249">
        <f>IF(F249&gt;F248,G248+B249*E249,B249*E249)</f>
        <v>5.4221124999999999</v>
      </c>
      <c r="H249">
        <f t="shared" si="10"/>
        <v>0.95</v>
      </c>
      <c r="I249">
        <f t="shared" si="11"/>
        <v>0</v>
      </c>
    </row>
    <row r="250" spans="1:9">
      <c r="A250" s="1">
        <v>39079</v>
      </c>
      <c r="B250">
        <v>5.7784800000000001</v>
      </c>
      <c r="C250">
        <v>6.03</v>
      </c>
      <c r="D250">
        <f>WEEKDAY(A250,14)</f>
        <v>1</v>
      </c>
      <c r="E250">
        <f>VLOOKUP(D250,L$2:M$8,2,FALSE)</f>
        <v>0</v>
      </c>
      <c r="F250">
        <f t="shared" si="9"/>
        <v>1</v>
      </c>
      <c r="G250">
        <f>IF(F250&gt;F249,G249+B250*E250,B250*E250)</f>
        <v>0</v>
      </c>
      <c r="H250">
        <f t="shared" si="10"/>
        <v>0</v>
      </c>
      <c r="I250">
        <f t="shared" si="11"/>
        <v>5.7074868421052631</v>
      </c>
    </row>
    <row r="251" spans="1:9">
      <c r="A251" s="1">
        <v>39080</v>
      </c>
      <c r="B251">
        <v>5.7846599999999997</v>
      </c>
      <c r="C251">
        <v>6.03</v>
      </c>
      <c r="D251">
        <f>WEEKDAY(A251,14)</f>
        <v>2</v>
      </c>
      <c r="E251">
        <f>VLOOKUP(D251,L$2:M$8,2,FALSE)</f>
        <v>0</v>
      </c>
      <c r="F251">
        <f t="shared" si="9"/>
        <v>2</v>
      </c>
      <c r="G251">
        <f>IF(F251&gt;F250,G250+B251*E251,B251*E251)</f>
        <v>0</v>
      </c>
      <c r="H251">
        <f t="shared" si="10"/>
        <v>0</v>
      </c>
      <c r="I251">
        <f t="shared" si="11"/>
        <v>0</v>
      </c>
    </row>
    <row r="252" spans="1:9">
      <c r="A252" s="1">
        <v>39084</v>
      </c>
      <c r="B252">
        <v>5.7513199999999998</v>
      </c>
      <c r="C252">
        <v>6.03</v>
      </c>
      <c r="D252">
        <f>WEEKDAY(A252,14)</f>
        <v>6</v>
      </c>
      <c r="E252">
        <f>VLOOKUP(D252,L$2:M$8,2,FALSE)</f>
        <v>0.7</v>
      </c>
      <c r="F252">
        <f t="shared" si="9"/>
        <v>3</v>
      </c>
      <c r="G252">
        <f>IF(F252&gt;F251,G251+B252*E252,B252*E252)</f>
        <v>4.0259239999999998</v>
      </c>
      <c r="H252">
        <f t="shared" si="10"/>
        <v>0.7</v>
      </c>
      <c r="I252">
        <f t="shared" si="11"/>
        <v>0</v>
      </c>
    </row>
    <row r="253" spans="1:9">
      <c r="A253" s="1">
        <v>39085</v>
      </c>
      <c r="B253">
        <v>5.7061900000000003</v>
      </c>
      <c r="C253">
        <v>6.03</v>
      </c>
      <c r="D253">
        <f>WEEKDAY(A253,14)</f>
        <v>7</v>
      </c>
      <c r="E253">
        <f>VLOOKUP(D253,L$2:M$8,2,FALSE)</f>
        <v>0.25</v>
      </c>
      <c r="F253">
        <f t="shared" si="9"/>
        <v>4</v>
      </c>
      <c r="G253">
        <f>IF(F253&gt;F252,G252+B253*E253,B253*E253)</f>
        <v>5.4524714999999997</v>
      </c>
      <c r="H253">
        <f t="shared" si="10"/>
        <v>0.95</v>
      </c>
      <c r="I253">
        <f t="shared" si="11"/>
        <v>0</v>
      </c>
    </row>
    <row r="254" spans="1:9">
      <c r="A254" s="1">
        <v>39086</v>
      </c>
      <c r="B254">
        <v>5.64398</v>
      </c>
      <c r="C254">
        <v>6.06</v>
      </c>
      <c r="D254">
        <f>WEEKDAY(A254,14)</f>
        <v>1</v>
      </c>
      <c r="E254">
        <f>VLOOKUP(D254,L$2:M$8,2,FALSE)</f>
        <v>0</v>
      </c>
      <c r="F254">
        <f t="shared" si="9"/>
        <v>1</v>
      </c>
      <c r="G254">
        <f>IF(F254&gt;F253,G253+B254*E254,B254*E254)</f>
        <v>0</v>
      </c>
      <c r="H254">
        <f t="shared" si="10"/>
        <v>0</v>
      </c>
      <c r="I254">
        <f t="shared" si="11"/>
        <v>5.7394436842105261</v>
      </c>
    </row>
    <row r="255" spans="1:9">
      <c r="A255" s="1">
        <v>39087</v>
      </c>
      <c r="B255">
        <v>5.6641000000000004</v>
      </c>
      <c r="C255">
        <v>6.06</v>
      </c>
      <c r="D255">
        <f>WEEKDAY(A255,14)</f>
        <v>2</v>
      </c>
      <c r="E255">
        <f>VLOOKUP(D255,L$2:M$8,2,FALSE)</f>
        <v>0</v>
      </c>
      <c r="F255">
        <f t="shared" si="9"/>
        <v>2</v>
      </c>
      <c r="G255">
        <f>IF(F255&gt;F254,G254+B255*E255,B255*E255)</f>
        <v>0</v>
      </c>
      <c r="H255">
        <f t="shared" si="10"/>
        <v>0</v>
      </c>
      <c r="I255">
        <f t="shared" si="11"/>
        <v>0</v>
      </c>
    </row>
    <row r="256" spans="1:9">
      <c r="A256" s="1">
        <v>39090</v>
      </c>
      <c r="B256">
        <v>5.6893900000000004</v>
      </c>
      <c r="C256">
        <v>6.06</v>
      </c>
      <c r="D256">
        <f>WEEKDAY(A256,14)</f>
        <v>5</v>
      </c>
      <c r="E256">
        <f>VLOOKUP(D256,L$2:M$8,2,FALSE)</f>
        <v>0.05</v>
      </c>
      <c r="F256">
        <f t="shared" si="9"/>
        <v>3</v>
      </c>
      <c r="G256">
        <f>IF(F256&gt;F255,G255+B256*E256,B256*E256)</f>
        <v>0.28446950000000004</v>
      </c>
      <c r="H256">
        <f t="shared" si="10"/>
        <v>0.05</v>
      </c>
      <c r="I256">
        <f t="shared" si="11"/>
        <v>0</v>
      </c>
    </row>
    <row r="257" spans="1:9">
      <c r="A257" s="1">
        <v>39091</v>
      </c>
      <c r="B257">
        <v>5.6923399999999997</v>
      </c>
      <c r="C257">
        <v>6.06</v>
      </c>
      <c r="D257">
        <f>WEEKDAY(A257,14)</f>
        <v>6</v>
      </c>
      <c r="E257">
        <f>VLOOKUP(D257,L$2:M$8,2,FALSE)</f>
        <v>0.7</v>
      </c>
      <c r="F257">
        <f t="shared" si="9"/>
        <v>4</v>
      </c>
      <c r="G257">
        <f>IF(F257&gt;F256,G256+B257*E257,B257*E257)</f>
        <v>4.2691074999999996</v>
      </c>
      <c r="H257">
        <f t="shared" si="10"/>
        <v>0.75</v>
      </c>
      <c r="I257">
        <f t="shared" si="11"/>
        <v>0</v>
      </c>
    </row>
    <row r="258" spans="1:9">
      <c r="A258" s="1">
        <v>39092</v>
      </c>
      <c r="B258">
        <v>5.7309799999999997</v>
      </c>
      <c r="C258">
        <v>6.06</v>
      </c>
      <c r="D258">
        <f>WEEKDAY(A258,14)</f>
        <v>7</v>
      </c>
      <c r="E258">
        <f>VLOOKUP(D258,L$2:M$8,2,FALSE)</f>
        <v>0.25</v>
      </c>
      <c r="F258">
        <f t="shared" si="9"/>
        <v>5</v>
      </c>
      <c r="G258">
        <f>IF(F258&gt;F257,G257+B258*E258,B258*E258)</f>
        <v>5.7018524999999993</v>
      </c>
      <c r="H258">
        <f t="shared" si="10"/>
        <v>1</v>
      </c>
      <c r="I258">
        <f t="shared" si="11"/>
        <v>0</v>
      </c>
    </row>
    <row r="259" spans="1:9">
      <c r="A259" s="1">
        <v>39093</v>
      </c>
      <c r="B259">
        <v>5.7831299999999999</v>
      </c>
      <c r="C259">
        <v>6.08</v>
      </c>
      <c r="D259">
        <f>WEEKDAY(A259,14)</f>
        <v>1</v>
      </c>
      <c r="E259">
        <f>VLOOKUP(D259,L$2:M$8,2,FALSE)</f>
        <v>0</v>
      </c>
      <c r="F259">
        <f t="shared" ref="F259:F322" si="12">IF(AND(D259&gt;D258,F258&lt;6),F258+1,1)</f>
        <v>1</v>
      </c>
      <c r="G259">
        <f>IF(F259&gt;F258,G258+B259*E259,B259*E259)</f>
        <v>0</v>
      </c>
      <c r="H259">
        <f t="shared" si="10"/>
        <v>0</v>
      </c>
      <c r="I259">
        <f t="shared" si="11"/>
        <v>5.7018524999999993</v>
      </c>
    </row>
    <row r="260" spans="1:9">
      <c r="A260" s="1">
        <v>39094</v>
      </c>
      <c r="B260">
        <v>5.7994899999999996</v>
      </c>
      <c r="C260">
        <v>6.08</v>
      </c>
      <c r="D260">
        <f>WEEKDAY(A260,14)</f>
        <v>2</v>
      </c>
      <c r="E260">
        <f>VLOOKUP(D260,L$2:M$8,2,FALSE)</f>
        <v>0</v>
      </c>
      <c r="F260">
        <f t="shared" si="12"/>
        <v>2</v>
      </c>
      <c r="G260">
        <f>IF(F260&gt;F259,G259+B260*E260,B260*E260)</f>
        <v>0</v>
      </c>
      <c r="H260">
        <f t="shared" ref="H260:H323" si="13">IF(AND(F260&lt;6,F260&gt;F259),E260+H259,E260)</f>
        <v>0</v>
      </c>
      <c r="I260">
        <f t="shared" ref="I260:I323" si="14">IF(F259&gt;F260,G259/H259,0)</f>
        <v>0</v>
      </c>
    </row>
    <row r="261" spans="1:9">
      <c r="A261" s="1">
        <v>39098</v>
      </c>
      <c r="B261">
        <v>5.7928800000000003</v>
      </c>
      <c r="C261">
        <v>6.08</v>
      </c>
      <c r="D261">
        <f>WEEKDAY(A261,14)</f>
        <v>6</v>
      </c>
      <c r="E261">
        <f>VLOOKUP(D261,L$2:M$8,2,FALSE)</f>
        <v>0.7</v>
      </c>
      <c r="F261">
        <f t="shared" si="12"/>
        <v>3</v>
      </c>
      <c r="G261">
        <f>IF(F261&gt;F260,G260+B261*E261,B261*E261)</f>
        <v>4.0550160000000002</v>
      </c>
      <c r="H261">
        <f t="shared" si="13"/>
        <v>0.7</v>
      </c>
      <c r="I261">
        <f t="shared" si="14"/>
        <v>0</v>
      </c>
    </row>
    <row r="262" spans="1:9">
      <c r="A262" s="1">
        <v>39099</v>
      </c>
      <c r="B262">
        <v>5.8289499999999999</v>
      </c>
      <c r="C262">
        <v>6.08</v>
      </c>
      <c r="D262">
        <f>WEEKDAY(A262,14)</f>
        <v>7</v>
      </c>
      <c r="E262">
        <f>VLOOKUP(D262,L$2:M$8,2,FALSE)</f>
        <v>0.25</v>
      </c>
      <c r="F262">
        <f t="shared" si="12"/>
        <v>4</v>
      </c>
      <c r="G262">
        <f>IF(F262&gt;F261,G261+B262*E262,B262*E262)</f>
        <v>5.5122534999999999</v>
      </c>
      <c r="H262">
        <f t="shared" si="13"/>
        <v>0.95</v>
      </c>
      <c r="I262">
        <f t="shared" si="14"/>
        <v>0</v>
      </c>
    </row>
    <row r="263" spans="1:9">
      <c r="A263" s="1">
        <v>39100</v>
      </c>
      <c r="B263">
        <v>5.8008100000000002</v>
      </c>
      <c r="C263">
        <v>6.1</v>
      </c>
      <c r="D263">
        <f>WEEKDAY(A263,14)</f>
        <v>1</v>
      </c>
      <c r="E263">
        <f>VLOOKUP(D263,L$2:M$8,2,FALSE)</f>
        <v>0</v>
      </c>
      <c r="F263">
        <f t="shared" si="12"/>
        <v>1</v>
      </c>
      <c r="G263">
        <f>IF(F263&gt;F262,G262+B263*E263,B263*E263)</f>
        <v>0</v>
      </c>
      <c r="H263">
        <f t="shared" si="13"/>
        <v>0</v>
      </c>
      <c r="I263">
        <f t="shared" si="14"/>
        <v>5.8023721052631583</v>
      </c>
    </row>
    <row r="264" spans="1:9">
      <c r="A264" s="1">
        <v>39101</v>
      </c>
      <c r="B264">
        <v>5.8239799999999997</v>
      </c>
      <c r="C264">
        <v>6.1</v>
      </c>
      <c r="D264">
        <f>WEEKDAY(A264,14)</f>
        <v>2</v>
      </c>
      <c r="E264">
        <f>VLOOKUP(D264,L$2:M$8,2,FALSE)</f>
        <v>0</v>
      </c>
      <c r="F264">
        <f t="shared" si="12"/>
        <v>2</v>
      </c>
      <c r="G264">
        <f>IF(F264&gt;F263,G263+B264*E264,B264*E264)</f>
        <v>0</v>
      </c>
      <c r="H264">
        <f t="shared" si="13"/>
        <v>0</v>
      </c>
      <c r="I264">
        <f t="shared" si="14"/>
        <v>0</v>
      </c>
    </row>
    <row r="265" spans="1:9">
      <c r="A265" s="1">
        <v>39104</v>
      </c>
      <c r="B265">
        <v>5.8119300000000003</v>
      </c>
      <c r="C265">
        <v>6.1</v>
      </c>
      <c r="D265">
        <f>WEEKDAY(A265,14)</f>
        <v>5</v>
      </c>
      <c r="E265">
        <f>VLOOKUP(D265,L$2:M$8,2,FALSE)</f>
        <v>0.05</v>
      </c>
      <c r="F265">
        <f t="shared" si="12"/>
        <v>3</v>
      </c>
      <c r="G265">
        <f>IF(F265&gt;F264,G264+B265*E265,B265*E265)</f>
        <v>0.29059650000000004</v>
      </c>
      <c r="H265">
        <f t="shared" si="13"/>
        <v>0.05</v>
      </c>
      <c r="I265">
        <f t="shared" si="14"/>
        <v>0</v>
      </c>
    </row>
    <row r="266" spans="1:9">
      <c r="A266" s="1">
        <v>39105</v>
      </c>
      <c r="B266">
        <v>5.8571600000000004</v>
      </c>
      <c r="C266">
        <v>6.1</v>
      </c>
      <c r="D266">
        <f>WEEKDAY(A266,14)</f>
        <v>6</v>
      </c>
      <c r="E266">
        <f>VLOOKUP(D266,L$2:M$8,2,FALSE)</f>
        <v>0.7</v>
      </c>
      <c r="F266">
        <f t="shared" si="12"/>
        <v>4</v>
      </c>
      <c r="G266">
        <f>IF(F266&gt;F265,G265+B266*E266,B266*E266)</f>
        <v>4.3906085000000008</v>
      </c>
      <c r="H266">
        <f t="shared" si="13"/>
        <v>0.75</v>
      </c>
      <c r="I266">
        <f t="shared" si="14"/>
        <v>0</v>
      </c>
    </row>
    <row r="267" spans="1:9">
      <c r="A267" s="1">
        <v>39106</v>
      </c>
      <c r="B267">
        <v>5.8689099999999996</v>
      </c>
      <c r="C267">
        <v>6.1</v>
      </c>
      <c r="D267">
        <f>WEEKDAY(A267,14)</f>
        <v>7</v>
      </c>
      <c r="E267">
        <f>VLOOKUP(D267,L$2:M$8,2,FALSE)</f>
        <v>0.25</v>
      </c>
      <c r="F267">
        <f t="shared" si="12"/>
        <v>5</v>
      </c>
      <c r="G267">
        <f>IF(F267&gt;F266,G266+B267*E267,B267*E267)</f>
        <v>5.8578360000000007</v>
      </c>
      <c r="H267">
        <f t="shared" si="13"/>
        <v>1</v>
      </c>
      <c r="I267">
        <f t="shared" si="14"/>
        <v>0</v>
      </c>
    </row>
    <row r="268" spans="1:9">
      <c r="A268" s="1">
        <v>39107</v>
      </c>
      <c r="B268">
        <v>5.93337</v>
      </c>
      <c r="C268">
        <v>6.19</v>
      </c>
      <c r="D268">
        <f>WEEKDAY(A268,14)</f>
        <v>1</v>
      </c>
      <c r="E268">
        <f>VLOOKUP(D268,L$2:M$8,2,FALSE)</f>
        <v>0</v>
      </c>
      <c r="F268">
        <f t="shared" si="12"/>
        <v>1</v>
      </c>
      <c r="G268">
        <f>IF(F268&gt;F267,G267+B268*E268,B268*E268)</f>
        <v>0</v>
      </c>
      <c r="H268">
        <f t="shared" si="13"/>
        <v>0</v>
      </c>
      <c r="I268">
        <f t="shared" si="14"/>
        <v>5.8578360000000007</v>
      </c>
    </row>
    <row r="269" spans="1:9">
      <c r="A269" s="1">
        <v>39108</v>
      </c>
      <c r="B269">
        <v>5.9437899999999999</v>
      </c>
      <c r="C269">
        <v>6.19</v>
      </c>
      <c r="D269">
        <f>WEEKDAY(A269,14)</f>
        <v>2</v>
      </c>
      <c r="E269">
        <f>VLOOKUP(D269,L$2:M$8,2,FALSE)</f>
        <v>0</v>
      </c>
      <c r="F269">
        <f t="shared" si="12"/>
        <v>2</v>
      </c>
      <c r="G269">
        <f>IF(F269&gt;F268,G268+B269*E269,B269*E269)</f>
        <v>0</v>
      </c>
      <c r="H269">
        <f t="shared" si="13"/>
        <v>0</v>
      </c>
      <c r="I269">
        <f t="shared" si="14"/>
        <v>0</v>
      </c>
    </row>
    <row r="270" spans="1:9">
      <c r="A270" s="1">
        <v>39111</v>
      </c>
      <c r="B270">
        <v>5.9644500000000003</v>
      </c>
      <c r="C270">
        <v>6.19</v>
      </c>
      <c r="D270">
        <f>WEEKDAY(A270,14)</f>
        <v>5</v>
      </c>
      <c r="E270">
        <f>VLOOKUP(D270,L$2:M$8,2,FALSE)</f>
        <v>0.05</v>
      </c>
      <c r="F270">
        <f t="shared" si="12"/>
        <v>3</v>
      </c>
      <c r="G270">
        <f>IF(F270&gt;F269,G269+B270*E270,B270*E270)</f>
        <v>0.2982225</v>
      </c>
      <c r="H270">
        <f t="shared" si="13"/>
        <v>0.05</v>
      </c>
      <c r="I270">
        <f t="shared" si="14"/>
        <v>0</v>
      </c>
    </row>
    <row r="271" spans="1:9">
      <c r="A271" s="1">
        <v>39112</v>
      </c>
      <c r="B271">
        <v>5.9530399999999997</v>
      </c>
      <c r="C271">
        <v>6.19</v>
      </c>
      <c r="D271">
        <f>WEEKDAY(A271,14)</f>
        <v>6</v>
      </c>
      <c r="E271">
        <f>VLOOKUP(D271,L$2:M$8,2,FALSE)</f>
        <v>0.7</v>
      </c>
      <c r="F271">
        <f t="shared" si="12"/>
        <v>4</v>
      </c>
      <c r="G271">
        <f>IF(F271&gt;F270,G270+B271*E271,B271*E271)</f>
        <v>4.4653504999999996</v>
      </c>
      <c r="H271">
        <f t="shared" si="13"/>
        <v>0.75</v>
      </c>
      <c r="I271">
        <f t="shared" si="14"/>
        <v>0</v>
      </c>
    </row>
    <row r="272" spans="1:9">
      <c r="A272" s="1">
        <v>39113</v>
      </c>
      <c r="B272">
        <v>5.89771</v>
      </c>
      <c r="C272">
        <v>6.19</v>
      </c>
      <c r="D272">
        <f>WEEKDAY(A272,14)</f>
        <v>7</v>
      </c>
      <c r="E272">
        <f>VLOOKUP(D272,L$2:M$8,2,FALSE)</f>
        <v>0.25</v>
      </c>
      <c r="F272">
        <f t="shared" si="12"/>
        <v>5</v>
      </c>
      <c r="G272">
        <f>IF(F272&gt;F271,G271+B272*E272,B272*E272)</f>
        <v>5.9397779999999996</v>
      </c>
      <c r="H272">
        <f t="shared" si="13"/>
        <v>1</v>
      </c>
      <c r="I272">
        <f t="shared" si="14"/>
        <v>0</v>
      </c>
    </row>
    <row r="273" spans="1:9">
      <c r="A273" s="1">
        <v>39114</v>
      </c>
      <c r="B273">
        <v>5.8977199999999996</v>
      </c>
      <c r="C273">
        <v>6.1050000000000004</v>
      </c>
      <c r="D273">
        <f>WEEKDAY(A273,14)</f>
        <v>1</v>
      </c>
      <c r="E273">
        <f>VLOOKUP(D273,L$2:M$8,2,FALSE)</f>
        <v>0</v>
      </c>
      <c r="F273">
        <f t="shared" si="12"/>
        <v>1</v>
      </c>
      <c r="G273">
        <f>IF(F273&gt;F272,G272+B273*E273,B273*E273)</f>
        <v>0</v>
      </c>
      <c r="H273">
        <f t="shared" si="13"/>
        <v>0</v>
      </c>
      <c r="I273">
        <f t="shared" si="14"/>
        <v>5.9397779999999996</v>
      </c>
    </row>
    <row r="274" spans="1:9">
      <c r="A274" s="1">
        <v>39115</v>
      </c>
      <c r="B274">
        <v>5.86395</v>
      </c>
      <c r="C274">
        <v>6.1050000000000004</v>
      </c>
      <c r="D274">
        <f>WEEKDAY(A274,14)</f>
        <v>2</v>
      </c>
      <c r="E274">
        <f>VLOOKUP(D274,L$2:M$8,2,FALSE)</f>
        <v>0</v>
      </c>
      <c r="F274">
        <f t="shared" si="12"/>
        <v>2</v>
      </c>
      <c r="G274">
        <f>IF(F274&gt;F273,G273+B274*E274,B274*E274)</f>
        <v>0</v>
      </c>
      <c r="H274">
        <f t="shared" si="13"/>
        <v>0</v>
      </c>
      <c r="I274">
        <f t="shared" si="14"/>
        <v>0</v>
      </c>
    </row>
    <row r="275" spans="1:9">
      <c r="A275" s="1">
        <v>39118</v>
      </c>
      <c r="B275">
        <v>5.8258000000000001</v>
      </c>
      <c r="C275">
        <v>6.1050000000000004</v>
      </c>
      <c r="D275">
        <f>WEEKDAY(A275,14)</f>
        <v>5</v>
      </c>
      <c r="E275">
        <f>VLOOKUP(D275,L$2:M$8,2,FALSE)</f>
        <v>0.05</v>
      </c>
      <c r="F275">
        <f t="shared" si="12"/>
        <v>3</v>
      </c>
      <c r="G275">
        <f>IF(F275&gt;F274,G274+B275*E275,B275*E275)</f>
        <v>0.29128999999999999</v>
      </c>
      <c r="H275">
        <f t="shared" si="13"/>
        <v>0.05</v>
      </c>
      <c r="I275">
        <f t="shared" si="14"/>
        <v>0</v>
      </c>
    </row>
    <row r="276" spans="1:9">
      <c r="A276" s="1">
        <v>39119</v>
      </c>
      <c r="B276">
        <v>5.7884500000000001</v>
      </c>
      <c r="C276">
        <v>6.1050000000000004</v>
      </c>
      <c r="D276">
        <f>WEEKDAY(A276,14)</f>
        <v>6</v>
      </c>
      <c r="E276">
        <f>VLOOKUP(D276,L$2:M$8,2,FALSE)</f>
        <v>0.7</v>
      </c>
      <c r="F276">
        <f t="shared" si="12"/>
        <v>4</v>
      </c>
      <c r="G276">
        <f>IF(F276&gt;F275,G275+B276*E276,B276*E276)</f>
        <v>4.3432050000000002</v>
      </c>
      <c r="H276">
        <f t="shared" si="13"/>
        <v>0.75</v>
      </c>
      <c r="I276">
        <f t="shared" si="14"/>
        <v>0</v>
      </c>
    </row>
    <row r="277" spans="1:9">
      <c r="A277" s="1">
        <v>39120</v>
      </c>
      <c r="B277">
        <v>5.7765000000000004</v>
      </c>
      <c r="C277">
        <v>6.1050000000000004</v>
      </c>
      <c r="D277">
        <f>WEEKDAY(A277,14)</f>
        <v>7</v>
      </c>
      <c r="E277">
        <f>VLOOKUP(D277,L$2:M$8,2,FALSE)</f>
        <v>0.25</v>
      </c>
      <c r="F277">
        <f t="shared" si="12"/>
        <v>5</v>
      </c>
      <c r="G277">
        <f>IF(F277&gt;F276,G276+B277*E277,B277*E277)</f>
        <v>5.7873300000000008</v>
      </c>
      <c r="H277">
        <f t="shared" si="13"/>
        <v>1</v>
      </c>
      <c r="I277">
        <f t="shared" si="14"/>
        <v>0</v>
      </c>
    </row>
    <row r="278" spans="1:9">
      <c r="A278" s="1">
        <v>39121</v>
      </c>
      <c r="B278">
        <v>5.7790699999999999</v>
      </c>
      <c r="C278">
        <v>6.15</v>
      </c>
      <c r="D278">
        <f>WEEKDAY(A278,14)</f>
        <v>1</v>
      </c>
      <c r="E278">
        <f>VLOOKUP(D278,L$2:M$8,2,FALSE)</f>
        <v>0</v>
      </c>
      <c r="F278">
        <f t="shared" si="12"/>
        <v>1</v>
      </c>
      <c r="G278">
        <f>IF(F278&gt;F277,G277+B278*E278,B278*E278)</f>
        <v>0</v>
      </c>
      <c r="H278">
        <f t="shared" si="13"/>
        <v>0</v>
      </c>
      <c r="I278">
        <f t="shared" si="14"/>
        <v>5.7873300000000008</v>
      </c>
    </row>
    <row r="279" spans="1:9">
      <c r="A279" s="1">
        <v>39122</v>
      </c>
      <c r="B279">
        <v>5.8345500000000001</v>
      </c>
      <c r="C279">
        <v>6.15</v>
      </c>
      <c r="D279">
        <f>WEEKDAY(A279,14)</f>
        <v>2</v>
      </c>
      <c r="E279">
        <f>VLOOKUP(D279,L$2:M$8,2,FALSE)</f>
        <v>0</v>
      </c>
      <c r="F279">
        <f t="shared" si="12"/>
        <v>2</v>
      </c>
      <c r="G279">
        <f>IF(F279&gt;F278,G278+B279*E279,B279*E279)</f>
        <v>0</v>
      </c>
      <c r="H279">
        <f t="shared" si="13"/>
        <v>0</v>
      </c>
      <c r="I279">
        <f t="shared" si="14"/>
        <v>0</v>
      </c>
    </row>
    <row r="280" spans="1:9">
      <c r="A280" s="1">
        <v>39125</v>
      </c>
      <c r="B280">
        <v>5.8661000000000003</v>
      </c>
      <c r="C280">
        <v>6.15</v>
      </c>
      <c r="D280">
        <f>WEEKDAY(A280,14)</f>
        <v>5</v>
      </c>
      <c r="E280">
        <f>VLOOKUP(D280,L$2:M$8,2,FALSE)</f>
        <v>0.05</v>
      </c>
      <c r="F280">
        <f t="shared" si="12"/>
        <v>3</v>
      </c>
      <c r="G280">
        <f>IF(F280&gt;F279,G279+B280*E280,B280*E280)</f>
        <v>0.29330500000000004</v>
      </c>
      <c r="H280">
        <f t="shared" si="13"/>
        <v>0.05</v>
      </c>
      <c r="I280">
        <f t="shared" si="14"/>
        <v>0</v>
      </c>
    </row>
    <row r="281" spans="1:9">
      <c r="A281" s="1">
        <v>39126</v>
      </c>
      <c r="B281">
        <v>5.8739999999999997</v>
      </c>
      <c r="C281">
        <v>6.15</v>
      </c>
      <c r="D281">
        <f>WEEKDAY(A281,14)</f>
        <v>6</v>
      </c>
      <c r="E281">
        <f>VLOOKUP(D281,L$2:M$8,2,FALSE)</f>
        <v>0.7</v>
      </c>
      <c r="F281">
        <f t="shared" si="12"/>
        <v>4</v>
      </c>
      <c r="G281">
        <f>IF(F281&gt;F280,G280+B281*E281,B281*E281)</f>
        <v>4.4051049999999998</v>
      </c>
      <c r="H281">
        <f t="shared" si="13"/>
        <v>0.75</v>
      </c>
      <c r="I281">
        <f t="shared" si="14"/>
        <v>0</v>
      </c>
    </row>
    <row r="282" spans="1:9">
      <c r="A282" s="1">
        <v>39127</v>
      </c>
      <c r="B282">
        <v>5.7817100000000003</v>
      </c>
      <c r="C282">
        <v>6.15</v>
      </c>
      <c r="D282">
        <f>WEEKDAY(A282,14)</f>
        <v>7</v>
      </c>
      <c r="E282">
        <f>VLOOKUP(D282,L$2:M$8,2,FALSE)</f>
        <v>0.25</v>
      </c>
      <c r="F282">
        <f t="shared" si="12"/>
        <v>5</v>
      </c>
      <c r="G282">
        <f>IF(F282&gt;F281,G281+B282*E282,B282*E282)</f>
        <v>5.8505324999999999</v>
      </c>
      <c r="H282">
        <f t="shared" si="13"/>
        <v>1</v>
      </c>
      <c r="I282">
        <f t="shared" si="14"/>
        <v>0</v>
      </c>
    </row>
    <row r="283" spans="1:9">
      <c r="A283" s="1">
        <v>39128</v>
      </c>
      <c r="B283">
        <v>5.7657499999999997</v>
      </c>
      <c r="C283">
        <v>6.0949999999999998</v>
      </c>
      <c r="D283">
        <f>WEEKDAY(A283,14)</f>
        <v>1</v>
      </c>
      <c r="E283">
        <f>VLOOKUP(D283,L$2:M$8,2,FALSE)</f>
        <v>0</v>
      </c>
      <c r="F283">
        <f t="shared" si="12"/>
        <v>1</v>
      </c>
      <c r="G283">
        <f>IF(F283&gt;F282,G282+B283*E283,B283*E283)</f>
        <v>0</v>
      </c>
      <c r="H283">
        <f t="shared" si="13"/>
        <v>0</v>
      </c>
      <c r="I283">
        <f t="shared" si="14"/>
        <v>5.8505324999999999</v>
      </c>
    </row>
    <row r="284" spans="1:9">
      <c r="A284" s="1">
        <v>39129</v>
      </c>
      <c r="B284">
        <v>5.7670399999999997</v>
      </c>
      <c r="C284">
        <v>6.0949999999999998</v>
      </c>
      <c r="D284">
        <f>WEEKDAY(A284,14)</f>
        <v>2</v>
      </c>
      <c r="E284">
        <f>VLOOKUP(D284,L$2:M$8,2,FALSE)</f>
        <v>0</v>
      </c>
      <c r="F284">
        <f t="shared" si="12"/>
        <v>2</v>
      </c>
      <c r="G284">
        <f>IF(F284&gt;F283,G283+B284*E284,B284*E284)</f>
        <v>0</v>
      </c>
      <c r="H284">
        <f t="shared" si="13"/>
        <v>0</v>
      </c>
      <c r="I284">
        <f t="shared" si="14"/>
        <v>0</v>
      </c>
    </row>
    <row r="285" spans="1:9">
      <c r="A285" s="1">
        <v>39133</v>
      </c>
      <c r="B285">
        <v>5.7596699999999998</v>
      </c>
      <c r="C285">
        <v>6.0949999999999998</v>
      </c>
      <c r="D285">
        <f>WEEKDAY(A285,14)</f>
        <v>6</v>
      </c>
      <c r="E285">
        <f>VLOOKUP(D285,L$2:M$8,2,FALSE)</f>
        <v>0.7</v>
      </c>
      <c r="F285">
        <f t="shared" si="12"/>
        <v>3</v>
      </c>
      <c r="G285">
        <f>IF(F285&gt;F284,G284+B285*E285,B285*E285)</f>
        <v>4.0317689999999997</v>
      </c>
      <c r="H285">
        <f t="shared" si="13"/>
        <v>0.7</v>
      </c>
      <c r="I285">
        <f t="shared" si="14"/>
        <v>0</v>
      </c>
    </row>
    <row r="286" spans="1:9">
      <c r="A286" s="1">
        <v>39134</v>
      </c>
      <c r="B286">
        <v>5.7664799999999996</v>
      </c>
      <c r="C286">
        <v>6.0949999999999998</v>
      </c>
      <c r="D286">
        <f>WEEKDAY(A286,14)</f>
        <v>7</v>
      </c>
      <c r="E286">
        <f>VLOOKUP(D286,L$2:M$8,2,FALSE)</f>
        <v>0.25</v>
      </c>
      <c r="F286">
        <f t="shared" si="12"/>
        <v>4</v>
      </c>
      <c r="G286">
        <f>IF(F286&gt;F285,G285+B286*E286,B286*E286)</f>
        <v>5.4733889999999992</v>
      </c>
      <c r="H286">
        <f t="shared" si="13"/>
        <v>0.95</v>
      </c>
      <c r="I286">
        <f t="shared" si="14"/>
        <v>0</v>
      </c>
    </row>
    <row r="287" spans="1:9">
      <c r="A287" s="1">
        <v>39135</v>
      </c>
      <c r="B287">
        <v>5.7982500000000003</v>
      </c>
      <c r="C287">
        <v>6.03</v>
      </c>
      <c r="D287">
        <f>WEEKDAY(A287,14)</f>
        <v>1</v>
      </c>
      <c r="E287">
        <f>VLOOKUP(D287,L$2:M$8,2,FALSE)</f>
        <v>0</v>
      </c>
      <c r="F287">
        <f t="shared" si="12"/>
        <v>1</v>
      </c>
      <c r="G287">
        <f>IF(F287&gt;F286,G286+B287*E287,B287*E287)</f>
        <v>0</v>
      </c>
      <c r="H287">
        <f t="shared" si="13"/>
        <v>0</v>
      </c>
      <c r="I287">
        <f t="shared" si="14"/>
        <v>5.7614621052631572</v>
      </c>
    </row>
    <row r="288" spans="1:9">
      <c r="A288" s="1">
        <v>39136</v>
      </c>
      <c r="B288">
        <v>5.7685700000000004</v>
      </c>
      <c r="C288">
        <v>6.03</v>
      </c>
      <c r="D288">
        <f>WEEKDAY(A288,14)</f>
        <v>2</v>
      </c>
      <c r="E288">
        <f>VLOOKUP(D288,L$2:M$8,2,FALSE)</f>
        <v>0</v>
      </c>
      <c r="F288">
        <f t="shared" si="12"/>
        <v>2</v>
      </c>
      <c r="G288">
        <f>IF(F288&gt;F287,G287+B288*E288,B288*E288)</f>
        <v>0</v>
      </c>
      <c r="H288">
        <f t="shared" si="13"/>
        <v>0</v>
      </c>
      <c r="I288">
        <f t="shared" si="14"/>
        <v>0</v>
      </c>
    </row>
    <row r="289" spans="1:9">
      <c r="A289" s="1">
        <v>39139</v>
      </c>
      <c r="B289">
        <v>5.7385599999999997</v>
      </c>
      <c r="C289">
        <v>6.03</v>
      </c>
      <c r="D289">
        <f>WEEKDAY(A289,14)</f>
        <v>5</v>
      </c>
      <c r="E289">
        <f>VLOOKUP(D289,L$2:M$8,2,FALSE)</f>
        <v>0.05</v>
      </c>
      <c r="F289">
        <f t="shared" si="12"/>
        <v>3</v>
      </c>
      <c r="G289">
        <f>IF(F289&gt;F288,G288+B289*E289,B289*E289)</f>
        <v>0.28692800000000002</v>
      </c>
      <c r="H289">
        <f t="shared" si="13"/>
        <v>0.05</v>
      </c>
      <c r="I289">
        <f t="shared" si="14"/>
        <v>0</v>
      </c>
    </row>
    <row r="290" spans="1:9">
      <c r="A290" s="1">
        <v>39140</v>
      </c>
      <c r="B290">
        <v>5.6660000000000004</v>
      </c>
      <c r="C290">
        <v>6.03</v>
      </c>
      <c r="D290">
        <f>WEEKDAY(A290,14)</f>
        <v>6</v>
      </c>
      <c r="E290">
        <f>VLOOKUP(D290,L$2:M$8,2,FALSE)</f>
        <v>0.7</v>
      </c>
      <c r="F290">
        <f t="shared" si="12"/>
        <v>4</v>
      </c>
      <c r="G290">
        <f>IF(F290&gt;F289,G289+B290*E290,B290*E290)</f>
        <v>4.2531280000000002</v>
      </c>
      <c r="H290">
        <f t="shared" si="13"/>
        <v>0.75</v>
      </c>
      <c r="I290">
        <f t="shared" si="14"/>
        <v>0</v>
      </c>
    </row>
    <row r="291" spans="1:9">
      <c r="A291" s="1">
        <v>39141</v>
      </c>
      <c r="B291">
        <v>5.6979300000000004</v>
      </c>
      <c r="C291">
        <v>6.03</v>
      </c>
      <c r="D291">
        <f>WEEKDAY(A291,14)</f>
        <v>7</v>
      </c>
      <c r="E291">
        <f>VLOOKUP(D291,L$2:M$8,2,FALSE)</f>
        <v>0.25</v>
      </c>
      <c r="F291">
        <f t="shared" si="12"/>
        <v>5</v>
      </c>
      <c r="G291">
        <f>IF(F291&gt;F290,G290+B291*E291,B291*E291)</f>
        <v>5.6776105000000001</v>
      </c>
      <c r="H291">
        <f t="shared" si="13"/>
        <v>1</v>
      </c>
      <c r="I291">
        <f t="shared" si="14"/>
        <v>0</v>
      </c>
    </row>
    <row r="292" spans="1:9">
      <c r="A292" s="1">
        <v>39142</v>
      </c>
      <c r="B292">
        <v>5.7008799999999997</v>
      </c>
      <c r="C292">
        <v>6.0149999999999997</v>
      </c>
      <c r="D292">
        <f>WEEKDAY(A292,14)</f>
        <v>1</v>
      </c>
      <c r="E292">
        <f>VLOOKUP(D292,L$2:M$8,2,FALSE)</f>
        <v>0</v>
      </c>
      <c r="F292">
        <f t="shared" si="12"/>
        <v>1</v>
      </c>
      <c r="G292">
        <f>IF(F292&gt;F291,G291+B292*E292,B292*E292)</f>
        <v>0</v>
      </c>
      <c r="H292">
        <f t="shared" si="13"/>
        <v>0</v>
      </c>
      <c r="I292">
        <f t="shared" si="14"/>
        <v>5.6776105000000001</v>
      </c>
    </row>
    <row r="293" spans="1:9">
      <c r="A293" s="1">
        <v>39143</v>
      </c>
      <c r="B293">
        <v>5.6856999999999998</v>
      </c>
      <c r="C293">
        <v>6.0149999999999997</v>
      </c>
      <c r="D293">
        <f>WEEKDAY(A293,14)</f>
        <v>2</v>
      </c>
      <c r="E293">
        <f>VLOOKUP(D293,L$2:M$8,2,FALSE)</f>
        <v>0</v>
      </c>
      <c r="F293">
        <f t="shared" si="12"/>
        <v>2</v>
      </c>
      <c r="G293">
        <f>IF(F293&gt;F292,G292+B293*E293,B293*E293)</f>
        <v>0</v>
      </c>
      <c r="H293">
        <f t="shared" si="13"/>
        <v>0</v>
      </c>
      <c r="I293">
        <f t="shared" si="14"/>
        <v>0</v>
      </c>
    </row>
    <row r="294" spans="1:9">
      <c r="A294" s="1">
        <v>39146</v>
      </c>
      <c r="B294">
        <v>5.6960199999999999</v>
      </c>
      <c r="C294">
        <v>6.0149999999999997</v>
      </c>
      <c r="D294">
        <f>WEEKDAY(A294,14)</f>
        <v>5</v>
      </c>
      <c r="E294">
        <f>VLOOKUP(D294,L$2:M$8,2,FALSE)</f>
        <v>0.05</v>
      </c>
      <c r="F294">
        <f t="shared" si="12"/>
        <v>3</v>
      </c>
      <c r="G294">
        <f>IF(F294&gt;F293,G293+B294*E294,B294*E294)</f>
        <v>0.28480100000000003</v>
      </c>
      <c r="H294">
        <f t="shared" si="13"/>
        <v>0.05</v>
      </c>
      <c r="I294">
        <f t="shared" si="14"/>
        <v>0</v>
      </c>
    </row>
    <row r="295" spans="1:9">
      <c r="A295" s="1">
        <v>39147</v>
      </c>
      <c r="B295">
        <v>5.6803100000000004</v>
      </c>
      <c r="C295">
        <v>6.0149999999999997</v>
      </c>
      <c r="D295">
        <f>WEEKDAY(A295,14)</f>
        <v>6</v>
      </c>
      <c r="E295">
        <f>VLOOKUP(D295,L$2:M$8,2,FALSE)</f>
        <v>0.7</v>
      </c>
      <c r="F295">
        <f t="shared" si="12"/>
        <v>4</v>
      </c>
      <c r="G295">
        <f>IF(F295&gt;F294,G294+B295*E295,B295*E295)</f>
        <v>4.261018</v>
      </c>
      <c r="H295">
        <f t="shared" si="13"/>
        <v>0.75</v>
      </c>
      <c r="I295">
        <f t="shared" si="14"/>
        <v>0</v>
      </c>
    </row>
    <row r="296" spans="1:9">
      <c r="A296" s="1">
        <v>39148</v>
      </c>
      <c r="B296">
        <v>5.6406499999999999</v>
      </c>
      <c r="C296">
        <v>6.0149999999999997</v>
      </c>
      <c r="D296">
        <f>WEEKDAY(A296,14)</f>
        <v>7</v>
      </c>
      <c r="E296">
        <f>VLOOKUP(D296,L$2:M$8,2,FALSE)</f>
        <v>0.25</v>
      </c>
      <c r="F296">
        <f t="shared" si="12"/>
        <v>5</v>
      </c>
      <c r="G296">
        <f>IF(F296&gt;F295,G295+B296*E296,B296*E296)</f>
        <v>5.6711805000000002</v>
      </c>
      <c r="H296">
        <f t="shared" si="13"/>
        <v>1</v>
      </c>
      <c r="I296">
        <f t="shared" si="14"/>
        <v>0</v>
      </c>
    </row>
    <row r="297" spans="1:9">
      <c r="A297" s="1">
        <v>39149</v>
      </c>
      <c r="B297">
        <v>5.6362500000000004</v>
      </c>
      <c r="C297">
        <v>5.99</v>
      </c>
      <c r="D297">
        <f>WEEKDAY(A297,14)</f>
        <v>1</v>
      </c>
      <c r="E297">
        <f>VLOOKUP(D297,L$2:M$8,2,FALSE)</f>
        <v>0</v>
      </c>
      <c r="F297">
        <f t="shared" si="12"/>
        <v>1</v>
      </c>
      <c r="G297">
        <f>IF(F297&gt;F296,G296+B297*E297,B297*E297)</f>
        <v>0</v>
      </c>
      <c r="H297">
        <f t="shared" si="13"/>
        <v>0</v>
      </c>
      <c r="I297">
        <f t="shared" si="14"/>
        <v>5.6711805000000002</v>
      </c>
    </row>
    <row r="298" spans="1:9">
      <c r="A298" s="1">
        <v>39150</v>
      </c>
      <c r="B298">
        <v>5.7082800000000002</v>
      </c>
      <c r="C298">
        <v>5.99</v>
      </c>
      <c r="D298">
        <f>WEEKDAY(A298,14)</f>
        <v>2</v>
      </c>
      <c r="E298">
        <f>VLOOKUP(D298,L$2:M$8,2,FALSE)</f>
        <v>0</v>
      </c>
      <c r="F298">
        <f t="shared" si="12"/>
        <v>2</v>
      </c>
      <c r="G298">
        <f>IF(F298&gt;F297,G297+B298*E298,B298*E298)</f>
        <v>0</v>
      </c>
      <c r="H298">
        <f t="shared" si="13"/>
        <v>0</v>
      </c>
      <c r="I298">
        <f t="shared" si="14"/>
        <v>0</v>
      </c>
    </row>
    <row r="299" spans="1:9">
      <c r="A299" s="1">
        <v>39153</v>
      </c>
      <c r="B299">
        <v>5.6818</v>
      </c>
      <c r="C299">
        <v>5.99</v>
      </c>
      <c r="D299">
        <f>WEEKDAY(A299,14)</f>
        <v>5</v>
      </c>
      <c r="E299">
        <f>VLOOKUP(D299,L$2:M$8,2,FALSE)</f>
        <v>0.05</v>
      </c>
      <c r="F299">
        <f t="shared" si="12"/>
        <v>3</v>
      </c>
      <c r="G299">
        <f>IF(F299&gt;F298,G298+B299*E299,B299*E299)</f>
        <v>0.28409000000000001</v>
      </c>
      <c r="H299">
        <f t="shared" si="13"/>
        <v>0.05</v>
      </c>
      <c r="I299">
        <f t="shared" si="14"/>
        <v>0</v>
      </c>
    </row>
    <row r="300" spans="1:9">
      <c r="A300" s="1">
        <v>39154</v>
      </c>
      <c r="B300">
        <v>5.6249900000000004</v>
      </c>
      <c r="C300">
        <v>5.99</v>
      </c>
      <c r="D300">
        <f>WEEKDAY(A300,14)</f>
        <v>6</v>
      </c>
      <c r="E300">
        <f>VLOOKUP(D300,L$2:M$8,2,FALSE)</f>
        <v>0.7</v>
      </c>
      <c r="F300">
        <f t="shared" si="12"/>
        <v>4</v>
      </c>
      <c r="G300">
        <f>IF(F300&gt;F299,G299+B300*E300,B300*E300)</f>
        <v>4.2215829999999999</v>
      </c>
      <c r="H300">
        <f t="shared" si="13"/>
        <v>0.75</v>
      </c>
      <c r="I300">
        <f t="shared" si="14"/>
        <v>0</v>
      </c>
    </row>
    <row r="301" spans="1:9">
      <c r="A301" s="1">
        <v>39155</v>
      </c>
      <c r="B301">
        <v>5.6497799999999998</v>
      </c>
      <c r="C301">
        <v>5.99</v>
      </c>
      <c r="D301">
        <f>WEEKDAY(A301,14)</f>
        <v>7</v>
      </c>
      <c r="E301">
        <f>VLOOKUP(D301,L$2:M$8,2,FALSE)</f>
        <v>0.25</v>
      </c>
      <c r="F301">
        <f t="shared" si="12"/>
        <v>5</v>
      </c>
      <c r="G301">
        <f>IF(F301&gt;F300,G300+B301*E301,B301*E301)</f>
        <v>5.6340279999999998</v>
      </c>
      <c r="H301">
        <f t="shared" si="13"/>
        <v>1</v>
      </c>
      <c r="I301">
        <f t="shared" si="14"/>
        <v>0</v>
      </c>
    </row>
    <row r="302" spans="1:9">
      <c r="A302" s="1">
        <v>39156</v>
      </c>
      <c r="B302">
        <v>5.6610699999999996</v>
      </c>
      <c r="C302">
        <v>6.01</v>
      </c>
      <c r="D302">
        <f>WEEKDAY(A302,14)</f>
        <v>1</v>
      </c>
      <c r="E302">
        <f>VLOOKUP(D302,L$2:M$8,2,FALSE)</f>
        <v>0</v>
      </c>
      <c r="F302">
        <f t="shared" si="12"/>
        <v>1</v>
      </c>
      <c r="G302">
        <f>IF(F302&gt;F301,G301+B302*E302,B302*E302)</f>
        <v>0</v>
      </c>
      <c r="H302">
        <f t="shared" si="13"/>
        <v>0</v>
      </c>
      <c r="I302">
        <f t="shared" si="14"/>
        <v>5.6340279999999998</v>
      </c>
    </row>
    <row r="303" spans="1:9">
      <c r="A303" s="1">
        <v>39157</v>
      </c>
      <c r="B303">
        <v>5.6711600000000004</v>
      </c>
      <c r="C303">
        <v>6.01</v>
      </c>
      <c r="D303">
        <f>WEEKDAY(A303,14)</f>
        <v>2</v>
      </c>
      <c r="E303">
        <f>VLOOKUP(D303,L$2:M$8,2,FALSE)</f>
        <v>0</v>
      </c>
      <c r="F303">
        <f t="shared" si="12"/>
        <v>2</v>
      </c>
      <c r="G303">
        <f>IF(F303&gt;F302,G302+B303*E303,B303*E303)</f>
        <v>0</v>
      </c>
      <c r="H303">
        <f t="shared" si="13"/>
        <v>0</v>
      </c>
      <c r="I303">
        <f t="shared" si="14"/>
        <v>0</v>
      </c>
    </row>
    <row r="304" spans="1:9">
      <c r="A304" s="1">
        <v>39160</v>
      </c>
      <c r="B304">
        <v>5.6853199999999999</v>
      </c>
      <c r="C304">
        <v>6.01</v>
      </c>
      <c r="D304">
        <f>WEEKDAY(A304,14)</f>
        <v>5</v>
      </c>
      <c r="E304">
        <f>VLOOKUP(D304,L$2:M$8,2,FALSE)</f>
        <v>0.05</v>
      </c>
      <c r="F304">
        <f t="shared" si="12"/>
        <v>3</v>
      </c>
      <c r="G304">
        <f>IF(F304&gt;F303,G303+B304*E304,B304*E304)</f>
        <v>0.28426600000000002</v>
      </c>
      <c r="H304">
        <f t="shared" si="13"/>
        <v>0.05</v>
      </c>
      <c r="I304">
        <f t="shared" si="14"/>
        <v>0</v>
      </c>
    </row>
    <row r="305" spans="1:9">
      <c r="A305" s="1">
        <v>39161</v>
      </c>
      <c r="B305">
        <v>5.6575800000000003</v>
      </c>
      <c r="C305">
        <v>6.01</v>
      </c>
      <c r="D305">
        <f>WEEKDAY(A305,14)</f>
        <v>6</v>
      </c>
      <c r="E305">
        <f>VLOOKUP(D305,L$2:M$8,2,FALSE)</f>
        <v>0.7</v>
      </c>
      <c r="F305">
        <f t="shared" si="12"/>
        <v>4</v>
      </c>
      <c r="G305">
        <f>IF(F305&gt;F304,G304+B305*E305,B305*E305)</f>
        <v>4.2445719999999998</v>
      </c>
      <c r="H305">
        <f t="shared" si="13"/>
        <v>0.75</v>
      </c>
      <c r="I305">
        <f t="shared" si="14"/>
        <v>0</v>
      </c>
    </row>
    <row r="306" spans="1:9">
      <c r="A306" s="1">
        <v>39162</v>
      </c>
      <c r="B306">
        <v>5.6112799999999998</v>
      </c>
      <c r="C306">
        <v>6.01</v>
      </c>
      <c r="D306">
        <f>WEEKDAY(A306,14)</f>
        <v>7</v>
      </c>
      <c r="E306">
        <f>VLOOKUP(D306,L$2:M$8,2,FALSE)</f>
        <v>0.25</v>
      </c>
      <c r="F306">
        <f t="shared" si="12"/>
        <v>5</v>
      </c>
      <c r="G306">
        <f>IF(F306&gt;F305,G305+B306*E306,B306*E306)</f>
        <v>5.647392</v>
      </c>
      <c r="H306">
        <f t="shared" si="13"/>
        <v>1</v>
      </c>
      <c r="I306">
        <f t="shared" si="14"/>
        <v>0</v>
      </c>
    </row>
    <row r="307" spans="1:9">
      <c r="A307" s="1">
        <v>39163</v>
      </c>
      <c r="B307">
        <v>5.6721599999999999</v>
      </c>
      <c r="C307">
        <v>6.01</v>
      </c>
      <c r="D307">
        <f>WEEKDAY(A307,14)</f>
        <v>1</v>
      </c>
      <c r="E307">
        <f>VLOOKUP(D307,L$2:M$8,2,FALSE)</f>
        <v>0</v>
      </c>
      <c r="F307">
        <f t="shared" si="12"/>
        <v>1</v>
      </c>
      <c r="G307">
        <f>IF(F307&gt;F306,G306+B307*E307,B307*E307)</f>
        <v>0</v>
      </c>
      <c r="H307">
        <f t="shared" si="13"/>
        <v>0</v>
      </c>
      <c r="I307">
        <f t="shared" si="14"/>
        <v>5.647392</v>
      </c>
    </row>
    <row r="308" spans="1:9">
      <c r="A308" s="1">
        <v>39164</v>
      </c>
      <c r="B308">
        <v>5.7079199999999997</v>
      </c>
      <c r="C308">
        <v>6.01</v>
      </c>
      <c r="D308">
        <f>WEEKDAY(A308,14)</f>
        <v>2</v>
      </c>
      <c r="E308">
        <f>VLOOKUP(D308,L$2:M$8,2,FALSE)</f>
        <v>0</v>
      </c>
      <c r="F308">
        <f t="shared" si="12"/>
        <v>2</v>
      </c>
      <c r="G308">
        <f>IF(F308&gt;F307,G307+B308*E308,B308*E308)</f>
        <v>0</v>
      </c>
      <c r="H308">
        <f t="shared" si="13"/>
        <v>0</v>
      </c>
      <c r="I308">
        <f t="shared" si="14"/>
        <v>0</v>
      </c>
    </row>
    <row r="309" spans="1:9">
      <c r="A309" s="1">
        <v>39167</v>
      </c>
      <c r="B309">
        <v>5.69346</v>
      </c>
      <c r="C309">
        <v>6.01</v>
      </c>
      <c r="D309">
        <f>WEEKDAY(A309,14)</f>
        <v>5</v>
      </c>
      <c r="E309">
        <f>VLOOKUP(D309,L$2:M$8,2,FALSE)</f>
        <v>0.05</v>
      </c>
      <c r="F309">
        <f t="shared" si="12"/>
        <v>3</v>
      </c>
      <c r="G309">
        <f>IF(F309&gt;F308,G308+B309*E309,B309*E309)</f>
        <v>0.28467300000000001</v>
      </c>
      <c r="H309">
        <f t="shared" si="13"/>
        <v>0.05</v>
      </c>
      <c r="I309">
        <f t="shared" si="14"/>
        <v>0</v>
      </c>
    </row>
    <row r="310" spans="1:9">
      <c r="A310" s="1">
        <v>39168</v>
      </c>
      <c r="B310">
        <v>5.7202299999999999</v>
      </c>
      <c r="C310">
        <v>6.01</v>
      </c>
      <c r="D310">
        <f>WEEKDAY(A310,14)</f>
        <v>6</v>
      </c>
      <c r="E310">
        <f>VLOOKUP(D310,L$2:M$8,2,FALSE)</f>
        <v>0.7</v>
      </c>
      <c r="F310">
        <f t="shared" si="12"/>
        <v>4</v>
      </c>
      <c r="G310">
        <f>IF(F310&gt;F309,G309+B310*E310,B310*E310)</f>
        <v>4.2888339999999996</v>
      </c>
      <c r="H310">
        <f t="shared" si="13"/>
        <v>0.75</v>
      </c>
      <c r="I310">
        <f t="shared" si="14"/>
        <v>0</v>
      </c>
    </row>
    <row r="311" spans="1:9">
      <c r="A311" s="1">
        <v>39169</v>
      </c>
      <c r="B311">
        <v>5.7347900000000003</v>
      </c>
      <c r="C311">
        <v>6.01</v>
      </c>
      <c r="D311">
        <f>WEEKDAY(A311,14)</f>
        <v>7</v>
      </c>
      <c r="E311">
        <f>VLOOKUP(D311,L$2:M$8,2,FALSE)</f>
        <v>0.25</v>
      </c>
      <c r="F311">
        <f t="shared" si="12"/>
        <v>5</v>
      </c>
      <c r="G311">
        <f>IF(F311&gt;F310,G310+B311*E311,B311*E311)</f>
        <v>5.7225314999999997</v>
      </c>
      <c r="H311">
        <f t="shared" si="13"/>
        <v>1</v>
      </c>
      <c r="I311">
        <f t="shared" si="14"/>
        <v>0</v>
      </c>
    </row>
    <row r="312" spans="1:9">
      <c r="A312" s="1">
        <v>39170</v>
      </c>
      <c r="B312">
        <v>5.7461099999999998</v>
      </c>
      <c r="C312">
        <v>6.02</v>
      </c>
      <c r="D312">
        <f>WEEKDAY(A312,14)</f>
        <v>1</v>
      </c>
      <c r="E312">
        <f>VLOOKUP(D312,L$2:M$8,2,FALSE)</f>
        <v>0</v>
      </c>
      <c r="F312">
        <f t="shared" si="12"/>
        <v>1</v>
      </c>
      <c r="G312">
        <f>IF(F312&gt;F311,G311+B312*E312,B312*E312)</f>
        <v>0</v>
      </c>
      <c r="H312">
        <f t="shared" si="13"/>
        <v>0</v>
      </c>
      <c r="I312">
        <f t="shared" si="14"/>
        <v>5.7225314999999997</v>
      </c>
    </row>
    <row r="313" spans="1:9">
      <c r="A313" s="1">
        <v>39171</v>
      </c>
      <c r="B313">
        <v>5.7615100000000004</v>
      </c>
      <c r="C313">
        <v>6.02</v>
      </c>
      <c r="D313">
        <f>WEEKDAY(A313,14)</f>
        <v>2</v>
      </c>
      <c r="E313">
        <f>VLOOKUP(D313,L$2:M$8,2,FALSE)</f>
        <v>0</v>
      </c>
      <c r="F313">
        <f t="shared" si="12"/>
        <v>2</v>
      </c>
      <c r="G313">
        <f>IF(F313&gt;F312,G312+B313*E313,B313*E313)</f>
        <v>0</v>
      </c>
      <c r="H313">
        <f t="shared" si="13"/>
        <v>0</v>
      </c>
      <c r="I313">
        <f t="shared" si="14"/>
        <v>0</v>
      </c>
    </row>
    <row r="314" spans="1:9">
      <c r="A314" s="1">
        <v>39174</v>
      </c>
      <c r="B314">
        <v>5.7550400000000002</v>
      </c>
      <c r="C314">
        <v>6.02</v>
      </c>
      <c r="D314">
        <f>WEEKDAY(A314,14)</f>
        <v>5</v>
      </c>
      <c r="E314">
        <f>VLOOKUP(D314,L$2:M$8,2,FALSE)</f>
        <v>0.05</v>
      </c>
      <c r="F314">
        <f t="shared" si="12"/>
        <v>3</v>
      </c>
      <c r="G314">
        <f>IF(F314&gt;F313,G313+B314*E314,B314*E314)</f>
        <v>0.28775200000000001</v>
      </c>
      <c r="H314">
        <f t="shared" si="13"/>
        <v>0.05</v>
      </c>
      <c r="I314">
        <f t="shared" si="14"/>
        <v>0</v>
      </c>
    </row>
    <row r="315" spans="1:9">
      <c r="A315" s="1">
        <v>39175</v>
      </c>
      <c r="B315">
        <v>5.76023</v>
      </c>
      <c r="C315">
        <v>6.02</v>
      </c>
      <c r="D315">
        <f>WEEKDAY(A315,14)</f>
        <v>6</v>
      </c>
      <c r="E315">
        <f>VLOOKUP(D315,L$2:M$8,2,FALSE)</f>
        <v>0.7</v>
      </c>
      <c r="F315">
        <f t="shared" si="12"/>
        <v>4</v>
      </c>
      <c r="G315">
        <f>IF(F315&gt;F314,G314+B315*E315,B315*E315)</f>
        <v>4.3199129999999997</v>
      </c>
      <c r="H315">
        <f t="shared" si="13"/>
        <v>0.75</v>
      </c>
      <c r="I315">
        <f t="shared" si="14"/>
        <v>0</v>
      </c>
    </row>
    <row r="316" spans="1:9">
      <c r="A316" s="1">
        <v>39176</v>
      </c>
      <c r="B316">
        <v>5.7556200000000004</v>
      </c>
      <c r="C316">
        <v>6.02</v>
      </c>
      <c r="D316">
        <f>WEEKDAY(A316,14)</f>
        <v>7</v>
      </c>
      <c r="E316">
        <f>VLOOKUP(D316,L$2:M$8,2,FALSE)</f>
        <v>0.25</v>
      </c>
      <c r="F316">
        <f t="shared" si="12"/>
        <v>5</v>
      </c>
      <c r="G316">
        <f>IF(F316&gt;F315,G315+B316*E316,B316*E316)</f>
        <v>5.7588179999999998</v>
      </c>
      <c r="H316">
        <f t="shared" si="13"/>
        <v>1</v>
      </c>
      <c r="I316">
        <f t="shared" si="14"/>
        <v>0</v>
      </c>
    </row>
    <row r="317" spans="1:9">
      <c r="A317" s="1">
        <v>39177</v>
      </c>
      <c r="B317">
        <v>5.7698499999999999</v>
      </c>
      <c r="C317">
        <v>6.07</v>
      </c>
      <c r="D317">
        <f>WEEKDAY(A317,14)</f>
        <v>1</v>
      </c>
      <c r="E317">
        <f>VLOOKUP(D317,L$2:M$8,2,FALSE)</f>
        <v>0</v>
      </c>
      <c r="F317">
        <f t="shared" si="12"/>
        <v>1</v>
      </c>
      <c r="G317">
        <f>IF(F317&gt;F316,G316+B317*E317,B317*E317)</f>
        <v>0</v>
      </c>
      <c r="H317">
        <f t="shared" si="13"/>
        <v>0</v>
      </c>
      <c r="I317">
        <f t="shared" si="14"/>
        <v>5.7588179999999998</v>
      </c>
    </row>
    <row r="318" spans="1:9">
      <c r="A318" s="1">
        <v>39181</v>
      </c>
      <c r="B318">
        <v>5.8338900000000002</v>
      </c>
      <c r="C318">
        <v>6.07</v>
      </c>
      <c r="D318">
        <f>WEEKDAY(A318,14)</f>
        <v>5</v>
      </c>
      <c r="E318">
        <f>VLOOKUP(D318,L$2:M$8,2,FALSE)</f>
        <v>0.05</v>
      </c>
      <c r="F318">
        <f t="shared" si="12"/>
        <v>2</v>
      </c>
      <c r="G318">
        <f>IF(F318&gt;F317,G317+B318*E318,B318*E318)</f>
        <v>0.29169450000000002</v>
      </c>
      <c r="H318">
        <f t="shared" si="13"/>
        <v>0.05</v>
      </c>
      <c r="I318">
        <f t="shared" si="14"/>
        <v>0</v>
      </c>
    </row>
    <row r="319" spans="1:9">
      <c r="A319" s="1">
        <v>39182</v>
      </c>
      <c r="B319">
        <v>5.8159999999999998</v>
      </c>
      <c r="C319">
        <v>6.07</v>
      </c>
      <c r="D319">
        <f>WEEKDAY(A319,14)</f>
        <v>6</v>
      </c>
      <c r="E319">
        <f>VLOOKUP(D319,L$2:M$8,2,FALSE)</f>
        <v>0.7</v>
      </c>
      <c r="F319">
        <f t="shared" si="12"/>
        <v>3</v>
      </c>
      <c r="G319">
        <f>IF(F319&gt;F318,G318+B319*E319,B319*E319)</f>
        <v>4.3628944999999995</v>
      </c>
      <c r="H319">
        <f t="shared" si="13"/>
        <v>0.75</v>
      </c>
      <c r="I319">
        <f t="shared" si="14"/>
        <v>0</v>
      </c>
    </row>
    <row r="320" spans="1:9">
      <c r="A320" s="1">
        <v>39183</v>
      </c>
      <c r="B320">
        <v>5.8286699999999998</v>
      </c>
      <c r="C320">
        <v>6.07</v>
      </c>
      <c r="D320">
        <f>WEEKDAY(A320,14)</f>
        <v>7</v>
      </c>
      <c r="E320">
        <f>VLOOKUP(D320,L$2:M$8,2,FALSE)</f>
        <v>0.25</v>
      </c>
      <c r="F320">
        <f t="shared" si="12"/>
        <v>4</v>
      </c>
      <c r="G320">
        <f>IF(F320&gt;F319,G319+B320*E320,B320*E320)</f>
        <v>5.8200619999999992</v>
      </c>
      <c r="H320">
        <f t="shared" si="13"/>
        <v>1</v>
      </c>
      <c r="I320">
        <f t="shared" si="14"/>
        <v>0</v>
      </c>
    </row>
    <row r="321" spans="1:9">
      <c r="A321" s="1">
        <v>39184</v>
      </c>
      <c r="B321">
        <v>5.8340399999999999</v>
      </c>
      <c r="C321">
        <v>6.0449999999999999</v>
      </c>
      <c r="D321">
        <f>WEEKDAY(A321,14)</f>
        <v>1</v>
      </c>
      <c r="E321">
        <f>VLOOKUP(D321,L$2:M$8,2,FALSE)</f>
        <v>0</v>
      </c>
      <c r="F321">
        <f t="shared" si="12"/>
        <v>1</v>
      </c>
      <c r="G321">
        <f>IF(F321&gt;F320,G320+B321*E321,B321*E321)</f>
        <v>0</v>
      </c>
      <c r="H321">
        <f t="shared" si="13"/>
        <v>0</v>
      </c>
      <c r="I321">
        <f t="shared" si="14"/>
        <v>5.8200619999999992</v>
      </c>
    </row>
    <row r="322" spans="1:9">
      <c r="A322" s="1">
        <v>39185</v>
      </c>
      <c r="B322">
        <v>5.8542800000000002</v>
      </c>
      <c r="C322">
        <v>6.0449999999999999</v>
      </c>
      <c r="D322">
        <f>WEEKDAY(A322,14)</f>
        <v>2</v>
      </c>
      <c r="E322">
        <f>VLOOKUP(D322,L$2:M$8,2,FALSE)</f>
        <v>0</v>
      </c>
      <c r="F322">
        <f t="shared" si="12"/>
        <v>2</v>
      </c>
      <c r="G322">
        <f>IF(F322&gt;F321,G321+B322*E322,B322*E322)</f>
        <v>0</v>
      </c>
      <c r="H322">
        <f t="shared" si="13"/>
        <v>0</v>
      </c>
      <c r="I322">
        <f t="shared" si="14"/>
        <v>0</v>
      </c>
    </row>
    <row r="323" spans="1:9">
      <c r="A323" s="1">
        <v>39188</v>
      </c>
      <c r="B323">
        <v>5.8369799999999996</v>
      </c>
      <c r="C323">
        <v>6.0449999999999999</v>
      </c>
      <c r="D323">
        <f>WEEKDAY(A323,14)</f>
        <v>5</v>
      </c>
      <c r="E323">
        <f>VLOOKUP(D323,L$2:M$8,2,FALSE)</f>
        <v>0.05</v>
      </c>
      <c r="F323">
        <f t="shared" ref="F323:F386" si="15">IF(AND(D323&gt;D322,F322&lt;6),F322+1,1)</f>
        <v>3</v>
      </c>
      <c r="G323">
        <f>IF(F323&gt;F322,G322+B323*E323,B323*E323)</f>
        <v>0.29184899999999997</v>
      </c>
      <c r="H323">
        <f t="shared" si="13"/>
        <v>0.05</v>
      </c>
      <c r="I323">
        <f t="shared" si="14"/>
        <v>0</v>
      </c>
    </row>
    <row r="324" spans="1:9">
      <c r="A324" s="1">
        <v>39189</v>
      </c>
      <c r="B324">
        <v>5.7923900000000001</v>
      </c>
      <c r="C324">
        <v>6.0449999999999999</v>
      </c>
      <c r="D324">
        <f>WEEKDAY(A324,14)</f>
        <v>6</v>
      </c>
      <c r="E324">
        <f>VLOOKUP(D324,L$2:M$8,2,FALSE)</f>
        <v>0.7</v>
      </c>
      <c r="F324">
        <f t="shared" si="15"/>
        <v>4</v>
      </c>
      <c r="G324">
        <f>IF(F324&gt;F323,G323+B324*E324,B324*E324)</f>
        <v>4.3465220000000002</v>
      </c>
      <c r="H324">
        <f t="shared" ref="H324:H387" si="16">IF(AND(F324&lt;6,F324&gt;F323),E324+H323,E324)</f>
        <v>0.75</v>
      </c>
      <c r="I324">
        <f t="shared" ref="I324:I387" si="17">IF(F323&gt;F324,G323/H323,0)</f>
        <v>0</v>
      </c>
    </row>
    <row r="325" spans="1:9">
      <c r="A325" s="1">
        <v>39190</v>
      </c>
      <c r="B325">
        <v>5.7615499999999997</v>
      </c>
      <c r="C325">
        <v>6.0449999999999999</v>
      </c>
      <c r="D325">
        <f>WEEKDAY(A325,14)</f>
        <v>7</v>
      </c>
      <c r="E325">
        <f>VLOOKUP(D325,L$2:M$8,2,FALSE)</f>
        <v>0.25</v>
      </c>
      <c r="F325">
        <f t="shared" si="15"/>
        <v>5</v>
      </c>
      <c r="G325">
        <f>IF(F325&gt;F324,G324+B325*E325,B325*E325)</f>
        <v>5.7869095000000002</v>
      </c>
      <c r="H325">
        <f t="shared" si="16"/>
        <v>1</v>
      </c>
      <c r="I325">
        <f t="shared" si="17"/>
        <v>0</v>
      </c>
    </row>
    <row r="326" spans="1:9">
      <c r="A326" s="1">
        <v>39191</v>
      </c>
      <c r="B326">
        <v>5.7670000000000003</v>
      </c>
      <c r="C326">
        <v>6.0350000000000001</v>
      </c>
      <c r="D326">
        <f>WEEKDAY(A326,14)</f>
        <v>1</v>
      </c>
      <c r="E326">
        <f>VLOOKUP(D326,L$2:M$8,2,FALSE)</f>
        <v>0</v>
      </c>
      <c r="F326">
        <f t="shared" si="15"/>
        <v>1</v>
      </c>
      <c r="G326">
        <f>IF(F326&gt;F325,G325+B326*E326,B326*E326)</f>
        <v>0</v>
      </c>
      <c r="H326">
        <f t="shared" si="16"/>
        <v>0</v>
      </c>
      <c r="I326">
        <f t="shared" si="17"/>
        <v>5.7869095000000002</v>
      </c>
    </row>
    <row r="327" spans="1:9">
      <c r="A327" s="1">
        <v>39192</v>
      </c>
      <c r="B327">
        <v>5.7794699999999999</v>
      </c>
      <c r="C327">
        <v>6.0350000000000001</v>
      </c>
      <c r="D327">
        <f>WEEKDAY(A327,14)</f>
        <v>2</v>
      </c>
      <c r="E327">
        <f>VLOOKUP(D327,L$2:M$8,2,FALSE)</f>
        <v>0</v>
      </c>
      <c r="F327">
        <f t="shared" si="15"/>
        <v>2</v>
      </c>
      <c r="G327">
        <f>IF(F327&gt;F326,G326+B327*E327,B327*E327)</f>
        <v>0</v>
      </c>
      <c r="H327">
        <f t="shared" si="16"/>
        <v>0</v>
      </c>
      <c r="I327">
        <f t="shared" si="17"/>
        <v>0</v>
      </c>
    </row>
    <row r="328" spans="1:9">
      <c r="A328" s="1">
        <v>39195</v>
      </c>
      <c r="B328">
        <v>5.7636099999999999</v>
      </c>
      <c r="C328">
        <v>6.0350000000000001</v>
      </c>
      <c r="D328">
        <f>WEEKDAY(A328,14)</f>
        <v>5</v>
      </c>
      <c r="E328">
        <f>VLOOKUP(D328,L$2:M$8,2,FALSE)</f>
        <v>0.05</v>
      </c>
      <c r="F328">
        <f t="shared" si="15"/>
        <v>3</v>
      </c>
      <c r="G328">
        <f>IF(F328&gt;F327,G327+B328*E328,B328*E328)</f>
        <v>0.28818050000000001</v>
      </c>
      <c r="H328">
        <f t="shared" si="16"/>
        <v>0.05</v>
      </c>
      <c r="I328">
        <f t="shared" si="17"/>
        <v>0</v>
      </c>
    </row>
    <row r="329" spans="1:9">
      <c r="A329" s="1">
        <v>39196</v>
      </c>
      <c r="B329">
        <v>5.7367499999999998</v>
      </c>
      <c r="C329">
        <v>6.0350000000000001</v>
      </c>
      <c r="D329">
        <f>WEEKDAY(A329,14)</f>
        <v>6</v>
      </c>
      <c r="E329">
        <f>VLOOKUP(D329,L$2:M$8,2,FALSE)</f>
        <v>0.7</v>
      </c>
      <c r="F329">
        <f t="shared" si="15"/>
        <v>4</v>
      </c>
      <c r="G329">
        <f>IF(F329&gt;F328,G328+B329*E329,B329*E329)</f>
        <v>4.3039054999999999</v>
      </c>
      <c r="H329">
        <f t="shared" si="16"/>
        <v>0.75</v>
      </c>
      <c r="I329">
        <f t="shared" si="17"/>
        <v>0</v>
      </c>
    </row>
    <row r="330" spans="1:9">
      <c r="A330" s="1">
        <v>39197</v>
      </c>
      <c r="B330">
        <v>5.7622299999999997</v>
      </c>
      <c r="C330">
        <v>6.0350000000000001</v>
      </c>
      <c r="D330">
        <f>WEEKDAY(A330,14)</f>
        <v>7</v>
      </c>
      <c r="E330">
        <f>VLOOKUP(D330,L$2:M$8,2,FALSE)</f>
        <v>0.25</v>
      </c>
      <c r="F330">
        <f t="shared" si="15"/>
        <v>5</v>
      </c>
      <c r="G330">
        <f>IF(F330&gt;F329,G329+B330*E330,B330*E330)</f>
        <v>5.7444629999999997</v>
      </c>
      <c r="H330">
        <f t="shared" si="16"/>
        <v>1</v>
      </c>
      <c r="I330">
        <f t="shared" si="17"/>
        <v>0</v>
      </c>
    </row>
    <row r="331" spans="1:9">
      <c r="A331" s="1">
        <v>39198</v>
      </c>
      <c r="B331">
        <v>5.8034600000000003</v>
      </c>
      <c r="C331">
        <v>6.0350000000000001</v>
      </c>
      <c r="D331">
        <f>WEEKDAY(A331,14)</f>
        <v>1</v>
      </c>
      <c r="E331">
        <f>VLOOKUP(D331,L$2:M$8,2,FALSE)</f>
        <v>0</v>
      </c>
      <c r="F331">
        <f t="shared" si="15"/>
        <v>1</v>
      </c>
      <c r="G331">
        <f>IF(F331&gt;F330,G330+B331*E331,B331*E331)</f>
        <v>0</v>
      </c>
      <c r="H331">
        <f t="shared" si="16"/>
        <v>0</v>
      </c>
      <c r="I331">
        <f t="shared" si="17"/>
        <v>5.7444629999999997</v>
      </c>
    </row>
    <row r="332" spans="1:9">
      <c r="A332" s="1">
        <v>39199</v>
      </c>
      <c r="B332">
        <v>5.8201099999999997</v>
      </c>
      <c r="C332">
        <v>6.0350000000000001</v>
      </c>
      <c r="D332">
        <f>WEEKDAY(A332,14)</f>
        <v>2</v>
      </c>
      <c r="E332">
        <f>VLOOKUP(D332,L$2:M$8,2,FALSE)</f>
        <v>0</v>
      </c>
      <c r="F332">
        <f t="shared" si="15"/>
        <v>2</v>
      </c>
      <c r="G332">
        <f>IF(F332&gt;F331,G331+B332*E332,B332*E332)</f>
        <v>0</v>
      </c>
      <c r="H332">
        <f t="shared" si="16"/>
        <v>0</v>
      </c>
      <c r="I332">
        <f t="shared" si="17"/>
        <v>0</v>
      </c>
    </row>
    <row r="333" spans="1:9">
      <c r="A333" s="1">
        <v>39202</v>
      </c>
      <c r="B333">
        <v>5.7690000000000001</v>
      </c>
      <c r="C333">
        <v>6.0350000000000001</v>
      </c>
      <c r="D333">
        <f>WEEKDAY(A333,14)</f>
        <v>5</v>
      </c>
      <c r="E333">
        <f>VLOOKUP(D333,L$2:M$8,2,FALSE)</f>
        <v>0.05</v>
      </c>
      <c r="F333">
        <f t="shared" si="15"/>
        <v>3</v>
      </c>
      <c r="G333">
        <f>IF(F333&gt;F332,G332+B333*E333,B333*E333)</f>
        <v>0.28845000000000004</v>
      </c>
      <c r="H333">
        <f t="shared" si="16"/>
        <v>0.05</v>
      </c>
      <c r="I333">
        <f t="shared" si="17"/>
        <v>0</v>
      </c>
    </row>
    <row r="334" spans="1:9">
      <c r="A334" s="1">
        <v>39203</v>
      </c>
      <c r="B334">
        <v>5.7801299999999998</v>
      </c>
      <c r="C334">
        <v>6.0350000000000001</v>
      </c>
      <c r="D334">
        <f>WEEKDAY(A334,14)</f>
        <v>6</v>
      </c>
      <c r="E334">
        <f>VLOOKUP(D334,L$2:M$8,2,FALSE)</f>
        <v>0.7</v>
      </c>
      <c r="F334">
        <f t="shared" si="15"/>
        <v>4</v>
      </c>
      <c r="G334">
        <f>IF(F334&gt;F333,G333+B334*E334,B334*E334)</f>
        <v>4.3345409999999998</v>
      </c>
      <c r="H334">
        <f t="shared" si="16"/>
        <v>0.75</v>
      </c>
      <c r="I334">
        <f t="shared" si="17"/>
        <v>0</v>
      </c>
    </row>
    <row r="335" spans="1:9">
      <c r="A335" s="1">
        <v>39204</v>
      </c>
      <c r="B335">
        <v>5.7779100000000003</v>
      </c>
      <c r="C335">
        <v>6.0350000000000001</v>
      </c>
      <c r="D335">
        <f>WEEKDAY(A335,14)</f>
        <v>7</v>
      </c>
      <c r="E335">
        <f>VLOOKUP(D335,L$2:M$8,2,FALSE)</f>
        <v>0.25</v>
      </c>
      <c r="F335">
        <f t="shared" si="15"/>
        <v>5</v>
      </c>
      <c r="G335">
        <f>IF(F335&gt;F334,G334+B335*E335,B335*E335)</f>
        <v>5.7790184999999994</v>
      </c>
      <c r="H335">
        <f t="shared" si="16"/>
        <v>1</v>
      </c>
      <c r="I335">
        <f t="shared" si="17"/>
        <v>0</v>
      </c>
    </row>
    <row r="336" spans="1:9">
      <c r="A336" s="1">
        <v>39205</v>
      </c>
      <c r="B336">
        <v>5.8079900000000002</v>
      </c>
      <c r="C336">
        <v>6.0250000000000004</v>
      </c>
      <c r="D336">
        <f>WEEKDAY(A336,14)</f>
        <v>1</v>
      </c>
      <c r="E336">
        <f>VLOOKUP(D336,L$2:M$8,2,FALSE)</f>
        <v>0</v>
      </c>
      <c r="F336">
        <f t="shared" si="15"/>
        <v>1</v>
      </c>
      <c r="G336">
        <f>IF(F336&gt;F335,G335+B336*E336,B336*E336)</f>
        <v>0</v>
      </c>
      <c r="H336">
        <f t="shared" si="16"/>
        <v>0</v>
      </c>
      <c r="I336">
        <f t="shared" si="17"/>
        <v>5.7790184999999994</v>
      </c>
    </row>
    <row r="337" spans="1:9">
      <c r="A337" s="1">
        <v>39206</v>
      </c>
      <c r="B337">
        <v>5.7703300000000004</v>
      </c>
      <c r="C337">
        <v>6.0250000000000004</v>
      </c>
      <c r="D337">
        <f>WEEKDAY(A337,14)</f>
        <v>2</v>
      </c>
      <c r="E337">
        <f>VLOOKUP(D337,L$2:M$8,2,FALSE)</f>
        <v>0</v>
      </c>
      <c r="F337">
        <f t="shared" si="15"/>
        <v>2</v>
      </c>
      <c r="G337">
        <f>IF(F337&gt;F336,G336+B337*E337,B337*E337)</f>
        <v>0</v>
      </c>
      <c r="H337">
        <f t="shared" si="16"/>
        <v>0</v>
      </c>
      <c r="I337">
        <f t="shared" si="17"/>
        <v>0</v>
      </c>
    </row>
    <row r="338" spans="1:9">
      <c r="A338" s="1">
        <v>39209</v>
      </c>
      <c r="B338">
        <v>5.7632399999999997</v>
      </c>
      <c r="C338">
        <v>6.0250000000000004</v>
      </c>
      <c r="D338">
        <f>WEEKDAY(A338,14)</f>
        <v>5</v>
      </c>
      <c r="E338">
        <f>VLOOKUP(D338,L$2:M$8,2,FALSE)</f>
        <v>0.05</v>
      </c>
      <c r="F338">
        <f t="shared" si="15"/>
        <v>3</v>
      </c>
      <c r="G338">
        <f>IF(F338&gt;F337,G337+B338*E338,B338*E338)</f>
        <v>0.28816199999999997</v>
      </c>
      <c r="H338">
        <f t="shared" si="16"/>
        <v>0.05</v>
      </c>
      <c r="I338">
        <f t="shared" si="17"/>
        <v>0</v>
      </c>
    </row>
    <row r="339" spans="1:9">
      <c r="A339" s="1">
        <v>39210</v>
      </c>
      <c r="B339">
        <v>5.7647700000000004</v>
      </c>
      <c r="C339">
        <v>6.0250000000000004</v>
      </c>
      <c r="D339">
        <f>WEEKDAY(A339,14)</f>
        <v>6</v>
      </c>
      <c r="E339">
        <f>VLOOKUP(D339,L$2:M$8,2,FALSE)</f>
        <v>0.7</v>
      </c>
      <c r="F339">
        <f t="shared" si="15"/>
        <v>4</v>
      </c>
      <c r="G339">
        <f>IF(F339&gt;F338,G338+B339*E339,B339*E339)</f>
        <v>4.3235010000000003</v>
      </c>
      <c r="H339">
        <f t="shared" si="16"/>
        <v>0.75</v>
      </c>
      <c r="I339">
        <f t="shared" si="17"/>
        <v>0</v>
      </c>
    </row>
    <row r="340" spans="1:9">
      <c r="A340" s="1">
        <v>39211</v>
      </c>
      <c r="B340">
        <v>5.7979700000000003</v>
      </c>
      <c r="C340">
        <v>6.0250000000000004</v>
      </c>
      <c r="D340">
        <f>WEEKDAY(A340,14)</f>
        <v>7</v>
      </c>
      <c r="E340">
        <f>VLOOKUP(D340,L$2:M$8,2,FALSE)</f>
        <v>0.25</v>
      </c>
      <c r="F340">
        <f t="shared" si="15"/>
        <v>5</v>
      </c>
      <c r="G340">
        <f>IF(F340&gt;F339,G339+B340*E340,B340*E340)</f>
        <v>5.7729935000000001</v>
      </c>
      <c r="H340">
        <f t="shared" si="16"/>
        <v>1</v>
      </c>
      <c r="I340">
        <f t="shared" si="17"/>
        <v>0</v>
      </c>
    </row>
    <row r="341" spans="1:9">
      <c r="A341" s="1">
        <v>39212</v>
      </c>
      <c r="B341">
        <v>5.78653</v>
      </c>
      <c r="C341">
        <v>6.06</v>
      </c>
      <c r="D341">
        <f>WEEKDAY(A341,14)</f>
        <v>1</v>
      </c>
      <c r="E341">
        <f>VLOOKUP(D341,L$2:M$8,2,FALSE)</f>
        <v>0</v>
      </c>
      <c r="F341">
        <f t="shared" si="15"/>
        <v>1</v>
      </c>
      <c r="G341">
        <f>IF(F341&gt;F340,G340+B341*E341,B341*E341)</f>
        <v>0</v>
      </c>
      <c r="H341">
        <f t="shared" si="16"/>
        <v>0</v>
      </c>
      <c r="I341">
        <f t="shared" si="17"/>
        <v>5.7729935000000001</v>
      </c>
    </row>
    <row r="342" spans="1:9">
      <c r="A342" s="1">
        <v>39213</v>
      </c>
      <c r="B342">
        <v>5.8067599999999997</v>
      </c>
      <c r="C342">
        <v>6.06</v>
      </c>
      <c r="D342">
        <f>WEEKDAY(A342,14)</f>
        <v>2</v>
      </c>
      <c r="E342">
        <f>VLOOKUP(D342,L$2:M$8,2,FALSE)</f>
        <v>0</v>
      </c>
      <c r="F342">
        <f t="shared" si="15"/>
        <v>2</v>
      </c>
      <c r="G342">
        <f>IF(F342&gt;F341,G341+B342*E342,B342*E342)</f>
        <v>0</v>
      </c>
      <c r="H342">
        <f t="shared" si="16"/>
        <v>0</v>
      </c>
      <c r="I342">
        <f t="shared" si="17"/>
        <v>0</v>
      </c>
    </row>
    <row r="343" spans="1:9">
      <c r="A343" s="1">
        <v>39216</v>
      </c>
      <c r="B343">
        <v>5.8304200000000002</v>
      </c>
      <c r="C343">
        <v>6.06</v>
      </c>
      <c r="D343">
        <f>WEEKDAY(A343,14)</f>
        <v>5</v>
      </c>
      <c r="E343">
        <f>VLOOKUP(D343,L$2:M$8,2,FALSE)</f>
        <v>0.05</v>
      </c>
      <c r="F343">
        <f t="shared" si="15"/>
        <v>3</v>
      </c>
      <c r="G343">
        <f>IF(F343&gt;F342,G342+B343*E343,B343*E343)</f>
        <v>0.29152100000000003</v>
      </c>
      <c r="H343">
        <f t="shared" si="16"/>
        <v>0.05</v>
      </c>
      <c r="I343">
        <f t="shared" si="17"/>
        <v>0</v>
      </c>
    </row>
    <row r="344" spans="1:9">
      <c r="A344" s="1">
        <v>39217</v>
      </c>
      <c r="B344">
        <v>5.84727</v>
      </c>
      <c r="C344">
        <v>6.06</v>
      </c>
      <c r="D344">
        <f>WEEKDAY(A344,14)</f>
        <v>6</v>
      </c>
      <c r="E344">
        <f>VLOOKUP(D344,L$2:M$8,2,FALSE)</f>
        <v>0.7</v>
      </c>
      <c r="F344">
        <f t="shared" si="15"/>
        <v>4</v>
      </c>
      <c r="G344">
        <f>IF(F344&gt;F343,G343+B344*E344,B344*E344)</f>
        <v>4.3846100000000003</v>
      </c>
      <c r="H344">
        <f t="shared" si="16"/>
        <v>0.75</v>
      </c>
      <c r="I344">
        <f t="shared" si="17"/>
        <v>0</v>
      </c>
    </row>
    <row r="345" spans="1:9">
      <c r="A345" s="1">
        <v>39218</v>
      </c>
      <c r="B345">
        <v>5.8439100000000002</v>
      </c>
      <c r="C345">
        <v>6.06</v>
      </c>
      <c r="D345">
        <f>WEEKDAY(A345,14)</f>
        <v>7</v>
      </c>
      <c r="E345">
        <f>VLOOKUP(D345,L$2:M$8,2,FALSE)</f>
        <v>0.25</v>
      </c>
      <c r="F345">
        <f t="shared" si="15"/>
        <v>5</v>
      </c>
      <c r="G345">
        <f>IF(F345&gt;F344,G344+B345*E345,B345*E345)</f>
        <v>5.8455875000000006</v>
      </c>
      <c r="H345">
        <f t="shared" si="16"/>
        <v>1</v>
      </c>
      <c r="I345">
        <f t="shared" si="17"/>
        <v>0</v>
      </c>
    </row>
    <row r="346" spans="1:9">
      <c r="A346" s="1">
        <v>39219</v>
      </c>
      <c r="B346">
        <v>5.8856000000000002</v>
      </c>
      <c r="C346">
        <v>6.22</v>
      </c>
      <c r="D346">
        <f>WEEKDAY(A346,14)</f>
        <v>1</v>
      </c>
      <c r="E346">
        <f>VLOOKUP(D346,L$2:M$8,2,FALSE)</f>
        <v>0</v>
      </c>
      <c r="F346">
        <f t="shared" si="15"/>
        <v>1</v>
      </c>
      <c r="G346">
        <f>IF(F346&gt;F345,G345+B346*E346,B346*E346)</f>
        <v>0</v>
      </c>
      <c r="H346">
        <f t="shared" si="16"/>
        <v>0</v>
      </c>
      <c r="I346">
        <f t="shared" si="17"/>
        <v>5.8455875000000006</v>
      </c>
    </row>
    <row r="347" spans="1:9">
      <c r="A347" s="1">
        <v>39220</v>
      </c>
      <c r="B347">
        <v>5.9250699999999998</v>
      </c>
      <c r="C347">
        <v>6.22</v>
      </c>
      <c r="D347">
        <f>WEEKDAY(A347,14)</f>
        <v>2</v>
      </c>
      <c r="E347">
        <f>VLOOKUP(D347,L$2:M$8,2,FALSE)</f>
        <v>0</v>
      </c>
      <c r="F347">
        <f t="shared" si="15"/>
        <v>2</v>
      </c>
      <c r="G347">
        <f>IF(F347&gt;F346,G346+B347*E347,B347*E347)</f>
        <v>0</v>
      </c>
      <c r="H347">
        <f t="shared" si="16"/>
        <v>0</v>
      </c>
      <c r="I347">
        <f t="shared" si="17"/>
        <v>0</v>
      </c>
    </row>
    <row r="348" spans="1:9">
      <c r="A348" s="1">
        <v>39223</v>
      </c>
      <c r="B348">
        <v>5.9146700000000001</v>
      </c>
      <c r="C348">
        <v>6.22</v>
      </c>
      <c r="D348">
        <f>WEEKDAY(A348,14)</f>
        <v>5</v>
      </c>
      <c r="E348">
        <f>VLOOKUP(D348,L$2:M$8,2,FALSE)</f>
        <v>0.05</v>
      </c>
      <c r="F348">
        <f t="shared" si="15"/>
        <v>3</v>
      </c>
      <c r="G348">
        <f>IF(F348&gt;F347,G347+B348*E348,B348*E348)</f>
        <v>0.29573350000000004</v>
      </c>
      <c r="H348">
        <f t="shared" si="16"/>
        <v>0.05</v>
      </c>
      <c r="I348">
        <f t="shared" si="17"/>
        <v>0</v>
      </c>
    </row>
    <row r="349" spans="1:9">
      <c r="A349" s="1">
        <v>39224</v>
      </c>
      <c r="B349">
        <v>5.9490100000000004</v>
      </c>
      <c r="C349">
        <v>6.22</v>
      </c>
      <c r="D349">
        <f>WEEKDAY(A349,14)</f>
        <v>6</v>
      </c>
      <c r="E349">
        <f>VLOOKUP(D349,L$2:M$8,2,FALSE)</f>
        <v>0.7</v>
      </c>
      <c r="F349">
        <f t="shared" si="15"/>
        <v>4</v>
      </c>
      <c r="G349">
        <f>IF(F349&gt;F348,G348+B349*E349,B349*E349)</f>
        <v>4.4600404999999999</v>
      </c>
      <c r="H349">
        <f t="shared" si="16"/>
        <v>0.75</v>
      </c>
      <c r="I349">
        <f t="shared" si="17"/>
        <v>0</v>
      </c>
    </row>
    <row r="350" spans="1:9">
      <c r="A350" s="1">
        <v>39225</v>
      </c>
      <c r="B350">
        <v>5.9742899999999999</v>
      </c>
      <c r="C350">
        <v>6.22</v>
      </c>
      <c r="D350">
        <f>WEEKDAY(A350,14)</f>
        <v>7</v>
      </c>
      <c r="E350">
        <f>VLOOKUP(D350,L$2:M$8,2,FALSE)</f>
        <v>0.25</v>
      </c>
      <c r="F350">
        <f t="shared" si="15"/>
        <v>5</v>
      </c>
      <c r="G350">
        <f>IF(F350&gt;F349,G349+B350*E350,B350*E350)</f>
        <v>5.9536129999999998</v>
      </c>
      <c r="H350">
        <f t="shared" si="16"/>
        <v>1</v>
      </c>
      <c r="I350">
        <f t="shared" si="17"/>
        <v>0</v>
      </c>
    </row>
    <row r="351" spans="1:9">
      <c r="A351" s="1">
        <v>39226</v>
      </c>
      <c r="B351">
        <v>5.98156</v>
      </c>
      <c r="C351">
        <v>6.27</v>
      </c>
      <c r="D351">
        <f>WEEKDAY(A351,14)</f>
        <v>1</v>
      </c>
      <c r="E351">
        <f>VLOOKUP(D351,L$2:M$8,2,FALSE)</f>
        <v>0</v>
      </c>
      <c r="F351">
        <f t="shared" si="15"/>
        <v>1</v>
      </c>
      <c r="G351">
        <f>IF(F351&gt;F350,G350+B351*E351,B351*E351)</f>
        <v>0</v>
      </c>
      <c r="H351">
        <f t="shared" si="16"/>
        <v>0</v>
      </c>
      <c r="I351">
        <f t="shared" si="17"/>
        <v>5.9536129999999998</v>
      </c>
    </row>
    <row r="352" spans="1:9">
      <c r="A352" s="1">
        <v>39227</v>
      </c>
      <c r="B352">
        <v>5.9644300000000001</v>
      </c>
      <c r="C352">
        <v>6.27</v>
      </c>
      <c r="D352">
        <f>WEEKDAY(A352,14)</f>
        <v>2</v>
      </c>
      <c r="E352">
        <f>VLOOKUP(D352,L$2:M$8,2,FALSE)</f>
        <v>0</v>
      </c>
      <c r="F352">
        <f t="shared" si="15"/>
        <v>2</v>
      </c>
      <c r="G352">
        <f>IF(F352&gt;F351,G351+B352*E352,B352*E352)</f>
        <v>0</v>
      </c>
      <c r="H352">
        <f t="shared" si="16"/>
        <v>0</v>
      </c>
      <c r="I352">
        <f t="shared" si="17"/>
        <v>0</v>
      </c>
    </row>
    <row r="353" spans="1:9">
      <c r="A353" s="1">
        <v>39231</v>
      </c>
      <c r="B353">
        <v>5.9921899999999999</v>
      </c>
      <c r="C353">
        <v>6.27</v>
      </c>
      <c r="D353">
        <f>WEEKDAY(A353,14)</f>
        <v>6</v>
      </c>
      <c r="E353">
        <f>VLOOKUP(D353,L$2:M$8,2,FALSE)</f>
        <v>0.7</v>
      </c>
      <c r="F353">
        <f t="shared" si="15"/>
        <v>3</v>
      </c>
      <c r="G353">
        <f>IF(F353&gt;F352,G352+B353*E353,B353*E353)</f>
        <v>4.1945329999999998</v>
      </c>
      <c r="H353">
        <f t="shared" si="16"/>
        <v>0.7</v>
      </c>
      <c r="I353">
        <f t="shared" si="17"/>
        <v>0</v>
      </c>
    </row>
    <row r="354" spans="1:9">
      <c r="A354" s="1">
        <v>39232</v>
      </c>
      <c r="B354">
        <v>5.99207</v>
      </c>
      <c r="C354">
        <v>6.27</v>
      </c>
      <c r="D354">
        <f>WEEKDAY(A354,14)</f>
        <v>7</v>
      </c>
      <c r="E354">
        <f>VLOOKUP(D354,L$2:M$8,2,FALSE)</f>
        <v>0.25</v>
      </c>
      <c r="F354">
        <f t="shared" si="15"/>
        <v>4</v>
      </c>
      <c r="G354">
        <f>IF(F354&gt;F353,G353+B354*E354,B354*E354)</f>
        <v>5.6925504999999994</v>
      </c>
      <c r="H354">
        <f t="shared" si="16"/>
        <v>0.95</v>
      </c>
      <c r="I354">
        <f t="shared" si="17"/>
        <v>0</v>
      </c>
    </row>
    <row r="355" spans="1:9">
      <c r="A355" s="1">
        <v>39233</v>
      </c>
      <c r="B355">
        <v>6.0072700000000001</v>
      </c>
      <c r="C355">
        <v>6.38</v>
      </c>
      <c r="D355">
        <f>WEEKDAY(A355,14)</f>
        <v>1</v>
      </c>
      <c r="E355">
        <f>VLOOKUP(D355,L$2:M$8,2,FALSE)</f>
        <v>0</v>
      </c>
      <c r="F355">
        <f t="shared" si="15"/>
        <v>1</v>
      </c>
      <c r="G355">
        <f>IF(F355&gt;F354,G354+B355*E355,B355*E355)</f>
        <v>0</v>
      </c>
      <c r="H355">
        <f t="shared" si="16"/>
        <v>0</v>
      </c>
      <c r="I355">
        <f t="shared" si="17"/>
        <v>5.9921584210526309</v>
      </c>
    </row>
    <row r="356" spans="1:9">
      <c r="A356" s="1">
        <v>39234</v>
      </c>
      <c r="B356">
        <v>6.0737199999999998</v>
      </c>
      <c r="C356">
        <v>6.38</v>
      </c>
      <c r="D356">
        <f>WEEKDAY(A356,14)</f>
        <v>2</v>
      </c>
      <c r="E356">
        <f>VLOOKUP(D356,L$2:M$8,2,FALSE)</f>
        <v>0</v>
      </c>
      <c r="F356">
        <f t="shared" si="15"/>
        <v>2</v>
      </c>
      <c r="G356">
        <f>IF(F356&gt;F355,G355+B356*E356,B356*E356)</f>
        <v>0</v>
      </c>
      <c r="H356">
        <f t="shared" si="16"/>
        <v>0</v>
      </c>
      <c r="I356">
        <f t="shared" si="17"/>
        <v>0</v>
      </c>
    </row>
    <row r="357" spans="1:9">
      <c r="A357" s="1">
        <v>39237</v>
      </c>
      <c r="B357">
        <v>6.06</v>
      </c>
      <c r="C357">
        <v>6.38</v>
      </c>
      <c r="D357">
        <f>WEEKDAY(A357,14)</f>
        <v>5</v>
      </c>
      <c r="E357">
        <f>VLOOKUP(D357,L$2:M$8,2,FALSE)</f>
        <v>0.05</v>
      </c>
      <c r="F357">
        <f t="shared" si="15"/>
        <v>3</v>
      </c>
      <c r="G357">
        <f>IF(F357&gt;F356,G356+B357*E357,B357*E357)</f>
        <v>0.30299999999999999</v>
      </c>
      <c r="H357">
        <f t="shared" si="16"/>
        <v>0.05</v>
      </c>
      <c r="I357">
        <f t="shared" si="17"/>
        <v>0</v>
      </c>
    </row>
    <row r="358" spans="1:9">
      <c r="A358" s="1">
        <v>39238</v>
      </c>
      <c r="B358">
        <v>6.1189600000000004</v>
      </c>
      <c r="C358">
        <v>6.38</v>
      </c>
      <c r="D358">
        <f>WEEKDAY(A358,14)</f>
        <v>6</v>
      </c>
      <c r="E358">
        <f>VLOOKUP(D358,L$2:M$8,2,FALSE)</f>
        <v>0.7</v>
      </c>
      <c r="F358">
        <f t="shared" si="15"/>
        <v>4</v>
      </c>
      <c r="G358">
        <f>IF(F358&gt;F357,G357+B358*E358,B358*E358)</f>
        <v>4.5862720000000001</v>
      </c>
      <c r="H358">
        <f t="shared" si="16"/>
        <v>0.75</v>
      </c>
      <c r="I358">
        <f t="shared" si="17"/>
        <v>0</v>
      </c>
    </row>
    <row r="359" spans="1:9">
      <c r="A359" s="1">
        <v>39239</v>
      </c>
      <c r="B359">
        <v>6.1242900000000002</v>
      </c>
      <c r="C359">
        <v>6.38</v>
      </c>
      <c r="D359">
        <f>WEEKDAY(A359,14)</f>
        <v>7</v>
      </c>
      <c r="E359">
        <f>VLOOKUP(D359,L$2:M$8,2,FALSE)</f>
        <v>0.25</v>
      </c>
      <c r="F359">
        <f t="shared" si="15"/>
        <v>5</v>
      </c>
      <c r="G359">
        <f>IF(F359&gt;F358,G358+B359*E359,B359*E359)</f>
        <v>6.1173444999999997</v>
      </c>
      <c r="H359">
        <f t="shared" si="16"/>
        <v>1</v>
      </c>
      <c r="I359">
        <f t="shared" si="17"/>
        <v>0</v>
      </c>
    </row>
    <row r="360" spans="1:9">
      <c r="A360" s="1">
        <v>39240</v>
      </c>
      <c r="B360">
        <v>6.2644200000000003</v>
      </c>
      <c r="C360">
        <v>6.59</v>
      </c>
      <c r="D360">
        <f>WEEKDAY(A360,14)</f>
        <v>1</v>
      </c>
      <c r="E360">
        <f>VLOOKUP(D360,L$2:M$8,2,FALSE)</f>
        <v>0</v>
      </c>
      <c r="F360">
        <f t="shared" si="15"/>
        <v>1</v>
      </c>
      <c r="G360">
        <f>IF(F360&gt;F359,G359+B360*E360,B360*E360)</f>
        <v>0</v>
      </c>
      <c r="H360">
        <f t="shared" si="16"/>
        <v>0</v>
      </c>
      <c r="I360">
        <f t="shared" si="17"/>
        <v>6.1173444999999997</v>
      </c>
    </row>
    <row r="361" spans="1:9">
      <c r="A361" s="1">
        <v>39241</v>
      </c>
      <c r="B361">
        <v>6.28132</v>
      </c>
      <c r="C361">
        <v>6.59</v>
      </c>
      <c r="D361">
        <f>WEEKDAY(A361,14)</f>
        <v>2</v>
      </c>
      <c r="E361">
        <f>VLOOKUP(D361,L$2:M$8,2,FALSE)</f>
        <v>0</v>
      </c>
      <c r="F361">
        <f t="shared" si="15"/>
        <v>2</v>
      </c>
      <c r="G361">
        <f>IF(F361&gt;F360,G360+B361*E361,B361*E361)</f>
        <v>0</v>
      </c>
      <c r="H361">
        <f t="shared" si="16"/>
        <v>0</v>
      </c>
      <c r="I361">
        <f t="shared" si="17"/>
        <v>0</v>
      </c>
    </row>
    <row r="362" spans="1:9">
      <c r="A362" s="1">
        <v>39244</v>
      </c>
      <c r="B362">
        <v>6.2855699999999999</v>
      </c>
      <c r="C362">
        <v>6.59</v>
      </c>
      <c r="D362">
        <f>WEEKDAY(A362,14)</f>
        <v>5</v>
      </c>
      <c r="E362">
        <f>VLOOKUP(D362,L$2:M$8,2,FALSE)</f>
        <v>0.05</v>
      </c>
      <c r="F362">
        <f t="shared" si="15"/>
        <v>3</v>
      </c>
      <c r="G362">
        <f>IF(F362&gt;F361,G361+B362*E362,B362*E362)</f>
        <v>0.31427850000000002</v>
      </c>
      <c r="H362">
        <f t="shared" si="16"/>
        <v>0.05</v>
      </c>
      <c r="I362">
        <f t="shared" si="17"/>
        <v>0</v>
      </c>
    </row>
    <row r="363" spans="1:9">
      <c r="A363" s="1">
        <v>39245</v>
      </c>
      <c r="B363">
        <v>6.3898299999999999</v>
      </c>
      <c r="C363">
        <v>6.59</v>
      </c>
      <c r="D363">
        <f>WEEKDAY(A363,14)</f>
        <v>6</v>
      </c>
      <c r="E363">
        <f>VLOOKUP(D363,L$2:M$8,2,FALSE)</f>
        <v>0.7</v>
      </c>
      <c r="F363">
        <f t="shared" si="15"/>
        <v>4</v>
      </c>
      <c r="G363">
        <f>IF(F363&gt;F362,G362+B363*E363,B363*E363)</f>
        <v>4.7871594999999996</v>
      </c>
      <c r="H363">
        <f t="shared" si="16"/>
        <v>0.75</v>
      </c>
      <c r="I363">
        <f t="shared" si="17"/>
        <v>0</v>
      </c>
    </row>
    <row r="364" spans="1:9">
      <c r="A364" s="1">
        <v>39246</v>
      </c>
      <c r="B364">
        <v>6.3626699999999996</v>
      </c>
      <c r="C364">
        <v>6.59</v>
      </c>
      <c r="D364">
        <f>WEEKDAY(A364,14)</f>
        <v>7</v>
      </c>
      <c r="E364">
        <f>VLOOKUP(D364,L$2:M$8,2,FALSE)</f>
        <v>0.25</v>
      </c>
      <c r="F364">
        <f t="shared" si="15"/>
        <v>5</v>
      </c>
      <c r="G364">
        <f>IF(F364&gt;F363,G363+B364*E364,B364*E364)</f>
        <v>6.3778269999999999</v>
      </c>
      <c r="H364">
        <f t="shared" si="16"/>
        <v>1</v>
      </c>
      <c r="I364">
        <f t="shared" si="17"/>
        <v>0</v>
      </c>
    </row>
    <row r="365" spans="1:9">
      <c r="A365" s="1">
        <v>39247</v>
      </c>
      <c r="B365">
        <v>6.3553600000000001</v>
      </c>
      <c r="C365">
        <v>6.5650000000000004</v>
      </c>
      <c r="D365">
        <f>WEEKDAY(A365,14)</f>
        <v>1</v>
      </c>
      <c r="E365">
        <f>VLOOKUP(D365,L$2:M$8,2,FALSE)</f>
        <v>0</v>
      </c>
      <c r="F365">
        <f t="shared" si="15"/>
        <v>1</v>
      </c>
      <c r="G365">
        <f>IF(F365&gt;F364,G364+B365*E365,B365*E365)</f>
        <v>0</v>
      </c>
      <c r="H365">
        <f t="shared" si="16"/>
        <v>0</v>
      </c>
      <c r="I365">
        <f t="shared" si="17"/>
        <v>6.3778269999999999</v>
      </c>
    </row>
    <row r="366" spans="1:9">
      <c r="A366" s="1">
        <v>39248</v>
      </c>
      <c r="B366">
        <v>6.29718</v>
      </c>
      <c r="C366">
        <v>6.5650000000000004</v>
      </c>
      <c r="D366">
        <f>WEEKDAY(A366,14)</f>
        <v>2</v>
      </c>
      <c r="E366">
        <f>VLOOKUP(D366,L$2:M$8,2,FALSE)</f>
        <v>0</v>
      </c>
      <c r="F366">
        <f t="shared" si="15"/>
        <v>2</v>
      </c>
      <c r="G366">
        <f>IF(F366&gt;F365,G365+B366*E366,B366*E366)</f>
        <v>0</v>
      </c>
      <c r="H366">
        <f t="shared" si="16"/>
        <v>0</v>
      </c>
      <c r="I366">
        <f t="shared" si="17"/>
        <v>0</v>
      </c>
    </row>
    <row r="367" spans="1:9">
      <c r="A367" s="1">
        <v>39251</v>
      </c>
      <c r="B367">
        <v>6.2774299999999998</v>
      </c>
      <c r="C367">
        <v>6.5650000000000004</v>
      </c>
      <c r="D367">
        <f>WEEKDAY(A367,14)</f>
        <v>5</v>
      </c>
      <c r="E367">
        <f>VLOOKUP(D367,L$2:M$8,2,FALSE)</f>
        <v>0.05</v>
      </c>
      <c r="F367">
        <f t="shared" si="15"/>
        <v>3</v>
      </c>
      <c r="G367">
        <f>IF(F367&gt;F366,G366+B367*E367,B367*E367)</f>
        <v>0.31387150000000003</v>
      </c>
      <c r="H367">
        <f t="shared" si="16"/>
        <v>0.05</v>
      </c>
      <c r="I367">
        <f t="shared" si="17"/>
        <v>0</v>
      </c>
    </row>
    <row r="368" spans="1:9">
      <c r="A368" s="1">
        <v>39252</v>
      </c>
      <c r="B368">
        <v>6.22539</v>
      </c>
      <c r="C368">
        <v>6.5650000000000004</v>
      </c>
      <c r="D368">
        <f>WEEKDAY(A368,14)</f>
        <v>6</v>
      </c>
      <c r="E368">
        <f>VLOOKUP(D368,L$2:M$8,2,FALSE)</f>
        <v>0.7</v>
      </c>
      <c r="F368">
        <f t="shared" si="15"/>
        <v>4</v>
      </c>
      <c r="G368">
        <f>IF(F368&gt;F367,G367+B368*E368,B368*E368)</f>
        <v>4.6716445000000002</v>
      </c>
      <c r="H368">
        <f t="shared" si="16"/>
        <v>0.75</v>
      </c>
      <c r="I368">
        <f t="shared" si="17"/>
        <v>0</v>
      </c>
    </row>
    <row r="369" spans="1:9">
      <c r="A369" s="1">
        <v>39253</v>
      </c>
      <c r="B369">
        <v>6.2887300000000002</v>
      </c>
      <c r="C369">
        <v>6.5650000000000004</v>
      </c>
      <c r="D369">
        <f>WEEKDAY(A369,14)</f>
        <v>7</v>
      </c>
      <c r="E369">
        <f>VLOOKUP(D369,L$2:M$8,2,FALSE)</f>
        <v>0.25</v>
      </c>
      <c r="F369">
        <f t="shared" si="15"/>
        <v>5</v>
      </c>
      <c r="G369">
        <f>IF(F369&gt;F368,G368+B369*E369,B369*E369)</f>
        <v>6.2438270000000005</v>
      </c>
      <c r="H369">
        <f t="shared" si="16"/>
        <v>1</v>
      </c>
      <c r="I369">
        <f t="shared" si="17"/>
        <v>0</v>
      </c>
    </row>
    <row r="370" spans="1:9">
      <c r="A370" s="1">
        <v>39254</v>
      </c>
      <c r="B370">
        <v>6.3248699999999998</v>
      </c>
      <c r="C370">
        <v>6.52</v>
      </c>
      <c r="D370">
        <f>WEEKDAY(A370,14)</f>
        <v>1</v>
      </c>
      <c r="E370">
        <f>VLOOKUP(D370,L$2:M$8,2,FALSE)</f>
        <v>0</v>
      </c>
      <c r="F370">
        <f t="shared" si="15"/>
        <v>1</v>
      </c>
      <c r="G370">
        <f>IF(F370&gt;F369,G369+B370*E370,B370*E370)</f>
        <v>0</v>
      </c>
      <c r="H370">
        <f t="shared" si="16"/>
        <v>0</v>
      </c>
      <c r="I370">
        <f t="shared" si="17"/>
        <v>6.2438270000000005</v>
      </c>
    </row>
    <row r="371" spans="1:9">
      <c r="A371" s="1">
        <v>39255</v>
      </c>
      <c r="B371">
        <v>6.3038400000000001</v>
      </c>
      <c r="C371">
        <v>6.52</v>
      </c>
      <c r="D371">
        <f>WEEKDAY(A371,14)</f>
        <v>2</v>
      </c>
      <c r="E371">
        <f>VLOOKUP(D371,L$2:M$8,2,FALSE)</f>
        <v>0</v>
      </c>
      <c r="F371">
        <f t="shared" si="15"/>
        <v>2</v>
      </c>
      <c r="G371">
        <f>IF(F371&gt;F370,G370+B371*E371,B371*E371)</f>
        <v>0</v>
      </c>
      <c r="H371">
        <f t="shared" si="16"/>
        <v>0</v>
      </c>
      <c r="I371">
        <f t="shared" si="17"/>
        <v>0</v>
      </c>
    </row>
    <row r="372" spans="1:9">
      <c r="A372" s="1">
        <v>39258</v>
      </c>
      <c r="B372">
        <v>6.2647000000000004</v>
      </c>
      <c r="C372">
        <v>6.52</v>
      </c>
      <c r="D372">
        <f>WEEKDAY(A372,14)</f>
        <v>5</v>
      </c>
      <c r="E372">
        <f>VLOOKUP(D372,L$2:M$8,2,FALSE)</f>
        <v>0.05</v>
      </c>
      <c r="F372">
        <f t="shared" si="15"/>
        <v>3</v>
      </c>
      <c r="G372">
        <f>IF(F372&gt;F371,G371+B372*E372,B372*E372)</f>
        <v>0.31323500000000004</v>
      </c>
      <c r="H372">
        <f t="shared" si="16"/>
        <v>0.05</v>
      </c>
      <c r="I372">
        <f t="shared" si="17"/>
        <v>0</v>
      </c>
    </row>
    <row r="373" spans="1:9">
      <c r="A373" s="1">
        <v>39259</v>
      </c>
      <c r="B373">
        <v>6.2823399999999996</v>
      </c>
      <c r="C373">
        <v>6.52</v>
      </c>
      <c r="D373">
        <f>WEEKDAY(A373,14)</f>
        <v>6</v>
      </c>
      <c r="E373">
        <f>VLOOKUP(D373,L$2:M$8,2,FALSE)</f>
        <v>0.7</v>
      </c>
      <c r="F373">
        <f t="shared" si="15"/>
        <v>4</v>
      </c>
      <c r="G373">
        <f>IF(F373&gt;F372,G372+B373*E373,B373*E373)</f>
        <v>4.7108729999999994</v>
      </c>
      <c r="H373">
        <f t="shared" si="16"/>
        <v>0.75</v>
      </c>
      <c r="I373">
        <f t="shared" si="17"/>
        <v>0</v>
      </c>
    </row>
    <row r="374" spans="1:9">
      <c r="A374" s="1">
        <v>39260</v>
      </c>
      <c r="B374">
        <v>6.2663900000000003</v>
      </c>
      <c r="C374">
        <v>6.52</v>
      </c>
      <c r="D374">
        <f>WEEKDAY(A374,14)</f>
        <v>7</v>
      </c>
      <c r="E374">
        <f>VLOOKUP(D374,L$2:M$8,2,FALSE)</f>
        <v>0.25</v>
      </c>
      <c r="F374">
        <f t="shared" si="15"/>
        <v>5</v>
      </c>
      <c r="G374">
        <f>IF(F374&gt;F373,G373+B374*E374,B374*E374)</f>
        <v>6.2774704999999997</v>
      </c>
      <c r="H374">
        <f t="shared" si="16"/>
        <v>1</v>
      </c>
      <c r="I374">
        <f t="shared" si="17"/>
        <v>0</v>
      </c>
    </row>
    <row r="375" spans="1:9">
      <c r="A375" s="1">
        <v>39261</v>
      </c>
      <c r="B375">
        <v>6.2981999999999996</v>
      </c>
      <c r="C375">
        <v>6.48</v>
      </c>
      <c r="D375">
        <f>WEEKDAY(A375,14)</f>
        <v>1</v>
      </c>
      <c r="E375">
        <f>VLOOKUP(D375,L$2:M$8,2,FALSE)</f>
        <v>0</v>
      </c>
      <c r="F375">
        <f t="shared" si="15"/>
        <v>1</v>
      </c>
      <c r="G375">
        <f>IF(F375&gt;F374,G374+B375*E375,B375*E375)</f>
        <v>0</v>
      </c>
      <c r="H375">
        <f t="shared" si="16"/>
        <v>0</v>
      </c>
      <c r="I375">
        <f t="shared" si="17"/>
        <v>6.2774704999999997</v>
      </c>
    </row>
    <row r="376" spans="1:9">
      <c r="A376" s="1">
        <v>39262</v>
      </c>
      <c r="B376">
        <v>6.25387</v>
      </c>
      <c r="C376">
        <v>6.48</v>
      </c>
      <c r="D376">
        <f>WEEKDAY(A376,14)</f>
        <v>2</v>
      </c>
      <c r="E376">
        <f>VLOOKUP(D376,L$2:M$8,2,FALSE)</f>
        <v>0</v>
      </c>
      <c r="F376">
        <f t="shared" si="15"/>
        <v>2</v>
      </c>
      <c r="G376">
        <f>IF(F376&gt;F375,G375+B376*E376,B376*E376)</f>
        <v>0</v>
      </c>
      <c r="H376">
        <f t="shared" si="16"/>
        <v>0</v>
      </c>
      <c r="I376">
        <f t="shared" si="17"/>
        <v>0</v>
      </c>
    </row>
    <row r="377" spans="1:9">
      <c r="A377" s="1">
        <v>39265</v>
      </c>
      <c r="B377">
        <v>6.2266500000000002</v>
      </c>
      <c r="C377">
        <v>6.48</v>
      </c>
      <c r="D377">
        <f>WEEKDAY(A377,14)</f>
        <v>5</v>
      </c>
      <c r="E377">
        <f>VLOOKUP(D377,L$2:M$8,2,FALSE)</f>
        <v>0.05</v>
      </c>
      <c r="F377">
        <f t="shared" si="15"/>
        <v>3</v>
      </c>
      <c r="G377">
        <f>IF(F377&gt;F376,G376+B377*E377,B377*E377)</f>
        <v>0.31133250000000001</v>
      </c>
      <c r="H377">
        <f t="shared" si="16"/>
        <v>0.05</v>
      </c>
      <c r="I377">
        <f t="shared" si="17"/>
        <v>0</v>
      </c>
    </row>
    <row r="378" spans="1:9">
      <c r="A378" s="1">
        <v>39266</v>
      </c>
      <c r="B378">
        <v>6.2596299999999996</v>
      </c>
      <c r="C378">
        <v>6.48</v>
      </c>
      <c r="D378">
        <f>WEEKDAY(A378,14)</f>
        <v>6</v>
      </c>
      <c r="E378">
        <f>VLOOKUP(D378,L$2:M$8,2,FALSE)</f>
        <v>0.7</v>
      </c>
      <c r="F378">
        <f t="shared" si="15"/>
        <v>4</v>
      </c>
      <c r="G378">
        <f>IF(F378&gt;F377,G377+B378*E378,B378*E378)</f>
        <v>4.6930734999999988</v>
      </c>
      <c r="H378">
        <f t="shared" si="16"/>
        <v>0.75</v>
      </c>
      <c r="I378">
        <f t="shared" si="17"/>
        <v>0</v>
      </c>
    </row>
    <row r="379" spans="1:9">
      <c r="A379" s="1">
        <v>39268</v>
      </c>
      <c r="B379">
        <v>6.3398000000000003</v>
      </c>
      <c r="C379">
        <v>6.58</v>
      </c>
      <c r="D379">
        <f>WEEKDAY(A379,14)</f>
        <v>1</v>
      </c>
      <c r="E379">
        <f>VLOOKUP(D379,L$2:M$8,2,FALSE)</f>
        <v>0</v>
      </c>
      <c r="F379">
        <f t="shared" si="15"/>
        <v>1</v>
      </c>
      <c r="G379">
        <f>IF(F379&gt;F378,G378+B379*E379,B379*E379)</f>
        <v>0</v>
      </c>
      <c r="H379">
        <f t="shared" si="16"/>
        <v>0</v>
      </c>
      <c r="I379">
        <f t="shared" si="17"/>
        <v>6.257431333333332</v>
      </c>
    </row>
    <row r="380" spans="1:9">
      <c r="A380" s="1">
        <v>39269</v>
      </c>
      <c r="B380">
        <v>6.3727</v>
      </c>
      <c r="C380">
        <v>6.58</v>
      </c>
      <c r="D380">
        <f>WEEKDAY(A380,14)</f>
        <v>2</v>
      </c>
      <c r="E380">
        <f>VLOOKUP(D380,L$2:M$8,2,FALSE)</f>
        <v>0</v>
      </c>
      <c r="F380">
        <f t="shared" si="15"/>
        <v>2</v>
      </c>
      <c r="G380">
        <f>IF(F380&gt;F379,G379+B380*E380,B380*E380)</f>
        <v>0</v>
      </c>
      <c r="H380">
        <f t="shared" si="16"/>
        <v>0</v>
      </c>
      <c r="I380">
        <f t="shared" si="17"/>
        <v>0</v>
      </c>
    </row>
    <row r="381" spans="1:9">
      <c r="A381" s="1">
        <v>39272</v>
      </c>
      <c r="B381">
        <v>6.3504100000000001</v>
      </c>
      <c r="C381">
        <v>6.58</v>
      </c>
      <c r="D381">
        <f>WEEKDAY(A381,14)</f>
        <v>5</v>
      </c>
      <c r="E381">
        <f>VLOOKUP(D381,L$2:M$8,2,FALSE)</f>
        <v>0.05</v>
      </c>
      <c r="F381">
        <f t="shared" si="15"/>
        <v>3</v>
      </c>
      <c r="G381">
        <f>IF(F381&gt;F380,G380+B381*E381,B381*E381)</f>
        <v>0.31752050000000004</v>
      </c>
      <c r="H381">
        <f t="shared" si="16"/>
        <v>0.05</v>
      </c>
      <c r="I381">
        <f t="shared" si="17"/>
        <v>0</v>
      </c>
    </row>
    <row r="382" spans="1:9">
      <c r="A382" s="1">
        <v>39273</v>
      </c>
      <c r="B382">
        <v>6.2829100000000002</v>
      </c>
      <c r="C382">
        <v>6.58</v>
      </c>
      <c r="D382">
        <f>WEEKDAY(A382,14)</f>
        <v>6</v>
      </c>
      <c r="E382">
        <f>VLOOKUP(D382,L$2:M$8,2,FALSE)</f>
        <v>0.7</v>
      </c>
      <c r="F382">
        <f t="shared" si="15"/>
        <v>4</v>
      </c>
      <c r="G382">
        <f>IF(F382&gt;F381,G381+B382*E382,B382*E382)</f>
        <v>4.7155574999999992</v>
      </c>
      <c r="H382">
        <f t="shared" si="16"/>
        <v>0.75</v>
      </c>
      <c r="I382">
        <f t="shared" si="17"/>
        <v>0</v>
      </c>
    </row>
    <row r="383" spans="1:9">
      <c r="A383" s="1">
        <v>39274</v>
      </c>
      <c r="B383">
        <v>6.3106999999999998</v>
      </c>
      <c r="C383">
        <v>6.58</v>
      </c>
      <c r="D383">
        <f>WEEKDAY(A383,14)</f>
        <v>7</v>
      </c>
      <c r="E383">
        <f>VLOOKUP(D383,L$2:M$8,2,FALSE)</f>
        <v>0.25</v>
      </c>
      <c r="F383">
        <f t="shared" si="15"/>
        <v>5</v>
      </c>
      <c r="G383">
        <f>IF(F383&gt;F382,G382+B383*E383,B383*E383)</f>
        <v>6.2932324999999993</v>
      </c>
      <c r="H383">
        <f t="shared" si="16"/>
        <v>1</v>
      </c>
      <c r="I383">
        <f t="shared" si="17"/>
        <v>0</v>
      </c>
    </row>
    <row r="384" spans="1:9">
      <c r="A384" s="1">
        <v>39275</v>
      </c>
      <c r="B384">
        <v>6.3354100000000004</v>
      </c>
      <c r="C384">
        <v>6.58</v>
      </c>
      <c r="D384">
        <f>WEEKDAY(A384,14)</f>
        <v>1</v>
      </c>
      <c r="E384">
        <f>VLOOKUP(D384,L$2:M$8,2,FALSE)</f>
        <v>0</v>
      </c>
      <c r="F384">
        <f t="shared" si="15"/>
        <v>1</v>
      </c>
      <c r="G384">
        <f>IF(F384&gt;F383,G383+B384*E384,B384*E384)</f>
        <v>0</v>
      </c>
      <c r="H384">
        <f t="shared" si="16"/>
        <v>0</v>
      </c>
      <c r="I384">
        <f t="shared" si="17"/>
        <v>6.2932324999999993</v>
      </c>
    </row>
    <row r="385" spans="1:9">
      <c r="A385" s="1">
        <v>39276</v>
      </c>
      <c r="B385">
        <v>6.3314500000000002</v>
      </c>
      <c r="C385">
        <v>6.58</v>
      </c>
      <c r="D385">
        <f>WEEKDAY(A385,14)</f>
        <v>2</v>
      </c>
      <c r="E385">
        <f>VLOOKUP(D385,L$2:M$8,2,FALSE)</f>
        <v>0</v>
      </c>
      <c r="F385">
        <f t="shared" si="15"/>
        <v>2</v>
      </c>
      <c r="G385">
        <f>IF(F385&gt;F384,G384+B385*E385,B385*E385)</f>
        <v>0</v>
      </c>
      <c r="H385">
        <f t="shared" si="16"/>
        <v>0</v>
      </c>
      <c r="I385">
        <f t="shared" si="17"/>
        <v>0</v>
      </c>
    </row>
    <row r="386" spans="1:9">
      <c r="A386" s="1">
        <v>39279</v>
      </c>
      <c r="B386">
        <v>6.3007299999999997</v>
      </c>
      <c r="C386">
        <v>6.58</v>
      </c>
      <c r="D386">
        <f>WEEKDAY(A386,14)</f>
        <v>5</v>
      </c>
      <c r="E386">
        <f>VLOOKUP(D386,L$2:M$8,2,FALSE)</f>
        <v>0.05</v>
      </c>
      <c r="F386">
        <f t="shared" si="15"/>
        <v>3</v>
      </c>
      <c r="G386">
        <f>IF(F386&gt;F385,G385+B386*E386,B386*E386)</f>
        <v>0.3150365</v>
      </c>
      <c r="H386">
        <f t="shared" si="16"/>
        <v>0.05</v>
      </c>
      <c r="I386">
        <f t="shared" si="17"/>
        <v>0</v>
      </c>
    </row>
    <row r="387" spans="1:9">
      <c r="A387" s="1">
        <v>39280</v>
      </c>
      <c r="B387">
        <v>6.3352899999999996</v>
      </c>
      <c r="C387">
        <v>6.58</v>
      </c>
      <c r="D387">
        <f>WEEKDAY(A387,14)</f>
        <v>6</v>
      </c>
      <c r="E387">
        <f>VLOOKUP(D387,L$2:M$8,2,FALSE)</f>
        <v>0.7</v>
      </c>
      <c r="F387">
        <f t="shared" ref="F387:F450" si="18">IF(AND(D387&gt;D386,F386&lt;6),F386+1,1)</f>
        <v>4</v>
      </c>
      <c r="G387">
        <f>IF(F387&gt;F386,G386+B387*E387,B387*E387)</f>
        <v>4.7497394999999996</v>
      </c>
      <c r="H387">
        <f t="shared" si="16"/>
        <v>0.75</v>
      </c>
      <c r="I387">
        <f t="shared" si="17"/>
        <v>0</v>
      </c>
    </row>
    <row r="388" spans="1:9">
      <c r="A388" s="1">
        <v>39281</v>
      </c>
      <c r="B388">
        <v>6.2857200000000004</v>
      </c>
      <c r="C388">
        <v>6.58</v>
      </c>
      <c r="D388">
        <f>WEEKDAY(A388,14)</f>
        <v>7</v>
      </c>
      <c r="E388">
        <f>VLOOKUP(D388,L$2:M$8,2,FALSE)</f>
        <v>0.25</v>
      </c>
      <c r="F388">
        <f t="shared" si="18"/>
        <v>5</v>
      </c>
      <c r="G388">
        <f>IF(F388&gt;F387,G387+B388*E388,B388*E388)</f>
        <v>6.3211694999999999</v>
      </c>
      <c r="H388">
        <f t="shared" ref="H388:H451" si="19">IF(AND(F388&lt;6,F388&gt;F387),E388+H387,E388)</f>
        <v>1</v>
      </c>
      <c r="I388">
        <f t="shared" ref="I388:I451" si="20">IF(F387&gt;F388,G387/H387,0)</f>
        <v>0</v>
      </c>
    </row>
    <row r="389" spans="1:9">
      <c r="A389" s="1">
        <v>39282</v>
      </c>
      <c r="B389">
        <v>6.3040599999999998</v>
      </c>
      <c r="C389">
        <v>6.54</v>
      </c>
      <c r="D389">
        <f>WEEKDAY(A389,14)</f>
        <v>1</v>
      </c>
      <c r="E389">
        <f>VLOOKUP(D389,L$2:M$8,2,FALSE)</f>
        <v>0</v>
      </c>
      <c r="F389">
        <f t="shared" si="18"/>
        <v>1</v>
      </c>
      <c r="G389">
        <f>IF(F389&gt;F388,G388+B389*E389,B389*E389)</f>
        <v>0</v>
      </c>
      <c r="H389">
        <f t="shared" si="19"/>
        <v>0</v>
      </c>
      <c r="I389">
        <f t="shared" si="20"/>
        <v>6.3211694999999999</v>
      </c>
    </row>
    <row r="390" spans="1:9">
      <c r="A390" s="1">
        <v>39283</v>
      </c>
      <c r="B390">
        <v>6.2649999999999997</v>
      </c>
      <c r="C390">
        <v>6.54</v>
      </c>
      <c r="D390">
        <f>WEEKDAY(A390,14)</f>
        <v>2</v>
      </c>
      <c r="E390">
        <f>VLOOKUP(D390,L$2:M$8,2,FALSE)</f>
        <v>0</v>
      </c>
      <c r="F390">
        <f t="shared" si="18"/>
        <v>2</v>
      </c>
      <c r="G390">
        <f>IF(F390&gt;F389,G389+B390*E390,B390*E390)</f>
        <v>0</v>
      </c>
      <c r="H390">
        <f t="shared" si="19"/>
        <v>0</v>
      </c>
      <c r="I390">
        <f t="shared" si="20"/>
        <v>0</v>
      </c>
    </row>
    <row r="391" spans="1:9">
      <c r="A391" s="1">
        <v>39286</v>
      </c>
      <c r="B391">
        <v>6.2811199999999996</v>
      </c>
      <c r="C391">
        <v>6.54</v>
      </c>
      <c r="D391">
        <f>WEEKDAY(A391,14)</f>
        <v>5</v>
      </c>
      <c r="E391">
        <f>VLOOKUP(D391,L$2:M$8,2,FALSE)</f>
        <v>0.05</v>
      </c>
      <c r="F391">
        <f t="shared" si="18"/>
        <v>3</v>
      </c>
      <c r="G391">
        <f>IF(F391&gt;F390,G390+B391*E391,B391*E391)</f>
        <v>0.314056</v>
      </c>
      <c r="H391">
        <f t="shared" si="19"/>
        <v>0.05</v>
      </c>
      <c r="I391">
        <f t="shared" si="20"/>
        <v>0</v>
      </c>
    </row>
    <row r="392" spans="1:9">
      <c r="A392" s="1">
        <v>39287</v>
      </c>
      <c r="B392">
        <v>6.2825800000000003</v>
      </c>
      <c r="C392">
        <v>6.54</v>
      </c>
      <c r="D392">
        <f>WEEKDAY(A392,14)</f>
        <v>6</v>
      </c>
      <c r="E392">
        <f>VLOOKUP(D392,L$2:M$8,2,FALSE)</f>
        <v>0.7</v>
      </c>
      <c r="F392">
        <f t="shared" si="18"/>
        <v>4</v>
      </c>
      <c r="G392">
        <f>IF(F392&gt;F391,G391+B392*E392,B392*E392)</f>
        <v>4.711862</v>
      </c>
      <c r="H392">
        <f t="shared" si="19"/>
        <v>0.75</v>
      </c>
      <c r="I392">
        <f t="shared" si="20"/>
        <v>0</v>
      </c>
    </row>
    <row r="393" spans="1:9">
      <c r="A393" s="1">
        <v>39288</v>
      </c>
      <c r="B393">
        <v>6.2744099999999996</v>
      </c>
      <c r="C393">
        <v>6.54</v>
      </c>
      <c r="D393">
        <f>WEEKDAY(A393,14)</f>
        <v>7</v>
      </c>
      <c r="E393">
        <f>VLOOKUP(D393,L$2:M$8,2,FALSE)</f>
        <v>0.25</v>
      </c>
      <c r="F393">
        <f t="shared" si="18"/>
        <v>5</v>
      </c>
      <c r="G393">
        <f>IF(F393&gt;F392,G392+B393*E393,B393*E393)</f>
        <v>6.2804644999999999</v>
      </c>
      <c r="H393">
        <f t="shared" si="19"/>
        <v>1</v>
      </c>
      <c r="I393">
        <f t="shared" si="20"/>
        <v>0</v>
      </c>
    </row>
    <row r="394" spans="1:9">
      <c r="A394" s="1">
        <v>39289</v>
      </c>
      <c r="B394">
        <v>6.2137000000000002</v>
      </c>
      <c r="C394">
        <v>6.5049999999999999</v>
      </c>
      <c r="D394">
        <f>WEEKDAY(A394,14)</f>
        <v>1</v>
      </c>
      <c r="E394">
        <f>VLOOKUP(D394,L$2:M$8,2,FALSE)</f>
        <v>0</v>
      </c>
      <c r="F394">
        <f t="shared" si="18"/>
        <v>1</v>
      </c>
      <c r="G394">
        <f>IF(F394&gt;F393,G393+B394*E394,B394*E394)</f>
        <v>0</v>
      </c>
      <c r="H394">
        <f t="shared" si="19"/>
        <v>0</v>
      </c>
      <c r="I394">
        <f t="shared" si="20"/>
        <v>6.2804644999999999</v>
      </c>
    </row>
    <row r="395" spans="1:9">
      <c r="A395" s="1">
        <v>39290</v>
      </c>
      <c r="B395">
        <v>6.21896</v>
      </c>
      <c r="C395">
        <v>6.5049999999999999</v>
      </c>
      <c r="D395">
        <f>WEEKDAY(A395,14)</f>
        <v>2</v>
      </c>
      <c r="E395">
        <f>VLOOKUP(D395,L$2:M$8,2,FALSE)</f>
        <v>0</v>
      </c>
      <c r="F395">
        <f t="shared" si="18"/>
        <v>2</v>
      </c>
      <c r="G395">
        <f>IF(F395&gt;F394,G394+B395*E395,B395*E395)</f>
        <v>0</v>
      </c>
      <c r="H395">
        <f t="shared" si="19"/>
        <v>0</v>
      </c>
      <c r="I395">
        <f t="shared" si="20"/>
        <v>0</v>
      </c>
    </row>
    <row r="396" spans="1:9">
      <c r="A396" s="1">
        <v>39293</v>
      </c>
      <c r="B396">
        <v>6.2471699999999997</v>
      </c>
      <c r="C396">
        <v>6.5049999999999999</v>
      </c>
      <c r="D396">
        <f>WEEKDAY(A396,14)</f>
        <v>5</v>
      </c>
      <c r="E396">
        <f>VLOOKUP(D396,L$2:M$8,2,FALSE)</f>
        <v>0.05</v>
      </c>
      <c r="F396">
        <f t="shared" si="18"/>
        <v>3</v>
      </c>
      <c r="G396">
        <f>IF(F396&gt;F395,G395+B396*E396,B396*E396)</f>
        <v>0.31235849999999998</v>
      </c>
      <c r="H396">
        <f t="shared" si="19"/>
        <v>0.05</v>
      </c>
      <c r="I396">
        <f t="shared" si="20"/>
        <v>0</v>
      </c>
    </row>
    <row r="397" spans="1:9">
      <c r="A397" s="1">
        <v>39294</v>
      </c>
      <c r="B397">
        <v>6.2235500000000004</v>
      </c>
      <c r="C397">
        <v>6.5049999999999999</v>
      </c>
      <c r="D397">
        <f>WEEKDAY(A397,14)</f>
        <v>6</v>
      </c>
      <c r="E397">
        <f>VLOOKUP(D397,L$2:M$8,2,FALSE)</f>
        <v>0.7</v>
      </c>
      <c r="F397">
        <f t="shared" si="18"/>
        <v>4</v>
      </c>
      <c r="G397">
        <f>IF(F397&gt;F396,G396+B397*E397,B397*E397)</f>
        <v>4.6688435000000004</v>
      </c>
      <c r="H397">
        <f t="shared" si="19"/>
        <v>0.75</v>
      </c>
      <c r="I397">
        <f t="shared" si="20"/>
        <v>0</v>
      </c>
    </row>
    <row r="398" spans="1:9">
      <c r="A398" s="1">
        <v>39295</v>
      </c>
      <c r="B398">
        <v>6.2023400000000004</v>
      </c>
      <c r="C398">
        <v>6.5049999999999999</v>
      </c>
      <c r="D398">
        <f>WEEKDAY(A398,14)</f>
        <v>7</v>
      </c>
      <c r="E398">
        <f>VLOOKUP(D398,L$2:M$8,2,FALSE)</f>
        <v>0.25</v>
      </c>
      <c r="F398">
        <f t="shared" si="18"/>
        <v>5</v>
      </c>
      <c r="G398">
        <f>IF(F398&gt;F397,G397+B398*E398,B398*E398)</f>
        <v>6.2194285000000002</v>
      </c>
      <c r="H398">
        <f t="shared" si="19"/>
        <v>1</v>
      </c>
      <c r="I398">
        <f t="shared" si="20"/>
        <v>0</v>
      </c>
    </row>
    <row r="399" spans="1:9">
      <c r="A399" s="1">
        <v>39296</v>
      </c>
      <c r="B399">
        <v>6.17056</v>
      </c>
      <c r="C399">
        <v>6.44</v>
      </c>
      <c r="D399">
        <f>WEEKDAY(A399,14)</f>
        <v>1</v>
      </c>
      <c r="E399">
        <f>VLOOKUP(D399,L$2:M$8,2,FALSE)</f>
        <v>0</v>
      </c>
      <c r="F399">
        <f t="shared" si="18"/>
        <v>1</v>
      </c>
      <c r="G399">
        <f>IF(F399&gt;F398,G398+B399*E399,B399*E399)</f>
        <v>0</v>
      </c>
      <c r="H399">
        <f t="shared" si="19"/>
        <v>0</v>
      </c>
      <c r="I399">
        <f t="shared" si="20"/>
        <v>6.2194285000000002</v>
      </c>
    </row>
    <row r="400" spans="1:9">
      <c r="A400" s="1">
        <v>39297</v>
      </c>
      <c r="B400">
        <v>6.1039700000000003</v>
      </c>
      <c r="C400">
        <v>6.44</v>
      </c>
      <c r="D400">
        <f>WEEKDAY(A400,14)</f>
        <v>2</v>
      </c>
      <c r="E400">
        <f>VLOOKUP(D400,L$2:M$8,2,FALSE)</f>
        <v>0</v>
      </c>
      <c r="F400">
        <f t="shared" si="18"/>
        <v>2</v>
      </c>
      <c r="G400">
        <f>IF(F400&gt;F399,G399+B400*E400,B400*E400)</f>
        <v>0</v>
      </c>
      <c r="H400">
        <f t="shared" si="19"/>
        <v>0</v>
      </c>
      <c r="I400">
        <f t="shared" si="20"/>
        <v>0</v>
      </c>
    </row>
    <row r="401" spans="1:9">
      <c r="A401" s="1">
        <v>39300</v>
      </c>
      <c r="B401">
        <v>6.1213300000000004</v>
      </c>
      <c r="C401">
        <v>6.44</v>
      </c>
      <c r="D401">
        <f>WEEKDAY(A401,14)</f>
        <v>5</v>
      </c>
      <c r="E401">
        <f>VLOOKUP(D401,L$2:M$8,2,FALSE)</f>
        <v>0.05</v>
      </c>
      <c r="F401">
        <f t="shared" si="18"/>
        <v>3</v>
      </c>
      <c r="G401">
        <f>IF(F401&gt;F400,G400+B401*E401,B401*E401)</f>
        <v>0.30606650000000002</v>
      </c>
      <c r="H401">
        <f t="shared" si="19"/>
        <v>0.05</v>
      </c>
      <c r="I401">
        <f t="shared" si="20"/>
        <v>0</v>
      </c>
    </row>
    <row r="402" spans="1:9">
      <c r="A402" s="1">
        <v>39301</v>
      </c>
      <c r="B402">
        <v>6.1072800000000003</v>
      </c>
      <c r="C402">
        <v>6.44</v>
      </c>
      <c r="D402">
        <f>WEEKDAY(A402,14)</f>
        <v>6</v>
      </c>
      <c r="E402">
        <f>VLOOKUP(D402,L$2:M$8,2,FALSE)</f>
        <v>0.7</v>
      </c>
      <c r="F402">
        <f t="shared" si="18"/>
        <v>4</v>
      </c>
      <c r="G402">
        <f>IF(F402&gt;F401,G401+B402*E402,B402*E402)</f>
        <v>4.5811624999999996</v>
      </c>
      <c r="H402">
        <f t="shared" si="19"/>
        <v>0.75</v>
      </c>
      <c r="I402">
        <f t="shared" si="20"/>
        <v>0</v>
      </c>
    </row>
    <row r="403" spans="1:9">
      <c r="A403" s="1">
        <v>39302</v>
      </c>
      <c r="B403">
        <v>6.1660300000000001</v>
      </c>
      <c r="C403">
        <v>6.44</v>
      </c>
      <c r="D403">
        <f>WEEKDAY(A403,14)</f>
        <v>7</v>
      </c>
      <c r="E403">
        <f>VLOOKUP(D403,L$2:M$8,2,FALSE)</f>
        <v>0.25</v>
      </c>
      <c r="F403">
        <f t="shared" si="18"/>
        <v>5</v>
      </c>
      <c r="G403">
        <f>IF(F403&gt;F402,G402+B403*E403,B403*E403)</f>
        <v>6.1226699999999994</v>
      </c>
      <c r="H403">
        <f t="shared" si="19"/>
        <v>1</v>
      </c>
      <c r="I403">
        <f t="shared" si="20"/>
        <v>0</v>
      </c>
    </row>
    <row r="404" spans="1:9">
      <c r="A404" s="1">
        <v>39303</v>
      </c>
      <c r="B404">
        <v>6.1261299999999999</v>
      </c>
      <c r="C404">
        <v>6.47</v>
      </c>
      <c r="D404">
        <f>WEEKDAY(A404,14)</f>
        <v>1</v>
      </c>
      <c r="E404">
        <f>VLOOKUP(D404,L$2:M$8,2,FALSE)</f>
        <v>0</v>
      </c>
      <c r="F404">
        <f t="shared" si="18"/>
        <v>1</v>
      </c>
      <c r="G404">
        <f>IF(F404&gt;F403,G403+B404*E404,B404*E404)</f>
        <v>0</v>
      </c>
      <c r="H404">
        <f t="shared" si="19"/>
        <v>0</v>
      </c>
      <c r="I404">
        <f t="shared" si="20"/>
        <v>6.1226699999999994</v>
      </c>
    </row>
    <row r="405" spans="1:9">
      <c r="A405" s="1">
        <v>39304</v>
      </c>
      <c r="B405">
        <v>6.1506299999999996</v>
      </c>
      <c r="C405">
        <v>6.47</v>
      </c>
      <c r="D405">
        <f>WEEKDAY(A405,14)</f>
        <v>2</v>
      </c>
      <c r="E405">
        <f>VLOOKUP(D405,L$2:M$8,2,FALSE)</f>
        <v>0</v>
      </c>
      <c r="F405">
        <f t="shared" si="18"/>
        <v>2</v>
      </c>
      <c r="G405">
        <f>IF(F405&gt;F404,G404+B405*E405,B405*E405)</f>
        <v>0</v>
      </c>
      <c r="H405">
        <f t="shared" si="19"/>
        <v>0</v>
      </c>
      <c r="I405">
        <f t="shared" si="20"/>
        <v>0</v>
      </c>
    </row>
    <row r="406" spans="1:9">
      <c r="A406" s="1">
        <v>39307</v>
      </c>
      <c r="B406">
        <v>6.16927</v>
      </c>
      <c r="C406">
        <v>6.47</v>
      </c>
      <c r="D406">
        <f>WEEKDAY(A406,14)</f>
        <v>5</v>
      </c>
      <c r="E406">
        <f>VLOOKUP(D406,L$2:M$8,2,FALSE)</f>
        <v>0.05</v>
      </c>
      <c r="F406">
        <f t="shared" si="18"/>
        <v>3</v>
      </c>
      <c r="G406">
        <f>IF(F406&gt;F405,G405+B406*E406,B406*E406)</f>
        <v>0.3084635</v>
      </c>
      <c r="H406">
        <f t="shared" si="19"/>
        <v>0.05</v>
      </c>
      <c r="I406">
        <f t="shared" si="20"/>
        <v>0</v>
      </c>
    </row>
    <row r="407" spans="1:9">
      <c r="A407" s="1">
        <v>39308</v>
      </c>
      <c r="B407">
        <v>6.1677</v>
      </c>
      <c r="C407">
        <v>6.47</v>
      </c>
      <c r="D407">
        <f>WEEKDAY(A407,14)</f>
        <v>6</v>
      </c>
      <c r="E407">
        <f>VLOOKUP(D407,L$2:M$8,2,FALSE)</f>
        <v>0.7</v>
      </c>
      <c r="F407">
        <f t="shared" si="18"/>
        <v>4</v>
      </c>
      <c r="G407">
        <f>IF(F407&gt;F406,G406+B407*E407,B407*E407)</f>
        <v>4.6258534999999998</v>
      </c>
      <c r="H407">
        <f t="shared" si="19"/>
        <v>0.75</v>
      </c>
      <c r="I407">
        <f t="shared" si="20"/>
        <v>0</v>
      </c>
    </row>
    <row r="408" spans="1:9">
      <c r="A408" s="1">
        <v>39309</v>
      </c>
      <c r="B408">
        <v>6.2066400000000002</v>
      </c>
      <c r="C408">
        <v>6.47</v>
      </c>
      <c r="D408">
        <f>WEEKDAY(A408,14)</f>
        <v>7</v>
      </c>
      <c r="E408">
        <f>VLOOKUP(D408,L$2:M$8,2,FALSE)</f>
        <v>0.25</v>
      </c>
      <c r="F408">
        <f t="shared" si="18"/>
        <v>5</v>
      </c>
      <c r="G408">
        <f>IF(F408&gt;F407,G407+B408*E408,B408*E408)</f>
        <v>6.1775134999999999</v>
      </c>
      <c r="H408">
        <f t="shared" si="19"/>
        <v>1</v>
      </c>
      <c r="I408">
        <f t="shared" si="20"/>
        <v>0</v>
      </c>
    </row>
    <row r="409" spans="1:9">
      <c r="A409" s="1">
        <v>39310</v>
      </c>
      <c r="B409">
        <v>6.1416899999999996</v>
      </c>
      <c r="C409">
        <v>6.37</v>
      </c>
      <c r="D409">
        <f>WEEKDAY(A409,14)</f>
        <v>1</v>
      </c>
      <c r="E409">
        <f>VLOOKUP(D409,L$2:M$8,2,FALSE)</f>
        <v>0</v>
      </c>
      <c r="F409">
        <f t="shared" si="18"/>
        <v>1</v>
      </c>
      <c r="G409">
        <f>IF(F409&gt;F408,G408+B409*E409,B409*E409)</f>
        <v>0</v>
      </c>
      <c r="H409">
        <f t="shared" si="19"/>
        <v>0</v>
      </c>
      <c r="I409">
        <f t="shared" si="20"/>
        <v>6.1775134999999999</v>
      </c>
    </row>
    <row r="410" spans="1:9">
      <c r="A410" s="1">
        <v>39311</v>
      </c>
      <c r="B410">
        <v>6.1112799999999998</v>
      </c>
      <c r="C410">
        <v>6.37</v>
      </c>
      <c r="D410">
        <f>WEEKDAY(A410,14)</f>
        <v>2</v>
      </c>
      <c r="E410">
        <f>VLOOKUP(D410,L$2:M$8,2,FALSE)</f>
        <v>0</v>
      </c>
      <c r="F410">
        <f t="shared" si="18"/>
        <v>2</v>
      </c>
      <c r="G410">
        <f>IF(F410&gt;F409,G409+B410*E410,B410*E410)</f>
        <v>0</v>
      </c>
      <c r="H410">
        <f t="shared" si="19"/>
        <v>0</v>
      </c>
      <c r="I410">
        <f t="shared" si="20"/>
        <v>0</v>
      </c>
    </row>
    <row r="411" spans="1:9">
      <c r="A411" s="1">
        <v>39314</v>
      </c>
      <c r="B411">
        <v>6.0763299999999996</v>
      </c>
      <c r="C411">
        <v>6.37</v>
      </c>
      <c r="D411">
        <f>WEEKDAY(A411,14)</f>
        <v>5</v>
      </c>
      <c r="E411">
        <f>VLOOKUP(D411,L$2:M$8,2,FALSE)</f>
        <v>0.05</v>
      </c>
      <c r="F411">
        <f t="shared" si="18"/>
        <v>3</v>
      </c>
      <c r="G411">
        <f>IF(F411&gt;F410,G410+B411*E411,B411*E411)</f>
        <v>0.30381649999999999</v>
      </c>
      <c r="H411">
        <f t="shared" si="19"/>
        <v>0.05</v>
      </c>
      <c r="I411">
        <f t="shared" si="20"/>
        <v>0</v>
      </c>
    </row>
    <row r="412" spans="1:9">
      <c r="A412" s="1">
        <v>39315</v>
      </c>
      <c r="B412">
        <v>6.0129799999999998</v>
      </c>
      <c r="C412">
        <v>6.37</v>
      </c>
      <c r="D412">
        <f>WEEKDAY(A412,14)</f>
        <v>6</v>
      </c>
      <c r="E412">
        <f>VLOOKUP(D412,L$2:M$8,2,FALSE)</f>
        <v>0.7</v>
      </c>
      <c r="F412">
        <f t="shared" si="18"/>
        <v>4</v>
      </c>
      <c r="G412">
        <f>IF(F412&gt;F411,G411+B412*E412,B412*E412)</f>
        <v>4.5129024999999992</v>
      </c>
      <c r="H412">
        <f t="shared" si="19"/>
        <v>0.75</v>
      </c>
      <c r="I412">
        <f t="shared" si="20"/>
        <v>0</v>
      </c>
    </row>
    <row r="413" spans="1:9">
      <c r="A413" s="1">
        <v>39316</v>
      </c>
      <c r="B413">
        <v>6.0298499999999997</v>
      </c>
      <c r="C413">
        <v>6.37</v>
      </c>
      <c r="D413">
        <f>WEEKDAY(A413,14)</f>
        <v>7</v>
      </c>
      <c r="E413">
        <f>VLOOKUP(D413,L$2:M$8,2,FALSE)</f>
        <v>0.25</v>
      </c>
      <c r="F413">
        <f t="shared" si="18"/>
        <v>5</v>
      </c>
      <c r="G413">
        <f>IF(F413&gt;F412,G412+B413*E413,B413*E413)</f>
        <v>6.0203649999999991</v>
      </c>
      <c r="H413">
        <f t="shared" si="19"/>
        <v>1</v>
      </c>
      <c r="I413">
        <f t="shared" si="20"/>
        <v>0</v>
      </c>
    </row>
    <row r="414" spans="1:9">
      <c r="A414" s="1">
        <v>39317</v>
      </c>
      <c r="B414">
        <v>6.0202099999999996</v>
      </c>
      <c r="C414">
        <v>6.3250000000000002</v>
      </c>
      <c r="D414">
        <f>WEEKDAY(A414,14)</f>
        <v>1</v>
      </c>
      <c r="E414">
        <f>VLOOKUP(D414,L$2:M$8,2,FALSE)</f>
        <v>0</v>
      </c>
      <c r="F414">
        <f t="shared" si="18"/>
        <v>1</v>
      </c>
      <c r="G414">
        <f>IF(F414&gt;F413,G413+B414*E414,B414*E414)</f>
        <v>0</v>
      </c>
      <c r="H414">
        <f t="shared" si="19"/>
        <v>0</v>
      </c>
      <c r="I414">
        <f t="shared" si="20"/>
        <v>6.0203649999999991</v>
      </c>
    </row>
    <row r="415" spans="1:9">
      <c r="A415" s="1">
        <v>39318</v>
      </c>
      <c r="B415">
        <v>5.9870299999999999</v>
      </c>
      <c r="C415">
        <v>6.3250000000000002</v>
      </c>
      <c r="D415">
        <f>WEEKDAY(A415,14)</f>
        <v>2</v>
      </c>
      <c r="E415">
        <f>VLOOKUP(D415,L$2:M$8,2,FALSE)</f>
        <v>0</v>
      </c>
      <c r="F415">
        <f t="shared" si="18"/>
        <v>2</v>
      </c>
      <c r="G415">
        <f>IF(F415&gt;F414,G414+B415*E415,B415*E415)</f>
        <v>0</v>
      </c>
      <c r="H415">
        <f t="shared" si="19"/>
        <v>0</v>
      </c>
      <c r="I415">
        <f t="shared" si="20"/>
        <v>0</v>
      </c>
    </row>
    <row r="416" spans="1:9">
      <c r="A416" s="1">
        <v>39321</v>
      </c>
      <c r="B416">
        <v>5.9704100000000002</v>
      </c>
      <c r="C416">
        <v>6.3250000000000002</v>
      </c>
      <c r="D416">
        <f>WEEKDAY(A416,14)</f>
        <v>5</v>
      </c>
      <c r="E416">
        <f>VLOOKUP(D416,L$2:M$8,2,FALSE)</f>
        <v>0.05</v>
      </c>
      <c r="F416">
        <f t="shared" si="18"/>
        <v>3</v>
      </c>
      <c r="G416">
        <f>IF(F416&gt;F415,G415+B416*E416,B416*E416)</f>
        <v>0.29852050000000002</v>
      </c>
      <c r="H416">
        <f t="shared" si="19"/>
        <v>0.05</v>
      </c>
      <c r="I416">
        <f t="shared" si="20"/>
        <v>0</v>
      </c>
    </row>
    <row r="417" spans="1:9">
      <c r="A417" s="1">
        <v>39322</v>
      </c>
      <c r="B417">
        <v>5.9438000000000004</v>
      </c>
      <c r="C417">
        <v>6.3250000000000002</v>
      </c>
      <c r="D417">
        <f>WEEKDAY(A417,14)</f>
        <v>6</v>
      </c>
      <c r="E417">
        <f>VLOOKUP(D417,L$2:M$8,2,FALSE)</f>
        <v>0.7</v>
      </c>
      <c r="F417">
        <f t="shared" si="18"/>
        <v>4</v>
      </c>
      <c r="G417">
        <f>IF(F417&gt;F416,G416+B417*E417,B417*E417)</f>
        <v>4.4591805000000004</v>
      </c>
      <c r="H417">
        <f t="shared" si="19"/>
        <v>0.75</v>
      </c>
      <c r="I417">
        <f t="shared" si="20"/>
        <v>0</v>
      </c>
    </row>
    <row r="418" spans="1:9">
      <c r="A418" s="1">
        <v>39323</v>
      </c>
      <c r="B418">
        <v>5.9792699999999996</v>
      </c>
      <c r="C418">
        <v>6.3250000000000002</v>
      </c>
      <c r="D418">
        <f>WEEKDAY(A418,14)</f>
        <v>7</v>
      </c>
      <c r="E418">
        <f>VLOOKUP(D418,L$2:M$8,2,FALSE)</f>
        <v>0.25</v>
      </c>
      <c r="F418">
        <f t="shared" si="18"/>
        <v>5</v>
      </c>
      <c r="G418">
        <f>IF(F418&gt;F417,G417+B418*E418,B418*E418)</f>
        <v>5.9539980000000003</v>
      </c>
      <c r="H418">
        <f t="shared" si="19"/>
        <v>1</v>
      </c>
      <c r="I418">
        <f t="shared" si="20"/>
        <v>0</v>
      </c>
    </row>
    <row r="419" spans="1:9">
      <c r="A419" s="1">
        <v>39324</v>
      </c>
      <c r="B419">
        <v>5.9711400000000001</v>
      </c>
      <c r="C419">
        <v>6.335</v>
      </c>
      <c r="D419">
        <f>WEEKDAY(A419,14)</f>
        <v>1</v>
      </c>
      <c r="E419">
        <f>VLOOKUP(D419,L$2:M$8,2,FALSE)</f>
        <v>0</v>
      </c>
      <c r="F419">
        <f t="shared" si="18"/>
        <v>1</v>
      </c>
      <c r="G419">
        <f>IF(F419&gt;F418,G418+B419*E419,B419*E419)</f>
        <v>0</v>
      </c>
      <c r="H419">
        <f t="shared" si="19"/>
        <v>0</v>
      </c>
      <c r="I419">
        <f t="shared" si="20"/>
        <v>5.9539980000000003</v>
      </c>
    </row>
    <row r="420" spans="1:9">
      <c r="A420" s="1">
        <v>39325</v>
      </c>
      <c r="B420">
        <v>5.9934399999999997</v>
      </c>
      <c r="C420">
        <v>6.335</v>
      </c>
      <c r="D420">
        <f>WEEKDAY(A420,14)</f>
        <v>2</v>
      </c>
      <c r="E420">
        <f>VLOOKUP(D420,L$2:M$8,2,FALSE)</f>
        <v>0</v>
      </c>
      <c r="F420">
        <f t="shared" si="18"/>
        <v>2</v>
      </c>
      <c r="G420">
        <f>IF(F420&gt;F419,G419+B420*E420,B420*E420)</f>
        <v>0</v>
      </c>
      <c r="H420">
        <f t="shared" si="19"/>
        <v>0</v>
      </c>
      <c r="I420">
        <f t="shared" si="20"/>
        <v>0</v>
      </c>
    </row>
    <row r="421" spans="1:9">
      <c r="A421" s="1">
        <v>39329</v>
      </c>
      <c r="B421">
        <v>6.0156700000000001</v>
      </c>
      <c r="C421">
        <v>6.335</v>
      </c>
      <c r="D421">
        <f>WEEKDAY(A421,14)</f>
        <v>6</v>
      </c>
      <c r="E421">
        <f>VLOOKUP(D421,L$2:M$8,2,FALSE)</f>
        <v>0.7</v>
      </c>
      <c r="F421">
        <f t="shared" si="18"/>
        <v>3</v>
      </c>
      <c r="G421">
        <f>IF(F421&gt;F420,G420+B421*E421,B421*E421)</f>
        <v>4.2109689999999995</v>
      </c>
      <c r="H421">
        <f t="shared" si="19"/>
        <v>0.7</v>
      </c>
      <c r="I421">
        <f t="shared" si="20"/>
        <v>0</v>
      </c>
    </row>
    <row r="422" spans="1:9">
      <c r="A422" s="1">
        <v>39330</v>
      </c>
      <c r="B422">
        <v>5.9270699999999996</v>
      </c>
      <c r="C422">
        <v>6.335</v>
      </c>
      <c r="D422">
        <f>WEEKDAY(A422,14)</f>
        <v>7</v>
      </c>
      <c r="E422">
        <f>VLOOKUP(D422,L$2:M$8,2,FALSE)</f>
        <v>0.25</v>
      </c>
      <c r="F422">
        <f t="shared" si="18"/>
        <v>4</v>
      </c>
      <c r="G422">
        <f>IF(F422&gt;F421,G421+B422*E422,B422*E422)</f>
        <v>5.6927364999999996</v>
      </c>
      <c r="H422">
        <f t="shared" si="19"/>
        <v>0.95</v>
      </c>
      <c r="I422">
        <f t="shared" si="20"/>
        <v>0</v>
      </c>
    </row>
    <row r="423" spans="1:9">
      <c r="A423" s="1">
        <v>39331</v>
      </c>
      <c r="B423">
        <v>5.9335000000000004</v>
      </c>
      <c r="C423">
        <v>6.1849999999999996</v>
      </c>
      <c r="D423">
        <f>WEEKDAY(A423,14)</f>
        <v>1</v>
      </c>
      <c r="E423">
        <f>VLOOKUP(D423,L$2:M$8,2,FALSE)</f>
        <v>0</v>
      </c>
      <c r="F423">
        <f t="shared" si="18"/>
        <v>1</v>
      </c>
      <c r="G423">
        <f>IF(F423&gt;F422,G422+B423*E423,B423*E423)</f>
        <v>0</v>
      </c>
      <c r="H423">
        <f t="shared" si="19"/>
        <v>0</v>
      </c>
      <c r="I423">
        <f t="shared" si="20"/>
        <v>5.9923542105263161</v>
      </c>
    </row>
    <row r="424" spans="1:9">
      <c r="A424" s="1">
        <v>39332</v>
      </c>
      <c r="B424">
        <v>5.7613300000000001</v>
      </c>
      <c r="C424">
        <v>6.1849999999999996</v>
      </c>
      <c r="D424">
        <f>WEEKDAY(A424,14)</f>
        <v>2</v>
      </c>
      <c r="E424">
        <f>VLOOKUP(D424,L$2:M$8,2,FALSE)</f>
        <v>0</v>
      </c>
      <c r="F424">
        <f t="shared" si="18"/>
        <v>2</v>
      </c>
      <c r="G424">
        <f>IF(F424&gt;F423,G423+B424*E424,B424*E424)</f>
        <v>0</v>
      </c>
      <c r="H424">
        <f t="shared" si="19"/>
        <v>0</v>
      </c>
      <c r="I424">
        <f t="shared" si="20"/>
        <v>0</v>
      </c>
    </row>
    <row r="425" spans="1:9">
      <c r="A425" s="1">
        <v>39335</v>
      </c>
      <c r="B425">
        <v>5.7311300000000003</v>
      </c>
      <c r="C425">
        <v>6.1849999999999996</v>
      </c>
      <c r="D425">
        <f>WEEKDAY(A425,14)</f>
        <v>5</v>
      </c>
      <c r="E425">
        <f>VLOOKUP(D425,L$2:M$8,2,FALSE)</f>
        <v>0.05</v>
      </c>
      <c r="F425">
        <f t="shared" si="18"/>
        <v>3</v>
      </c>
      <c r="G425">
        <f>IF(F425&gt;F424,G424+B425*E425,B425*E425)</f>
        <v>0.28655650000000005</v>
      </c>
      <c r="H425">
        <f t="shared" si="19"/>
        <v>0.05</v>
      </c>
      <c r="I425">
        <f t="shared" si="20"/>
        <v>0</v>
      </c>
    </row>
    <row r="426" spans="1:9">
      <c r="A426" s="1">
        <v>39336</v>
      </c>
      <c r="B426">
        <v>5.8036500000000002</v>
      </c>
      <c r="C426">
        <v>6.1849999999999996</v>
      </c>
      <c r="D426">
        <f>WEEKDAY(A426,14)</f>
        <v>6</v>
      </c>
      <c r="E426">
        <f>VLOOKUP(D426,L$2:M$8,2,FALSE)</f>
        <v>0.7</v>
      </c>
      <c r="F426">
        <f t="shared" si="18"/>
        <v>4</v>
      </c>
      <c r="G426">
        <f>IF(F426&gt;F425,G425+B426*E426,B426*E426)</f>
        <v>4.3491114999999994</v>
      </c>
      <c r="H426">
        <f t="shared" si="19"/>
        <v>0.75</v>
      </c>
      <c r="I426">
        <f t="shared" si="20"/>
        <v>0</v>
      </c>
    </row>
    <row r="427" spans="1:9">
      <c r="A427" s="1">
        <v>39337</v>
      </c>
      <c r="B427">
        <v>5.8702199999999998</v>
      </c>
      <c r="C427">
        <v>6.1849999999999996</v>
      </c>
      <c r="D427">
        <f>WEEKDAY(A427,14)</f>
        <v>7</v>
      </c>
      <c r="E427">
        <f>VLOOKUP(D427,L$2:M$8,2,FALSE)</f>
        <v>0.25</v>
      </c>
      <c r="F427">
        <f t="shared" si="18"/>
        <v>5</v>
      </c>
      <c r="G427">
        <f>IF(F427&gt;F426,G426+B427*E427,B427*E427)</f>
        <v>5.8166664999999993</v>
      </c>
      <c r="H427">
        <f t="shared" si="19"/>
        <v>1</v>
      </c>
      <c r="I427">
        <f t="shared" si="20"/>
        <v>0</v>
      </c>
    </row>
    <row r="428" spans="1:9">
      <c r="A428" s="1">
        <v>39338</v>
      </c>
      <c r="B428">
        <v>5.9126000000000003</v>
      </c>
      <c r="C428">
        <v>6.2149999999999999</v>
      </c>
      <c r="D428">
        <f>WEEKDAY(A428,14)</f>
        <v>1</v>
      </c>
      <c r="E428">
        <f>VLOOKUP(D428,L$2:M$8,2,FALSE)</f>
        <v>0</v>
      </c>
      <c r="F428">
        <f t="shared" si="18"/>
        <v>1</v>
      </c>
      <c r="G428">
        <f>IF(F428&gt;F427,G427+B428*E428,B428*E428)</f>
        <v>0</v>
      </c>
      <c r="H428">
        <f t="shared" si="19"/>
        <v>0</v>
      </c>
      <c r="I428">
        <f t="shared" si="20"/>
        <v>5.8166664999999993</v>
      </c>
    </row>
    <row r="429" spans="1:9">
      <c r="A429" s="1">
        <v>39339</v>
      </c>
      <c r="B429">
        <v>5.8910600000000004</v>
      </c>
      <c r="C429">
        <v>6.2149999999999999</v>
      </c>
      <c r="D429">
        <f>WEEKDAY(A429,14)</f>
        <v>2</v>
      </c>
      <c r="E429">
        <f>VLOOKUP(D429,L$2:M$8,2,FALSE)</f>
        <v>0</v>
      </c>
      <c r="F429">
        <f t="shared" si="18"/>
        <v>2</v>
      </c>
      <c r="G429">
        <f>IF(F429&gt;F428,G428+B429*E429,B429*E429)</f>
        <v>0</v>
      </c>
      <c r="H429">
        <f t="shared" si="19"/>
        <v>0</v>
      </c>
      <c r="I429">
        <f t="shared" si="20"/>
        <v>0</v>
      </c>
    </row>
    <row r="430" spans="1:9">
      <c r="A430" s="1">
        <v>39342</v>
      </c>
      <c r="B430">
        <v>5.8940000000000001</v>
      </c>
      <c r="C430">
        <v>6.2149999999999999</v>
      </c>
      <c r="D430">
        <f>WEEKDAY(A430,14)</f>
        <v>5</v>
      </c>
      <c r="E430">
        <f>VLOOKUP(D430,L$2:M$8,2,FALSE)</f>
        <v>0.05</v>
      </c>
      <c r="F430">
        <f t="shared" si="18"/>
        <v>3</v>
      </c>
      <c r="G430">
        <f>IF(F430&gt;F429,G429+B430*E430,B430*E430)</f>
        <v>0.29470000000000002</v>
      </c>
      <c r="H430">
        <f t="shared" si="19"/>
        <v>0.05</v>
      </c>
      <c r="I430">
        <f t="shared" si="20"/>
        <v>0</v>
      </c>
    </row>
    <row r="431" spans="1:9">
      <c r="A431" s="1">
        <v>39343</v>
      </c>
      <c r="B431">
        <v>5.7982300000000002</v>
      </c>
      <c r="C431">
        <v>6.2149999999999999</v>
      </c>
      <c r="D431">
        <f>WEEKDAY(A431,14)</f>
        <v>6</v>
      </c>
      <c r="E431">
        <f>VLOOKUP(D431,L$2:M$8,2,FALSE)</f>
        <v>0.7</v>
      </c>
      <c r="F431">
        <f t="shared" si="18"/>
        <v>4</v>
      </c>
      <c r="G431">
        <f>IF(F431&gt;F430,G430+B431*E431,B431*E431)</f>
        <v>4.3534609999999994</v>
      </c>
      <c r="H431">
        <f t="shared" si="19"/>
        <v>0.75</v>
      </c>
      <c r="I431">
        <f t="shared" si="20"/>
        <v>0</v>
      </c>
    </row>
    <row r="432" spans="1:9">
      <c r="A432" s="1">
        <v>39344</v>
      </c>
      <c r="B432">
        <v>5.7949999999999999</v>
      </c>
      <c r="C432">
        <v>6.2149999999999999</v>
      </c>
      <c r="D432">
        <f>WEEKDAY(A432,14)</f>
        <v>7</v>
      </c>
      <c r="E432">
        <f>VLOOKUP(D432,L$2:M$8,2,FALSE)</f>
        <v>0.25</v>
      </c>
      <c r="F432">
        <f t="shared" si="18"/>
        <v>5</v>
      </c>
      <c r="G432">
        <f>IF(F432&gt;F431,G431+B432*E432,B432*E432)</f>
        <v>5.8022109999999998</v>
      </c>
      <c r="H432">
        <f t="shared" si="19"/>
        <v>1</v>
      </c>
      <c r="I432">
        <f t="shared" si="20"/>
        <v>0</v>
      </c>
    </row>
    <row r="433" spans="1:9">
      <c r="A433" s="1">
        <v>39345</v>
      </c>
      <c r="B433">
        <v>5.9655399999999998</v>
      </c>
      <c r="C433">
        <v>6.2949999999999999</v>
      </c>
      <c r="D433">
        <f>WEEKDAY(A433,14)</f>
        <v>1</v>
      </c>
      <c r="E433">
        <f>VLOOKUP(D433,L$2:M$8,2,FALSE)</f>
        <v>0</v>
      </c>
      <c r="F433">
        <f t="shared" si="18"/>
        <v>1</v>
      </c>
      <c r="G433">
        <f>IF(F433&gt;F432,G432+B433*E433,B433*E433)</f>
        <v>0</v>
      </c>
      <c r="H433">
        <f t="shared" si="19"/>
        <v>0</v>
      </c>
      <c r="I433">
        <f t="shared" si="20"/>
        <v>5.8022109999999998</v>
      </c>
    </row>
    <row r="434" spans="1:9">
      <c r="A434" s="1">
        <v>39346</v>
      </c>
      <c r="B434">
        <v>5.9516400000000003</v>
      </c>
      <c r="C434">
        <v>6.2949999999999999</v>
      </c>
      <c r="D434">
        <f>WEEKDAY(A434,14)</f>
        <v>2</v>
      </c>
      <c r="E434">
        <f>VLOOKUP(D434,L$2:M$8,2,FALSE)</f>
        <v>0</v>
      </c>
      <c r="F434">
        <f t="shared" si="18"/>
        <v>2</v>
      </c>
      <c r="G434">
        <f>IF(F434&gt;F433,G433+B434*E434,B434*E434)</f>
        <v>0</v>
      </c>
      <c r="H434">
        <f t="shared" si="19"/>
        <v>0</v>
      </c>
      <c r="I434">
        <f t="shared" si="20"/>
        <v>0</v>
      </c>
    </row>
    <row r="435" spans="1:9">
      <c r="A435" s="1">
        <v>39349</v>
      </c>
      <c r="B435">
        <v>5.9749600000000003</v>
      </c>
      <c r="C435">
        <v>6.2949999999999999</v>
      </c>
      <c r="D435">
        <f>WEEKDAY(A435,14)</f>
        <v>5</v>
      </c>
      <c r="E435">
        <f>VLOOKUP(D435,L$2:M$8,2,FALSE)</f>
        <v>0.05</v>
      </c>
      <c r="F435">
        <f t="shared" si="18"/>
        <v>3</v>
      </c>
      <c r="G435">
        <f>IF(F435&gt;F434,G434+B435*E435,B435*E435)</f>
        <v>0.29874800000000001</v>
      </c>
      <c r="H435">
        <f t="shared" si="19"/>
        <v>0.05</v>
      </c>
      <c r="I435">
        <f t="shared" si="20"/>
        <v>0</v>
      </c>
    </row>
    <row r="436" spans="1:9">
      <c r="A436" s="1">
        <v>39350</v>
      </c>
      <c r="B436">
        <v>5.97037</v>
      </c>
      <c r="C436">
        <v>6.2949999999999999</v>
      </c>
      <c r="D436">
        <f>WEEKDAY(A436,14)</f>
        <v>6</v>
      </c>
      <c r="E436">
        <f>VLOOKUP(D436,L$2:M$8,2,FALSE)</f>
        <v>0.7</v>
      </c>
      <c r="F436">
        <f t="shared" si="18"/>
        <v>4</v>
      </c>
      <c r="G436">
        <f>IF(F436&gt;F435,G435+B436*E436,B436*E436)</f>
        <v>4.4780069999999998</v>
      </c>
      <c r="H436">
        <f t="shared" si="19"/>
        <v>0.75</v>
      </c>
      <c r="I436">
        <f t="shared" si="20"/>
        <v>0</v>
      </c>
    </row>
    <row r="437" spans="1:9">
      <c r="A437" s="1">
        <v>39351</v>
      </c>
      <c r="B437">
        <v>5.98048</v>
      </c>
      <c r="C437">
        <v>6.2949999999999999</v>
      </c>
      <c r="D437">
        <f>WEEKDAY(A437,14)</f>
        <v>7</v>
      </c>
      <c r="E437">
        <f>VLOOKUP(D437,L$2:M$8,2,FALSE)</f>
        <v>0.25</v>
      </c>
      <c r="F437">
        <f t="shared" si="18"/>
        <v>5</v>
      </c>
      <c r="G437">
        <f>IF(F437&gt;F436,G436+B437*E437,B437*E437)</f>
        <v>5.9731269999999999</v>
      </c>
      <c r="H437">
        <f t="shared" si="19"/>
        <v>1</v>
      </c>
      <c r="I437">
        <f t="shared" si="20"/>
        <v>0</v>
      </c>
    </row>
    <row r="438" spans="1:9">
      <c r="A438" s="1">
        <v>39352</v>
      </c>
      <c r="B438">
        <v>5.9237299999999999</v>
      </c>
      <c r="C438">
        <v>6.2450000000000001</v>
      </c>
      <c r="D438">
        <f>WEEKDAY(A438,14)</f>
        <v>1</v>
      </c>
      <c r="E438">
        <f>VLOOKUP(D438,L$2:M$8,2,FALSE)</f>
        <v>0</v>
      </c>
      <c r="F438">
        <f t="shared" si="18"/>
        <v>1</v>
      </c>
      <c r="G438">
        <f>IF(F438&gt;F437,G437+B438*E438,B438*E438)</f>
        <v>0</v>
      </c>
      <c r="H438">
        <f t="shared" si="19"/>
        <v>0</v>
      </c>
      <c r="I438">
        <f t="shared" si="20"/>
        <v>5.9731269999999999</v>
      </c>
    </row>
    <row r="439" spans="1:9">
      <c r="A439" s="1">
        <v>39353</v>
      </c>
      <c r="B439">
        <v>5.9506600000000001</v>
      </c>
      <c r="C439">
        <v>6.2450000000000001</v>
      </c>
      <c r="D439">
        <f>WEEKDAY(A439,14)</f>
        <v>2</v>
      </c>
      <c r="E439">
        <f>VLOOKUP(D439,L$2:M$8,2,FALSE)</f>
        <v>0</v>
      </c>
      <c r="F439">
        <f t="shared" si="18"/>
        <v>2</v>
      </c>
      <c r="G439">
        <f>IF(F439&gt;F438,G438+B439*E439,B439*E439)</f>
        <v>0</v>
      </c>
      <c r="H439">
        <f t="shared" si="19"/>
        <v>0</v>
      </c>
      <c r="I439">
        <f t="shared" si="20"/>
        <v>0</v>
      </c>
    </row>
    <row r="440" spans="1:9">
      <c r="A440" s="1">
        <v>39356</v>
      </c>
      <c r="B440">
        <v>5.93729</v>
      </c>
      <c r="C440">
        <v>6.2450000000000001</v>
      </c>
      <c r="D440">
        <f>WEEKDAY(A440,14)</f>
        <v>5</v>
      </c>
      <c r="E440">
        <f>VLOOKUP(D440,L$2:M$8,2,FALSE)</f>
        <v>0.05</v>
      </c>
      <c r="F440">
        <f t="shared" si="18"/>
        <v>3</v>
      </c>
      <c r="G440">
        <f>IF(F440&gt;F439,G439+B440*E440,B440*E440)</f>
        <v>0.29686450000000003</v>
      </c>
      <c r="H440">
        <f t="shared" si="19"/>
        <v>0.05</v>
      </c>
      <c r="I440">
        <f t="shared" si="20"/>
        <v>0</v>
      </c>
    </row>
    <row r="441" spans="1:9">
      <c r="A441" s="1">
        <v>39357</v>
      </c>
      <c r="B441">
        <v>5.9181100000000004</v>
      </c>
      <c r="C441">
        <v>6.2450000000000001</v>
      </c>
      <c r="D441">
        <f>WEEKDAY(A441,14)</f>
        <v>6</v>
      </c>
      <c r="E441">
        <f>VLOOKUP(D441,L$2:M$8,2,FALSE)</f>
        <v>0.7</v>
      </c>
      <c r="F441">
        <f t="shared" si="18"/>
        <v>4</v>
      </c>
      <c r="G441">
        <f>IF(F441&gt;F440,G440+B441*E441,B441*E441)</f>
        <v>4.4395414999999998</v>
      </c>
      <c r="H441">
        <f t="shared" si="19"/>
        <v>0.75</v>
      </c>
      <c r="I441">
        <f t="shared" si="20"/>
        <v>0</v>
      </c>
    </row>
    <row r="442" spans="1:9">
      <c r="A442" s="1">
        <v>39358</v>
      </c>
      <c r="B442">
        <v>5.9055099999999996</v>
      </c>
      <c r="C442">
        <v>6.2450000000000001</v>
      </c>
      <c r="D442">
        <f>WEEKDAY(A442,14)</f>
        <v>7</v>
      </c>
      <c r="E442">
        <f>VLOOKUP(D442,L$2:M$8,2,FALSE)</f>
        <v>0.25</v>
      </c>
      <c r="F442">
        <f t="shared" si="18"/>
        <v>5</v>
      </c>
      <c r="G442">
        <f>IF(F442&gt;F441,G441+B442*E442,B442*E442)</f>
        <v>5.9159189999999997</v>
      </c>
      <c r="H442">
        <f t="shared" si="19"/>
        <v>1</v>
      </c>
      <c r="I442">
        <f t="shared" si="20"/>
        <v>0</v>
      </c>
    </row>
    <row r="443" spans="1:9">
      <c r="A443" s="1">
        <v>39359</v>
      </c>
      <c r="B443">
        <v>5.8890900000000004</v>
      </c>
      <c r="C443">
        <v>6.25</v>
      </c>
      <c r="D443">
        <f>WEEKDAY(A443,14)</f>
        <v>1</v>
      </c>
      <c r="E443">
        <f>VLOOKUP(D443,L$2:M$8,2,FALSE)</f>
        <v>0</v>
      </c>
      <c r="F443">
        <f t="shared" si="18"/>
        <v>1</v>
      </c>
      <c r="G443">
        <f>IF(F443&gt;F442,G442+B443*E443,B443*E443)</f>
        <v>0</v>
      </c>
      <c r="H443">
        <f t="shared" si="19"/>
        <v>0</v>
      </c>
      <c r="I443">
        <f t="shared" si="20"/>
        <v>5.9159189999999997</v>
      </c>
    </row>
    <row r="444" spans="1:9">
      <c r="A444" s="1">
        <v>39360</v>
      </c>
      <c r="B444">
        <v>5.9848699999999999</v>
      </c>
      <c r="C444">
        <v>6.25</v>
      </c>
      <c r="D444">
        <f>WEEKDAY(A444,14)</f>
        <v>2</v>
      </c>
      <c r="E444">
        <f>VLOOKUP(D444,L$2:M$8,2,FALSE)</f>
        <v>0</v>
      </c>
      <c r="F444">
        <f t="shared" si="18"/>
        <v>2</v>
      </c>
      <c r="G444">
        <f>IF(F444&gt;F443,G443+B444*E444,B444*E444)</f>
        <v>0</v>
      </c>
      <c r="H444">
        <f t="shared" si="19"/>
        <v>0</v>
      </c>
      <c r="I444">
        <f t="shared" si="20"/>
        <v>0</v>
      </c>
    </row>
    <row r="445" spans="1:9">
      <c r="A445" s="1">
        <v>39364</v>
      </c>
      <c r="B445">
        <v>5.9840799999999996</v>
      </c>
      <c r="C445">
        <v>6.25</v>
      </c>
      <c r="D445">
        <f>WEEKDAY(A445,14)</f>
        <v>6</v>
      </c>
      <c r="E445">
        <f>VLOOKUP(D445,L$2:M$8,2,FALSE)</f>
        <v>0.7</v>
      </c>
      <c r="F445">
        <f t="shared" si="18"/>
        <v>3</v>
      </c>
      <c r="G445">
        <f>IF(F445&gt;F444,G444+B445*E445,B445*E445)</f>
        <v>4.1888559999999995</v>
      </c>
      <c r="H445">
        <f t="shared" si="19"/>
        <v>0.7</v>
      </c>
      <c r="I445">
        <f t="shared" si="20"/>
        <v>0</v>
      </c>
    </row>
    <row r="446" spans="1:9">
      <c r="A446" s="1">
        <v>39365</v>
      </c>
      <c r="B446">
        <v>5.9849699999999997</v>
      </c>
      <c r="C446">
        <v>6.25</v>
      </c>
      <c r="D446">
        <f>WEEKDAY(A446,14)</f>
        <v>7</v>
      </c>
      <c r="E446">
        <f>VLOOKUP(D446,L$2:M$8,2,FALSE)</f>
        <v>0.25</v>
      </c>
      <c r="F446">
        <f t="shared" si="18"/>
        <v>4</v>
      </c>
      <c r="G446">
        <f>IF(F446&gt;F445,G445+B446*E446,B446*E446)</f>
        <v>5.6850984999999996</v>
      </c>
      <c r="H446">
        <f t="shared" si="19"/>
        <v>0.95</v>
      </c>
      <c r="I446">
        <f t="shared" si="20"/>
        <v>0</v>
      </c>
    </row>
    <row r="447" spans="1:9">
      <c r="A447" s="1">
        <v>39366</v>
      </c>
      <c r="B447">
        <v>5.9680999999999997</v>
      </c>
      <c r="C447">
        <v>6.2750000000000004</v>
      </c>
      <c r="D447">
        <f>WEEKDAY(A447,14)</f>
        <v>1</v>
      </c>
      <c r="E447">
        <f>VLOOKUP(D447,L$2:M$8,2,FALSE)</f>
        <v>0</v>
      </c>
      <c r="F447">
        <f t="shared" si="18"/>
        <v>1</v>
      </c>
      <c r="G447">
        <f>IF(F447&gt;F446,G446+B447*E447,B447*E447)</f>
        <v>0</v>
      </c>
      <c r="H447">
        <f t="shared" si="19"/>
        <v>0</v>
      </c>
      <c r="I447">
        <f t="shared" si="20"/>
        <v>5.9843142105263158</v>
      </c>
    </row>
    <row r="448" spans="1:9">
      <c r="A448" s="1">
        <v>39367</v>
      </c>
      <c r="B448">
        <v>5.9816099999999999</v>
      </c>
      <c r="C448">
        <v>6.2750000000000004</v>
      </c>
      <c r="D448">
        <f>WEEKDAY(A448,14)</f>
        <v>2</v>
      </c>
      <c r="E448">
        <f>VLOOKUP(D448,L$2:M$8,2,FALSE)</f>
        <v>0</v>
      </c>
      <c r="F448">
        <f t="shared" si="18"/>
        <v>2</v>
      </c>
      <c r="G448">
        <f>IF(F448&gt;F447,G447+B448*E448,B448*E448)</f>
        <v>0</v>
      </c>
      <c r="H448">
        <f t="shared" si="19"/>
        <v>0</v>
      </c>
      <c r="I448">
        <f t="shared" si="20"/>
        <v>0</v>
      </c>
    </row>
    <row r="449" spans="1:9">
      <c r="A449" s="1">
        <v>39370</v>
      </c>
      <c r="B449">
        <v>5.9821299999999997</v>
      </c>
      <c r="C449">
        <v>6.2750000000000004</v>
      </c>
      <c r="D449">
        <f>WEEKDAY(A449,14)</f>
        <v>5</v>
      </c>
      <c r="E449">
        <f>VLOOKUP(D449,L$2:M$8,2,FALSE)</f>
        <v>0.05</v>
      </c>
      <c r="F449">
        <f t="shared" si="18"/>
        <v>3</v>
      </c>
      <c r="G449">
        <f>IF(F449&gt;F448,G448+B449*E449,B449*E449)</f>
        <v>0.2991065</v>
      </c>
      <c r="H449">
        <f t="shared" si="19"/>
        <v>0.05</v>
      </c>
      <c r="I449">
        <f t="shared" si="20"/>
        <v>0</v>
      </c>
    </row>
    <row r="450" spans="1:9">
      <c r="A450" s="1">
        <v>39371</v>
      </c>
      <c r="B450">
        <v>5.9741</v>
      </c>
      <c r="C450">
        <v>6.2750000000000004</v>
      </c>
      <c r="D450">
        <f>WEEKDAY(A450,14)</f>
        <v>6</v>
      </c>
      <c r="E450">
        <f>VLOOKUP(D450,L$2:M$8,2,FALSE)</f>
        <v>0.7</v>
      </c>
      <c r="F450">
        <f t="shared" si="18"/>
        <v>4</v>
      </c>
      <c r="G450">
        <f>IF(F450&gt;F449,G449+B450*E450,B450*E450)</f>
        <v>4.4809764999999997</v>
      </c>
      <c r="H450">
        <f t="shared" si="19"/>
        <v>0.75</v>
      </c>
      <c r="I450">
        <f t="shared" si="20"/>
        <v>0</v>
      </c>
    </row>
    <row r="451" spans="1:9">
      <c r="A451" s="1">
        <v>39372</v>
      </c>
      <c r="B451">
        <v>5.9041399999999999</v>
      </c>
      <c r="C451">
        <v>6.2750000000000004</v>
      </c>
      <c r="D451">
        <f>WEEKDAY(A451,14)</f>
        <v>7</v>
      </c>
      <c r="E451">
        <f>VLOOKUP(D451,L$2:M$8,2,FALSE)</f>
        <v>0.25</v>
      </c>
      <c r="F451">
        <f t="shared" ref="F451:F514" si="21">IF(AND(D451&gt;D450,F450&lt;6),F450+1,1)</f>
        <v>5</v>
      </c>
      <c r="G451">
        <f>IF(F451&gt;F450,G450+B451*E451,B451*E451)</f>
        <v>5.9570115000000001</v>
      </c>
      <c r="H451">
        <f t="shared" si="19"/>
        <v>1</v>
      </c>
      <c r="I451">
        <f t="shared" si="20"/>
        <v>0</v>
      </c>
    </row>
    <row r="452" spans="1:9">
      <c r="A452" s="1">
        <v>39373</v>
      </c>
      <c r="B452">
        <v>5.85501</v>
      </c>
      <c r="C452">
        <v>6.2050000000000001</v>
      </c>
      <c r="D452">
        <f>WEEKDAY(A452,14)</f>
        <v>1</v>
      </c>
      <c r="E452">
        <f>VLOOKUP(D452,L$2:M$8,2,FALSE)</f>
        <v>0</v>
      </c>
      <c r="F452">
        <f t="shared" si="21"/>
        <v>1</v>
      </c>
      <c r="G452">
        <f>IF(F452&gt;F451,G451+B452*E452,B452*E452)</f>
        <v>0</v>
      </c>
      <c r="H452">
        <f t="shared" ref="H452:H515" si="22">IF(AND(F452&lt;6,F452&gt;F451),E452+H451,E452)</f>
        <v>0</v>
      </c>
      <c r="I452">
        <f t="shared" ref="I452:I515" si="23">IF(F451&gt;F452,G451/H451,0)</f>
        <v>5.9570115000000001</v>
      </c>
    </row>
    <row r="453" spans="1:9">
      <c r="A453" s="1">
        <v>39374</v>
      </c>
      <c r="B453">
        <v>5.7882600000000002</v>
      </c>
      <c r="C453">
        <v>6.2050000000000001</v>
      </c>
      <c r="D453">
        <f>WEEKDAY(A453,14)</f>
        <v>2</v>
      </c>
      <c r="E453">
        <f>VLOOKUP(D453,L$2:M$8,2,FALSE)</f>
        <v>0</v>
      </c>
      <c r="F453">
        <f t="shared" si="21"/>
        <v>2</v>
      </c>
      <c r="G453">
        <f>IF(F453&gt;F452,G452+B453*E453,B453*E453)</f>
        <v>0</v>
      </c>
      <c r="H453">
        <f t="shared" si="22"/>
        <v>0</v>
      </c>
      <c r="I453">
        <f t="shared" si="23"/>
        <v>0</v>
      </c>
    </row>
    <row r="454" spans="1:9">
      <c r="A454" s="1">
        <v>39377</v>
      </c>
      <c r="B454">
        <v>5.7905300000000004</v>
      </c>
      <c r="C454">
        <v>6.2050000000000001</v>
      </c>
      <c r="D454">
        <f>WEEKDAY(A454,14)</f>
        <v>5</v>
      </c>
      <c r="E454">
        <f>VLOOKUP(D454,L$2:M$8,2,FALSE)</f>
        <v>0.05</v>
      </c>
      <c r="F454">
        <f t="shared" si="21"/>
        <v>3</v>
      </c>
      <c r="G454">
        <f>IF(F454&gt;F453,G453+B454*E454,B454*E454)</f>
        <v>0.28952650000000002</v>
      </c>
      <c r="H454">
        <f t="shared" si="22"/>
        <v>0.05</v>
      </c>
      <c r="I454">
        <f t="shared" si="23"/>
        <v>0</v>
      </c>
    </row>
    <row r="455" spans="1:9">
      <c r="A455" s="1">
        <v>39378</v>
      </c>
      <c r="B455">
        <v>5.7736299999999998</v>
      </c>
      <c r="C455">
        <v>6.2050000000000001</v>
      </c>
      <c r="D455">
        <f>WEEKDAY(A455,14)</f>
        <v>6</v>
      </c>
      <c r="E455">
        <f>VLOOKUP(D455,L$2:M$8,2,FALSE)</f>
        <v>0.7</v>
      </c>
      <c r="F455">
        <f t="shared" si="21"/>
        <v>4</v>
      </c>
      <c r="G455">
        <f>IF(F455&gt;F454,G454+B455*E455,B455*E455)</f>
        <v>4.3310674999999996</v>
      </c>
      <c r="H455">
        <f t="shared" si="22"/>
        <v>0.75</v>
      </c>
      <c r="I455">
        <f t="shared" si="23"/>
        <v>0</v>
      </c>
    </row>
    <row r="456" spans="1:9">
      <c r="A456" s="1">
        <v>39379</v>
      </c>
      <c r="B456">
        <v>5.68865</v>
      </c>
      <c r="C456">
        <v>6.2050000000000001</v>
      </c>
      <c r="D456">
        <f>WEEKDAY(A456,14)</f>
        <v>7</v>
      </c>
      <c r="E456">
        <f>VLOOKUP(D456,L$2:M$8,2,FALSE)</f>
        <v>0.25</v>
      </c>
      <c r="F456">
        <f t="shared" si="21"/>
        <v>5</v>
      </c>
      <c r="G456">
        <f>IF(F456&gt;F455,G455+B456*E456,B456*E456)</f>
        <v>5.7532299999999994</v>
      </c>
      <c r="H456">
        <f t="shared" si="22"/>
        <v>1</v>
      </c>
      <c r="I456">
        <f t="shared" si="23"/>
        <v>0</v>
      </c>
    </row>
    <row r="457" spans="1:9">
      <c r="A457" s="1">
        <v>39380</v>
      </c>
      <c r="B457">
        <v>5.6981400000000004</v>
      </c>
      <c r="C457">
        <v>6.11</v>
      </c>
      <c r="D457">
        <f>WEEKDAY(A457,14)</f>
        <v>1</v>
      </c>
      <c r="E457">
        <f>VLOOKUP(D457,L$2:M$8,2,FALSE)</f>
        <v>0</v>
      </c>
      <c r="F457">
        <f t="shared" si="21"/>
        <v>1</v>
      </c>
      <c r="G457">
        <f>IF(F457&gt;F456,G456+B457*E457,B457*E457)</f>
        <v>0</v>
      </c>
      <c r="H457">
        <f t="shared" si="22"/>
        <v>0</v>
      </c>
      <c r="I457">
        <f t="shared" si="23"/>
        <v>5.7532299999999994</v>
      </c>
    </row>
    <row r="458" spans="1:9">
      <c r="A458" s="1">
        <v>39381</v>
      </c>
      <c r="B458">
        <v>5.7512999999999996</v>
      </c>
      <c r="C458">
        <v>6.11</v>
      </c>
      <c r="D458">
        <f>WEEKDAY(A458,14)</f>
        <v>2</v>
      </c>
      <c r="E458">
        <f>VLOOKUP(D458,L$2:M$8,2,FALSE)</f>
        <v>0</v>
      </c>
      <c r="F458">
        <f t="shared" si="21"/>
        <v>2</v>
      </c>
      <c r="G458">
        <f>IF(F458&gt;F457,G457+B458*E458,B458*E458)</f>
        <v>0</v>
      </c>
      <c r="H458">
        <f t="shared" si="22"/>
        <v>0</v>
      </c>
      <c r="I458">
        <f t="shared" si="23"/>
        <v>0</v>
      </c>
    </row>
    <row r="459" spans="1:9">
      <c r="A459" s="1">
        <v>39384</v>
      </c>
      <c r="B459">
        <v>5.7405299999999997</v>
      </c>
      <c r="C459">
        <v>6.11</v>
      </c>
      <c r="D459">
        <f>WEEKDAY(A459,14)</f>
        <v>5</v>
      </c>
      <c r="E459">
        <f>VLOOKUP(D459,L$2:M$8,2,FALSE)</f>
        <v>0.05</v>
      </c>
      <c r="F459">
        <f t="shared" si="21"/>
        <v>3</v>
      </c>
      <c r="G459">
        <f>IF(F459&gt;F458,G458+B459*E459,B459*E459)</f>
        <v>0.28702650000000002</v>
      </c>
      <c r="H459">
        <f t="shared" si="22"/>
        <v>0.05</v>
      </c>
      <c r="I459">
        <f t="shared" si="23"/>
        <v>0</v>
      </c>
    </row>
    <row r="460" spans="1:9">
      <c r="A460" s="1">
        <v>39385</v>
      </c>
      <c r="B460">
        <v>5.74383</v>
      </c>
      <c r="C460">
        <v>6.11</v>
      </c>
      <c r="D460">
        <f>WEEKDAY(A460,14)</f>
        <v>6</v>
      </c>
      <c r="E460">
        <f>VLOOKUP(D460,L$2:M$8,2,FALSE)</f>
        <v>0.7</v>
      </c>
      <c r="F460">
        <f t="shared" si="21"/>
        <v>4</v>
      </c>
      <c r="G460">
        <f>IF(F460&gt;F459,G459+B460*E460,B460*E460)</f>
        <v>4.3077074999999994</v>
      </c>
      <c r="H460">
        <f t="shared" si="22"/>
        <v>0.75</v>
      </c>
      <c r="I460">
        <f t="shared" si="23"/>
        <v>0</v>
      </c>
    </row>
    <row r="461" spans="1:9">
      <c r="A461" s="1">
        <v>39386</v>
      </c>
      <c r="B461">
        <v>5.8263600000000002</v>
      </c>
      <c r="C461">
        <v>6.11</v>
      </c>
      <c r="D461">
        <f>WEEKDAY(A461,14)</f>
        <v>7</v>
      </c>
      <c r="E461">
        <f>VLOOKUP(D461,L$2:M$8,2,FALSE)</f>
        <v>0.25</v>
      </c>
      <c r="F461">
        <f t="shared" si="21"/>
        <v>5</v>
      </c>
      <c r="G461">
        <f>IF(F461&gt;F460,G460+B461*E461,B461*E461)</f>
        <v>5.7642974999999996</v>
      </c>
      <c r="H461">
        <f t="shared" si="22"/>
        <v>1</v>
      </c>
      <c r="I461">
        <f t="shared" si="23"/>
        <v>0</v>
      </c>
    </row>
    <row r="462" spans="1:9">
      <c r="A462" s="1">
        <v>39387</v>
      </c>
      <c r="B462">
        <v>5.76173</v>
      </c>
      <c r="C462">
        <v>6.09</v>
      </c>
      <c r="D462">
        <f>WEEKDAY(A462,14)</f>
        <v>1</v>
      </c>
      <c r="E462">
        <f>VLOOKUP(D462,L$2:M$8,2,FALSE)</f>
        <v>0</v>
      </c>
      <c r="F462">
        <f t="shared" si="21"/>
        <v>1</v>
      </c>
      <c r="G462">
        <f>IF(F462&gt;F461,G461+B462*E462,B462*E462)</f>
        <v>0</v>
      </c>
      <c r="H462">
        <f t="shared" si="22"/>
        <v>0</v>
      </c>
      <c r="I462">
        <f t="shared" si="23"/>
        <v>5.7642974999999996</v>
      </c>
    </row>
    <row r="463" spans="1:9">
      <c r="A463" s="1">
        <v>39388</v>
      </c>
      <c r="B463">
        <v>5.7240399999999996</v>
      </c>
      <c r="C463">
        <v>6.09</v>
      </c>
      <c r="D463">
        <f>WEEKDAY(A463,14)</f>
        <v>2</v>
      </c>
      <c r="E463">
        <f>VLOOKUP(D463,L$2:M$8,2,FALSE)</f>
        <v>0</v>
      </c>
      <c r="F463">
        <f t="shared" si="21"/>
        <v>2</v>
      </c>
      <c r="G463">
        <f>IF(F463&gt;F462,G462+B463*E463,B463*E463)</f>
        <v>0</v>
      </c>
      <c r="H463">
        <f t="shared" si="22"/>
        <v>0</v>
      </c>
      <c r="I463">
        <f t="shared" si="23"/>
        <v>0</v>
      </c>
    </row>
    <row r="464" spans="1:9">
      <c r="A464" s="1">
        <v>39391</v>
      </c>
      <c r="B464">
        <v>5.8142899999999997</v>
      </c>
      <c r="C464">
        <v>6.09</v>
      </c>
      <c r="D464">
        <f>WEEKDAY(A464,14)</f>
        <v>5</v>
      </c>
      <c r="E464">
        <f>VLOOKUP(D464,L$2:M$8,2,FALSE)</f>
        <v>0.05</v>
      </c>
      <c r="F464">
        <f t="shared" si="21"/>
        <v>3</v>
      </c>
      <c r="G464">
        <f>IF(F464&gt;F463,G463+B464*E464,B464*E464)</f>
        <v>0.29071449999999999</v>
      </c>
      <c r="H464">
        <f t="shared" si="22"/>
        <v>0.05</v>
      </c>
      <c r="I464">
        <f t="shared" si="23"/>
        <v>0</v>
      </c>
    </row>
    <row r="465" spans="1:9">
      <c r="A465" s="1">
        <v>39392</v>
      </c>
      <c r="B465">
        <v>5.8659800000000004</v>
      </c>
      <c r="C465">
        <v>6.09</v>
      </c>
      <c r="D465">
        <f>WEEKDAY(A465,14)</f>
        <v>6</v>
      </c>
      <c r="E465">
        <f>VLOOKUP(D465,L$2:M$8,2,FALSE)</f>
        <v>0.7</v>
      </c>
      <c r="F465">
        <f t="shared" si="21"/>
        <v>4</v>
      </c>
      <c r="G465">
        <f>IF(F465&gt;F464,G464+B465*E465,B465*E465)</f>
        <v>4.3969005000000001</v>
      </c>
      <c r="H465">
        <f t="shared" si="22"/>
        <v>0.75</v>
      </c>
      <c r="I465">
        <f t="shared" si="23"/>
        <v>0</v>
      </c>
    </row>
    <row r="466" spans="1:9">
      <c r="A466" s="1">
        <v>39393</v>
      </c>
      <c r="B466">
        <v>5.8713699999999998</v>
      </c>
      <c r="C466">
        <v>6.09</v>
      </c>
      <c r="D466">
        <f>WEEKDAY(A466,14)</f>
        <v>7</v>
      </c>
      <c r="E466">
        <f>VLOOKUP(D466,L$2:M$8,2,FALSE)</f>
        <v>0.25</v>
      </c>
      <c r="F466">
        <f t="shared" si="21"/>
        <v>5</v>
      </c>
      <c r="G466">
        <f>IF(F466&gt;F465,G465+B466*E466,B466*E466)</f>
        <v>5.8647429999999998</v>
      </c>
      <c r="H466">
        <f t="shared" si="22"/>
        <v>1</v>
      </c>
      <c r="I466">
        <f t="shared" si="23"/>
        <v>0</v>
      </c>
    </row>
    <row r="467" spans="1:9">
      <c r="A467" s="1">
        <v>39394</v>
      </c>
      <c r="B467">
        <v>5.8519199999999998</v>
      </c>
      <c r="C467">
        <v>6.09</v>
      </c>
      <c r="D467">
        <f>WEEKDAY(A467,14)</f>
        <v>1</v>
      </c>
      <c r="E467">
        <f>VLOOKUP(D467,L$2:M$8,2,FALSE)</f>
        <v>0</v>
      </c>
      <c r="F467">
        <f t="shared" si="21"/>
        <v>1</v>
      </c>
      <c r="G467">
        <f>IF(F467&gt;F466,G466+B467*E467,B467*E467)</f>
        <v>0</v>
      </c>
      <c r="H467">
        <f t="shared" si="22"/>
        <v>0</v>
      </c>
      <c r="I467">
        <f t="shared" si="23"/>
        <v>5.8647429999999998</v>
      </c>
    </row>
    <row r="468" spans="1:9">
      <c r="A468" s="1">
        <v>39395</v>
      </c>
      <c r="B468">
        <v>5.81494</v>
      </c>
      <c r="C468">
        <v>6.09</v>
      </c>
      <c r="D468">
        <f>WEEKDAY(A468,14)</f>
        <v>2</v>
      </c>
      <c r="E468">
        <f>VLOOKUP(D468,L$2:M$8,2,FALSE)</f>
        <v>0</v>
      </c>
      <c r="F468">
        <f t="shared" si="21"/>
        <v>2</v>
      </c>
      <c r="G468">
        <f>IF(F468&gt;F467,G467+B468*E468,B468*E468)</f>
        <v>0</v>
      </c>
      <c r="H468">
        <f t="shared" si="22"/>
        <v>0</v>
      </c>
      <c r="I468">
        <f t="shared" si="23"/>
        <v>0</v>
      </c>
    </row>
    <row r="469" spans="1:9">
      <c r="A469" s="1">
        <v>39399</v>
      </c>
      <c r="B469">
        <v>5.8307900000000004</v>
      </c>
      <c r="C469">
        <v>6.09</v>
      </c>
      <c r="D469">
        <f>WEEKDAY(A469,14)</f>
        <v>6</v>
      </c>
      <c r="E469">
        <f>VLOOKUP(D469,L$2:M$8,2,FALSE)</f>
        <v>0.7</v>
      </c>
      <c r="F469">
        <f t="shared" si="21"/>
        <v>3</v>
      </c>
      <c r="G469">
        <f>IF(F469&gt;F468,G468+B469*E469,B469*E469)</f>
        <v>4.0815530000000004</v>
      </c>
      <c r="H469">
        <f t="shared" si="22"/>
        <v>0.7</v>
      </c>
      <c r="I469">
        <f t="shared" si="23"/>
        <v>0</v>
      </c>
    </row>
    <row r="470" spans="1:9">
      <c r="A470" s="1">
        <v>39400</v>
      </c>
      <c r="B470">
        <v>5.8123699999999996</v>
      </c>
      <c r="C470">
        <v>6.0750000000000002</v>
      </c>
      <c r="D470">
        <f>WEEKDAY(A470,14)</f>
        <v>7</v>
      </c>
      <c r="E470">
        <f>VLOOKUP(D470,L$2:M$8,2,FALSE)</f>
        <v>0.25</v>
      </c>
      <c r="F470">
        <f t="shared" si="21"/>
        <v>4</v>
      </c>
      <c r="G470">
        <f>IF(F470&gt;F469,G469+B470*E470,B470*E470)</f>
        <v>5.5346454999999999</v>
      </c>
      <c r="H470">
        <f t="shared" si="22"/>
        <v>0.95</v>
      </c>
      <c r="I470">
        <f t="shared" si="23"/>
        <v>0</v>
      </c>
    </row>
    <row r="471" spans="1:9">
      <c r="A471" s="1">
        <v>39401</v>
      </c>
      <c r="B471">
        <v>5.7431299999999998</v>
      </c>
      <c r="C471">
        <v>6.0750000000000002</v>
      </c>
      <c r="D471">
        <f>WEEKDAY(A471,14)</f>
        <v>1</v>
      </c>
      <c r="E471">
        <f>VLOOKUP(D471,L$2:M$8,2,FALSE)</f>
        <v>0</v>
      </c>
      <c r="F471">
        <f t="shared" si="21"/>
        <v>1</v>
      </c>
      <c r="G471">
        <f>IF(F471&gt;F470,G470+B471*E471,B471*E471)</f>
        <v>0</v>
      </c>
      <c r="H471">
        <f t="shared" si="22"/>
        <v>0</v>
      </c>
      <c r="I471">
        <f t="shared" si="23"/>
        <v>5.8259426315789478</v>
      </c>
    </row>
    <row r="472" spans="1:9">
      <c r="A472" s="1">
        <v>39402</v>
      </c>
      <c r="B472">
        <v>5.7736799999999997</v>
      </c>
      <c r="C472">
        <v>6.0750000000000002</v>
      </c>
      <c r="D472">
        <f>WEEKDAY(A472,14)</f>
        <v>2</v>
      </c>
      <c r="E472">
        <f>VLOOKUP(D472,L$2:M$8,2,FALSE)</f>
        <v>0</v>
      </c>
      <c r="F472">
        <f t="shared" si="21"/>
        <v>2</v>
      </c>
      <c r="G472">
        <f>IF(F472&gt;F471,G471+B472*E472,B472*E472)</f>
        <v>0</v>
      </c>
      <c r="H472">
        <f t="shared" si="22"/>
        <v>0</v>
      </c>
      <c r="I472">
        <f t="shared" si="23"/>
        <v>0</v>
      </c>
    </row>
    <row r="473" spans="1:9">
      <c r="A473" s="1">
        <v>39405</v>
      </c>
      <c r="B473">
        <v>5.7419500000000001</v>
      </c>
      <c r="C473">
        <v>6.0750000000000002</v>
      </c>
      <c r="D473">
        <f>WEEKDAY(A473,14)</f>
        <v>5</v>
      </c>
      <c r="E473">
        <f>VLOOKUP(D473,L$2:M$8,2,FALSE)</f>
        <v>0.05</v>
      </c>
      <c r="F473">
        <f t="shared" si="21"/>
        <v>3</v>
      </c>
      <c r="G473">
        <f>IF(F473&gt;F472,G472+B473*E473,B473*E473)</f>
        <v>0.28709750000000001</v>
      </c>
      <c r="H473">
        <f t="shared" si="22"/>
        <v>0.05</v>
      </c>
      <c r="I473">
        <f t="shared" si="23"/>
        <v>0</v>
      </c>
    </row>
    <row r="474" spans="1:9">
      <c r="A474" s="1">
        <v>39406</v>
      </c>
      <c r="B474">
        <v>5.8054699999999997</v>
      </c>
      <c r="C474">
        <v>6.0750000000000002</v>
      </c>
      <c r="D474">
        <f>WEEKDAY(A474,14)</f>
        <v>6</v>
      </c>
      <c r="E474">
        <f>VLOOKUP(D474,L$2:M$8,2,FALSE)</f>
        <v>0.7</v>
      </c>
      <c r="F474">
        <f t="shared" si="21"/>
        <v>4</v>
      </c>
      <c r="G474">
        <f>IF(F474&gt;F473,G473+B474*E474,B474*E474)</f>
        <v>4.350926499999999</v>
      </c>
      <c r="H474">
        <f t="shared" si="22"/>
        <v>0.75</v>
      </c>
      <c r="I474">
        <f t="shared" si="23"/>
        <v>0</v>
      </c>
    </row>
    <row r="475" spans="1:9">
      <c r="A475" s="1">
        <v>39407</v>
      </c>
      <c r="B475">
        <v>5.7295499999999997</v>
      </c>
      <c r="C475">
        <v>6.0750000000000002</v>
      </c>
      <c r="D475">
        <f>WEEKDAY(A475,14)</f>
        <v>7</v>
      </c>
      <c r="E475">
        <f>VLOOKUP(D475,L$2:M$8,2,FALSE)</f>
        <v>0.25</v>
      </c>
      <c r="F475">
        <f t="shared" si="21"/>
        <v>5</v>
      </c>
      <c r="G475">
        <f>IF(F475&gt;F474,G474+B475*E475,B475*E475)</f>
        <v>5.783313999999999</v>
      </c>
      <c r="H475">
        <f t="shared" si="22"/>
        <v>1</v>
      </c>
      <c r="I475">
        <f t="shared" si="23"/>
        <v>0</v>
      </c>
    </row>
    <row r="476" spans="1:9">
      <c r="A476" s="1">
        <v>39409</v>
      </c>
      <c r="B476">
        <v>5.6697300000000004</v>
      </c>
      <c r="C476">
        <v>5.9749999999999996</v>
      </c>
      <c r="D476">
        <f>WEEKDAY(A476,14)</f>
        <v>2</v>
      </c>
      <c r="E476">
        <f>VLOOKUP(D476,L$2:M$8,2,FALSE)</f>
        <v>0</v>
      </c>
      <c r="F476">
        <f t="shared" si="21"/>
        <v>1</v>
      </c>
      <c r="G476">
        <f>IF(F476&gt;F475,G475+B476*E476,B476*E476)</f>
        <v>0</v>
      </c>
      <c r="H476">
        <f t="shared" si="22"/>
        <v>0</v>
      </c>
      <c r="I476">
        <f t="shared" si="23"/>
        <v>5.783313999999999</v>
      </c>
    </row>
    <row r="477" spans="1:9">
      <c r="A477" s="1">
        <v>39412</v>
      </c>
      <c r="B477">
        <v>5.4770099999999999</v>
      </c>
      <c r="C477">
        <v>5.9749999999999996</v>
      </c>
      <c r="D477">
        <f>WEEKDAY(A477,14)</f>
        <v>5</v>
      </c>
      <c r="E477">
        <f>VLOOKUP(D477,L$2:M$8,2,FALSE)</f>
        <v>0.05</v>
      </c>
      <c r="F477">
        <f t="shared" si="21"/>
        <v>2</v>
      </c>
      <c r="G477">
        <f>IF(F477&gt;F476,G476+B477*E477,B477*E477)</f>
        <v>0.2738505</v>
      </c>
      <c r="H477">
        <f t="shared" si="22"/>
        <v>0.05</v>
      </c>
      <c r="I477">
        <f t="shared" si="23"/>
        <v>0</v>
      </c>
    </row>
    <row r="478" spans="1:9">
      <c r="A478" s="1">
        <v>39413</v>
      </c>
      <c r="B478">
        <v>5.6201400000000001</v>
      </c>
      <c r="C478">
        <v>5.9749999999999996</v>
      </c>
      <c r="D478">
        <f>WEEKDAY(A478,14)</f>
        <v>6</v>
      </c>
      <c r="E478">
        <f>VLOOKUP(D478,L$2:M$8,2,FALSE)</f>
        <v>0.7</v>
      </c>
      <c r="F478">
        <f t="shared" si="21"/>
        <v>3</v>
      </c>
      <c r="G478">
        <f>IF(F478&gt;F477,G477+B478*E478,B478*E478)</f>
        <v>4.2079484999999996</v>
      </c>
      <c r="H478">
        <f t="shared" si="22"/>
        <v>0.75</v>
      </c>
      <c r="I478">
        <f t="shared" si="23"/>
        <v>0</v>
      </c>
    </row>
    <row r="479" spans="1:9">
      <c r="A479" s="1">
        <v>39414</v>
      </c>
      <c r="B479">
        <v>5.5819400000000003</v>
      </c>
      <c r="C479">
        <v>5.9749999999999996</v>
      </c>
      <c r="D479">
        <f>WEEKDAY(A479,14)</f>
        <v>7</v>
      </c>
      <c r="E479">
        <f>VLOOKUP(D479,L$2:M$8,2,FALSE)</f>
        <v>0.25</v>
      </c>
      <c r="F479">
        <f t="shared" si="21"/>
        <v>4</v>
      </c>
      <c r="G479">
        <f>IF(F479&gt;F478,G478+B479*E479,B479*E479)</f>
        <v>5.6034334999999995</v>
      </c>
      <c r="H479">
        <f t="shared" si="22"/>
        <v>1</v>
      </c>
      <c r="I479">
        <f t="shared" si="23"/>
        <v>0</v>
      </c>
    </row>
    <row r="480" spans="1:9">
      <c r="A480" s="1">
        <v>39415</v>
      </c>
      <c r="B480">
        <v>5.4844799999999996</v>
      </c>
      <c r="C480">
        <v>5.81</v>
      </c>
      <c r="D480">
        <f>WEEKDAY(A480,14)</f>
        <v>1</v>
      </c>
      <c r="E480">
        <f>VLOOKUP(D480,L$2:M$8,2,FALSE)</f>
        <v>0</v>
      </c>
      <c r="F480">
        <f t="shared" si="21"/>
        <v>1</v>
      </c>
      <c r="G480">
        <f>IF(F480&gt;F479,G479+B480*E480,B480*E480)</f>
        <v>0</v>
      </c>
      <c r="H480">
        <f t="shared" si="22"/>
        <v>0</v>
      </c>
      <c r="I480">
        <f t="shared" si="23"/>
        <v>5.6034334999999995</v>
      </c>
    </row>
    <row r="481" spans="1:9">
      <c r="A481" s="1">
        <v>39416</v>
      </c>
      <c r="B481">
        <v>5.4392300000000002</v>
      </c>
      <c r="C481">
        <v>5.81</v>
      </c>
      <c r="D481">
        <f>WEEKDAY(A481,14)</f>
        <v>2</v>
      </c>
      <c r="E481">
        <f>VLOOKUP(D481,L$2:M$8,2,FALSE)</f>
        <v>0</v>
      </c>
      <c r="F481">
        <f t="shared" si="21"/>
        <v>2</v>
      </c>
      <c r="G481">
        <f>IF(F481&gt;F480,G480+B481*E481,B481*E481)</f>
        <v>0</v>
      </c>
      <c r="H481">
        <f t="shared" si="22"/>
        <v>0</v>
      </c>
      <c r="I481">
        <f t="shared" si="23"/>
        <v>0</v>
      </c>
    </row>
    <row r="482" spans="1:9">
      <c r="A482" s="1">
        <v>39419</v>
      </c>
      <c r="B482">
        <v>5.3940099999999997</v>
      </c>
      <c r="C482">
        <v>5.81</v>
      </c>
      <c r="D482">
        <f>WEEKDAY(A482,14)</f>
        <v>5</v>
      </c>
      <c r="E482">
        <f>VLOOKUP(D482,L$2:M$8,2,FALSE)</f>
        <v>0.05</v>
      </c>
      <c r="F482">
        <f t="shared" si="21"/>
        <v>3</v>
      </c>
      <c r="G482">
        <f>IF(F482&gt;F481,G481+B482*E482,B482*E482)</f>
        <v>0.26970050000000001</v>
      </c>
      <c r="H482">
        <f t="shared" si="22"/>
        <v>0.05</v>
      </c>
      <c r="I482">
        <f t="shared" si="23"/>
        <v>0</v>
      </c>
    </row>
    <row r="483" spans="1:9">
      <c r="A483" s="1">
        <v>39420</v>
      </c>
      <c r="B483">
        <v>5.3934899999999999</v>
      </c>
      <c r="C483">
        <v>5.81</v>
      </c>
      <c r="D483">
        <f>WEEKDAY(A483,14)</f>
        <v>6</v>
      </c>
      <c r="E483">
        <f>VLOOKUP(D483,L$2:M$8,2,FALSE)</f>
        <v>0.7</v>
      </c>
      <c r="F483">
        <f t="shared" si="21"/>
        <v>4</v>
      </c>
      <c r="G483">
        <f>IF(F483&gt;F482,G482+B483*E483,B483*E483)</f>
        <v>4.0451435</v>
      </c>
      <c r="H483">
        <f t="shared" si="22"/>
        <v>0.75</v>
      </c>
      <c r="I483">
        <f t="shared" si="23"/>
        <v>0</v>
      </c>
    </row>
    <row r="484" spans="1:9">
      <c r="A484" s="1">
        <v>39421</v>
      </c>
      <c r="B484">
        <v>5.4007300000000003</v>
      </c>
      <c r="C484">
        <v>5.81</v>
      </c>
      <c r="D484">
        <f>WEEKDAY(A484,14)</f>
        <v>7</v>
      </c>
      <c r="E484">
        <f>VLOOKUP(D484,L$2:M$8,2,FALSE)</f>
        <v>0.25</v>
      </c>
      <c r="F484">
        <f t="shared" si="21"/>
        <v>5</v>
      </c>
      <c r="G484">
        <f>IF(F484&gt;F483,G483+B484*E484,B484*E484)</f>
        <v>5.3953259999999998</v>
      </c>
      <c r="H484">
        <f t="shared" si="22"/>
        <v>1</v>
      </c>
      <c r="I484">
        <f t="shared" si="23"/>
        <v>0</v>
      </c>
    </row>
    <row r="485" spans="1:9">
      <c r="A485" s="1">
        <v>39422</v>
      </c>
      <c r="B485">
        <v>5.4920200000000001</v>
      </c>
      <c r="C485">
        <v>5.9850000000000003</v>
      </c>
      <c r="D485">
        <f>WEEKDAY(A485,14)</f>
        <v>1</v>
      </c>
      <c r="E485">
        <f>VLOOKUP(D485,L$2:M$8,2,FALSE)</f>
        <v>0</v>
      </c>
      <c r="F485">
        <f t="shared" si="21"/>
        <v>1</v>
      </c>
      <c r="G485">
        <f>IF(F485&gt;F484,G484+B485*E485,B485*E485)</f>
        <v>0</v>
      </c>
      <c r="H485">
        <f t="shared" si="22"/>
        <v>0</v>
      </c>
      <c r="I485">
        <f t="shared" si="23"/>
        <v>5.3953259999999998</v>
      </c>
    </row>
    <row r="486" spans="1:9">
      <c r="A486" s="1">
        <v>39423</v>
      </c>
      <c r="B486">
        <v>5.6800899999999999</v>
      </c>
      <c r="C486">
        <v>5.9850000000000003</v>
      </c>
      <c r="D486">
        <f>WEEKDAY(A486,14)</f>
        <v>2</v>
      </c>
      <c r="E486">
        <f>VLOOKUP(D486,L$2:M$8,2,FALSE)</f>
        <v>0</v>
      </c>
      <c r="F486">
        <f t="shared" si="21"/>
        <v>2</v>
      </c>
      <c r="G486">
        <f>IF(F486&gt;F485,G485+B486*E486,B486*E486)</f>
        <v>0</v>
      </c>
      <c r="H486">
        <f t="shared" si="22"/>
        <v>0</v>
      </c>
      <c r="I486">
        <f t="shared" si="23"/>
        <v>0</v>
      </c>
    </row>
    <row r="487" spans="1:9">
      <c r="A487" s="1">
        <v>39426</v>
      </c>
      <c r="B487">
        <v>5.7184999999999997</v>
      </c>
      <c r="C487">
        <v>5.9850000000000003</v>
      </c>
      <c r="D487">
        <f>WEEKDAY(A487,14)</f>
        <v>5</v>
      </c>
      <c r="E487">
        <f>VLOOKUP(D487,L$2:M$8,2,FALSE)</f>
        <v>0.05</v>
      </c>
      <c r="F487">
        <f t="shared" si="21"/>
        <v>3</v>
      </c>
      <c r="G487">
        <f>IF(F487&gt;F486,G486+B487*E487,B487*E487)</f>
        <v>0.28592499999999998</v>
      </c>
      <c r="H487">
        <f t="shared" si="22"/>
        <v>0.05</v>
      </c>
      <c r="I487">
        <f t="shared" si="23"/>
        <v>0</v>
      </c>
    </row>
    <row r="488" spans="1:9">
      <c r="A488" s="1">
        <v>39427</v>
      </c>
      <c r="B488">
        <v>5.54528</v>
      </c>
      <c r="C488">
        <v>5.9850000000000003</v>
      </c>
      <c r="D488">
        <f>WEEKDAY(A488,14)</f>
        <v>6</v>
      </c>
      <c r="E488">
        <f>VLOOKUP(D488,L$2:M$8,2,FALSE)</f>
        <v>0.7</v>
      </c>
      <c r="F488">
        <f t="shared" si="21"/>
        <v>4</v>
      </c>
      <c r="G488">
        <f>IF(F488&gt;F487,G487+B488*E488,B488*E488)</f>
        <v>4.1676209999999996</v>
      </c>
      <c r="H488">
        <f t="shared" si="22"/>
        <v>0.75</v>
      </c>
      <c r="I488">
        <f t="shared" si="23"/>
        <v>0</v>
      </c>
    </row>
    <row r="489" spans="1:9">
      <c r="A489" s="1">
        <v>39428</v>
      </c>
      <c r="B489">
        <v>5.5948799999999999</v>
      </c>
      <c r="C489">
        <v>5.9850000000000003</v>
      </c>
      <c r="D489">
        <f>WEEKDAY(A489,14)</f>
        <v>7</v>
      </c>
      <c r="E489">
        <f>VLOOKUP(D489,L$2:M$8,2,FALSE)</f>
        <v>0.25</v>
      </c>
      <c r="F489">
        <f t="shared" si="21"/>
        <v>5</v>
      </c>
      <c r="G489">
        <f>IF(F489&gt;F488,G488+B489*E489,B489*E489)</f>
        <v>5.5663409999999995</v>
      </c>
      <c r="H489">
        <f t="shared" si="22"/>
        <v>1</v>
      </c>
      <c r="I489">
        <f t="shared" si="23"/>
        <v>0</v>
      </c>
    </row>
    <row r="490" spans="1:9">
      <c r="A490" s="1">
        <v>39429</v>
      </c>
      <c r="B490">
        <v>5.6680200000000003</v>
      </c>
      <c r="C490">
        <v>5.99</v>
      </c>
      <c r="D490">
        <f>WEEKDAY(A490,14)</f>
        <v>1</v>
      </c>
      <c r="E490">
        <f>VLOOKUP(D490,L$2:M$8,2,FALSE)</f>
        <v>0</v>
      </c>
      <c r="F490">
        <f t="shared" si="21"/>
        <v>1</v>
      </c>
      <c r="G490">
        <f>IF(F490&gt;F489,G489+B490*E490,B490*E490)</f>
        <v>0</v>
      </c>
      <c r="H490">
        <f t="shared" si="22"/>
        <v>0</v>
      </c>
      <c r="I490">
        <f t="shared" si="23"/>
        <v>5.5663409999999995</v>
      </c>
    </row>
    <row r="491" spans="1:9">
      <c r="A491" s="1">
        <v>39430</v>
      </c>
      <c r="B491">
        <v>5.7528800000000002</v>
      </c>
      <c r="C491">
        <v>5.99</v>
      </c>
      <c r="D491">
        <f>WEEKDAY(A491,14)</f>
        <v>2</v>
      </c>
      <c r="E491">
        <f>VLOOKUP(D491,L$2:M$8,2,FALSE)</f>
        <v>0</v>
      </c>
      <c r="F491">
        <f t="shared" si="21"/>
        <v>2</v>
      </c>
      <c r="G491">
        <f>IF(F491&gt;F490,G490+B491*E491,B491*E491)</f>
        <v>0</v>
      </c>
      <c r="H491">
        <f t="shared" si="22"/>
        <v>0</v>
      </c>
      <c r="I491">
        <f t="shared" si="23"/>
        <v>0</v>
      </c>
    </row>
    <row r="492" spans="1:9">
      <c r="A492" s="1">
        <v>39433</v>
      </c>
      <c r="B492">
        <v>5.7397099999999996</v>
      </c>
      <c r="C492">
        <v>5.99</v>
      </c>
      <c r="D492">
        <f>WEEKDAY(A492,14)</f>
        <v>5</v>
      </c>
      <c r="E492">
        <f>VLOOKUP(D492,L$2:M$8,2,FALSE)</f>
        <v>0.05</v>
      </c>
      <c r="F492">
        <f t="shared" si="21"/>
        <v>3</v>
      </c>
      <c r="G492">
        <f>IF(F492&gt;F491,G491+B492*E492,B492*E492)</f>
        <v>0.2869855</v>
      </c>
      <c r="H492">
        <f t="shared" si="22"/>
        <v>0.05</v>
      </c>
      <c r="I492">
        <f t="shared" si="23"/>
        <v>0</v>
      </c>
    </row>
    <row r="493" spans="1:9">
      <c r="A493" s="1">
        <v>39434</v>
      </c>
      <c r="B493">
        <v>5.6177099999999998</v>
      </c>
      <c r="C493">
        <v>5.99</v>
      </c>
      <c r="D493">
        <f>WEEKDAY(A493,14)</f>
        <v>6</v>
      </c>
      <c r="E493">
        <f>VLOOKUP(D493,L$2:M$8,2,FALSE)</f>
        <v>0.7</v>
      </c>
      <c r="F493">
        <f t="shared" si="21"/>
        <v>4</v>
      </c>
      <c r="G493">
        <f>IF(F493&gt;F492,G492+B493*E493,B493*E493)</f>
        <v>4.2193824999999991</v>
      </c>
      <c r="H493">
        <f t="shared" si="22"/>
        <v>0.75</v>
      </c>
      <c r="I493">
        <f t="shared" si="23"/>
        <v>0</v>
      </c>
    </row>
    <row r="494" spans="1:9">
      <c r="A494" s="1">
        <v>39435</v>
      </c>
      <c r="B494">
        <v>5.5335700000000001</v>
      </c>
      <c r="C494">
        <v>5.99</v>
      </c>
      <c r="D494">
        <f>WEEKDAY(A494,14)</f>
        <v>7</v>
      </c>
      <c r="E494">
        <f>VLOOKUP(D494,L$2:M$8,2,FALSE)</f>
        <v>0.25</v>
      </c>
      <c r="F494">
        <f t="shared" si="21"/>
        <v>5</v>
      </c>
      <c r="G494">
        <f>IF(F494&gt;F493,G493+B494*E494,B494*E494)</f>
        <v>5.6027749999999994</v>
      </c>
      <c r="H494">
        <f t="shared" si="22"/>
        <v>1</v>
      </c>
      <c r="I494">
        <f t="shared" si="23"/>
        <v>0</v>
      </c>
    </row>
    <row r="495" spans="1:9">
      <c r="A495" s="1">
        <v>39436</v>
      </c>
      <c r="B495">
        <v>5.5272300000000003</v>
      </c>
      <c r="C495">
        <v>6.0449999999999999</v>
      </c>
      <c r="D495">
        <f>WEEKDAY(A495,14)</f>
        <v>1</v>
      </c>
      <c r="E495">
        <f>VLOOKUP(D495,L$2:M$8,2,FALSE)</f>
        <v>0</v>
      </c>
      <c r="F495">
        <f t="shared" si="21"/>
        <v>1</v>
      </c>
      <c r="G495">
        <f>IF(F495&gt;F494,G494+B495*E495,B495*E495)</f>
        <v>0</v>
      </c>
      <c r="H495">
        <f t="shared" si="22"/>
        <v>0</v>
      </c>
      <c r="I495">
        <f t="shared" si="23"/>
        <v>5.6027749999999994</v>
      </c>
    </row>
    <row r="496" spans="1:9">
      <c r="A496" s="1">
        <v>39437</v>
      </c>
      <c r="B496">
        <v>5.6846399999999999</v>
      </c>
      <c r="C496">
        <v>6.0449999999999999</v>
      </c>
      <c r="D496">
        <f>WEEKDAY(A496,14)</f>
        <v>2</v>
      </c>
      <c r="E496">
        <f>VLOOKUP(D496,L$2:M$8,2,FALSE)</f>
        <v>0</v>
      </c>
      <c r="F496">
        <f t="shared" si="21"/>
        <v>2</v>
      </c>
      <c r="G496">
        <f>IF(F496&gt;F495,G495+B496*E496,B496*E496)</f>
        <v>0</v>
      </c>
      <c r="H496">
        <f t="shared" si="22"/>
        <v>0</v>
      </c>
      <c r="I496">
        <f t="shared" si="23"/>
        <v>0</v>
      </c>
    </row>
    <row r="497" spans="1:9">
      <c r="A497" s="1">
        <v>39440</v>
      </c>
      <c r="B497">
        <v>5.7425699999999997</v>
      </c>
      <c r="C497">
        <v>6.0449999999999999</v>
      </c>
      <c r="D497">
        <f>WEEKDAY(A497,14)</f>
        <v>5</v>
      </c>
      <c r="E497">
        <f>VLOOKUP(D497,L$2:M$8,2,FALSE)</f>
        <v>0.05</v>
      </c>
      <c r="F497">
        <f t="shared" si="21"/>
        <v>3</v>
      </c>
      <c r="G497">
        <f>IF(F497&gt;F496,G496+B497*E497,B497*E497)</f>
        <v>0.28712850000000001</v>
      </c>
      <c r="H497">
        <f t="shared" si="22"/>
        <v>0.05</v>
      </c>
      <c r="I497">
        <f t="shared" si="23"/>
        <v>0</v>
      </c>
    </row>
    <row r="498" spans="1:9">
      <c r="A498" s="1">
        <v>39442</v>
      </c>
      <c r="B498">
        <v>5.79908</v>
      </c>
      <c r="C498">
        <v>6.0449999999999999</v>
      </c>
      <c r="D498">
        <f>WEEKDAY(A498,14)</f>
        <v>7</v>
      </c>
      <c r="E498">
        <f>VLOOKUP(D498,L$2:M$8,2,FALSE)</f>
        <v>0.25</v>
      </c>
      <c r="F498">
        <f t="shared" si="21"/>
        <v>4</v>
      </c>
      <c r="G498">
        <f>IF(F498&gt;F497,G497+B498*E498,B498*E498)</f>
        <v>1.7368985000000001</v>
      </c>
      <c r="H498">
        <f t="shared" si="22"/>
        <v>0.3</v>
      </c>
      <c r="I498">
        <f t="shared" si="23"/>
        <v>0</v>
      </c>
    </row>
    <row r="499" spans="1:9">
      <c r="A499" s="1">
        <v>39443</v>
      </c>
      <c r="B499">
        <v>5.7351099999999997</v>
      </c>
      <c r="C499">
        <v>5.9450000000000003</v>
      </c>
      <c r="D499">
        <f>WEEKDAY(A499,14)</f>
        <v>1</v>
      </c>
      <c r="E499">
        <f>VLOOKUP(D499,L$2:M$8,2,FALSE)</f>
        <v>0</v>
      </c>
      <c r="F499">
        <f t="shared" si="21"/>
        <v>1</v>
      </c>
      <c r="G499">
        <f>IF(F499&gt;F498,G498+B499*E499,B499*E499)</f>
        <v>0</v>
      </c>
      <c r="H499">
        <f t="shared" si="22"/>
        <v>0</v>
      </c>
      <c r="I499">
        <f t="shared" si="23"/>
        <v>5.7896616666666674</v>
      </c>
    </row>
    <row r="500" spans="1:9">
      <c r="A500" s="1">
        <v>39444</v>
      </c>
      <c r="B500">
        <v>5.5953900000000001</v>
      </c>
      <c r="C500">
        <v>5.9450000000000003</v>
      </c>
      <c r="D500">
        <f>WEEKDAY(A500,14)</f>
        <v>2</v>
      </c>
      <c r="E500">
        <f>VLOOKUP(D500,L$2:M$8,2,FALSE)</f>
        <v>0</v>
      </c>
      <c r="F500">
        <f t="shared" si="21"/>
        <v>2</v>
      </c>
      <c r="G500">
        <f>IF(F500&gt;F499,G499+B500*E500,B500*E500)</f>
        <v>0</v>
      </c>
      <c r="H500">
        <f t="shared" si="22"/>
        <v>0</v>
      </c>
      <c r="I500">
        <f t="shared" si="23"/>
        <v>0</v>
      </c>
    </row>
    <row r="501" spans="1:9">
      <c r="A501" s="1">
        <v>39447</v>
      </c>
      <c r="B501">
        <v>5.5067000000000004</v>
      </c>
      <c r="C501">
        <v>5.9450000000000003</v>
      </c>
      <c r="D501">
        <f>WEEKDAY(A501,14)</f>
        <v>5</v>
      </c>
      <c r="E501">
        <f>VLOOKUP(D501,L$2:M$8,2,FALSE)</f>
        <v>0.05</v>
      </c>
      <c r="F501">
        <f t="shared" si="21"/>
        <v>3</v>
      </c>
      <c r="G501">
        <f>IF(F501&gt;F500,G500+B501*E501,B501*E501)</f>
        <v>0.27533500000000005</v>
      </c>
      <c r="H501">
        <f t="shared" si="22"/>
        <v>0.05</v>
      </c>
      <c r="I501">
        <f t="shared" si="23"/>
        <v>0</v>
      </c>
    </row>
    <row r="502" spans="1:9">
      <c r="A502" s="1">
        <v>39449</v>
      </c>
      <c r="B502">
        <v>5.3941400000000002</v>
      </c>
      <c r="C502">
        <v>5.9450000000000003</v>
      </c>
      <c r="D502">
        <f>WEEKDAY(A502,14)</f>
        <v>7</v>
      </c>
      <c r="E502">
        <f>VLOOKUP(D502,L$2:M$8,2,FALSE)</f>
        <v>0.25</v>
      </c>
      <c r="F502">
        <f t="shared" si="21"/>
        <v>4</v>
      </c>
      <c r="G502">
        <f>IF(F502&gt;F501,G501+B502*E502,B502*E502)</f>
        <v>1.6238700000000001</v>
      </c>
      <c r="H502">
        <f t="shared" si="22"/>
        <v>0.3</v>
      </c>
      <c r="I502">
        <f t="shared" si="23"/>
        <v>0</v>
      </c>
    </row>
    <row r="503" spans="1:9">
      <c r="A503" s="1">
        <v>39450</v>
      </c>
      <c r="B503">
        <v>5.3788999999999998</v>
      </c>
      <c r="C503">
        <v>5.72</v>
      </c>
      <c r="D503">
        <f>WEEKDAY(A503,14)</f>
        <v>1</v>
      </c>
      <c r="E503">
        <f>VLOOKUP(D503,L$2:M$8,2,FALSE)</f>
        <v>0</v>
      </c>
      <c r="F503">
        <f t="shared" si="21"/>
        <v>1</v>
      </c>
      <c r="G503">
        <f>IF(F503&gt;F502,G502+B503*E503,B503*E503)</f>
        <v>0</v>
      </c>
      <c r="H503">
        <f t="shared" si="22"/>
        <v>0</v>
      </c>
      <c r="I503">
        <f t="shared" si="23"/>
        <v>5.4129000000000005</v>
      </c>
    </row>
    <row r="504" spans="1:9">
      <c r="A504" s="1">
        <v>39451</v>
      </c>
      <c r="B504">
        <v>5.2861700000000003</v>
      </c>
      <c r="C504">
        <v>5.72</v>
      </c>
      <c r="D504">
        <f>WEEKDAY(A504,14)</f>
        <v>2</v>
      </c>
      <c r="E504">
        <f>VLOOKUP(D504,L$2:M$8,2,FALSE)</f>
        <v>0</v>
      </c>
      <c r="F504">
        <f t="shared" si="21"/>
        <v>2</v>
      </c>
      <c r="G504">
        <f>IF(F504&gt;F503,G503+B504*E504,B504*E504)</f>
        <v>0</v>
      </c>
      <c r="H504">
        <f t="shared" si="22"/>
        <v>0</v>
      </c>
      <c r="I504">
        <f t="shared" si="23"/>
        <v>0</v>
      </c>
    </row>
    <row r="505" spans="1:9">
      <c r="A505" s="1">
        <v>39454</v>
      </c>
      <c r="B505">
        <v>5.2387800000000002</v>
      </c>
      <c r="C505">
        <v>5.72</v>
      </c>
      <c r="D505">
        <f>WEEKDAY(A505,14)</f>
        <v>5</v>
      </c>
      <c r="E505">
        <f>VLOOKUP(D505,L$2:M$8,2,FALSE)</f>
        <v>0.05</v>
      </c>
      <c r="F505">
        <f t="shared" si="21"/>
        <v>3</v>
      </c>
      <c r="G505">
        <f>IF(F505&gt;F504,G504+B505*E505,B505*E505)</f>
        <v>0.26193900000000003</v>
      </c>
      <c r="H505">
        <f t="shared" si="22"/>
        <v>0.05</v>
      </c>
      <c r="I505">
        <f t="shared" si="23"/>
        <v>0</v>
      </c>
    </row>
    <row r="506" spans="1:9">
      <c r="A506" s="1">
        <v>39455</v>
      </c>
      <c r="B506">
        <v>5.2551699999999997</v>
      </c>
      <c r="C506">
        <v>5.72</v>
      </c>
      <c r="D506">
        <f>WEEKDAY(A506,14)</f>
        <v>6</v>
      </c>
      <c r="E506">
        <f>VLOOKUP(D506,L$2:M$8,2,FALSE)</f>
        <v>0.7</v>
      </c>
      <c r="F506">
        <f t="shared" si="21"/>
        <v>4</v>
      </c>
      <c r="G506">
        <f>IF(F506&gt;F505,G505+B506*E506,B506*E506)</f>
        <v>3.9405579999999993</v>
      </c>
      <c r="H506">
        <f t="shared" si="22"/>
        <v>0.75</v>
      </c>
      <c r="I506">
        <f t="shared" si="23"/>
        <v>0</v>
      </c>
    </row>
    <row r="507" spans="1:9">
      <c r="A507" s="1">
        <v>39456</v>
      </c>
      <c r="B507">
        <v>5.2107000000000001</v>
      </c>
      <c r="C507">
        <v>5.72</v>
      </c>
      <c r="D507">
        <f>WEEKDAY(A507,14)</f>
        <v>7</v>
      </c>
      <c r="E507">
        <f>VLOOKUP(D507,L$2:M$8,2,FALSE)</f>
        <v>0.25</v>
      </c>
      <c r="F507">
        <f t="shared" si="21"/>
        <v>5</v>
      </c>
      <c r="G507">
        <f>IF(F507&gt;F506,G506+B507*E507,B507*E507)</f>
        <v>5.2432329999999991</v>
      </c>
      <c r="H507">
        <f t="shared" si="22"/>
        <v>1</v>
      </c>
      <c r="I507">
        <f t="shared" si="23"/>
        <v>0</v>
      </c>
    </row>
    <row r="508" spans="1:9">
      <c r="A508" s="1">
        <v>39457</v>
      </c>
      <c r="B508">
        <v>5.2858299999999998</v>
      </c>
      <c r="C508">
        <v>5.5650000000000004</v>
      </c>
      <c r="D508">
        <f>WEEKDAY(A508,14)</f>
        <v>1</v>
      </c>
      <c r="E508">
        <f>VLOOKUP(D508,L$2:M$8,2,FALSE)</f>
        <v>0</v>
      </c>
      <c r="F508">
        <f t="shared" si="21"/>
        <v>1</v>
      </c>
      <c r="G508">
        <f>IF(F508&gt;F507,G507+B508*E508,B508*E508)</f>
        <v>0</v>
      </c>
      <c r="H508">
        <f t="shared" si="22"/>
        <v>0</v>
      </c>
      <c r="I508">
        <f t="shared" si="23"/>
        <v>5.2432329999999991</v>
      </c>
    </row>
    <row r="509" spans="1:9">
      <c r="A509" s="1">
        <v>39458</v>
      </c>
      <c r="B509">
        <v>5.1731800000000003</v>
      </c>
      <c r="C509">
        <v>5.5650000000000004</v>
      </c>
      <c r="D509">
        <f>WEEKDAY(A509,14)</f>
        <v>2</v>
      </c>
      <c r="E509">
        <f>VLOOKUP(D509,L$2:M$8,2,FALSE)</f>
        <v>0</v>
      </c>
      <c r="F509">
        <f t="shared" si="21"/>
        <v>2</v>
      </c>
      <c r="G509">
        <f>IF(F509&gt;F508,G508+B509*E509,B509*E509)</f>
        <v>0</v>
      </c>
      <c r="H509">
        <f t="shared" si="22"/>
        <v>0</v>
      </c>
      <c r="I509">
        <f t="shared" si="23"/>
        <v>0</v>
      </c>
    </row>
    <row r="510" spans="1:9">
      <c r="A510" s="1">
        <v>39461</v>
      </c>
      <c r="B510">
        <v>5.1348099999999999</v>
      </c>
      <c r="C510">
        <v>5.5650000000000004</v>
      </c>
      <c r="D510">
        <f>WEEKDAY(A510,14)</f>
        <v>5</v>
      </c>
      <c r="E510">
        <f>VLOOKUP(D510,L$2:M$8,2,FALSE)</f>
        <v>0.05</v>
      </c>
      <c r="F510">
        <f t="shared" si="21"/>
        <v>3</v>
      </c>
      <c r="G510">
        <f>IF(F510&gt;F509,G509+B510*E510,B510*E510)</f>
        <v>0.25674049999999998</v>
      </c>
      <c r="H510">
        <f t="shared" si="22"/>
        <v>0.05</v>
      </c>
      <c r="I510">
        <f t="shared" si="23"/>
        <v>0</v>
      </c>
    </row>
    <row r="511" spans="1:9">
      <c r="A511" s="1">
        <v>39462</v>
      </c>
      <c r="B511">
        <v>5.0436399999999999</v>
      </c>
      <c r="C511">
        <v>5.5650000000000004</v>
      </c>
      <c r="D511">
        <f>WEEKDAY(A511,14)</f>
        <v>6</v>
      </c>
      <c r="E511">
        <f>VLOOKUP(D511,L$2:M$8,2,FALSE)</f>
        <v>0.7</v>
      </c>
      <c r="F511">
        <f t="shared" si="21"/>
        <v>4</v>
      </c>
      <c r="G511">
        <f>IF(F511&gt;F510,G510+B511*E511,B511*E511)</f>
        <v>3.7872884999999994</v>
      </c>
      <c r="H511">
        <f t="shared" si="22"/>
        <v>0.75</v>
      </c>
      <c r="I511">
        <f t="shared" si="23"/>
        <v>0</v>
      </c>
    </row>
    <row r="512" spans="1:9">
      <c r="A512" s="1">
        <v>39463</v>
      </c>
      <c r="B512">
        <v>5.1272799999999998</v>
      </c>
      <c r="C512">
        <v>5.5650000000000004</v>
      </c>
      <c r="D512">
        <f>WEEKDAY(A512,14)</f>
        <v>7</v>
      </c>
      <c r="E512">
        <f>VLOOKUP(D512,L$2:M$8,2,FALSE)</f>
        <v>0.25</v>
      </c>
      <c r="F512">
        <f t="shared" si="21"/>
        <v>5</v>
      </c>
      <c r="G512">
        <f>IF(F512&gt;F511,G511+B512*E512,B512*E512)</f>
        <v>5.0691084999999996</v>
      </c>
      <c r="H512">
        <f t="shared" si="22"/>
        <v>1</v>
      </c>
      <c r="I512">
        <f t="shared" si="23"/>
        <v>0</v>
      </c>
    </row>
    <row r="513" spans="1:9">
      <c r="A513" s="1">
        <v>39464</v>
      </c>
      <c r="B513">
        <v>5.0462400000000001</v>
      </c>
      <c r="C513">
        <v>5.33</v>
      </c>
      <c r="D513">
        <f>WEEKDAY(A513,14)</f>
        <v>1</v>
      </c>
      <c r="E513">
        <f>VLOOKUP(D513,L$2:M$8,2,FALSE)</f>
        <v>0</v>
      </c>
      <c r="F513">
        <f t="shared" si="21"/>
        <v>1</v>
      </c>
      <c r="G513">
        <f>IF(F513&gt;F512,G512+B513*E513,B513*E513)</f>
        <v>0</v>
      </c>
      <c r="H513">
        <f t="shared" si="22"/>
        <v>0</v>
      </c>
      <c r="I513">
        <f t="shared" si="23"/>
        <v>5.0691084999999996</v>
      </c>
    </row>
    <row r="514" spans="1:9">
      <c r="A514" s="1">
        <v>39465</v>
      </c>
      <c r="B514">
        <v>5.0750700000000002</v>
      </c>
      <c r="C514">
        <v>5.33</v>
      </c>
      <c r="D514">
        <f>WEEKDAY(A514,14)</f>
        <v>2</v>
      </c>
      <c r="E514">
        <f>VLOOKUP(D514,L$2:M$8,2,FALSE)</f>
        <v>0</v>
      </c>
      <c r="F514">
        <f t="shared" si="21"/>
        <v>2</v>
      </c>
      <c r="G514">
        <f>IF(F514&gt;F513,G513+B514*E514,B514*E514)</f>
        <v>0</v>
      </c>
      <c r="H514">
        <f t="shared" si="22"/>
        <v>0</v>
      </c>
      <c r="I514">
        <f t="shared" si="23"/>
        <v>0</v>
      </c>
    </row>
    <row r="515" spans="1:9">
      <c r="A515" s="1">
        <v>39469</v>
      </c>
      <c r="B515">
        <v>4.82456</v>
      </c>
      <c r="C515">
        <v>5.33</v>
      </c>
      <c r="D515">
        <f>WEEKDAY(A515,14)</f>
        <v>6</v>
      </c>
      <c r="E515">
        <f>VLOOKUP(D515,L$2:M$8,2,FALSE)</f>
        <v>0.7</v>
      </c>
      <c r="F515">
        <f t="shared" ref="F515:F578" si="24">IF(AND(D515&gt;D514,F514&lt;6),F514+1,1)</f>
        <v>3</v>
      </c>
      <c r="G515">
        <f>IF(F515&gt;F514,G514+B515*E515,B515*E515)</f>
        <v>3.377192</v>
      </c>
      <c r="H515">
        <f t="shared" si="22"/>
        <v>0.7</v>
      </c>
      <c r="I515">
        <f t="shared" si="23"/>
        <v>0</v>
      </c>
    </row>
    <row r="516" spans="1:9">
      <c r="A516" s="1">
        <v>39470</v>
      </c>
      <c r="B516">
        <v>4.8653399999999998</v>
      </c>
      <c r="C516">
        <v>5.33</v>
      </c>
      <c r="D516">
        <f>WEEKDAY(A516,14)</f>
        <v>7</v>
      </c>
      <c r="E516">
        <f>VLOOKUP(D516,L$2:M$8,2,FALSE)</f>
        <v>0.25</v>
      </c>
      <c r="F516">
        <f t="shared" si="24"/>
        <v>4</v>
      </c>
      <c r="G516">
        <f>IF(F516&gt;F515,G515+B516*E516,B516*E516)</f>
        <v>4.5935269999999999</v>
      </c>
      <c r="H516">
        <f t="shared" ref="H516:H579" si="25">IF(AND(F516&lt;6,F516&gt;F515),E516+H515,E516)</f>
        <v>0.95</v>
      </c>
      <c r="I516">
        <f t="shared" ref="I516:I579" si="26">IF(F515&gt;F516,G515/H515,0)</f>
        <v>0</v>
      </c>
    </row>
    <row r="517" spans="1:9">
      <c r="A517" s="1">
        <v>39471</v>
      </c>
      <c r="B517">
        <v>5.2055199999999999</v>
      </c>
      <c r="C517">
        <v>5.53</v>
      </c>
      <c r="D517">
        <f>WEEKDAY(A517,14)</f>
        <v>1</v>
      </c>
      <c r="E517">
        <f>VLOOKUP(D517,L$2:M$8,2,FALSE)</f>
        <v>0</v>
      </c>
      <c r="F517">
        <f t="shared" si="24"/>
        <v>1</v>
      </c>
      <c r="G517">
        <f>IF(F517&gt;F516,G516+B517*E517,B517*E517)</f>
        <v>0</v>
      </c>
      <c r="H517">
        <f t="shared" si="25"/>
        <v>0</v>
      </c>
      <c r="I517">
        <f t="shared" si="26"/>
        <v>4.8352915789473689</v>
      </c>
    </row>
    <row r="518" spans="1:9">
      <c r="A518" s="1">
        <v>39472</v>
      </c>
      <c r="B518">
        <v>5.0843299999999996</v>
      </c>
      <c r="C518">
        <v>5.53</v>
      </c>
      <c r="D518">
        <f>WEEKDAY(A518,14)</f>
        <v>2</v>
      </c>
      <c r="E518">
        <f>VLOOKUP(D518,L$2:M$8,2,FALSE)</f>
        <v>0</v>
      </c>
      <c r="F518">
        <f t="shared" si="24"/>
        <v>2</v>
      </c>
      <c r="G518">
        <f>IF(F518&gt;F517,G517+B518*E518,B518*E518)</f>
        <v>0</v>
      </c>
      <c r="H518">
        <f t="shared" si="25"/>
        <v>0</v>
      </c>
      <c r="I518">
        <f t="shared" si="26"/>
        <v>0</v>
      </c>
    </row>
    <row r="519" spans="1:9">
      <c r="A519" s="1">
        <v>39475</v>
      </c>
      <c r="B519">
        <v>5.0300399999999996</v>
      </c>
      <c r="C519">
        <v>5.53</v>
      </c>
      <c r="D519">
        <f>WEEKDAY(A519,14)</f>
        <v>5</v>
      </c>
      <c r="E519">
        <f>VLOOKUP(D519,L$2:M$8,2,FALSE)</f>
        <v>0.05</v>
      </c>
      <c r="F519">
        <f t="shared" si="24"/>
        <v>3</v>
      </c>
      <c r="G519">
        <f>IF(F519&gt;F518,G518+B519*E519,B519*E519)</f>
        <v>0.251502</v>
      </c>
      <c r="H519">
        <f t="shared" si="25"/>
        <v>0.05</v>
      </c>
      <c r="I519">
        <f t="shared" si="26"/>
        <v>0</v>
      </c>
    </row>
    <row r="520" spans="1:9">
      <c r="A520" s="1">
        <v>39476</v>
      </c>
      <c r="B520">
        <v>5.1134599999999999</v>
      </c>
      <c r="C520">
        <v>5.53</v>
      </c>
      <c r="D520">
        <f>WEEKDAY(A520,14)</f>
        <v>6</v>
      </c>
      <c r="E520">
        <f>VLOOKUP(D520,L$2:M$8,2,FALSE)</f>
        <v>0.7</v>
      </c>
      <c r="F520">
        <f t="shared" si="24"/>
        <v>4</v>
      </c>
      <c r="G520">
        <f>IF(F520&gt;F519,G519+B520*E520,B520*E520)</f>
        <v>3.8309239999999996</v>
      </c>
      <c r="H520">
        <f t="shared" si="25"/>
        <v>0.75</v>
      </c>
      <c r="I520">
        <f t="shared" si="26"/>
        <v>0</v>
      </c>
    </row>
    <row r="521" spans="1:9">
      <c r="A521" s="1">
        <v>39477</v>
      </c>
      <c r="B521">
        <v>5.1872600000000002</v>
      </c>
      <c r="C521">
        <v>5.53</v>
      </c>
      <c r="D521">
        <f>WEEKDAY(A521,14)</f>
        <v>7</v>
      </c>
      <c r="E521">
        <f>VLOOKUP(D521,L$2:M$8,2,FALSE)</f>
        <v>0.25</v>
      </c>
      <c r="F521">
        <f t="shared" si="24"/>
        <v>5</v>
      </c>
      <c r="G521">
        <f>IF(F521&gt;F520,G520+B521*E521,B521*E521)</f>
        <v>5.127739</v>
      </c>
      <c r="H521">
        <f t="shared" si="25"/>
        <v>1</v>
      </c>
      <c r="I521">
        <f t="shared" si="26"/>
        <v>0</v>
      </c>
    </row>
    <row r="522" spans="1:9">
      <c r="A522" s="1">
        <v>39478</v>
      </c>
      <c r="B522">
        <v>5.1214700000000004</v>
      </c>
      <c r="C522">
        <v>5.52</v>
      </c>
      <c r="D522">
        <f>WEEKDAY(A522,14)</f>
        <v>1</v>
      </c>
      <c r="E522">
        <f>VLOOKUP(D522,L$2:M$8,2,FALSE)</f>
        <v>0</v>
      </c>
      <c r="F522">
        <f t="shared" si="24"/>
        <v>1</v>
      </c>
      <c r="G522">
        <f>IF(F522&gt;F521,G521+B522*E522,B522*E522)</f>
        <v>0</v>
      </c>
      <c r="H522">
        <f t="shared" si="25"/>
        <v>0</v>
      </c>
      <c r="I522">
        <f t="shared" si="26"/>
        <v>5.127739</v>
      </c>
    </row>
    <row r="523" spans="1:9">
      <c r="A523" s="1">
        <v>39479</v>
      </c>
      <c r="B523">
        <v>5.0712900000000003</v>
      </c>
      <c r="C523">
        <v>5.52</v>
      </c>
      <c r="D523">
        <f>WEEKDAY(A523,14)</f>
        <v>2</v>
      </c>
      <c r="E523">
        <f>VLOOKUP(D523,L$2:M$8,2,FALSE)</f>
        <v>0</v>
      </c>
      <c r="F523">
        <f t="shared" si="24"/>
        <v>2</v>
      </c>
      <c r="G523">
        <f>IF(F523&gt;F522,G522+B523*E523,B523*E523)</f>
        <v>0</v>
      </c>
      <c r="H523">
        <f t="shared" si="25"/>
        <v>0</v>
      </c>
      <c r="I523">
        <f t="shared" si="26"/>
        <v>0</v>
      </c>
    </row>
    <row r="524" spans="1:9">
      <c r="A524" s="1">
        <v>39482</v>
      </c>
      <c r="B524">
        <v>5.1485500000000002</v>
      </c>
      <c r="C524">
        <v>5.52</v>
      </c>
      <c r="D524">
        <f>WEEKDAY(A524,14)</f>
        <v>5</v>
      </c>
      <c r="E524">
        <f>VLOOKUP(D524,L$2:M$8,2,FALSE)</f>
        <v>0.05</v>
      </c>
      <c r="F524">
        <f t="shared" si="24"/>
        <v>3</v>
      </c>
      <c r="G524">
        <f>IF(F524&gt;F523,G523+B524*E524,B524*E524)</f>
        <v>0.25742750000000003</v>
      </c>
      <c r="H524">
        <f t="shared" si="25"/>
        <v>0.05</v>
      </c>
      <c r="I524">
        <f t="shared" si="26"/>
        <v>0</v>
      </c>
    </row>
    <row r="525" spans="1:9">
      <c r="A525" s="1">
        <v>39483</v>
      </c>
      <c r="B525">
        <v>5.0407799999999998</v>
      </c>
      <c r="C525">
        <v>5.52</v>
      </c>
      <c r="D525">
        <f>WEEKDAY(A525,14)</f>
        <v>6</v>
      </c>
      <c r="E525">
        <f>VLOOKUP(D525,L$2:M$8,2,FALSE)</f>
        <v>0.7</v>
      </c>
      <c r="F525">
        <f t="shared" si="24"/>
        <v>4</v>
      </c>
      <c r="G525">
        <f>IF(F525&gt;F524,G524+B525*E525,B525*E525)</f>
        <v>3.7859734999999994</v>
      </c>
      <c r="H525">
        <f t="shared" si="25"/>
        <v>0.75</v>
      </c>
      <c r="I525">
        <f t="shared" si="26"/>
        <v>0</v>
      </c>
    </row>
    <row r="526" spans="1:9">
      <c r="A526" s="1">
        <v>39484</v>
      </c>
      <c r="B526">
        <v>5.1197699999999999</v>
      </c>
      <c r="C526">
        <v>5.52</v>
      </c>
      <c r="D526">
        <f>WEEKDAY(A526,14)</f>
        <v>7</v>
      </c>
      <c r="E526">
        <f>VLOOKUP(D526,L$2:M$8,2,FALSE)</f>
        <v>0.25</v>
      </c>
      <c r="F526">
        <f t="shared" si="24"/>
        <v>5</v>
      </c>
      <c r="G526">
        <f>IF(F526&gt;F525,G525+B526*E526,B526*E526)</f>
        <v>5.0659159999999996</v>
      </c>
      <c r="H526">
        <f t="shared" si="25"/>
        <v>1</v>
      </c>
      <c r="I526">
        <f t="shared" si="26"/>
        <v>0</v>
      </c>
    </row>
    <row r="527" spans="1:9">
      <c r="A527" s="1">
        <v>39485</v>
      </c>
      <c r="B527">
        <v>5.2628500000000003</v>
      </c>
      <c r="C527">
        <v>5.57</v>
      </c>
      <c r="D527">
        <f>WEEKDAY(A527,14)</f>
        <v>1</v>
      </c>
      <c r="E527">
        <f>VLOOKUP(D527,L$2:M$8,2,FALSE)</f>
        <v>0</v>
      </c>
      <c r="F527">
        <f t="shared" si="24"/>
        <v>1</v>
      </c>
      <c r="G527">
        <f>IF(F527&gt;F526,G526+B527*E527,B527*E527)</f>
        <v>0</v>
      </c>
      <c r="H527">
        <f t="shared" si="25"/>
        <v>0</v>
      </c>
      <c r="I527">
        <f t="shared" si="26"/>
        <v>5.0659159999999996</v>
      </c>
    </row>
    <row r="528" spans="1:9">
      <c r="A528" s="1">
        <v>39486</v>
      </c>
      <c r="B528">
        <v>5.2021100000000002</v>
      </c>
      <c r="C528">
        <v>5.57</v>
      </c>
      <c r="D528">
        <f>WEEKDAY(A528,14)</f>
        <v>2</v>
      </c>
      <c r="E528">
        <f>VLOOKUP(D528,L$2:M$8,2,FALSE)</f>
        <v>0</v>
      </c>
      <c r="F528">
        <f t="shared" si="24"/>
        <v>2</v>
      </c>
      <c r="G528">
        <f>IF(F528&gt;F527,G527+B528*E528,B528*E528)</f>
        <v>0</v>
      </c>
      <c r="H528">
        <f t="shared" si="25"/>
        <v>0</v>
      </c>
      <c r="I528">
        <f t="shared" si="26"/>
        <v>0</v>
      </c>
    </row>
    <row r="529" spans="1:9">
      <c r="A529" s="1">
        <v>39489</v>
      </c>
      <c r="B529">
        <v>5.1938399999999998</v>
      </c>
      <c r="C529">
        <v>5.57</v>
      </c>
      <c r="D529">
        <f>WEEKDAY(A529,14)</f>
        <v>5</v>
      </c>
      <c r="E529">
        <f>VLOOKUP(D529,L$2:M$8,2,FALSE)</f>
        <v>0.05</v>
      </c>
      <c r="F529">
        <f t="shared" si="24"/>
        <v>3</v>
      </c>
      <c r="G529">
        <f>IF(F529&gt;F528,G528+B529*E529,B529*E529)</f>
        <v>0.25969199999999998</v>
      </c>
      <c r="H529">
        <f t="shared" si="25"/>
        <v>0.05</v>
      </c>
      <c r="I529">
        <f t="shared" si="26"/>
        <v>0</v>
      </c>
    </row>
    <row r="530" spans="1:9">
      <c r="A530" s="1">
        <v>39490</v>
      </c>
      <c r="B530">
        <v>5.2566100000000002</v>
      </c>
      <c r="C530">
        <v>5.57</v>
      </c>
      <c r="D530">
        <f>WEEKDAY(A530,14)</f>
        <v>6</v>
      </c>
      <c r="E530">
        <f>VLOOKUP(D530,L$2:M$8,2,FALSE)</f>
        <v>0.7</v>
      </c>
      <c r="F530">
        <f t="shared" si="24"/>
        <v>4</v>
      </c>
      <c r="G530">
        <f>IF(F530&gt;F529,G529+B530*E530,B530*E530)</f>
        <v>3.9393189999999998</v>
      </c>
      <c r="H530">
        <f t="shared" si="25"/>
        <v>0.75</v>
      </c>
      <c r="I530">
        <f t="shared" si="26"/>
        <v>0</v>
      </c>
    </row>
    <row r="531" spans="1:9">
      <c r="A531" s="1">
        <v>39491</v>
      </c>
      <c r="B531">
        <v>5.3294499999999996</v>
      </c>
      <c r="C531">
        <v>5.57</v>
      </c>
      <c r="D531">
        <f>WEEKDAY(A531,14)</f>
        <v>7</v>
      </c>
      <c r="E531">
        <f>VLOOKUP(D531,L$2:M$8,2,FALSE)</f>
        <v>0.25</v>
      </c>
      <c r="F531">
        <f t="shared" si="24"/>
        <v>5</v>
      </c>
      <c r="G531">
        <f>IF(F531&gt;F530,G530+B531*E531,B531*E531)</f>
        <v>5.2716814999999997</v>
      </c>
      <c r="H531">
        <f t="shared" si="25"/>
        <v>1</v>
      </c>
      <c r="I531">
        <f t="shared" si="26"/>
        <v>0</v>
      </c>
    </row>
    <row r="532" spans="1:9">
      <c r="A532" s="1">
        <v>39492</v>
      </c>
      <c r="B532">
        <v>5.5199800000000003</v>
      </c>
      <c r="C532">
        <v>5.94</v>
      </c>
      <c r="D532">
        <f>WEEKDAY(A532,14)</f>
        <v>1</v>
      </c>
      <c r="E532">
        <f>VLOOKUP(D532,L$2:M$8,2,FALSE)</f>
        <v>0</v>
      </c>
      <c r="F532">
        <f t="shared" si="24"/>
        <v>1</v>
      </c>
      <c r="G532">
        <f>IF(F532&gt;F531,G531+B532*E532,B532*E532)</f>
        <v>0</v>
      </c>
      <c r="H532">
        <f t="shared" si="25"/>
        <v>0</v>
      </c>
      <c r="I532">
        <f t="shared" si="26"/>
        <v>5.2716814999999997</v>
      </c>
    </row>
    <row r="533" spans="1:9">
      <c r="A533" s="1">
        <v>39493</v>
      </c>
      <c r="B533">
        <v>5.5032899999999998</v>
      </c>
      <c r="C533">
        <v>5.94</v>
      </c>
      <c r="D533">
        <f>WEEKDAY(A533,14)</f>
        <v>2</v>
      </c>
      <c r="E533">
        <f>VLOOKUP(D533,L$2:M$8,2,FALSE)</f>
        <v>0</v>
      </c>
      <c r="F533">
        <f t="shared" si="24"/>
        <v>2</v>
      </c>
      <c r="G533">
        <f>IF(F533&gt;F532,G532+B533*E533,B533*E533)</f>
        <v>0</v>
      </c>
      <c r="H533">
        <f t="shared" si="25"/>
        <v>0</v>
      </c>
      <c r="I533">
        <f t="shared" si="26"/>
        <v>0</v>
      </c>
    </row>
    <row r="534" spans="1:9">
      <c r="A534" s="1">
        <v>39497</v>
      </c>
      <c r="B534">
        <v>5.7345100000000002</v>
      </c>
      <c r="C534">
        <v>5.94</v>
      </c>
      <c r="D534">
        <f>WEEKDAY(A534,14)</f>
        <v>6</v>
      </c>
      <c r="E534">
        <f>VLOOKUP(D534,L$2:M$8,2,FALSE)</f>
        <v>0.7</v>
      </c>
      <c r="F534">
        <f t="shared" si="24"/>
        <v>3</v>
      </c>
      <c r="G534">
        <f>IF(F534&gt;F533,G533+B534*E534,B534*E534)</f>
        <v>4.014157</v>
      </c>
      <c r="H534">
        <f t="shared" si="25"/>
        <v>0.7</v>
      </c>
      <c r="I534">
        <f t="shared" si="26"/>
        <v>0</v>
      </c>
    </row>
    <row r="535" spans="1:9">
      <c r="A535" s="1">
        <v>39498</v>
      </c>
      <c r="B535">
        <v>5.76701</v>
      </c>
      <c r="C535">
        <v>5.94</v>
      </c>
      <c r="D535">
        <f>WEEKDAY(A535,14)</f>
        <v>7</v>
      </c>
      <c r="E535">
        <f>VLOOKUP(D535,L$2:M$8,2,FALSE)</f>
        <v>0.25</v>
      </c>
      <c r="F535">
        <f t="shared" si="24"/>
        <v>4</v>
      </c>
      <c r="G535">
        <f>IF(F535&gt;F534,G534+B535*E535,B535*E535)</f>
        <v>5.4559094999999997</v>
      </c>
      <c r="H535">
        <f t="shared" si="25"/>
        <v>0.95</v>
      </c>
      <c r="I535">
        <f t="shared" si="26"/>
        <v>0</v>
      </c>
    </row>
    <row r="536" spans="1:9">
      <c r="A536" s="1">
        <v>39499</v>
      </c>
      <c r="B536">
        <v>5.5926999999999998</v>
      </c>
      <c r="C536">
        <v>6.1150000000000002</v>
      </c>
      <c r="D536">
        <f>WEEKDAY(A536,14)</f>
        <v>1</v>
      </c>
      <c r="E536">
        <f>VLOOKUP(D536,L$2:M$8,2,FALSE)</f>
        <v>0</v>
      </c>
      <c r="F536">
        <f t="shared" si="24"/>
        <v>1</v>
      </c>
      <c r="G536">
        <f>IF(F536&gt;F535,G535+B536*E536,B536*E536)</f>
        <v>0</v>
      </c>
      <c r="H536">
        <f t="shared" si="25"/>
        <v>0</v>
      </c>
      <c r="I536">
        <f t="shared" si="26"/>
        <v>5.7430626315789475</v>
      </c>
    </row>
    <row r="537" spans="1:9">
      <c r="A537" s="1">
        <v>39500</v>
      </c>
      <c r="B537">
        <v>5.7194399999999996</v>
      </c>
      <c r="C537">
        <v>6.1150000000000002</v>
      </c>
      <c r="D537">
        <f>WEEKDAY(A537,14)</f>
        <v>2</v>
      </c>
      <c r="E537">
        <f>VLOOKUP(D537,L$2:M$8,2,FALSE)</f>
        <v>0</v>
      </c>
      <c r="F537">
        <f t="shared" si="24"/>
        <v>2</v>
      </c>
      <c r="G537">
        <f>IF(F537&gt;F536,G536+B537*E537,B537*E537)</f>
        <v>0</v>
      </c>
      <c r="H537">
        <f t="shared" si="25"/>
        <v>0</v>
      </c>
      <c r="I537">
        <f t="shared" si="26"/>
        <v>0</v>
      </c>
    </row>
    <row r="538" spans="1:9">
      <c r="A538" s="1">
        <v>39503</v>
      </c>
      <c r="B538">
        <v>5.8619500000000002</v>
      </c>
      <c r="C538">
        <v>6.1150000000000002</v>
      </c>
      <c r="D538">
        <f>WEEKDAY(A538,14)</f>
        <v>5</v>
      </c>
      <c r="E538">
        <f>VLOOKUP(D538,L$2:M$8,2,FALSE)</f>
        <v>0.05</v>
      </c>
      <c r="F538">
        <f t="shared" si="24"/>
        <v>3</v>
      </c>
      <c r="G538">
        <f>IF(F538&gt;F537,G537+B538*E538,B538*E538)</f>
        <v>0.29309750000000001</v>
      </c>
      <c r="H538">
        <f t="shared" si="25"/>
        <v>0.05</v>
      </c>
      <c r="I538">
        <f t="shared" si="26"/>
        <v>0</v>
      </c>
    </row>
    <row r="539" spans="1:9">
      <c r="A539" s="1">
        <v>39504</v>
      </c>
      <c r="B539">
        <v>5.7850900000000003</v>
      </c>
      <c r="C539">
        <v>6.1150000000000002</v>
      </c>
      <c r="D539">
        <f>WEEKDAY(A539,14)</f>
        <v>6</v>
      </c>
      <c r="E539">
        <f>VLOOKUP(D539,L$2:M$8,2,FALSE)</f>
        <v>0.7</v>
      </c>
      <c r="F539">
        <f t="shared" si="24"/>
        <v>4</v>
      </c>
      <c r="G539">
        <f>IF(F539&gt;F538,G538+B539*E539,B539*E539)</f>
        <v>4.3426605</v>
      </c>
      <c r="H539">
        <f t="shared" si="25"/>
        <v>0.75</v>
      </c>
      <c r="I539">
        <f t="shared" si="26"/>
        <v>0</v>
      </c>
    </row>
    <row r="540" spans="1:9">
      <c r="A540" s="1">
        <v>39505</v>
      </c>
      <c r="B540">
        <v>5.6907100000000002</v>
      </c>
      <c r="C540">
        <v>6.1150000000000002</v>
      </c>
      <c r="D540">
        <f>WEEKDAY(A540,14)</f>
        <v>7</v>
      </c>
      <c r="E540">
        <f>VLOOKUP(D540,L$2:M$8,2,FALSE)</f>
        <v>0.25</v>
      </c>
      <c r="F540">
        <f t="shared" si="24"/>
        <v>5</v>
      </c>
      <c r="G540">
        <f>IF(F540&gt;F539,G539+B540*E540,B540*E540)</f>
        <v>5.7653379999999999</v>
      </c>
      <c r="H540">
        <f t="shared" si="25"/>
        <v>1</v>
      </c>
      <c r="I540">
        <f t="shared" si="26"/>
        <v>0</v>
      </c>
    </row>
    <row r="541" spans="1:9">
      <c r="A541" s="1">
        <v>39506</v>
      </c>
      <c r="B541">
        <v>5.4988999999999999</v>
      </c>
      <c r="C541">
        <v>5.9050000000000002</v>
      </c>
      <c r="D541">
        <f>WEEKDAY(A541,14)</f>
        <v>1</v>
      </c>
      <c r="E541">
        <f>VLOOKUP(D541,L$2:M$8,2,FALSE)</f>
        <v>0</v>
      </c>
      <c r="F541">
        <f t="shared" si="24"/>
        <v>1</v>
      </c>
      <c r="G541">
        <f>IF(F541&gt;F540,G540+B541*E541,B541*E541)</f>
        <v>0</v>
      </c>
      <c r="H541">
        <f t="shared" si="25"/>
        <v>0</v>
      </c>
      <c r="I541">
        <f t="shared" si="26"/>
        <v>5.7653379999999999</v>
      </c>
    </row>
    <row r="542" spans="1:9">
      <c r="A542" s="1">
        <v>39507</v>
      </c>
      <c r="B542">
        <v>5.3596899999999996</v>
      </c>
      <c r="C542">
        <v>5.9050000000000002</v>
      </c>
      <c r="D542">
        <f>WEEKDAY(A542,14)</f>
        <v>2</v>
      </c>
      <c r="E542">
        <f>VLOOKUP(D542,L$2:M$8,2,FALSE)</f>
        <v>0</v>
      </c>
      <c r="F542">
        <f t="shared" si="24"/>
        <v>2</v>
      </c>
      <c r="G542">
        <f>IF(F542&gt;F541,G541+B542*E542,B542*E542)</f>
        <v>0</v>
      </c>
      <c r="H542">
        <f t="shared" si="25"/>
        <v>0</v>
      </c>
      <c r="I542">
        <f t="shared" si="26"/>
        <v>0</v>
      </c>
    </row>
    <row r="543" spans="1:9">
      <c r="A543" s="1">
        <v>39510</v>
      </c>
      <c r="B543">
        <v>5.4377399999999998</v>
      </c>
      <c r="C543">
        <v>5.9050000000000002</v>
      </c>
      <c r="D543">
        <f>WEEKDAY(A543,14)</f>
        <v>5</v>
      </c>
      <c r="E543">
        <f>VLOOKUP(D543,L$2:M$8,2,FALSE)</f>
        <v>0.05</v>
      </c>
      <c r="F543">
        <f t="shared" si="24"/>
        <v>3</v>
      </c>
      <c r="G543">
        <f>IF(F543&gt;F542,G542+B543*E543,B543*E543)</f>
        <v>0.27188699999999999</v>
      </c>
      <c r="H543">
        <f t="shared" si="25"/>
        <v>0.05</v>
      </c>
      <c r="I543">
        <f t="shared" si="26"/>
        <v>0</v>
      </c>
    </row>
    <row r="544" spans="1:9">
      <c r="A544" s="1">
        <v>39511</v>
      </c>
      <c r="B544">
        <v>5.6318200000000003</v>
      </c>
      <c r="C544">
        <v>5.9050000000000002</v>
      </c>
      <c r="D544">
        <f>WEEKDAY(A544,14)</f>
        <v>6</v>
      </c>
      <c r="E544">
        <f>VLOOKUP(D544,L$2:M$8,2,FALSE)</f>
        <v>0.7</v>
      </c>
      <c r="F544">
        <f t="shared" si="24"/>
        <v>4</v>
      </c>
      <c r="G544">
        <f>IF(F544&gt;F543,G543+B544*E544,B544*E544)</f>
        <v>4.2141609999999998</v>
      </c>
      <c r="H544">
        <f t="shared" si="25"/>
        <v>0.75</v>
      </c>
      <c r="I544">
        <f t="shared" si="26"/>
        <v>0</v>
      </c>
    </row>
    <row r="545" spans="1:9">
      <c r="A545" s="1">
        <v>39512</v>
      </c>
      <c r="B545">
        <v>5.8113400000000004</v>
      </c>
      <c r="C545">
        <v>5.9050000000000002</v>
      </c>
      <c r="D545">
        <f>WEEKDAY(A545,14)</f>
        <v>7</v>
      </c>
      <c r="E545">
        <f>VLOOKUP(D545,L$2:M$8,2,FALSE)</f>
        <v>0.25</v>
      </c>
      <c r="F545">
        <f t="shared" si="24"/>
        <v>5</v>
      </c>
      <c r="G545">
        <f>IF(F545&gt;F544,G544+B545*E545,B545*E545)</f>
        <v>5.6669960000000001</v>
      </c>
      <c r="H545">
        <f t="shared" si="25"/>
        <v>1</v>
      </c>
      <c r="I545">
        <f t="shared" si="26"/>
        <v>0</v>
      </c>
    </row>
    <row r="546" spans="1:9">
      <c r="A546" s="1">
        <v>39513</v>
      </c>
      <c r="B546">
        <v>5.9429299999999996</v>
      </c>
      <c r="C546">
        <v>6.0049999999999999</v>
      </c>
      <c r="D546">
        <f>WEEKDAY(A546,14)</f>
        <v>1</v>
      </c>
      <c r="E546">
        <f>VLOOKUP(D546,L$2:M$8,2,FALSE)</f>
        <v>0</v>
      </c>
      <c r="F546">
        <f t="shared" si="24"/>
        <v>1</v>
      </c>
      <c r="G546">
        <f>IF(F546&gt;F545,G545+B546*E546,B546*E546)</f>
        <v>0</v>
      </c>
      <c r="H546">
        <f t="shared" si="25"/>
        <v>0</v>
      </c>
      <c r="I546">
        <f t="shared" si="26"/>
        <v>5.6669960000000001</v>
      </c>
    </row>
    <row r="547" spans="1:9">
      <c r="A547" s="1">
        <v>39514</v>
      </c>
      <c r="B547">
        <v>5.79413</v>
      </c>
      <c r="C547">
        <v>6.0049999999999999</v>
      </c>
      <c r="D547">
        <f>WEEKDAY(A547,14)</f>
        <v>2</v>
      </c>
      <c r="E547">
        <f>VLOOKUP(D547,L$2:M$8,2,FALSE)</f>
        <v>0</v>
      </c>
      <c r="F547">
        <f t="shared" si="24"/>
        <v>2</v>
      </c>
      <c r="G547">
        <f>IF(F547&gt;F546,G546+B547*E547,B547*E547)</f>
        <v>0</v>
      </c>
      <c r="H547">
        <f t="shared" si="25"/>
        <v>0</v>
      </c>
      <c r="I547">
        <f t="shared" si="26"/>
        <v>0</v>
      </c>
    </row>
    <row r="548" spans="1:9">
      <c r="A548" s="1">
        <v>39517</v>
      </c>
      <c r="B548">
        <v>5.7608699999999997</v>
      </c>
      <c r="C548">
        <v>6.0049999999999999</v>
      </c>
      <c r="D548">
        <f>WEEKDAY(A548,14)</f>
        <v>5</v>
      </c>
      <c r="E548">
        <f>VLOOKUP(D548,L$2:M$8,2,FALSE)</f>
        <v>0.05</v>
      </c>
      <c r="F548">
        <f t="shared" si="24"/>
        <v>3</v>
      </c>
      <c r="G548">
        <f>IF(F548&gt;F547,G547+B548*E548,B548*E548)</f>
        <v>0.28804350000000001</v>
      </c>
      <c r="H548">
        <f t="shared" si="25"/>
        <v>0.05</v>
      </c>
      <c r="I548">
        <f t="shared" si="26"/>
        <v>0</v>
      </c>
    </row>
    <row r="549" spans="1:9">
      <c r="A549" s="1">
        <v>39518</v>
      </c>
      <c r="B549">
        <v>5.7793799999999997</v>
      </c>
      <c r="C549">
        <v>6.0049999999999999</v>
      </c>
      <c r="D549">
        <f>WEEKDAY(A549,14)</f>
        <v>6</v>
      </c>
      <c r="E549">
        <f>VLOOKUP(D549,L$2:M$8,2,FALSE)</f>
        <v>0.7</v>
      </c>
      <c r="F549">
        <f t="shared" si="24"/>
        <v>4</v>
      </c>
      <c r="G549">
        <f>IF(F549&gt;F548,G548+B549*E549,B549*E549)</f>
        <v>4.3336094999999997</v>
      </c>
      <c r="H549">
        <f t="shared" si="25"/>
        <v>0.75</v>
      </c>
      <c r="I549">
        <f t="shared" si="26"/>
        <v>0</v>
      </c>
    </row>
    <row r="550" spans="1:9">
      <c r="A550" s="1">
        <v>39519</v>
      </c>
      <c r="B550">
        <v>5.5033399999999997</v>
      </c>
      <c r="C550">
        <v>6.0049999999999999</v>
      </c>
      <c r="D550">
        <f>WEEKDAY(A550,14)</f>
        <v>7</v>
      </c>
      <c r="E550">
        <f>VLOOKUP(D550,L$2:M$8,2,FALSE)</f>
        <v>0.25</v>
      </c>
      <c r="F550">
        <f t="shared" si="24"/>
        <v>5</v>
      </c>
      <c r="G550">
        <f>IF(F550&gt;F549,G549+B550*E550,B550*E550)</f>
        <v>5.7094445</v>
      </c>
      <c r="H550">
        <f t="shared" si="25"/>
        <v>1</v>
      </c>
      <c r="I550">
        <f t="shared" si="26"/>
        <v>0</v>
      </c>
    </row>
    <row r="551" spans="1:9">
      <c r="A551" s="1">
        <v>39520</v>
      </c>
      <c r="B551">
        <v>5.5453000000000001</v>
      </c>
      <c r="C551">
        <v>5.7450000000000001</v>
      </c>
      <c r="D551">
        <f>WEEKDAY(A551,14)</f>
        <v>1</v>
      </c>
      <c r="E551">
        <f>VLOOKUP(D551,L$2:M$8,2,FALSE)</f>
        <v>0</v>
      </c>
      <c r="F551">
        <f t="shared" si="24"/>
        <v>1</v>
      </c>
      <c r="G551">
        <f>IF(F551&gt;F550,G550+B551*E551,B551*E551)</f>
        <v>0</v>
      </c>
      <c r="H551">
        <f t="shared" si="25"/>
        <v>0</v>
      </c>
      <c r="I551">
        <f t="shared" si="26"/>
        <v>5.7094445</v>
      </c>
    </row>
    <row r="552" spans="1:9">
      <c r="A552" s="1">
        <v>39521</v>
      </c>
      <c r="B552">
        <v>5.4771400000000003</v>
      </c>
      <c r="C552">
        <v>5.7450000000000001</v>
      </c>
      <c r="D552">
        <f>WEEKDAY(A552,14)</f>
        <v>2</v>
      </c>
      <c r="E552">
        <f>VLOOKUP(D552,L$2:M$8,2,FALSE)</f>
        <v>0</v>
      </c>
      <c r="F552">
        <f t="shared" si="24"/>
        <v>2</v>
      </c>
      <c r="G552">
        <f>IF(F552&gt;F551,G551+B552*E552,B552*E552)</f>
        <v>0</v>
      </c>
      <c r="H552">
        <f t="shared" si="25"/>
        <v>0</v>
      </c>
      <c r="I552">
        <f t="shared" si="26"/>
        <v>0</v>
      </c>
    </row>
    <row r="553" spans="1:9">
      <c r="A553" s="1">
        <v>39524</v>
      </c>
      <c r="B553">
        <v>5.0827400000000003</v>
      </c>
      <c r="C553">
        <v>5.7450000000000001</v>
      </c>
      <c r="D553">
        <f>WEEKDAY(A553,14)</f>
        <v>5</v>
      </c>
      <c r="E553">
        <f>VLOOKUP(D553,L$2:M$8,2,FALSE)</f>
        <v>0.05</v>
      </c>
      <c r="F553">
        <f t="shared" si="24"/>
        <v>3</v>
      </c>
      <c r="G553">
        <f>IF(F553&gt;F552,G552+B553*E553,B553*E553)</f>
        <v>0.254137</v>
      </c>
      <c r="H553">
        <f t="shared" si="25"/>
        <v>0.05</v>
      </c>
      <c r="I553">
        <f t="shared" si="26"/>
        <v>0</v>
      </c>
    </row>
    <row r="554" spans="1:9">
      <c r="A554" s="1">
        <v>39525</v>
      </c>
      <c r="B554">
        <v>5.26363</v>
      </c>
      <c r="C554">
        <v>5.7450000000000001</v>
      </c>
      <c r="D554">
        <f>WEEKDAY(A554,14)</f>
        <v>6</v>
      </c>
      <c r="E554">
        <f>VLOOKUP(D554,L$2:M$8,2,FALSE)</f>
        <v>0.7</v>
      </c>
      <c r="F554">
        <f t="shared" si="24"/>
        <v>4</v>
      </c>
      <c r="G554">
        <f>IF(F554&gt;F553,G553+B554*E554,B554*E554)</f>
        <v>3.9386779999999999</v>
      </c>
      <c r="H554">
        <f t="shared" si="25"/>
        <v>0.75</v>
      </c>
      <c r="I554">
        <f t="shared" si="26"/>
        <v>0</v>
      </c>
    </row>
    <row r="555" spans="1:9">
      <c r="A555" s="1">
        <v>39526</v>
      </c>
      <c r="B555">
        <v>5.1224999999999996</v>
      </c>
      <c r="C555">
        <v>5.7450000000000001</v>
      </c>
      <c r="D555">
        <f>WEEKDAY(A555,14)</f>
        <v>7</v>
      </c>
      <c r="E555">
        <f>VLOOKUP(D555,L$2:M$8,2,FALSE)</f>
        <v>0.25</v>
      </c>
      <c r="F555">
        <f t="shared" si="24"/>
        <v>5</v>
      </c>
      <c r="G555">
        <f>IF(F555&gt;F554,G554+B555*E555,B555*E555)</f>
        <v>5.219303</v>
      </c>
      <c r="H555">
        <f t="shared" si="25"/>
        <v>1</v>
      </c>
      <c r="I555">
        <f t="shared" si="26"/>
        <v>0</v>
      </c>
    </row>
    <row r="556" spans="1:9">
      <c r="A556" s="1">
        <v>39527</v>
      </c>
      <c r="B556">
        <v>5.0654300000000001</v>
      </c>
      <c r="C556">
        <v>5.7</v>
      </c>
      <c r="D556">
        <f>WEEKDAY(A556,14)</f>
        <v>1</v>
      </c>
      <c r="E556">
        <f>VLOOKUP(D556,L$2:M$8,2,FALSE)</f>
        <v>0</v>
      </c>
      <c r="F556">
        <f t="shared" si="24"/>
        <v>1</v>
      </c>
      <c r="G556">
        <f>IF(F556&gt;F555,G555+B556*E556,B556*E556)</f>
        <v>0</v>
      </c>
      <c r="H556">
        <f t="shared" si="25"/>
        <v>0</v>
      </c>
      <c r="I556">
        <f t="shared" si="26"/>
        <v>5.219303</v>
      </c>
    </row>
    <row r="557" spans="1:9">
      <c r="A557" s="1">
        <v>39531</v>
      </c>
      <c r="B557">
        <v>5.3472999999999997</v>
      </c>
      <c r="C557">
        <v>5.7</v>
      </c>
      <c r="D557">
        <f>WEEKDAY(A557,14)</f>
        <v>5</v>
      </c>
      <c r="E557">
        <f>VLOOKUP(D557,L$2:M$8,2,FALSE)</f>
        <v>0.05</v>
      </c>
      <c r="F557">
        <f t="shared" si="24"/>
        <v>2</v>
      </c>
      <c r="G557">
        <f>IF(F557&gt;F556,G556+B557*E557,B557*E557)</f>
        <v>0.26736500000000002</v>
      </c>
      <c r="H557">
        <f t="shared" si="25"/>
        <v>0.05</v>
      </c>
      <c r="I557">
        <f t="shared" si="26"/>
        <v>0</v>
      </c>
    </row>
    <row r="558" spans="1:9">
      <c r="A558" s="1">
        <v>39532</v>
      </c>
      <c r="B558">
        <v>5.3040900000000004</v>
      </c>
      <c r="C558">
        <v>5.7</v>
      </c>
      <c r="D558">
        <f>WEEKDAY(A558,14)</f>
        <v>6</v>
      </c>
      <c r="E558">
        <f>VLOOKUP(D558,L$2:M$8,2,FALSE)</f>
        <v>0.7</v>
      </c>
      <c r="F558">
        <f t="shared" si="24"/>
        <v>3</v>
      </c>
      <c r="G558">
        <f>IF(F558&gt;F557,G557+B558*E558,B558*E558)</f>
        <v>3.9802279999999999</v>
      </c>
      <c r="H558">
        <f t="shared" si="25"/>
        <v>0.75</v>
      </c>
      <c r="I558">
        <f t="shared" si="26"/>
        <v>0</v>
      </c>
    </row>
    <row r="559" spans="1:9">
      <c r="A559" s="1">
        <v>39533</v>
      </c>
      <c r="B559">
        <v>5.2959899999999998</v>
      </c>
      <c r="C559">
        <v>5.7</v>
      </c>
      <c r="D559">
        <f>WEEKDAY(A559,14)</f>
        <v>7</v>
      </c>
      <c r="E559">
        <f>VLOOKUP(D559,L$2:M$8,2,FALSE)</f>
        <v>0.25</v>
      </c>
      <c r="F559">
        <f t="shared" si="24"/>
        <v>4</v>
      </c>
      <c r="G559">
        <f>IF(F559&gt;F558,G558+B559*E559,B559*E559)</f>
        <v>5.3042254999999994</v>
      </c>
      <c r="H559">
        <f t="shared" si="25"/>
        <v>1</v>
      </c>
      <c r="I559">
        <f t="shared" si="26"/>
        <v>0</v>
      </c>
    </row>
    <row r="560" spans="1:9">
      <c r="A560" s="1">
        <v>39534</v>
      </c>
      <c r="B560">
        <v>5.3916399999999998</v>
      </c>
      <c r="C560">
        <v>5.7549999999999999</v>
      </c>
      <c r="D560">
        <f>WEEKDAY(A560,14)</f>
        <v>1</v>
      </c>
      <c r="E560">
        <f>VLOOKUP(D560,L$2:M$8,2,FALSE)</f>
        <v>0</v>
      </c>
      <c r="F560">
        <f t="shared" si="24"/>
        <v>1</v>
      </c>
      <c r="G560">
        <f>IF(F560&gt;F559,G559+B560*E560,B560*E560)</f>
        <v>0</v>
      </c>
      <c r="H560">
        <f t="shared" si="25"/>
        <v>0</v>
      </c>
      <c r="I560">
        <f t="shared" si="26"/>
        <v>5.3042254999999994</v>
      </c>
    </row>
    <row r="561" spans="1:9">
      <c r="A561" s="1">
        <v>39535</v>
      </c>
      <c r="B561">
        <v>5.2821499999999997</v>
      </c>
      <c r="C561">
        <v>5.7549999999999999</v>
      </c>
      <c r="D561">
        <f>WEEKDAY(A561,14)</f>
        <v>2</v>
      </c>
      <c r="E561">
        <f>VLOOKUP(D561,L$2:M$8,2,FALSE)</f>
        <v>0</v>
      </c>
      <c r="F561">
        <f t="shared" si="24"/>
        <v>2</v>
      </c>
      <c r="G561">
        <f>IF(F561&gt;F560,G560+B561*E561,B561*E561)</f>
        <v>0</v>
      </c>
      <c r="H561">
        <f t="shared" si="25"/>
        <v>0</v>
      </c>
      <c r="I561">
        <f t="shared" si="26"/>
        <v>0</v>
      </c>
    </row>
    <row r="562" spans="1:9">
      <c r="A562" s="1">
        <v>39538</v>
      </c>
      <c r="B562">
        <v>5.2620199999999997</v>
      </c>
      <c r="C562">
        <v>5.7549999999999999</v>
      </c>
      <c r="D562">
        <f>WEEKDAY(A562,14)</f>
        <v>5</v>
      </c>
      <c r="E562">
        <f>VLOOKUP(D562,L$2:M$8,2,FALSE)</f>
        <v>0.05</v>
      </c>
      <c r="F562">
        <f t="shared" si="24"/>
        <v>3</v>
      </c>
      <c r="G562">
        <f>IF(F562&gt;F561,G561+B562*E562,B562*E562)</f>
        <v>0.26310099999999997</v>
      </c>
      <c r="H562">
        <f t="shared" si="25"/>
        <v>0.05</v>
      </c>
      <c r="I562">
        <f t="shared" si="26"/>
        <v>0</v>
      </c>
    </row>
    <row r="563" spans="1:9">
      <c r="A563" s="1">
        <v>39539</v>
      </c>
      <c r="B563">
        <v>5.3682400000000001</v>
      </c>
      <c r="C563">
        <v>5.7549999999999999</v>
      </c>
      <c r="D563">
        <f>WEEKDAY(A563,14)</f>
        <v>6</v>
      </c>
      <c r="E563">
        <f>VLOOKUP(D563,L$2:M$8,2,FALSE)</f>
        <v>0.7</v>
      </c>
      <c r="F563">
        <f t="shared" si="24"/>
        <v>4</v>
      </c>
      <c r="G563">
        <f>IF(F563&gt;F562,G562+B563*E563,B563*E563)</f>
        <v>4.0208690000000002</v>
      </c>
      <c r="H563">
        <f t="shared" si="25"/>
        <v>0.75</v>
      </c>
      <c r="I563">
        <f t="shared" si="26"/>
        <v>0</v>
      </c>
    </row>
    <row r="564" spans="1:9">
      <c r="A564" s="1">
        <v>39540</v>
      </c>
      <c r="B564">
        <v>5.43194</v>
      </c>
      <c r="C564">
        <v>5.7549999999999999</v>
      </c>
      <c r="D564">
        <f>WEEKDAY(A564,14)</f>
        <v>7</v>
      </c>
      <c r="E564">
        <f>VLOOKUP(D564,L$2:M$8,2,FALSE)</f>
        <v>0.25</v>
      </c>
      <c r="F564">
        <f t="shared" si="24"/>
        <v>5</v>
      </c>
      <c r="G564">
        <f>IF(F564&gt;F563,G563+B564*E564,B564*E564)</f>
        <v>5.3788540000000005</v>
      </c>
      <c r="H564">
        <f t="shared" si="25"/>
        <v>1</v>
      </c>
      <c r="I564">
        <f t="shared" si="26"/>
        <v>0</v>
      </c>
    </row>
    <row r="565" spans="1:9">
      <c r="A565" s="1">
        <v>39541</v>
      </c>
      <c r="B565">
        <v>5.3757099999999998</v>
      </c>
      <c r="C565">
        <v>5.73</v>
      </c>
      <c r="D565">
        <f>WEEKDAY(A565,14)</f>
        <v>1</v>
      </c>
      <c r="E565">
        <f>VLOOKUP(D565,L$2:M$8,2,FALSE)</f>
        <v>0</v>
      </c>
      <c r="F565">
        <f t="shared" si="24"/>
        <v>1</v>
      </c>
      <c r="G565">
        <f>IF(F565&gt;F564,G564+B565*E565,B565*E565)</f>
        <v>0</v>
      </c>
      <c r="H565">
        <f t="shared" si="25"/>
        <v>0</v>
      </c>
      <c r="I565">
        <f t="shared" si="26"/>
        <v>5.3788540000000005</v>
      </c>
    </row>
    <row r="566" spans="1:9">
      <c r="A566" s="1">
        <v>39542</v>
      </c>
      <c r="B566">
        <v>5.1673600000000004</v>
      </c>
      <c r="C566">
        <v>5.73</v>
      </c>
      <c r="D566">
        <f>WEEKDAY(A566,14)</f>
        <v>2</v>
      </c>
      <c r="E566">
        <f>VLOOKUP(D566,L$2:M$8,2,FALSE)</f>
        <v>0</v>
      </c>
      <c r="F566">
        <f t="shared" si="24"/>
        <v>2</v>
      </c>
      <c r="G566">
        <f>IF(F566&gt;F565,G565+B566*E566,B566*E566)</f>
        <v>0</v>
      </c>
      <c r="H566">
        <f t="shared" si="25"/>
        <v>0</v>
      </c>
      <c r="I566">
        <f t="shared" si="26"/>
        <v>0</v>
      </c>
    </row>
    <row r="567" spans="1:9">
      <c r="A567" s="1">
        <v>39545</v>
      </c>
      <c r="B567">
        <v>5.2336299999999998</v>
      </c>
      <c r="C567">
        <v>5.73</v>
      </c>
      <c r="D567">
        <f>WEEKDAY(A567,14)</f>
        <v>5</v>
      </c>
      <c r="E567">
        <f>VLOOKUP(D567,L$2:M$8,2,FALSE)</f>
        <v>0.05</v>
      </c>
      <c r="F567">
        <f t="shared" si="24"/>
        <v>3</v>
      </c>
      <c r="G567">
        <f>IF(F567&gt;F566,G566+B567*E567,B567*E567)</f>
        <v>0.26168150000000001</v>
      </c>
      <c r="H567">
        <f t="shared" si="25"/>
        <v>0.05</v>
      </c>
      <c r="I567">
        <f t="shared" si="26"/>
        <v>0</v>
      </c>
    </row>
    <row r="568" spans="1:9">
      <c r="A568" s="1">
        <v>39546</v>
      </c>
      <c r="B568">
        <v>5.2821600000000002</v>
      </c>
      <c r="C568">
        <v>5.73</v>
      </c>
      <c r="D568">
        <f>WEEKDAY(A568,14)</f>
        <v>6</v>
      </c>
      <c r="E568">
        <f>VLOOKUP(D568,L$2:M$8,2,FALSE)</f>
        <v>0.7</v>
      </c>
      <c r="F568">
        <f t="shared" si="24"/>
        <v>4</v>
      </c>
      <c r="G568">
        <f>IF(F568&gt;F567,G567+B568*E568,B568*E568)</f>
        <v>3.9591934999999996</v>
      </c>
      <c r="H568">
        <f t="shared" si="25"/>
        <v>0.75</v>
      </c>
      <c r="I568">
        <f t="shared" si="26"/>
        <v>0</v>
      </c>
    </row>
    <row r="569" spans="1:9">
      <c r="A569" s="1">
        <v>39547</v>
      </c>
      <c r="B569">
        <v>5.1931599999999998</v>
      </c>
      <c r="C569">
        <v>5.73</v>
      </c>
      <c r="D569">
        <f>WEEKDAY(A569,14)</f>
        <v>7</v>
      </c>
      <c r="E569">
        <f>VLOOKUP(D569,L$2:M$8,2,FALSE)</f>
        <v>0.25</v>
      </c>
      <c r="F569">
        <f t="shared" si="24"/>
        <v>5</v>
      </c>
      <c r="G569">
        <f>IF(F569&gt;F568,G568+B569*E569,B569*E569)</f>
        <v>5.2574834999999993</v>
      </c>
      <c r="H569">
        <f t="shared" si="25"/>
        <v>1</v>
      </c>
      <c r="I569">
        <f t="shared" si="26"/>
        <v>0</v>
      </c>
    </row>
    <row r="570" spans="1:9">
      <c r="A570" s="1">
        <v>39548</v>
      </c>
      <c r="B570">
        <v>5.2698999999999998</v>
      </c>
      <c r="C570">
        <v>5.73</v>
      </c>
      <c r="D570">
        <f>WEEKDAY(A570,14)</f>
        <v>1</v>
      </c>
      <c r="E570">
        <f>VLOOKUP(D570,L$2:M$8,2,FALSE)</f>
        <v>0</v>
      </c>
      <c r="F570">
        <f t="shared" si="24"/>
        <v>1</v>
      </c>
      <c r="G570">
        <f>IF(F570&gt;F569,G569+B570*E570,B570*E570)</f>
        <v>0</v>
      </c>
      <c r="H570">
        <f t="shared" si="25"/>
        <v>0</v>
      </c>
      <c r="I570">
        <f t="shared" si="26"/>
        <v>5.2574834999999993</v>
      </c>
    </row>
    <row r="571" spans="1:9">
      <c r="A571" s="1">
        <v>39549</v>
      </c>
      <c r="B571">
        <v>5.2083000000000004</v>
      </c>
      <c r="C571">
        <v>5.73</v>
      </c>
      <c r="D571">
        <f>WEEKDAY(A571,14)</f>
        <v>2</v>
      </c>
      <c r="E571">
        <f>VLOOKUP(D571,L$2:M$8,2,FALSE)</f>
        <v>0</v>
      </c>
      <c r="F571">
        <f t="shared" si="24"/>
        <v>2</v>
      </c>
      <c r="G571">
        <f>IF(F571&gt;F570,G570+B571*E571,B571*E571)</f>
        <v>0</v>
      </c>
      <c r="H571">
        <f t="shared" si="25"/>
        <v>0</v>
      </c>
      <c r="I571">
        <f t="shared" si="26"/>
        <v>0</v>
      </c>
    </row>
    <row r="572" spans="1:9">
      <c r="A572" s="1">
        <v>39552</v>
      </c>
      <c r="B572">
        <v>5.2727000000000004</v>
      </c>
      <c r="C572">
        <v>5.73</v>
      </c>
      <c r="D572">
        <f>WEEKDAY(A572,14)</f>
        <v>5</v>
      </c>
      <c r="E572">
        <f>VLOOKUP(D572,L$2:M$8,2,FALSE)</f>
        <v>0.05</v>
      </c>
      <c r="F572">
        <f t="shared" si="24"/>
        <v>3</v>
      </c>
      <c r="G572">
        <f>IF(F572&gt;F571,G571+B572*E572,B572*E572)</f>
        <v>0.26363500000000001</v>
      </c>
      <c r="H572">
        <f t="shared" si="25"/>
        <v>0.05</v>
      </c>
      <c r="I572">
        <f t="shared" si="26"/>
        <v>0</v>
      </c>
    </row>
    <row r="573" spans="1:9">
      <c r="A573" s="1">
        <v>39553</v>
      </c>
      <c r="B573">
        <v>5.3822400000000004</v>
      </c>
      <c r="C573">
        <v>5.73</v>
      </c>
      <c r="D573">
        <f>WEEKDAY(A573,14)</f>
        <v>6</v>
      </c>
      <c r="E573">
        <f>VLOOKUP(D573,L$2:M$8,2,FALSE)</f>
        <v>0.7</v>
      </c>
      <c r="F573">
        <f t="shared" si="24"/>
        <v>4</v>
      </c>
      <c r="G573">
        <f>IF(F573&gt;F572,G572+B573*E573,B573*E573)</f>
        <v>4.0312029999999996</v>
      </c>
      <c r="H573">
        <f t="shared" si="25"/>
        <v>0.75</v>
      </c>
      <c r="I573">
        <f t="shared" si="26"/>
        <v>0</v>
      </c>
    </row>
    <row r="574" spans="1:9">
      <c r="A574" s="1">
        <v>39554</v>
      </c>
      <c r="B574">
        <v>5.5435800000000004</v>
      </c>
      <c r="C574">
        <v>5.73</v>
      </c>
      <c r="D574">
        <f>WEEKDAY(A574,14)</f>
        <v>7</v>
      </c>
      <c r="E574">
        <f>VLOOKUP(D574,L$2:M$8,2,FALSE)</f>
        <v>0.25</v>
      </c>
      <c r="F574">
        <f t="shared" si="24"/>
        <v>5</v>
      </c>
      <c r="G574">
        <f>IF(F574&gt;F573,G573+B574*E574,B574*E574)</f>
        <v>5.4170979999999993</v>
      </c>
      <c r="H574">
        <f t="shared" si="25"/>
        <v>1</v>
      </c>
      <c r="I574">
        <f t="shared" si="26"/>
        <v>0</v>
      </c>
    </row>
    <row r="575" spans="1:9">
      <c r="A575" s="1">
        <v>39555</v>
      </c>
      <c r="B575">
        <v>5.5779100000000001</v>
      </c>
      <c r="C575">
        <v>5.8550000000000004</v>
      </c>
      <c r="D575">
        <f>WEEKDAY(A575,14)</f>
        <v>1</v>
      </c>
      <c r="E575">
        <f>VLOOKUP(D575,L$2:M$8,2,FALSE)</f>
        <v>0</v>
      </c>
      <c r="F575">
        <f t="shared" si="24"/>
        <v>1</v>
      </c>
      <c r="G575">
        <f>IF(F575&gt;F574,G574+B575*E575,B575*E575)</f>
        <v>0</v>
      </c>
      <c r="H575">
        <f t="shared" si="25"/>
        <v>0</v>
      </c>
      <c r="I575">
        <f t="shared" si="26"/>
        <v>5.4170979999999993</v>
      </c>
    </row>
    <row r="576" spans="1:9">
      <c r="A576" s="1">
        <v>39556</v>
      </c>
      <c r="B576">
        <v>5.4838500000000003</v>
      </c>
      <c r="C576">
        <v>5.8550000000000004</v>
      </c>
      <c r="D576">
        <f>WEEKDAY(A576,14)</f>
        <v>2</v>
      </c>
      <c r="E576">
        <f>VLOOKUP(D576,L$2:M$8,2,FALSE)</f>
        <v>0</v>
      </c>
      <c r="F576">
        <f t="shared" si="24"/>
        <v>2</v>
      </c>
      <c r="G576">
        <f>IF(F576&gt;F575,G575+B576*E576,B576*E576)</f>
        <v>0</v>
      </c>
      <c r="H576">
        <f t="shared" si="25"/>
        <v>0</v>
      </c>
      <c r="I576">
        <f t="shared" si="26"/>
        <v>0</v>
      </c>
    </row>
    <row r="577" spans="1:9">
      <c r="A577" s="1">
        <v>39559</v>
      </c>
      <c r="B577">
        <v>5.4250699999999998</v>
      </c>
      <c r="C577">
        <v>5.8550000000000004</v>
      </c>
      <c r="D577">
        <f>WEEKDAY(A577,14)</f>
        <v>5</v>
      </c>
      <c r="E577">
        <f>VLOOKUP(D577,L$2:M$8,2,FALSE)</f>
        <v>0.05</v>
      </c>
      <c r="F577">
        <f t="shared" si="24"/>
        <v>3</v>
      </c>
      <c r="G577">
        <f>IF(F577&gt;F576,G576+B577*E577,B577*E577)</f>
        <v>0.27125349999999998</v>
      </c>
      <c r="H577">
        <f t="shared" si="25"/>
        <v>0.05</v>
      </c>
      <c r="I577">
        <f t="shared" si="26"/>
        <v>0</v>
      </c>
    </row>
    <row r="578" spans="1:9">
      <c r="A578" s="1">
        <v>39560</v>
      </c>
      <c r="B578">
        <v>5.3854800000000003</v>
      </c>
      <c r="C578">
        <v>5.8550000000000004</v>
      </c>
      <c r="D578">
        <f>WEEKDAY(A578,14)</f>
        <v>6</v>
      </c>
      <c r="E578">
        <f>VLOOKUP(D578,L$2:M$8,2,FALSE)</f>
        <v>0.7</v>
      </c>
      <c r="F578">
        <f t="shared" si="24"/>
        <v>4</v>
      </c>
      <c r="G578">
        <f>IF(F578&gt;F577,G577+B578*E578,B578*E578)</f>
        <v>4.0410895</v>
      </c>
      <c r="H578">
        <f t="shared" si="25"/>
        <v>0.75</v>
      </c>
      <c r="I578">
        <f t="shared" si="26"/>
        <v>0</v>
      </c>
    </row>
    <row r="579" spans="1:9">
      <c r="A579" s="1">
        <v>39561</v>
      </c>
      <c r="B579">
        <v>5.4325000000000001</v>
      </c>
      <c r="C579">
        <v>5.8550000000000004</v>
      </c>
      <c r="D579">
        <f>WEEKDAY(A579,14)</f>
        <v>7</v>
      </c>
      <c r="E579">
        <f>VLOOKUP(D579,L$2:M$8,2,FALSE)</f>
        <v>0.25</v>
      </c>
      <c r="F579">
        <f t="shared" ref="F579:F642" si="27">IF(AND(D579&gt;D578,F578&lt;6),F578+1,1)</f>
        <v>5</v>
      </c>
      <c r="G579">
        <f>IF(F579&gt;F578,G578+B579*E579,B579*E579)</f>
        <v>5.3992145000000002</v>
      </c>
      <c r="H579">
        <f t="shared" si="25"/>
        <v>1</v>
      </c>
      <c r="I579">
        <f t="shared" si="26"/>
        <v>0</v>
      </c>
    </row>
    <row r="580" spans="1:9">
      <c r="A580" s="1">
        <v>39562</v>
      </c>
      <c r="B580">
        <v>5.5197900000000004</v>
      </c>
      <c r="C580">
        <v>5.9349999999999996</v>
      </c>
      <c r="D580">
        <f>WEEKDAY(A580,14)</f>
        <v>1</v>
      </c>
      <c r="E580">
        <f>VLOOKUP(D580,L$2:M$8,2,FALSE)</f>
        <v>0</v>
      </c>
      <c r="F580">
        <f t="shared" si="27"/>
        <v>1</v>
      </c>
      <c r="G580">
        <f>IF(F580&gt;F579,G579+B580*E580,B580*E580)</f>
        <v>0</v>
      </c>
      <c r="H580">
        <f t="shared" ref="H580:H643" si="28">IF(AND(F580&lt;6,F580&gt;F579),E580+H579,E580)</f>
        <v>0</v>
      </c>
      <c r="I580">
        <f t="shared" ref="I580:I643" si="29">IF(F579&gt;F580,G579/H579,0)</f>
        <v>5.3992145000000002</v>
      </c>
    </row>
    <row r="581" spans="1:9">
      <c r="A581" s="1">
        <v>39563</v>
      </c>
      <c r="B581">
        <v>5.5305999999999997</v>
      </c>
      <c r="C581">
        <v>5.9349999999999996</v>
      </c>
      <c r="D581">
        <f>WEEKDAY(A581,14)</f>
        <v>2</v>
      </c>
      <c r="E581">
        <f>VLOOKUP(D581,L$2:M$8,2,FALSE)</f>
        <v>0</v>
      </c>
      <c r="F581">
        <f t="shared" si="27"/>
        <v>2</v>
      </c>
      <c r="G581">
        <f>IF(F581&gt;F580,G580+B581*E581,B581*E581)</f>
        <v>0</v>
      </c>
      <c r="H581">
        <f t="shared" si="28"/>
        <v>0</v>
      </c>
      <c r="I581">
        <f t="shared" si="29"/>
        <v>0</v>
      </c>
    </row>
    <row r="582" spans="1:9">
      <c r="A582" s="1">
        <v>39566</v>
      </c>
      <c r="B582">
        <v>5.4908099999999997</v>
      </c>
      <c r="C582">
        <v>5.9349999999999996</v>
      </c>
      <c r="D582">
        <f>WEEKDAY(A582,14)</f>
        <v>5</v>
      </c>
      <c r="E582">
        <f>VLOOKUP(D582,L$2:M$8,2,FALSE)</f>
        <v>0.05</v>
      </c>
      <c r="F582">
        <f t="shared" si="27"/>
        <v>3</v>
      </c>
      <c r="G582">
        <f>IF(F582&gt;F581,G581+B582*E582,B582*E582)</f>
        <v>0.27454050000000002</v>
      </c>
      <c r="H582">
        <f t="shared" si="28"/>
        <v>0.05</v>
      </c>
      <c r="I582">
        <f t="shared" si="29"/>
        <v>0</v>
      </c>
    </row>
    <row r="583" spans="1:9">
      <c r="A583" s="1">
        <v>39567</v>
      </c>
      <c r="B583">
        <v>5.4714400000000003</v>
      </c>
      <c r="C583">
        <v>5.9349999999999996</v>
      </c>
      <c r="D583">
        <f>WEEKDAY(A583,14)</f>
        <v>6</v>
      </c>
      <c r="E583">
        <f>VLOOKUP(D583,L$2:M$8,2,FALSE)</f>
        <v>0.7</v>
      </c>
      <c r="F583">
        <f t="shared" si="27"/>
        <v>4</v>
      </c>
      <c r="G583">
        <f>IF(F583&gt;F582,G582+B583*E583,B583*E583)</f>
        <v>4.1045484999999999</v>
      </c>
      <c r="H583">
        <f t="shared" si="28"/>
        <v>0.75</v>
      </c>
      <c r="I583">
        <f t="shared" si="29"/>
        <v>0</v>
      </c>
    </row>
    <row r="584" spans="1:9">
      <c r="A584" s="1">
        <v>39568</v>
      </c>
      <c r="B584">
        <v>5.40219</v>
      </c>
      <c r="C584">
        <v>5.9349999999999996</v>
      </c>
      <c r="D584">
        <f>WEEKDAY(A584,14)</f>
        <v>7</v>
      </c>
      <c r="E584">
        <f>VLOOKUP(D584,L$2:M$8,2,FALSE)</f>
        <v>0.25</v>
      </c>
      <c r="F584">
        <f t="shared" si="27"/>
        <v>5</v>
      </c>
      <c r="G584">
        <f>IF(F584&gt;F583,G583+B584*E584,B584*E584)</f>
        <v>5.4550960000000002</v>
      </c>
      <c r="H584">
        <f t="shared" si="28"/>
        <v>1</v>
      </c>
      <c r="I584">
        <f t="shared" si="29"/>
        <v>0</v>
      </c>
    </row>
    <row r="585" spans="1:9">
      <c r="A585" s="1">
        <v>39569</v>
      </c>
      <c r="B585">
        <v>5.3436199999999996</v>
      </c>
      <c r="C585">
        <v>5.875</v>
      </c>
      <c r="D585">
        <f>WEEKDAY(A585,14)</f>
        <v>1</v>
      </c>
      <c r="E585">
        <f>VLOOKUP(D585,L$2:M$8,2,FALSE)</f>
        <v>0</v>
      </c>
      <c r="F585">
        <f t="shared" si="27"/>
        <v>1</v>
      </c>
      <c r="G585">
        <f>IF(F585&gt;F584,G584+B585*E585,B585*E585)</f>
        <v>0</v>
      </c>
      <c r="H585">
        <f t="shared" si="28"/>
        <v>0</v>
      </c>
      <c r="I585">
        <f t="shared" si="29"/>
        <v>5.4550960000000002</v>
      </c>
    </row>
    <row r="586" spans="1:9">
      <c r="A586" s="1">
        <v>39570</v>
      </c>
      <c r="B586">
        <v>5.38863</v>
      </c>
      <c r="C586">
        <v>5.875</v>
      </c>
      <c r="D586">
        <f>WEEKDAY(A586,14)</f>
        <v>2</v>
      </c>
      <c r="E586">
        <f>VLOOKUP(D586,L$2:M$8,2,FALSE)</f>
        <v>0</v>
      </c>
      <c r="F586">
        <f t="shared" si="27"/>
        <v>2</v>
      </c>
      <c r="G586">
        <f>IF(F586&gt;F585,G585+B586*E586,B586*E586)</f>
        <v>0</v>
      </c>
      <c r="H586">
        <f t="shared" si="28"/>
        <v>0</v>
      </c>
      <c r="I586">
        <f t="shared" si="29"/>
        <v>0</v>
      </c>
    </row>
    <row r="587" spans="1:9">
      <c r="A587" s="1">
        <v>39573</v>
      </c>
      <c r="B587">
        <v>5.4154999999999998</v>
      </c>
      <c r="C587">
        <v>5.875</v>
      </c>
      <c r="D587">
        <f>WEEKDAY(A587,14)</f>
        <v>5</v>
      </c>
      <c r="E587">
        <f>VLOOKUP(D587,L$2:M$8,2,FALSE)</f>
        <v>0.05</v>
      </c>
      <c r="F587">
        <f t="shared" si="27"/>
        <v>3</v>
      </c>
      <c r="G587">
        <f>IF(F587&gt;F586,G586+B587*E587,B587*E587)</f>
        <v>0.27077499999999999</v>
      </c>
      <c r="H587">
        <f t="shared" si="28"/>
        <v>0.05</v>
      </c>
      <c r="I587">
        <f t="shared" si="29"/>
        <v>0</v>
      </c>
    </row>
    <row r="588" spans="1:9">
      <c r="A588" s="1">
        <v>39574</v>
      </c>
      <c r="B588">
        <v>5.4358899999999997</v>
      </c>
      <c r="C588">
        <v>5.875</v>
      </c>
      <c r="D588">
        <f>WEEKDAY(A588,14)</f>
        <v>6</v>
      </c>
      <c r="E588">
        <f>VLOOKUP(D588,L$2:M$8,2,FALSE)</f>
        <v>0.7</v>
      </c>
      <c r="F588">
        <f t="shared" si="27"/>
        <v>4</v>
      </c>
      <c r="G588">
        <f>IF(F588&gt;F587,G587+B588*E588,B588*E588)</f>
        <v>4.0758979999999996</v>
      </c>
      <c r="H588">
        <f t="shared" si="28"/>
        <v>0.75</v>
      </c>
      <c r="I588">
        <f t="shared" si="29"/>
        <v>0</v>
      </c>
    </row>
    <row r="589" spans="1:9">
      <c r="A589" s="1">
        <v>39575</v>
      </c>
      <c r="B589">
        <v>5.3936700000000002</v>
      </c>
      <c r="C589">
        <v>5.875</v>
      </c>
      <c r="D589">
        <f>WEEKDAY(A589,14)</f>
        <v>7</v>
      </c>
      <c r="E589">
        <f>VLOOKUP(D589,L$2:M$8,2,FALSE)</f>
        <v>0.25</v>
      </c>
      <c r="F589">
        <f t="shared" si="27"/>
        <v>5</v>
      </c>
      <c r="G589">
        <f>IF(F589&gt;F588,G588+B589*E589,B589*E589)</f>
        <v>5.4243154999999996</v>
      </c>
      <c r="H589">
        <f t="shared" si="28"/>
        <v>1</v>
      </c>
      <c r="I589">
        <f t="shared" si="29"/>
        <v>0</v>
      </c>
    </row>
    <row r="590" spans="1:9">
      <c r="A590" s="1">
        <v>39576</v>
      </c>
      <c r="B590">
        <v>5.3225600000000002</v>
      </c>
      <c r="C590">
        <v>5.91</v>
      </c>
      <c r="D590">
        <f>WEEKDAY(A590,14)</f>
        <v>1</v>
      </c>
      <c r="E590">
        <f>VLOOKUP(D590,L$2:M$8,2,FALSE)</f>
        <v>0</v>
      </c>
      <c r="F590">
        <f t="shared" si="27"/>
        <v>1</v>
      </c>
      <c r="G590">
        <f>IF(F590&gt;F589,G589+B590*E590,B590*E590)</f>
        <v>0</v>
      </c>
      <c r="H590">
        <f t="shared" si="28"/>
        <v>0</v>
      </c>
      <c r="I590">
        <f t="shared" si="29"/>
        <v>5.4243154999999996</v>
      </c>
    </row>
    <row r="591" spans="1:9">
      <c r="A591" s="1">
        <v>39577</v>
      </c>
      <c r="B591">
        <v>5.3523199999999997</v>
      </c>
      <c r="C591">
        <v>5.91</v>
      </c>
      <c r="D591">
        <f>WEEKDAY(A591,14)</f>
        <v>2</v>
      </c>
      <c r="E591">
        <f>VLOOKUP(D591,L$2:M$8,2,FALSE)</f>
        <v>0</v>
      </c>
      <c r="F591">
        <f t="shared" si="27"/>
        <v>2</v>
      </c>
      <c r="G591">
        <f>IF(F591&gt;F590,G590+B591*E591,B591*E591)</f>
        <v>0</v>
      </c>
      <c r="H591">
        <f t="shared" si="28"/>
        <v>0</v>
      </c>
      <c r="I591">
        <f t="shared" si="29"/>
        <v>0</v>
      </c>
    </row>
    <row r="592" spans="1:9">
      <c r="A592" s="1">
        <v>39580</v>
      </c>
      <c r="B592">
        <v>5.4055799999999996</v>
      </c>
      <c r="C592">
        <v>5.91</v>
      </c>
      <c r="D592">
        <f>WEEKDAY(A592,14)</f>
        <v>5</v>
      </c>
      <c r="E592">
        <f>VLOOKUP(D592,L$2:M$8,2,FALSE)</f>
        <v>0.05</v>
      </c>
      <c r="F592">
        <f t="shared" si="27"/>
        <v>3</v>
      </c>
      <c r="G592">
        <f>IF(F592&gt;F591,G591+B592*E592,B592*E592)</f>
        <v>0.27027899999999999</v>
      </c>
      <c r="H592">
        <f t="shared" si="28"/>
        <v>0.05</v>
      </c>
      <c r="I592">
        <f t="shared" si="29"/>
        <v>0</v>
      </c>
    </row>
    <row r="593" spans="1:9">
      <c r="A593" s="1">
        <v>39581</v>
      </c>
      <c r="B593">
        <v>5.5422399999999996</v>
      </c>
      <c r="C593">
        <v>5.91</v>
      </c>
      <c r="D593">
        <f>WEEKDAY(A593,14)</f>
        <v>6</v>
      </c>
      <c r="E593">
        <f>VLOOKUP(D593,L$2:M$8,2,FALSE)</f>
        <v>0.7</v>
      </c>
      <c r="F593">
        <f t="shared" si="27"/>
        <v>4</v>
      </c>
      <c r="G593">
        <f>IF(F593&gt;F592,G592+B593*E593,B593*E593)</f>
        <v>4.1498469999999994</v>
      </c>
      <c r="H593">
        <f t="shared" si="28"/>
        <v>0.75</v>
      </c>
      <c r="I593">
        <f t="shared" si="29"/>
        <v>0</v>
      </c>
    </row>
    <row r="594" spans="1:9">
      <c r="A594" s="1">
        <v>39582</v>
      </c>
      <c r="B594">
        <v>5.5521099999999999</v>
      </c>
      <c r="C594">
        <v>5.91</v>
      </c>
      <c r="D594">
        <f>WEEKDAY(A594,14)</f>
        <v>7</v>
      </c>
      <c r="E594">
        <f>VLOOKUP(D594,L$2:M$8,2,FALSE)</f>
        <v>0.25</v>
      </c>
      <c r="F594">
        <f t="shared" si="27"/>
        <v>5</v>
      </c>
      <c r="G594">
        <f>IF(F594&gt;F593,G593+B594*E594,B594*E594)</f>
        <v>5.5378744999999991</v>
      </c>
      <c r="H594">
        <f t="shared" si="28"/>
        <v>1</v>
      </c>
      <c r="I594">
        <f t="shared" si="29"/>
        <v>0</v>
      </c>
    </row>
    <row r="595" spans="1:9">
      <c r="A595" s="1">
        <v>39583</v>
      </c>
      <c r="B595">
        <v>5.4020299999999999</v>
      </c>
      <c r="C595">
        <v>5.8550000000000004</v>
      </c>
      <c r="D595">
        <f>WEEKDAY(A595,14)</f>
        <v>1</v>
      </c>
      <c r="E595">
        <f>VLOOKUP(D595,L$2:M$8,2,FALSE)</f>
        <v>0</v>
      </c>
      <c r="F595">
        <f t="shared" si="27"/>
        <v>1</v>
      </c>
      <c r="G595">
        <f>IF(F595&gt;F594,G594+B595*E595,B595*E595)</f>
        <v>0</v>
      </c>
      <c r="H595">
        <f t="shared" si="28"/>
        <v>0</v>
      </c>
      <c r="I595">
        <f t="shared" si="29"/>
        <v>5.5378744999999991</v>
      </c>
    </row>
    <row r="596" spans="1:9">
      <c r="A596" s="1">
        <v>39584</v>
      </c>
      <c r="B596">
        <v>5.3956099999999996</v>
      </c>
      <c r="C596">
        <v>5.8550000000000004</v>
      </c>
      <c r="D596">
        <f>WEEKDAY(A596,14)</f>
        <v>2</v>
      </c>
      <c r="E596">
        <f>VLOOKUP(D596,L$2:M$8,2,FALSE)</f>
        <v>0</v>
      </c>
      <c r="F596">
        <f t="shared" si="27"/>
        <v>2</v>
      </c>
      <c r="G596">
        <f>IF(F596&gt;F595,G595+B596*E596,B596*E596)</f>
        <v>0</v>
      </c>
      <c r="H596">
        <f t="shared" si="28"/>
        <v>0</v>
      </c>
      <c r="I596">
        <f t="shared" si="29"/>
        <v>0</v>
      </c>
    </row>
    <row r="597" spans="1:9">
      <c r="A597" s="1">
        <v>39587</v>
      </c>
      <c r="B597">
        <v>5.3574200000000003</v>
      </c>
      <c r="C597">
        <v>5.8550000000000004</v>
      </c>
      <c r="D597">
        <f>WEEKDAY(A597,14)</f>
        <v>5</v>
      </c>
      <c r="E597">
        <f>VLOOKUP(D597,L$2:M$8,2,FALSE)</f>
        <v>0.05</v>
      </c>
      <c r="F597">
        <f t="shared" si="27"/>
        <v>3</v>
      </c>
      <c r="G597">
        <f>IF(F597&gt;F596,G596+B597*E597,B597*E597)</f>
        <v>0.26787100000000003</v>
      </c>
      <c r="H597">
        <f t="shared" si="28"/>
        <v>0.05</v>
      </c>
      <c r="I597">
        <f t="shared" si="29"/>
        <v>0</v>
      </c>
    </row>
    <row r="598" spans="1:9">
      <c r="A598" s="1">
        <v>39588</v>
      </c>
      <c r="B598">
        <v>5.3040700000000003</v>
      </c>
      <c r="C598">
        <v>5.8550000000000004</v>
      </c>
      <c r="D598">
        <f>WEEKDAY(A598,14)</f>
        <v>6</v>
      </c>
      <c r="E598">
        <f>VLOOKUP(D598,L$2:M$8,2,FALSE)</f>
        <v>0.7</v>
      </c>
      <c r="F598">
        <f t="shared" si="27"/>
        <v>4</v>
      </c>
      <c r="G598">
        <f>IF(F598&gt;F597,G597+B598*E598,B598*E598)</f>
        <v>3.9807199999999998</v>
      </c>
      <c r="H598">
        <f t="shared" si="28"/>
        <v>0.75</v>
      </c>
      <c r="I598">
        <f t="shared" si="29"/>
        <v>0</v>
      </c>
    </row>
    <row r="599" spans="1:9">
      <c r="A599" s="1">
        <v>39589</v>
      </c>
      <c r="B599">
        <v>5.3590299999999997</v>
      </c>
      <c r="C599">
        <v>5.8550000000000004</v>
      </c>
      <c r="D599">
        <f>WEEKDAY(A599,14)</f>
        <v>7</v>
      </c>
      <c r="E599">
        <f>VLOOKUP(D599,L$2:M$8,2,FALSE)</f>
        <v>0.25</v>
      </c>
      <c r="F599">
        <f t="shared" si="27"/>
        <v>5</v>
      </c>
      <c r="G599">
        <f>IF(F599&gt;F598,G598+B599*E599,B599*E599)</f>
        <v>5.3204775</v>
      </c>
      <c r="H599">
        <f t="shared" si="28"/>
        <v>1</v>
      </c>
      <c r="I599">
        <f t="shared" si="29"/>
        <v>0</v>
      </c>
    </row>
    <row r="600" spans="1:9">
      <c r="A600" s="1">
        <v>39590</v>
      </c>
      <c r="B600">
        <v>5.4751000000000003</v>
      </c>
      <c r="C600">
        <v>5.98</v>
      </c>
      <c r="D600">
        <f>WEEKDAY(A600,14)</f>
        <v>1</v>
      </c>
      <c r="E600">
        <f>VLOOKUP(D600,L$2:M$8,2,FALSE)</f>
        <v>0</v>
      </c>
      <c r="F600">
        <f t="shared" si="27"/>
        <v>1</v>
      </c>
      <c r="G600">
        <f>IF(F600&gt;F599,G599+B600*E600,B600*E600)</f>
        <v>0</v>
      </c>
      <c r="H600">
        <f t="shared" si="28"/>
        <v>0</v>
      </c>
      <c r="I600">
        <f t="shared" si="29"/>
        <v>5.3204775</v>
      </c>
    </row>
    <row r="601" spans="1:9">
      <c r="A601" s="1">
        <v>39591</v>
      </c>
      <c r="B601">
        <v>5.4060100000000002</v>
      </c>
      <c r="C601">
        <v>5.98</v>
      </c>
      <c r="D601">
        <f>WEEKDAY(A601,14)</f>
        <v>2</v>
      </c>
      <c r="E601">
        <f>VLOOKUP(D601,L$2:M$8,2,FALSE)</f>
        <v>0</v>
      </c>
      <c r="F601">
        <f t="shared" si="27"/>
        <v>2</v>
      </c>
      <c r="G601">
        <f>IF(F601&gt;F600,G600+B601*E601,B601*E601)</f>
        <v>0</v>
      </c>
      <c r="H601">
        <f t="shared" si="28"/>
        <v>0</v>
      </c>
      <c r="I601">
        <f t="shared" si="29"/>
        <v>0</v>
      </c>
    </row>
    <row r="602" spans="1:9">
      <c r="A602" s="1">
        <v>39595</v>
      </c>
      <c r="B602">
        <v>5.5106200000000003</v>
      </c>
      <c r="C602">
        <v>5.98</v>
      </c>
      <c r="D602">
        <f>WEEKDAY(A602,14)</f>
        <v>6</v>
      </c>
      <c r="E602">
        <f>VLOOKUP(D602,L$2:M$8,2,FALSE)</f>
        <v>0.7</v>
      </c>
      <c r="F602">
        <f t="shared" si="27"/>
        <v>3</v>
      </c>
      <c r="G602">
        <f>IF(F602&gt;F601,G601+B602*E602,B602*E602)</f>
        <v>3.857434</v>
      </c>
      <c r="H602">
        <f t="shared" si="28"/>
        <v>0.7</v>
      </c>
      <c r="I602">
        <f t="shared" si="29"/>
        <v>0</v>
      </c>
    </row>
    <row r="603" spans="1:9">
      <c r="A603" s="1">
        <v>39596</v>
      </c>
      <c r="B603">
        <v>5.6349999999999998</v>
      </c>
      <c r="C603">
        <v>5.98</v>
      </c>
      <c r="D603">
        <f>WEEKDAY(A603,14)</f>
        <v>7</v>
      </c>
      <c r="E603">
        <f>VLOOKUP(D603,L$2:M$8,2,FALSE)</f>
        <v>0.25</v>
      </c>
      <c r="F603">
        <f t="shared" si="27"/>
        <v>4</v>
      </c>
      <c r="G603">
        <f>IF(F603&gt;F602,G602+B603*E603,B603*E603)</f>
        <v>5.266184</v>
      </c>
      <c r="H603">
        <f t="shared" si="28"/>
        <v>0.95</v>
      </c>
      <c r="I603">
        <f t="shared" si="29"/>
        <v>0</v>
      </c>
    </row>
    <row r="604" spans="1:9">
      <c r="A604" s="1">
        <v>39597</v>
      </c>
      <c r="B604">
        <v>5.71441</v>
      </c>
      <c r="C604">
        <v>5.99</v>
      </c>
      <c r="D604">
        <f>WEEKDAY(A604,14)</f>
        <v>1</v>
      </c>
      <c r="E604">
        <f>VLOOKUP(D604,L$2:M$8,2,FALSE)</f>
        <v>0</v>
      </c>
      <c r="F604">
        <f t="shared" si="27"/>
        <v>1</v>
      </c>
      <c r="G604">
        <f>IF(F604&gt;F603,G603+B604*E604,B604*E604)</f>
        <v>0</v>
      </c>
      <c r="H604">
        <f t="shared" si="28"/>
        <v>0</v>
      </c>
      <c r="I604">
        <f t="shared" si="29"/>
        <v>5.5433515789473686</v>
      </c>
    </row>
    <row r="605" spans="1:9">
      <c r="A605" s="1">
        <v>39598</v>
      </c>
      <c r="B605">
        <v>5.6704100000000004</v>
      </c>
      <c r="C605">
        <v>5.99</v>
      </c>
      <c r="D605">
        <f>WEEKDAY(A605,14)</f>
        <v>2</v>
      </c>
      <c r="E605">
        <f>VLOOKUP(D605,L$2:M$8,2,FALSE)</f>
        <v>0</v>
      </c>
      <c r="F605">
        <f t="shared" si="27"/>
        <v>2</v>
      </c>
      <c r="G605">
        <f>IF(F605&gt;F604,G604+B605*E605,B605*E605)</f>
        <v>0</v>
      </c>
      <c r="H605">
        <f t="shared" si="28"/>
        <v>0</v>
      </c>
      <c r="I605">
        <f t="shared" si="29"/>
        <v>0</v>
      </c>
    </row>
    <row r="606" spans="1:9">
      <c r="A606" s="1">
        <v>39601</v>
      </c>
      <c r="B606">
        <v>5.6086900000000002</v>
      </c>
      <c r="C606">
        <v>5.99</v>
      </c>
      <c r="D606">
        <f>WEEKDAY(A606,14)</f>
        <v>5</v>
      </c>
      <c r="E606">
        <f>VLOOKUP(D606,L$2:M$8,2,FALSE)</f>
        <v>0.05</v>
      </c>
      <c r="F606">
        <f t="shared" si="27"/>
        <v>3</v>
      </c>
      <c r="G606">
        <f>IF(F606&gt;F605,G605+B606*E606,B606*E606)</f>
        <v>0.28043450000000003</v>
      </c>
      <c r="H606">
        <f t="shared" si="28"/>
        <v>0.05</v>
      </c>
      <c r="I606">
        <f t="shared" si="29"/>
        <v>0</v>
      </c>
    </row>
    <row r="607" spans="1:9">
      <c r="A607" s="1">
        <v>39602</v>
      </c>
      <c r="B607">
        <v>5.5595299999999996</v>
      </c>
      <c r="C607">
        <v>5.99</v>
      </c>
      <c r="D607">
        <f>WEEKDAY(A607,14)</f>
        <v>6</v>
      </c>
      <c r="E607">
        <f>VLOOKUP(D607,L$2:M$8,2,FALSE)</f>
        <v>0.7</v>
      </c>
      <c r="F607">
        <f t="shared" si="27"/>
        <v>4</v>
      </c>
      <c r="G607">
        <f>IF(F607&gt;F606,G606+B607*E607,B607*E607)</f>
        <v>4.1721054999999998</v>
      </c>
      <c r="H607">
        <f t="shared" si="28"/>
        <v>0.75</v>
      </c>
      <c r="I607">
        <f t="shared" si="29"/>
        <v>0</v>
      </c>
    </row>
    <row r="608" spans="1:9">
      <c r="A608" s="1">
        <v>39603</v>
      </c>
      <c r="B608">
        <v>5.6615599999999997</v>
      </c>
      <c r="C608">
        <v>5.99</v>
      </c>
      <c r="D608">
        <f>WEEKDAY(A608,14)</f>
        <v>7</v>
      </c>
      <c r="E608">
        <f>VLOOKUP(D608,L$2:M$8,2,FALSE)</f>
        <v>0.25</v>
      </c>
      <c r="F608">
        <f t="shared" si="27"/>
        <v>5</v>
      </c>
      <c r="G608">
        <f>IF(F608&gt;F607,G607+B608*E608,B608*E608)</f>
        <v>5.5874954999999993</v>
      </c>
      <c r="H608">
        <f t="shared" si="28"/>
        <v>1</v>
      </c>
      <c r="I608">
        <f t="shared" si="29"/>
        <v>0</v>
      </c>
    </row>
    <row r="609" spans="1:9">
      <c r="A609" s="1">
        <v>39604</v>
      </c>
      <c r="B609">
        <v>5.7671200000000002</v>
      </c>
      <c r="C609">
        <v>6.2450000000000001</v>
      </c>
      <c r="D609">
        <f>WEEKDAY(A609,14)</f>
        <v>1</v>
      </c>
      <c r="E609">
        <f>VLOOKUP(D609,L$2:M$8,2,FALSE)</f>
        <v>0</v>
      </c>
      <c r="F609">
        <f t="shared" si="27"/>
        <v>1</v>
      </c>
      <c r="G609">
        <f>IF(F609&gt;F608,G608+B609*E609,B609*E609)</f>
        <v>0</v>
      </c>
      <c r="H609">
        <f t="shared" si="28"/>
        <v>0</v>
      </c>
      <c r="I609">
        <f t="shared" si="29"/>
        <v>5.5874954999999993</v>
      </c>
    </row>
    <row r="610" spans="1:9">
      <c r="A610" s="1">
        <v>39605</v>
      </c>
      <c r="B610">
        <v>5.7257199999999999</v>
      </c>
      <c r="C610">
        <v>6.2450000000000001</v>
      </c>
      <c r="D610">
        <f>WEEKDAY(A610,14)</f>
        <v>2</v>
      </c>
      <c r="E610">
        <f>VLOOKUP(D610,L$2:M$8,2,FALSE)</f>
        <v>0</v>
      </c>
      <c r="F610">
        <f t="shared" si="27"/>
        <v>2</v>
      </c>
      <c r="G610">
        <f>IF(F610&gt;F609,G609+B610*E610,B610*E610)</f>
        <v>0</v>
      </c>
      <c r="H610">
        <f t="shared" si="28"/>
        <v>0</v>
      </c>
      <c r="I610">
        <f t="shared" si="29"/>
        <v>0</v>
      </c>
    </row>
    <row r="611" spans="1:9">
      <c r="A611" s="1">
        <v>39608</v>
      </c>
      <c r="B611">
        <v>5.8181700000000003</v>
      </c>
      <c r="C611">
        <v>6.2450000000000001</v>
      </c>
      <c r="D611">
        <f>WEEKDAY(A611,14)</f>
        <v>5</v>
      </c>
      <c r="E611">
        <f>VLOOKUP(D611,L$2:M$8,2,FALSE)</f>
        <v>0.05</v>
      </c>
      <c r="F611">
        <f t="shared" si="27"/>
        <v>3</v>
      </c>
      <c r="G611">
        <f>IF(F611&gt;F610,G610+B611*E611,B611*E611)</f>
        <v>0.29090850000000001</v>
      </c>
      <c r="H611">
        <f t="shared" si="28"/>
        <v>0.05</v>
      </c>
      <c r="I611">
        <f t="shared" si="29"/>
        <v>0</v>
      </c>
    </row>
    <row r="612" spans="1:9">
      <c r="A612" s="1">
        <v>39609</v>
      </c>
      <c r="B612">
        <v>5.9625399999999997</v>
      </c>
      <c r="C612">
        <v>6.2450000000000001</v>
      </c>
      <c r="D612">
        <f>WEEKDAY(A612,14)</f>
        <v>6</v>
      </c>
      <c r="E612">
        <f>VLOOKUP(D612,L$2:M$8,2,FALSE)</f>
        <v>0.7</v>
      </c>
      <c r="F612">
        <f t="shared" si="27"/>
        <v>4</v>
      </c>
      <c r="G612">
        <f>IF(F612&gt;F611,G611+B612*E612,B612*E612)</f>
        <v>4.4646864999999991</v>
      </c>
      <c r="H612">
        <f t="shared" si="28"/>
        <v>0.75</v>
      </c>
      <c r="I612">
        <f t="shared" si="29"/>
        <v>0</v>
      </c>
    </row>
    <row r="613" spans="1:9">
      <c r="A613" s="1">
        <v>39610</v>
      </c>
      <c r="B613">
        <v>5.8887400000000003</v>
      </c>
      <c r="C613">
        <v>6.2450000000000001</v>
      </c>
      <c r="D613">
        <f>WEEKDAY(A613,14)</f>
        <v>7</v>
      </c>
      <c r="E613">
        <f>VLOOKUP(D613,L$2:M$8,2,FALSE)</f>
        <v>0.25</v>
      </c>
      <c r="F613">
        <f t="shared" si="27"/>
        <v>5</v>
      </c>
      <c r="G613">
        <f>IF(F613&gt;F612,G612+B613*E613,B613*E613)</f>
        <v>5.9368714999999987</v>
      </c>
      <c r="H613">
        <f t="shared" si="28"/>
        <v>1</v>
      </c>
      <c r="I613">
        <f t="shared" si="29"/>
        <v>0</v>
      </c>
    </row>
    <row r="614" spans="1:9">
      <c r="A614" s="1">
        <v>39611</v>
      </c>
      <c r="B614">
        <v>6.0177800000000001</v>
      </c>
      <c r="C614">
        <v>6.3449999999999998</v>
      </c>
      <c r="D614">
        <f>WEEKDAY(A614,14)</f>
        <v>1</v>
      </c>
      <c r="E614">
        <f>VLOOKUP(D614,L$2:M$8,2,FALSE)</f>
        <v>0</v>
      </c>
      <c r="F614">
        <f t="shared" si="27"/>
        <v>1</v>
      </c>
      <c r="G614">
        <f>IF(F614&gt;F613,G613+B614*E614,B614*E614)</f>
        <v>0</v>
      </c>
      <c r="H614">
        <f t="shared" si="28"/>
        <v>0</v>
      </c>
      <c r="I614">
        <f t="shared" si="29"/>
        <v>5.9368714999999987</v>
      </c>
    </row>
    <row r="615" spans="1:9">
      <c r="A615" s="1">
        <v>39612</v>
      </c>
      <c r="B615">
        <v>6.0579299999999998</v>
      </c>
      <c r="C615">
        <v>6.3449999999999998</v>
      </c>
      <c r="D615">
        <f>WEEKDAY(A615,14)</f>
        <v>2</v>
      </c>
      <c r="E615">
        <f>VLOOKUP(D615,L$2:M$8,2,FALSE)</f>
        <v>0</v>
      </c>
      <c r="F615">
        <f t="shared" si="27"/>
        <v>2</v>
      </c>
      <c r="G615">
        <f>IF(F615&gt;F614,G614+B615*E615,B615*E615)</f>
        <v>0</v>
      </c>
      <c r="H615">
        <f t="shared" si="28"/>
        <v>0</v>
      </c>
      <c r="I615">
        <f t="shared" si="29"/>
        <v>0</v>
      </c>
    </row>
    <row r="616" spans="1:9">
      <c r="A616" s="1">
        <v>39615</v>
      </c>
      <c r="B616">
        <v>6.0813699999999997</v>
      </c>
      <c r="C616">
        <v>6.3449999999999998</v>
      </c>
      <c r="D616">
        <f>WEEKDAY(A616,14)</f>
        <v>5</v>
      </c>
      <c r="E616">
        <f>VLOOKUP(D616,L$2:M$8,2,FALSE)</f>
        <v>0.05</v>
      </c>
      <c r="F616">
        <f t="shared" si="27"/>
        <v>3</v>
      </c>
      <c r="G616">
        <f>IF(F616&gt;F615,G615+B616*E616,B616*E616)</f>
        <v>0.30406850000000002</v>
      </c>
      <c r="H616">
        <f t="shared" si="28"/>
        <v>0.05</v>
      </c>
      <c r="I616">
        <f t="shared" si="29"/>
        <v>0</v>
      </c>
    </row>
    <row r="617" spans="1:9">
      <c r="A617" s="1">
        <v>39616</v>
      </c>
      <c r="B617">
        <v>6.0095499999999999</v>
      </c>
      <c r="C617">
        <v>6.3449999999999998</v>
      </c>
      <c r="D617">
        <f>WEEKDAY(A617,14)</f>
        <v>6</v>
      </c>
      <c r="E617">
        <f>VLOOKUP(D617,L$2:M$8,2,FALSE)</f>
        <v>0.7</v>
      </c>
      <c r="F617">
        <f t="shared" si="27"/>
        <v>4</v>
      </c>
      <c r="G617">
        <f>IF(F617&gt;F616,G616+B617*E617,B617*E617)</f>
        <v>4.510753499999999</v>
      </c>
      <c r="H617">
        <f t="shared" si="28"/>
        <v>0.75</v>
      </c>
      <c r="I617">
        <f t="shared" si="29"/>
        <v>0</v>
      </c>
    </row>
    <row r="618" spans="1:9">
      <c r="A618" s="1">
        <v>39617</v>
      </c>
      <c r="B618">
        <v>5.9061500000000002</v>
      </c>
      <c r="C618">
        <v>6.3449999999999998</v>
      </c>
      <c r="D618">
        <f>WEEKDAY(A618,14)</f>
        <v>7</v>
      </c>
      <c r="E618">
        <f>VLOOKUP(D618,L$2:M$8,2,FALSE)</f>
        <v>0.25</v>
      </c>
      <c r="F618">
        <f t="shared" si="27"/>
        <v>5</v>
      </c>
      <c r="G618">
        <f>IF(F618&gt;F617,G617+B618*E618,B618*E618)</f>
        <v>5.987290999999999</v>
      </c>
      <c r="H618">
        <f t="shared" si="28"/>
        <v>1</v>
      </c>
      <c r="I618">
        <f t="shared" si="29"/>
        <v>0</v>
      </c>
    </row>
    <row r="619" spans="1:9">
      <c r="A619" s="1">
        <v>39618</v>
      </c>
      <c r="B619">
        <v>5.94374</v>
      </c>
      <c r="C619">
        <v>6.35</v>
      </c>
      <c r="D619">
        <f>WEEKDAY(A619,14)</f>
        <v>1</v>
      </c>
      <c r="E619">
        <f>VLOOKUP(D619,L$2:M$8,2,FALSE)</f>
        <v>0</v>
      </c>
      <c r="F619">
        <f t="shared" si="27"/>
        <v>1</v>
      </c>
      <c r="G619">
        <f>IF(F619&gt;F618,G618+B619*E619,B619*E619)</f>
        <v>0</v>
      </c>
      <c r="H619">
        <f t="shared" si="28"/>
        <v>0</v>
      </c>
      <c r="I619">
        <f t="shared" si="29"/>
        <v>5.987290999999999</v>
      </c>
    </row>
    <row r="620" spans="1:9">
      <c r="A620" s="1">
        <v>39619</v>
      </c>
      <c r="B620">
        <v>5.9215099999999996</v>
      </c>
      <c r="C620">
        <v>6.35</v>
      </c>
      <c r="D620">
        <f>WEEKDAY(A620,14)</f>
        <v>2</v>
      </c>
      <c r="E620">
        <f>VLOOKUP(D620,L$2:M$8,2,FALSE)</f>
        <v>0</v>
      </c>
      <c r="F620">
        <f t="shared" si="27"/>
        <v>2</v>
      </c>
      <c r="G620">
        <f>IF(F620&gt;F619,G619+B620*E620,B620*E620)</f>
        <v>0</v>
      </c>
      <c r="H620">
        <f t="shared" si="28"/>
        <v>0</v>
      </c>
      <c r="I620">
        <f t="shared" si="29"/>
        <v>0</v>
      </c>
    </row>
    <row r="621" spans="1:9">
      <c r="A621" s="1">
        <v>39622</v>
      </c>
      <c r="B621">
        <v>5.9881900000000003</v>
      </c>
      <c r="C621">
        <v>6.35</v>
      </c>
      <c r="D621">
        <f>WEEKDAY(A621,14)</f>
        <v>5</v>
      </c>
      <c r="E621">
        <f>VLOOKUP(D621,L$2:M$8,2,FALSE)</f>
        <v>0.05</v>
      </c>
      <c r="F621">
        <f t="shared" si="27"/>
        <v>3</v>
      </c>
      <c r="G621">
        <f>IF(F621&gt;F620,G620+B621*E621,B621*E621)</f>
        <v>0.29940950000000005</v>
      </c>
      <c r="H621">
        <f t="shared" si="28"/>
        <v>0.05</v>
      </c>
      <c r="I621">
        <f t="shared" si="29"/>
        <v>0</v>
      </c>
    </row>
    <row r="622" spans="1:9">
      <c r="A622" s="1">
        <v>39623</v>
      </c>
      <c r="B622">
        <v>5.9574999999999996</v>
      </c>
      <c r="C622">
        <v>6.35</v>
      </c>
      <c r="D622">
        <f>WEEKDAY(A622,14)</f>
        <v>6</v>
      </c>
      <c r="E622">
        <f>VLOOKUP(D622,L$2:M$8,2,FALSE)</f>
        <v>0.7</v>
      </c>
      <c r="F622">
        <f t="shared" si="27"/>
        <v>4</v>
      </c>
      <c r="G622">
        <f>IF(F622&gt;F621,G621+B622*E622,B622*E622)</f>
        <v>4.4696594999999997</v>
      </c>
      <c r="H622">
        <f t="shared" si="28"/>
        <v>0.75</v>
      </c>
      <c r="I622">
        <f t="shared" si="29"/>
        <v>0</v>
      </c>
    </row>
    <row r="623" spans="1:9">
      <c r="A623" s="1">
        <v>39624</v>
      </c>
      <c r="B623">
        <v>5.9578800000000003</v>
      </c>
      <c r="C623">
        <v>6.35</v>
      </c>
      <c r="D623">
        <f>WEEKDAY(A623,14)</f>
        <v>7</v>
      </c>
      <c r="E623">
        <f>VLOOKUP(D623,L$2:M$8,2,FALSE)</f>
        <v>0.25</v>
      </c>
      <c r="F623">
        <f t="shared" si="27"/>
        <v>5</v>
      </c>
      <c r="G623">
        <f>IF(F623&gt;F622,G622+B623*E623,B623*E623)</f>
        <v>5.9591294999999995</v>
      </c>
      <c r="H623">
        <f t="shared" si="28"/>
        <v>1</v>
      </c>
      <c r="I623">
        <f t="shared" si="29"/>
        <v>0</v>
      </c>
    </row>
    <row r="624" spans="1:9">
      <c r="A624" s="1">
        <v>39625</v>
      </c>
      <c r="B624">
        <v>5.9035200000000003</v>
      </c>
      <c r="C624">
        <v>6.25</v>
      </c>
      <c r="D624">
        <f>WEEKDAY(A624,14)</f>
        <v>1</v>
      </c>
      <c r="E624">
        <f>VLOOKUP(D624,L$2:M$8,2,FALSE)</f>
        <v>0</v>
      </c>
      <c r="F624">
        <f t="shared" si="27"/>
        <v>1</v>
      </c>
      <c r="G624">
        <f>IF(F624&gt;F623,G623+B624*E624,B624*E624)</f>
        <v>0</v>
      </c>
      <c r="H624">
        <f t="shared" si="28"/>
        <v>0</v>
      </c>
      <c r="I624">
        <f t="shared" si="29"/>
        <v>5.9591294999999995</v>
      </c>
    </row>
    <row r="625" spans="1:9">
      <c r="A625" s="1">
        <v>39626</v>
      </c>
      <c r="B625">
        <v>5.8436599999999999</v>
      </c>
      <c r="C625">
        <v>6.25</v>
      </c>
      <c r="D625">
        <f>WEEKDAY(A625,14)</f>
        <v>2</v>
      </c>
      <c r="E625">
        <f>VLOOKUP(D625,L$2:M$8,2,FALSE)</f>
        <v>0</v>
      </c>
      <c r="F625">
        <f t="shared" si="27"/>
        <v>2</v>
      </c>
      <c r="G625">
        <f>IF(F625&gt;F624,G624+B625*E625,B625*E625)</f>
        <v>0</v>
      </c>
      <c r="H625">
        <f t="shared" si="28"/>
        <v>0</v>
      </c>
      <c r="I625">
        <f t="shared" si="29"/>
        <v>0</v>
      </c>
    </row>
    <row r="626" spans="1:9">
      <c r="A626" s="1">
        <v>39629</v>
      </c>
      <c r="B626">
        <v>5.8202299999999996</v>
      </c>
      <c r="C626">
        <v>6.25</v>
      </c>
      <c r="D626">
        <f>WEEKDAY(A626,14)</f>
        <v>5</v>
      </c>
      <c r="E626">
        <f>VLOOKUP(D626,L$2:M$8,2,FALSE)</f>
        <v>0.05</v>
      </c>
      <c r="F626">
        <f t="shared" si="27"/>
        <v>3</v>
      </c>
      <c r="G626">
        <f>IF(F626&gt;F625,G625+B626*E626,B626*E626)</f>
        <v>0.29101149999999998</v>
      </c>
      <c r="H626">
        <f t="shared" si="28"/>
        <v>0.05</v>
      </c>
      <c r="I626">
        <f t="shared" si="29"/>
        <v>0</v>
      </c>
    </row>
    <row r="627" spans="1:9">
      <c r="A627" s="1">
        <v>39630</v>
      </c>
      <c r="B627">
        <v>5.8792600000000004</v>
      </c>
      <c r="C627">
        <v>6.25</v>
      </c>
      <c r="D627">
        <f>WEEKDAY(A627,14)</f>
        <v>6</v>
      </c>
      <c r="E627">
        <f>VLOOKUP(D627,L$2:M$8,2,FALSE)</f>
        <v>0.7</v>
      </c>
      <c r="F627">
        <f t="shared" si="27"/>
        <v>4</v>
      </c>
      <c r="G627">
        <f>IF(F627&gt;F626,G626+B627*E627,B627*E627)</f>
        <v>4.4064934999999998</v>
      </c>
      <c r="H627">
        <f t="shared" si="28"/>
        <v>0.75</v>
      </c>
      <c r="I627">
        <f t="shared" si="29"/>
        <v>0</v>
      </c>
    </row>
    <row r="628" spans="1:9">
      <c r="A628" s="1">
        <v>39631</v>
      </c>
      <c r="B628">
        <v>5.9033600000000002</v>
      </c>
      <c r="C628">
        <v>6.25</v>
      </c>
      <c r="D628">
        <f>WEEKDAY(A628,14)</f>
        <v>7</v>
      </c>
      <c r="E628">
        <f>VLOOKUP(D628,L$2:M$8,2,FALSE)</f>
        <v>0.25</v>
      </c>
      <c r="F628">
        <f t="shared" si="27"/>
        <v>5</v>
      </c>
      <c r="G628">
        <f>IF(F628&gt;F627,G627+B628*E628,B628*E628)</f>
        <v>5.8823334999999997</v>
      </c>
      <c r="H628">
        <f t="shared" si="28"/>
        <v>1</v>
      </c>
      <c r="I628">
        <f t="shared" si="29"/>
        <v>0</v>
      </c>
    </row>
    <row r="629" spans="1:9">
      <c r="A629" s="1">
        <v>39632</v>
      </c>
      <c r="B629">
        <v>5.9463800000000004</v>
      </c>
      <c r="C629">
        <v>6.27</v>
      </c>
      <c r="D629">
        <f>WEEKDAY(A629,14)</f>
        <v>1</v>
      </c>
      <c r="E629">
        <f>VLOOKUP(D629,L$2:M$8,2,FALSE)</f>
        <v>0</v>
      </c>
      <c r="F629">
        <f t="shared" si="27"/>
        <v>1</v>
      </c>
      <c r="G629">
        <f>IF(F629&gt;F628,G628+B629*E629,B629*E629)</f>
        <v>0</v>
      </c>
      <c r="H629">
        <f t="shared" si="28"/>
        <v>0</v>
      </c>
      <c r="I629">
        <f t="shared" si="29"/>
        <v>5.8823334999999997</v>
      </c>
    </row>
    <row r="630" spans="1:9">
      <c r="A630" s="1">
        <v>39636</v>
      </c>
      <c r="B630">
        <v>5.9509999999999996</v>
      </c>
      <c r="C630">
        <v>6.27</v>
      </c>
      <c r="D630">
        <f>WEEKDAY(A630,14)</f>
        <v>5</v>
      </c>
      <c r="E630">
        <f>VLOOKUP(D630,L$2:M$8,2,FALSE)</f>
        <v>0.05</v>
      </c>
      <c r="F630">
        <f t="shared" si="27"/>
        <v>2</v>
      </c>
      <c r="G630">
        <f>IF(F630&gt;F629,G629+B630*E630,B630*E630)</f>
        <v>0.29754999999999998</v>
      </c>
      <c r="H630">
        <f t="shared" si="28"/>
        <v>0.05</v>
      </c>
      <c r="I630">
        <f t="shared" si="29"/>
        <v>0</v>
      </c>
    </row>
    <row r="631" spans="1:9">
      <c r="A631" s="1">
        <v>39637</v>
      </c>
      <c r="B631">
        <v>5.8190400000000002</v>
      </c>
      <c r="C631">
        <v>6.27</v>
      </c>
      <c r="D631">
        <f>WEEKDAY(A631,14)</f>
        <v>6</v>
      </c>
      <c r="E631">
        <f>VLOOKUP(D631,L$2:M$8,2,FALSE)</f>
        <v>0.7</v>
      </c>
      <c r="F631">
        <f t="shared" si="27"/>
        <v>3</v>
      </c>
      <c r="G631">
        <f>IF(F631&gt;F630,G630+B631*E631,B631*E631)</f>
        <v>4.3708780000000003</v>
      </c>
      <c r="H631">
        <f t="shared" si="28"/>
        <v>0.75</v>
      </c>
      <c r="I631">
        <f t="shared" si="29"/>
        <v>0</v>
      </c>
    </row>
    <row r="632" spans="1:9">
      <c r="A632" s="1">
        <v>39638</v>
      </c>
      <c r="B632">
        <v>5.71617</v>
      </c>
      <c r="C632">
        <v>6.27</v>
      </c>
      <c r="D632">
        <f>WEEKDAY(A632,14)</f>
        <v>7</v>
      </c>
      <c r="E632">
        <f>VLOOKUP(D632,L$2:M$8,2,FALSE)</f>
        <v>0.25</v>
      </c>
      <c r="F632">
        <f t="shared" si="27"/>
        <v>4</v>
      </c>
      <c r="G632">
        <f>IF(F632&gt;F631,G631+B632*E632,B632*E632)</f>
        <v>5.7999205000000007</v>
      </c>
      <c r="H632">
        <f t="shared" si="28"/>
        <v>1</v>
      </c>
      <c r="I632">
        <f t="shared" si="29"/>
        <v>0</v>
      </c>
    </row>
    <row r="633" spans="1:9">
      <c r="A633" s="1">
        <v>39639</v>
      </c>
      <c r="B633">
        <v>5.7031999999999998</v>
      </c>
      <c r="C633">
        <v>6.16</v>
      </c>
      <c r="D633">
        <f>WEEKDAY(A633,14)</f>
        <v>1</v>
      </c>
      <c r="E633">
        <f>VLOOKUP(D633,L$2:M$8,2,FALSE)</f>
        <v>0</v>
      </c>
      <c r="F633">
        <f t="shared" si="27"/>
        <v>1</v>
      </c>
      <c r="G633">
        <f>IF(F633&gt;F632,G632+B633*E633,B633*E633)</f>
        <v>0</v>
      </c>
      <c r="H633">
        <f t="shared" si="28"/>
        <v>0</v>
      </c>
      <c r="I633">
        <f t="shared" si="29"/>
        <v>5.7999205000000007</v>
      </c>
    </row>
    <row r="634" spans="1:9">
      <c r="A634" s="1">
        <v>39640</v>
      </c>
      <c r="B634">
        <v>5.7840600000000002</v>
      </c>
      <c r="C634">
        <v>6.16</v>
      </c>
      <c r="D634">
        <f>WEEKDAY(A634,14)</f>
        <v>2</v>
      </c>
      <c r="E634">
        <f>VLOOKUP(D634,L$2:M$8,2,FALSE)</f>
        <v>0</v>
      </c>
      <c r="F634">
        <f t="shared" si="27"/>
        <v>2</v>
      </c>
      <c r="G634">
        <f>IF(F634&gt;F633,G633+B634*E634,B634*E634)</f>
        <v>0</v>
      </c>
      <c r="H634">
        <f t="shared" si="28"/>
        <v>0</v>
      </c>
      <c r="I634">
        <f t="shared" si="29"/>
        <v>0</v>
      </c>
    </row>
    <row r="635" spans="1:9">
      <c r="A635" s="1">
        <v>39643</v>
      </c>
      <c r="B635">
        <v>5.7262000000000004</v>
      </c>
      <c r="C635">
        <v>6.16</v>
      </c>
      <c r="D635">
        <f>WEEKDAY(A635,14)</f>
        <v>5</v>
      </c>
      <c r="E635">
        <f>VLOOKUP(D635,L$2:M$8,2,FALSE)</f>
        <v>0.05</v>
      </c>
      <c r="F635">
        <f t="shared" si="27"/>
        <v>3</v>
      </c>
      <c r="G635">
        <f>IF(F635&gt;F634,G634+B635*E635,B635*E635)</f>
        <v>0.28631000000000001</v>
      </c>
      <c r="H635">
        <f t="shared" si="28"/>
        <v>0.05</v>
      </c>
      <c r="I635">
        <f t="shared" si="29"/>
        <v>0</v>
      </c>
    </row>
    <row r="636" spans="1:9">
      <c r="A636" s="1">
        <v>39644</v>
      </c>
      <c r="B636">
        <v>5.6992200000000004</v>
      </c>
      <c r="C636">
        <v>6.16</v>
      </c>
      <c r="D636">
        <f>WEEKDAY(A636,14)</f>
        <v>6</v>
      </c>
      <c r="E636">
        <f>VLOOKUP(D636,L$2:M$8,2,FALSE)</f>
        <v>0.7</v>
      </c>
      <c r="F636">
        <f t="shared" si="27"/>
        <v>4</v>
      </c>
      <c r="G636">
        <f>IF(F636&gt;F635,G635+B636*E636,B636*E636)</f>
        <v>4.2757639999999997</v>
      </c>
      <c r="H636">
        <f t="shared" si="28"/>
        <v>0.75</v>
      </c>
      <c r="I636">
        <f t="shared" si="29"/>
        <v>0</v>
      </c>
    </row>
    <row r="637" spans="1:9">
      <c r="A637" s="1">
        <v>39645</v>
      </c>
      <c r="B637">
        <v>5.8448399999999996</v>
      </c>
      <c r="C637">
        <v>6.16</v>
      </c>
      <c r="D637">
        <f>WEEKDAY(A637,14)</f>
        <v>7</v>
      </c>
      <c r="E637">
        <f>VLOOKUP(D637,L$2:M$8,2,FALSE)</f>
        <v>0.25</v>
      </c>
      <c r="F637">
        <f t="shared" si="27"/>
        <v>5</v>
      </c>
      <c r="G637">
        <f>IF(F637&gt;F636,G636+B637*E637,B637*E637)</f>
        <v>5.736974</v>
      </c>
      <c r="H637">
        <f t="shared" si="28"/>
        <v>1</v>
      </c>
      <c r="I637">
        <f t="shared" si="29"/>
        <v>0</v>
      </c>
    </row>
    <row r="638" spans="1:9">
      <c r="A638" s="1">
        <v>39646</v>
      </c>
      <c r="B638">
        <v>6.03498</v>
      </c>
      <c r="C638">
        <v>6.53</v>
      </c>
      <c r="D638">
        <f>WEEKDAY(A638,14)</f>
        <v>1</v>
      </c>
      <c r="E638">
        <f>VLOOKUP(D638,L$2:M$8,2,FALSE)</f>
        <v>0</v>
      </c>
      <c r="F638">
        <f t="shared" si="27"/>
        <v>1</v>
      </c>
      <c r="G638">
        <f>IF(F638&gt;F637,G637+B638*E638,B638*E638)</f>
        <v>0</v>
      </c>
      <c r="H638">
        <f t="shared" si="28"/>
        <v>0</v>
      </c>
      <c r="I638">
        <f t="shared" si="29"/>
        <v>5.736974</v>
      </c>
    </row>
    <row r="639" spans="1:9">
      <c r="A639" s="1">
        <v>39647</v>
      </c>
      <c r="B639">
        <v>6.1368900000000002</v>
      </c>
      <c r="C639">
        <v>6.53</v>
      </c>
      <c r="D639">
        <f>WEEKDAY(A639,14)</f>
        <v>2</v>
      </c>
      <c r="E639">
        <f>VLOOKUP(D639,L$2:M$8,2,FALSE)</f>
        <v>0</v>
      </c>
      <c r="F639">
        <f t="shared" si="27"/>
        <v>2</v>
      </c>
      <c r="G639">
        <f>IF(F639&gt;F638,G638+B639*E639,B639*E639)</f>
        <v>0</v>
      </c>
      <c r="H639">
        <f t="shared" si="28"/>
        <v>0</v>
      </c>
      <c r="I639">
        <f t="shared" si="29"/>
        <v>0</v>
      </c>
    </row>
    <row r="640" spans="1:9">
      <c r="A640" s="1">
        <v>39650</v>
      </c>
      <c r="B640">
        <v>6.1186100000000003</v>
      </c>
      <c r="C640">
        <v>6.53</v>
      </c>
      <c r="D640">
        <f>WEEKDAY(A640,14)</f>
        <v>5</v>
      </c>
      <c r="E640">
        <f>VLOOKUP(D640,L$2:M$8,2,FALSE)</f>
        <v>0.05</v>
      </c>
      <c r="F640">
        <f t="shared" si="27"/>
        <v>3</v>
      </c>
      <c r="G640">
        <f>IF(F640&gt;F639,G639+B640*E640,B640*E640)</f>
        <v>0.30593050000000005</v>
      </c>
      <c r="H640">
        <f t="shared" si="28"/>
        <v>0.05</v>
      </c>
      <c r="I640">
        <f t="shared" si="29"/>
        <v>0</v>
      </c>
    </row>
    <row r="641" spans="1:9">
      <c r="A641" s="1">
        <v>39651</v>
      </c>
      <c r="B641">
        <v>6.15327</v>
      </c>
      <c r="C641">
        <v>6.53</v>
      </c>
      <c r="D641">
        <f>WEEKDAY(A641,14)</f>
        <v>6</v>
      </c>
      <c r="E641">
        <f>VLOOKUP(D641,L$2:M$8,2,FALSE)</f>
        <v>0.7</v>
      </c>
      <c r="F641">
        <f t="shared" si="27"/>
        <v>4</v>
      </c>
      <c r="G641">
        <f>IF(F641&gt;F640,G640+B641*E641,B641*E641)</f>
        <v>4.6132194999999996</v>
      </c>
      <c r="H641">
        <f t="shared" si="28"/>
        <v>0.75</v>
      </c>
      <c r="I641">
        <f t="shared" si="29"/>
        <v>0</v>
      </c>
    </row>
    <row r="642" spans="1:9">
      <c r="A642" s="1">
        <v>39652</v>
      </c>
      <c r="B642">
        <v>6.1254799999999996</v>
      </c>
      <c r="C642">
        <v>6.53</v>
      </c>
      <c r="D642">
        <f>WEEKDAY(A642,14)</f>
        <v>7</v>
      </c>
      <c r="E642">
        <f>VLOOKUP(D642,L$2:M$8,2,FALSE)</f>
        <v>0.25</v>
      </c>
      <c r="F642">
        <f t="shared" si="27"/>
        <v>5</v>
      </c>
      <c r="G642">
        <f>IF(F642&gt;F641,G641+B642*E642,B642*E642)</f>
        <v>6.1445894999999995</v>
      </c>
      <c r="H642">
        <f t="shared" si="28"/>
        <v>1</v>
      </c>
      <c r="I642">
        <f t="shared" si="29"/>
        <v>0</v>
      </c>
    </row>
    <row r="643" spans="1:9">
      <c r="A643" s="1">
        <v>39653</v>
      </c>
      <c r="B643">
        <v>5.9668799999999997</v>
      </c>
      <c r="C643">
        <v>6.4450000000000003</v>
      </c>
      <c r="D643">
        <f>WEEKDAY(A643,14)</f>
        <v>1</v>
      </c>
      <c r="E643">
        <f>VLOOKUP(D643,L$2:M$8,2,FALSE)</f>
        <v>0</v>
      </c>
      <c r="F643">
        <f t="shared" ref="F643:F706" si="30">IF(AND(D643&gt;D642,F642&lt;6),F642+1,1)</f>
        <v>1</v>
      </c>
      <c r="G643">
        <f>IF(F643&gt;F642,G642+B643*E643,B643*E643)</f>
        <v>0</v>
      </c>
      <c r="H643">
        <f t="shared" si="28"/>
        <v>0</v>
      </c>
      <c r="I643">
        <f t="shared" si="29"/>
        <v>6.1445894999999995</v>
      </c>
    </row>
    <row r="644" spans="1:9">
      <c r="A644" s="1">
        <v>39654</v>
      </c>
      <c r="B644">
        <v>6.0936599999999999</v>
      </c>
      <c r="C644">
        <v>6.4450000000000003</v>
      </c>
      <c r="D644">
        <f>WEEKDAY(A644,14)</f>
        <v>2</v>
      </c>
      <c r="E644">
        <f>VLOOKUP(D644,L$2:M$8,2,FALSE)</f>
        <v>0</v>
      </c>
      <c r="F644">
        <f t="shared" si="30"/>
        <v>2</v>
      </c>
      <c r="G644">
        <f>IF(F644&gt;F643,G643+B644*E644,B644*E644)</f>
        <v>0</v>
      </c>
      <c r="H644">
        <f t="shared" ref="H644:H707" si="31">IF(AND(F644&lt;6,F644&gt;F643),E644+H643,E644)</f>
        <v>0</v>
      </c>
      <c r="I644">
        <f t="shared" ref="I644:I707" si="32">IF(F643&gt;F644,G643/H643,0)</f>
        <v>0</v>
      </c>
    </row>
    <row r="645" spans="1:9">
      <c r="A645" s="1">
        <v>39657</v>
      </c>
      <c r="B645">
        <v>5.9720500000000003</v>
      </c>
      <c r="C645">
        <v>6.4450000000000003</v>
      </c>
      <c r="D645">
        <f>WEEKDAY(A645,14)</f>
        <v>5</v>
      </c>
      <c r="E645">
        <f>VLOOKUP(D645,L$2:M$8,2,FALSE)</f>
        <v>0.05</v>
      </c>
      <c r="F645">
        <f t="shared" si="30"/>
        <v>3</v>
      </c>
      <c r="G645">
        <f>IF(F645&gt;F644,G644+B645*E645,B645*E645)</f>
        <v>0.29860250000000005</v>
      </c>
      <c r="H645">
        <f t="shared" si="31"/>
        <v>0.05</v>
      </c>
      <c r="I645">
        <f t="shared" si="32"/>
        <v>0</v>
      </c>
    </row>
    <row r="646" spans="1:9">
      <c r="A646" s="1">
        <v>39658</v>
      </c>
      <c r="B646">
        <v>6.0254300000000001</v>
      </c>
      <c r="C646">
        <v>6.4450000000000003</v>
      </c>
      <c r="D646">
        <f>WEEKDAY(A646,14)</f>
        <v>6</v>
      </c>
      <c r="E646">
        <f>VLOOKUP(D646,L$2:M$8,2,FALSE)</f>
        <v>0.7</v>
      </c>
      <c r="F646">
        <f t="shared" si="30"/>
        <v>4</v>
      </c>
      <c r="G646">
        <f>IF(F646&gt;F645,G645+B646*E646,B646*E646)</f>
        <v>4.5164035</v>
      </c>
      <c r="H646">
        <f t="shared" si="31"/>
        <v>0.75</v>
      </c>
      <c r="I646">
        <f t="shared" si="32"/>
        <v>0</v>
      </c>
    </row>
    <row r="647" spans="1:9">
      <c r="A647" s="1">
        <v>39659</v>
      </c>
      <c r="B647">
        <v>5.9825699999999999</v>
      </c>
      <c r="C647">
        <v>6.4450000000000003</v>
      </c>
      <c r="D647">
        <f>WEEKDAY(A647,14)</f>
        <v>7</v>
      </c>
      <c r="E647">
        <f>VLOOKUP(D647,L$2:M$8,2,FALSE)</f>
        <v>0.25</v>
      </c>
      <c r="F647">
        <f t="shared" si="30"/>
        <v>5</v>
      </c>
      <c r="G647">
        <f>IF(F647&gt;F646,G646+B647*E647,B647*E647)</f>
        <v>6.0120459999999998</v>
      </c>
      <c r="H647">
        <f t="shared" si="31"/>
        <v>1</v>
      </c>
      <c r="I647">
        <f t="shared" si="32"/>
        <v>0</v>
      </c>
    </row>
    <row r="648" spans="1:9">
      <c r="A648" s="1">
        <v>39660</v>
      </c>
      <c r="B648">
        <v>5.9366000000000003</v>
      </c>
      <c r="C648">
        <v>6.4450000000000003</v>
      </c>
      <c r="D648">
        <f>WEEKDAY(A648,14)</f>
        <v>1</v>
      </c>
      <c r="E648">
        <f>VLOOKUP(D648,L$2:M$8,2,FALSE)</f>
        <v>0</v>
      </c>
      <c r="F648">
        <f t="shared" si="30"/>
        <v>1</v>
      </c>
      <c r="G648">
        <f>IF(F648&gt;F647,G647+B648*E648,B648*E648)</f>
        <v>0</v>
      </c>
      <c r="H648">
        <f t="shared" si="31"/>
        <v>0</v>
      </c>
      <c r="I648">
        <f t="shared" si="32"/>
        <v>6.0120459999999998</v>
      </c>
    </row>
    <row r="649" spans="1:9">
      <c r="A649" s="1">
        <v>39661</v>
      </c>
      <c r="B649">
        <v>5.9430399999999999</v>
      </c>
      <c r="C649">
        <v>6.4450000000000003</v>
      </c>
      <c r="D649">
        <f>WEEKDAY(A649,14)</f>
        <v>2</v>
      </c>
      <c r="E649">
        <f>VLOOKUP(D649,L$2:M$8,2,FALSE)</f>
        <v>0</v>
      </c>
      <c r="F649">
        <f t="shared" si="30"/>
        <v>2</v>
      </c>
      <c r="G649">
        <f>IF(F649&gt;F648,G648+B649*E649,B649*E649)</f>
        <v>0</v>
      </c>
      <c r="H649">
        <f t="shared" si="31"/>
        <v>0</v>
      </c>
      <c r="I649">
        <f t="shared" si="32"/>
        <v>0</v>
      </c>
    </row>
    <row r="650" spans="1:9">
      <c r="A650" s="1">
        <v>39664</v>
      </c>
      <c r="B650">
        <v>6.0100600000000002</v>
      </c>
      <c r="C650">
        <v>6.4450000000000003</v>
      </c>
      <c r="D650">
        <f>WEEKDAY(A650,14)</f>
        <v>5</v>
      </c>
      <c r="E650">
        <f>VLOOKUP(D650,L$2:M$8,2,FALSE)</f>
        <v>0.05</v>
      </c>
      <c r="F650">
        <f t="shared" si="30"/>
        <v>3</v>
      </c>
      <c r="G650">
        <f>IF(F650&gt;F649,G649+B650*E650,B650*E650)</f>
        <v>0.30050300000000002</v>
      </c>
      <c r="H650">
        <f t="shared" si="31"/>
        <v>0.05</v>
      </c>
      <c r="I650">
        <f t="shared" si="32"/>
        <v>0</v>
      </c>
    </row>
    <row r="651" spans="1:9">
      <c r="A651" s="1">
        <v>39665</v>
      </c>
      <c r="B651">
        <v>6.0489300000000004</v>
      </c>
      <c r="C651">
        <v>6.4450000000000003</v>
      </c>
      <c r="D651">
        <f>WEEKDAY(A651,14)</f>
        <v>6</v>
      </c>
      <c r="E651">
        <f>VLOOKUP(D651,L$2:M$8,2,FALSE)</f>
        <v>0.7</v>
      </c>
      <c r="F651">
        <f t="shared" si="30"/>
        <v>4</v>
      </c>
      <c r="G651">
        <f>IF(F651&gt;F650,G650+B651*E651,B651*E651)</f>
        <v>4.5347539999999995</v>
      </c>
      <c r="H651">
        <f t="shared" si="31"/>
        <v>0.75</v>
      </c>
      <c r="I651">
        <f t="shared" si="32"/>
        <v>0</v>
      </c>
    </row>
    <row r="652" spans="1:9">
      <c r="A652" s="1">
        <v>39666</v>
      </c>
      <c r="B652">
        <v>6.1289899999999999</v>
      </c>
      <c r="C652">
        <v>6.4450000000000003</v>
      </c>
      <c r="D652">
        <f>WEEKDAY(A652,14)</f>
        <v>7</v>
      </c>
      <c r="E652">
        <f>VLOOKUP(D652,L$2:M$8,2,FALSE)</f>
        <v>0.25</v>
      </c>
      <c r="F652">
        <f t="shared" si="30"/>
        <v>5</v>
      </c>
      <c r="G652">
        <f>IF(F652&gt;F651,G651+B652*E652,B652*E652)</f>
        <v>6.0670014999999999</v>
      </c>
      <c r="H652">
        <f t="shared" si="31"/>
        <v>1</v>
      </c>
      <c r="I652">
        <f t="shared" si="32"/>
        <v>0</v>
      </c>
    </row>
    <row r="653" spans="1:9">
      <c r="A653" s="1">
        <v>39667</v>
      </c>
      <c r="B653">
        <v>6.0518799999999997</v>
      </c>
      <c r="C653">
        <v>6.4450000000000003</v>
      </c>
      <c r="D653">
        <f>WEEKDAY(A653,14)</f>
        <v>1</v>
      </c>
      <c r="E653">
        <f>VLOOKUP(D653,L$2:M$8,2,FALSE)</f>
        <v>0</v>
      </c>
      <c r="F653">
        <f t="shared" si="30"/>
        <v>1</v>
      </c>
      <c r="G653">
        <f>IF(F653&gt;F652,G652+B653*E653,B653*E653)</f>
        <v>0</v>
      </c>
      <c r="H653">
        <f t="shared" si="31"/>
        <v>0</v>
      </c>
      <c r="I653">
        <f t="shared" si="32"/>
        <v>6.0670014999999999</v>
      </c>
    </row>
    <row r="654" spans="1:9">
      <c r="A654" s="1">
        <v>39668</v>
      </c>
      <c r="B654">
        <v>6.00624</v>
      </c>
      <c r="C654">
        <v>6.4450000000000003</v>
      </c>
      <c r="D654">
        <f>WEEKDAY(A654,14)</f>
        <v>2</v>
      </c>
      <c r="E654">
        <f>VLOOKUP(D654,L$2:M$8,2,FALSE)</f>
        <v>0</v>
      </c>
      <c r="F654">
        <f t="shared" si="30"/>
        <v>2</v>
      </c>
      <c r="G654">
        <f>IF(F654&gt;F653,G653+B654*E654,B654*E654)</f>
        <v>0</v>
      </c>
      <c r="H654">
        <f t="shared" si="31"/>
        <v>0</v>
      </c>
      <c r="I654">
        <f t="shared" si="32"/>
        <v>0</v>
      </c>
    </row>
    <row r="655" spans="1:9">
      <c r="A655" s="1">
        <v>39671</v>
      </c>
      <c r="B655">
        <v>6.0879799999999999</v>
      </c>
      <c r="C655">
        <v>6.4450000000000003</v>
      </c>
      <c r="D655">
        <f>WEEKDAY(A655,14)</f>
        <v>5</v>
      </c>
      <c r="E655">
        <f>VLOOKUP(D655,L$2:M$8,2,FALSE)</f>
        <v>0.05</v>
      </c>
      <c r="F655">
        <f t="shared" si="30"/>
        <v>3</v>
      </c>
      <c r="G655">
        <f>IF(F655&gt;F654,G654+B655*E655,B655*E655)</f>
        <v>0.30439900000000003</v>
      </c>
      <c r="H655">
        <f t="shared" si="31"/>
        <v>0.05</v>
      </c>
      <c r="I655">
        <f t="shared" si="32"/>
        <v>0</v>
      </c>
    </row>
    <row r="656" spans="1:9">
      <c r="A656" s="1">
        <v>39672</v>
      </c>
      <c r="B656">
        <v>6.0287600000000001</v>
      </c>
      <c r="C656">
        <v>6.4450000000000003</v>
      </c>
      <c r="D656">
        <f>WEEKDAY(A656,14)</f>
        <v>6</v>
      </c>
      <c r="E656">
        <f>VLOOKUP(D656,L$2:M$8,2,FALSE)</f>
        <v>0.7</v>
      </c>
      <c r="F656">
        <f t="shared" si="30"/>
        <v>4</v>
      </c>
      <c r="G656">
        <f>IF(F656&gt;F655,G655+B656*E656,B656*E656)</f>
        <v>4.5245309999999996</v>
      </c>
      <c r="H656">
        <f t="shared" si="31"/>
        <v>0.75</v>
      </c>
      <c r="I656">
        <f t="shared" si="32"/>
        <v>0</v>
      </c>
    </row>
    <row r="657" spans="1:9">
      <c r="A657" s="1">
        <v>39673</v>
      </c>
      <c r="B657">
        <v>6.0570599999999999</v>
      </c>
      <c r="C657">
        <v>6.4450000000000003</v>
      </c>
      <c r="D657">
        <f>WEEKDAY(A657,14)</f>
        <v>7</v>
      </c>
      <c r="E657">
        <f>VLOOKUP(D657,L$2:M$8,2,FALSE)</f>
        <v>0.25</v>
      </c>
      <c r="F657">
        <f t="shared" si="30"/>
        <v>5</v>
      </c>
      <c r="G657">
        <f>IF(F657&gt;F656,G656+B657*E657,B657*E657)</f>
        <v>6.0387959999999996</v>
      </c>
      <c r="H657">
        <f t="shared" si="31"/>
        <v>1</v>
      </c>
      <c r="I657">
        <f t="shared" si="32"/>
        <v>0</v>
      </c>
    </row>
    <row r="658" spans="1:9">
      <c r="A658" s="1">
        <v>39674</v>
      </c>
      <c r="B658">
        <v>6.0335200000000002</v>
      </c>
      <c r="C658">
        <v>6.3949999999999996</v>
      </c>
      <c r="D658">
        <f>WEEKDAY(A658,14)</f>
        <v>1</v>
      </c>
      <c r="E658">
        <f>VLOOKUP(D658,L$2:M$8,2,FALSE)</f>
        <v>0</v>
      </c>
      <c r="F658">
        <f t="shared" si="30"/>
        <v>1</v>
      </c>
      <c r="G658">
        <f>IF(F658&gt;F657,G657+B658*E658,B658*E658)</f>
        <v>0</v>
      </c>
      <c r="H658">
        <f t="shared" si="31"/>
        <v>0</v>
      </c>
      <c r="I658">
        <f t="shared" si="32"/>
        <v>6.0387959999999996</v>
      </c>
    </row>
    <row r="659" spans="1:9">
      <c r="A659" s="1">
        <v>39675</v>
      </c>
      <c r="B659">
        <v>5.9640500000000003</v>
      </c>
      <c r="C659">
        <v>6.3949999999999996</v>
      </c>
      <c r="D659">
        <f>WEEKDAY(A659,14)</f>
        <v>2</v>
      </c>
      <c r="E659">
        <f>VLOOKUP(D659,L$2:M$8,2,FALSE)</f>
        <v>0</v>
      </c>
      <c r="F659">
        <f t="shared" si="30"/>
        <v>2</v>
      </c>
      <c r="G659">
        <f>IF(F659&gt;F658,G658+B659*E659,B659*E659)</f>
        <v>0</v>
      </c>
      <c r="H659">
        <f t="shared" si="31"/>
        <v>0</v>
      </c>
      <c r="I659">
        <f t="shared" si="32"/>
        <v>0</v>
      </c>
    </row>
    <row r="660" spans="1:9">
      <c r="A660" s="1">
        <v>39678</v>
      </c>
      <c r="B660">
        <v>5.9559899999999999</v>
      </c>
      <c r="C660">
        <v>6.3949999999999996</v>
      </c>
      <c r="D660">
        <f>WEEKDAY(A660,14)</f>
        <v>5</v>
      </c>
      <c r="E660">
        <f>VLOOKUP(D660,L$2:M$8,2,FALSE)</f>
        <v>0.05</v>
      </c>
      <c r="F660">
        <f t="shared" si="30"/>
        <v>3</v>
      </c>
      <c r="G660">
        <f>IF(F660&gt;F659,G659+B660*E660,B660*E660)</f>
        <v>0.29779949999999999</v>
      </c>
      <c r="H660">
        <f t="shared" si="31"/>
        <v>0.05</v>
      </c>
      <c r="I660">
        <f t="shared" si="32"/>
        <v>0</v>
      </c>
    </row>
    <row r="661" spans="1:9">
      <c r="A661" s="1">
        <v>39679</v>
      </c>
      <c r="B661">
        <v>5.9540199999999999</v>
      </c>
      <c r="C661">
        <v>6.3949999999999996</v>
      </c>
      <c r="D661">
        <f>WEEKDAY(A661,14)</f>
        <v>6</v>
      </c>
      <c r="E661">
        <f>VLOOKUP(D661,L$2:M$8,2,FALSE)</f>
        <v>0.7</v>
      </c>
      <c r="F661">
        <f t="shared" si="30"/>
        <v>4</v>
      </c>
      <c r="G661">
        <f>IF(F661&gt;F660,G660+B661*E661,B661*E661)</f>
        <v>4.4656134999999999</v>
      </c>
      <c r="H661">
        <f t="shared" si="31"/>
        <v>0.75</v>
      </c>
      <c r="I661">
        <f t="shared" si="32"/>
        <v>0</v>
      </c>
    </row>
    <row r="662" spans="1:9">
      <c r="A662" s="1">
        <v>39680</v>
      </c>
      <c r="B662">
        <v>5.8058300000000003</v>
      </c>
      <c r="C662">
        <v>6.3949999999999996</v>
      </c>
      <c r="D662">
        <f>WEEKDAY(A662,14)</f>
        <v>7</v>
      </c>
      <c r="E662">
        <f>VLOOKUP(D662,L$2:M$8,2,FALSE)</f>
        <v>0.25</v>
      </c>
      <c r="F662">
        <f t="shared" si="30"/>
        <v>5</v>
      </c>
      <c r="G662">
        <f>IF(F662&gt;F661,G661+B662*E662,B662*E662)</f>
        <v>5.917071</v>
      </c>
      <c r="H662">
        <f t="shared" si="31"/>
        <v>1</v>
      </c>
      <c r="I662">
        <f t="shared" si="32"/>
        <v>0</v>
      </c>
    </row>
    <row r="663" spans="1:9">
      <c r="A663" s="1">
        <v>39681</v>
      </c>
      <c r="B663">
        <v>5.9001000000000001</v>
      </c>
      <c r="C663">
        <v>6.3</v>
      </c>
      <c r="D663">
        <f>WEEKDAY(A663,14)</f>
        <v>1</v>
      </c>
      <c r="E663">
        <f>VLOOKUP(D663,L$2:M$8,2,FALSE)</f>
        <v>0</v>
      </c>
      <c r="F663">
        <f t="shared" si="30"/>
        <v>1</v>
      </c>
      <c r="G663">
        <f>IF(F663&gt;F662,G662+B663*E663,B663*E663)</f>
        <v>0</v>
      </c>
      <c r="H663">
        <f t="shared" si="31"/>
        <v>0</v>
      </c>
      <c r="I663">
        <f t="shared" si="32"/>
        <v>5.917071</v>
      </c>
    </row>
    <row r="664" spans="1:9">
      <c r="A664" s="1">
        <v>39682</v>
      </c>
      <c r="B664">
        <v>5.9374900000000004</v>
      </c>
      <c r="C664">
        <v>6.3</v>
      </c>
      <c r="D664">
        <f>WEEKDAY(A664,14)</f>
        <v>2</v>
      </c>
      <c r="E664">
        <f>VLOOKUP(D664,L$2:M$8,2,FALSE)</f>
        <v>0</v>
      </c>
      <c r="F664">
        <f t="shared" si="30"/>
        <v>2</v>
      </c>
      <c r="G664">
        <f>IF(F664&gt;F663,G663+B664*E664,B664*E664)</f>
        <v>0</v>
      </c>
      <c r="H664">
        <f t="shared" si="31"/>
        <v>0</v>
      </c>
      <c r="I664">
        <f t="shared" si="32"/>
        <v>0</v>
      </c>
    </row>
    <row r="665" spans="1:9">
      <c r="A665" s="1">
        <v>39685</v>
      </c>
      <c r="B665">
        <v>5.8719400000000004</v>
      </c>
      <c r="C665">
        <v>6.3</v>
      </c>
      <c r="D665">
        <f>WEEKDAY(A665,14)</f>
        <v>5</v>
      </c>
      <c r="E665">
        <f>VLOOKUP(D665,L$2:M$8,2,FALSE)</f>
        <v>0.05</v>
      </c>
      <c r="F665">
        <f t="shared" si="30"/>
        <v>3</v>
      </c>
      <c r="G665">
        <f>IF(F665&gt;F664,G664+B665*E665,B665*E665)</f>
        <v>0.29359700000000005</v>
      </c>
      <c r="H665">
        <f t="shared" si="31"/>
        <v>0.05</v>
      </c>
      <c r="I665">
        <f t="shared" si="32"/>
        <v>0</v>
      </c>
    </row>
    <row r="666" spans="1:9">
      <c r="A666" s="1">
        <v>39686</v>
      </c>
      <c r="B666">
        <v>5.8323200000000002</v>
      </c>
      <c r="C666">
        <v>6.3</v>
      </c>
      <c r="D666">
        <f>WEEKDAY(A666,14)</f>
        <v>6</v>
      </c>
      <c r="E666">
        <f>VLOOKUP(D666,L$2:M$8,2,FALSE)</f>
        <v>0.7</v>
      </c>
      <c r="F666">
        <f t="shared" si="30"/>
        <v>4</v>
      </c>
      <c r="G666">
        <f>IF(F666&gt;F665,G665+B666*E666,B666*E666)</f>
        <v>4.3762210000000001</v>
      </c>
      <c r="H666">
        <f t="shared" si="31"/>
        <v>0.75</v>
      </c>
      <c r="I666">
        <f t="shared" si="32"/>
        <v>0</v>
      </c>
    </row>
    <row r="667" spans="1:9">
      <c r="A667" s="1">
        <v>39687</v>
      </c>
      <c r="B667">
        <v>5.8014999999999999</v>
      </c>
      <c r="C667">
        <v>6.3</v>
      </c>
      <c r="D667">
        <f>WEEKDAY(A667,14)</f>
        <v>7</v>
      </c>
      <c r="E667">
        <f>VLOOKUP(D667,L$2:M$8,2,FALSE)</f>
        <v>0.25</v>
      </c>
      <c r="F667">
        <f t="shared" si="30"/>
        <v>5</v>
      </c>
      <c r="G667">
        <f>IF(F667&gt;F666,G666+B667*E667,B667*E667)</f>
        <v>5.8265960000000003</v>
      </c>
      <c r="H667">
        <f t="shared" si="31"/>
        <v>1</v>
      </c>
      <c r="I667">
        <f t="shared" si="32"/>
        <v>0</v>
      </c>
    </row>
    <row r="668" spans="1:9">
      <c r="A668" s="1">
        <v>39688</v>
      </c>
      <c r="B668">
        <v>5.7672299999999996</v>
      </c>
      <c r="C668">
        <v>6.2750000000000004</v>
      </c>
      <c r="D668">
        <f>WEEKDAY(A668,14)</f>
        <v>1</v>
      </c>
      <c r="E668">
        <f>VLOOKUP(D668,L$2:M$8,2,FALSE)</f>
        <v>0</v>
      </c>
      <c r="F668">
        <f t="shared" si="30"/>
        <v>1</v>
      </c>
      <c r="G668">
        <f>IF(F668&gt;F667,G667+B668*E668,B668*E668)</f>
        <v>0</v>
      </c>
      <c r="H668">
        <f t="shared" si="31"/>
        <v>0</v>
      </c>
      <c r="I668">
        <f t="shared" si="32"/>
        <v>5.8265960000000003</v>
      </c>
    </row>
    <row r="669" spans="1:9">
      <c r="A669" s="1">
        <v>39689</v>
      </c>
      <c r="B669">
        <v>5.7985300000000004</v>
      </c>
      <c r="C669">
        <v>6.2750000000000004</v>
      </c>
      <c r="D669">
        <f>WEEKDAY(A669,14)</f>
        <v>2</v>
      </c>
      <c r="E669">
        <f>VLOOKUP(D669,L$2:M$8,2,FALSE)</f>
        <v>0</v>
      </c>
      <c r="F669">
        <f t="shared" si="30"/>
        <v>2</v>
      </c>
      <c r="G669">
        <f>IF(F669&gt;F668,G668+B669*E669,B669*E669)</f>
        <v>0</v>
      </c>
      <c r="H669">
        <f t="shared" si="31"/>
        <v>0</v>
      </c>
      <c r="I669">
        <f t="shared" si="32"/>
        <v>0</v>
      </c>
    </row>
    <row r="670" spans="1:9">
      <c r="A670" s="1">
        <v>39693</v>
      </c>
      <c r="B670">
        <v>5.7615800000000004</v>
      </c>
      <c r="C670">
        <v>6.2750000000000004</v>
      </c>
      <c r="D670">
        <f>WEEKDAY(A670,14)</f>
        <v>6</v>
      </c>
      <c r="E670">
        <f>VLOOKUP(D670,L$2:M$8,2,FALSE)</f>
        <v>0.7</v>
      </c>
      <c r="F670">
        <f t="shared" si="30"/>
        <v>3</v>
      </c>
      <c r="G670">
        <f>IF(F670&gt;F669,G669+B670*E670,B670*E670)</f>
        <v>4.0331060000000001</v>
      </c>
      <c r="H670">
        <f t="shared" si="31"/>
        <v>0.7</v>
      </c>
      <c r="I670">
        <f t="shared" si="32"/>
        <v>0</v>
      </c>
    </row>
    <row r="671" spans="1:9">
      <c r="A671" s="1">
        <v>39694</v>
      </c>
      <c r="B671">
        <v>5.7032400000000001</v>
      </c>
      <c r="C671">
        <v>6.2750000000000004</v>
      </c>
      <c r="D671">
        <f>WEEKDAY(A671,14)</f>
        <v>7</v>
      </c>
      <c r="E671">
        <f>VLOOKUP(D671,L$2:M$8,2,FALSE)</f>
        <v>0.25</v>
      </c>
      <c r="F671">
        <f t="shared" si="30"/>
        <v>4</v>
      </c>
      <c r="G671">
        <f>IF(F671&gt;F670,G670+B671*E671,B671*E671)</f>
        <v>5.4589160000000003</v>
      </c>
      <c r="H671">
        <f t="shared" si="31"/>
        <v>0.95</v>
      </c>
      <c r="I671">
        <f t="shared" si="32"/>
        <v>0</v>
      </c>
    </row>
    <row r="672" spans="1:9">
      <c r="A672" s="1">
        <v>39695</v>
      </c>
      <c r="B672">
        <v>5.6059299999999999</v>
      </c>
      <c r="C672">
        <v>5.8550000000000004</v>
      </c>
      <c r="D672">
        <f>WEEKDAY(A672,14)</f>
        <v>1</v>
      </c>
      <c r="E672">
        <f>VLOOKUP(D672,L$2:M$8,2,FALSE)</f>
        <v>0</v>
      </c>
      <c r="F672">
        <f t="shared" si="30"/>
        <v>1</v>
      </c>
      <c r="G672">
        <f>IF(F672&gt;F671,G671+B672*E672,B672*E672)</f>
        <v>0</v>
      </c>
      <c r="H672">
        <f t="shared" si="31"/>
        <v>0</v>
      </c>
      <c r="I672">
        <f t="shared" si="32"/>
        <v>5.746227368421053</v>
      </c>
    </row>
    <row r="673" spans="1:9">
      <c r="A673" s="1">
        <v>39696</v>
      </c>
      <c r="B673">
        <v>5.64419</v>
      </c>
      <c r="C673">
        <v>5.8550000000000004</v>
      </c>
      <c r="D673">
        <f>WEEKDAY(A673,14)</f>
        <v>2</v>
      </c>
      <c r="E673">
        <f>VLOOKUP(D673,L$2:M$8,2,FALSE)</f>
        <v>0</v>
      </c>
      <c r="F673">
        <f t="shared" si="30"/>
        <v>2</v>
      </c>
      <c r="G673">
        <f>IF(F673&gt;F672,G672+B673*E673,B673*E673)</f>
        <v>0</v>
      </c>
      <c r="H673">
        <f t="shared" si="31"/>
        <v>0</v>
      </c>
      <c r="I673">
        <f t="shared" si="32"/>
        <v>0</v>
      </c>
    </row>
    <row r="674" spans="1:9">
      <c r="A674" s="1">
        <v>39699</v>
      </c>
      <c r="B674">
        <v>5.1134300000000001</v>
      </c>
      <c r="C674">
        <v>5.8550000000000004</v>
      </c>
      <c r="D674">
        <f>WEEKDAY(A674,14)</f>
        <v>5</v>
      </c>
      <c r="E674">
        <f>VLOOKUP(D674,L$2:M$8,2,FALSE)</f>
        <v>0.05</v>
      </c>
      <c r="F674">
        <f t="shared" si="30"/>
        <v>3</v>
      </c>
      <c r="G674">
        <f>IF(F674&gt;F673,G673+B674*E674,B674*E674)</f>
        <v>0.2556715</v>
      </c>
      <c r="H674">
        <f t="shared" si="31"/>
        <v>0.05</v>
      </c>
      <c r="I674">
        <f t="shared" si="32"/>
        <v>0</v>
      </c>
    </row>
    <row r="675" spans="1:9">
      <c r="A675" s="1">
        <v>39700</v>
      </c>
      <c r="B675">
        <v>5.1455200000000003</v>
      </c>
      <c r="C675">
        <v>5.8550000000000004</v>
      </c>
      <c r="D675">
        <f>WEEKDAY(A675,14)</f>
        <v>6</v>
      </c>
      <c r="E675">
        <f>VLOOKUP(D675,L$2:M$8,2,FALSE)</f>
        <v>0.7</v>
      </c>
      <c r="F675">
        <f t="shared" si="30"/>
        <v>4</v>
      </c>
      <c r="G675">
        <f>IF(F675&gt;F674,G674+B675*E675,B675*E675)</f>
        <v>3.8575355</v>
      </c>
      <c r="H675">
        <f t="shared" si="31"/>
        <v>0.75</v>
      </c>
      <c r="I675">
        <f t="shared" si="32"/>
        <v>0</v>
      </c>
    </row>
    <row r="676" spans="1:9">
      <c r="A676" s="1">
        <v>39701</v>
      </c>
      <c r="B676">
        <v>5.2077400000000003</v>
      </c>
      <c r="C676">
        <v>5.8550000000000004</v>
      </c>
      <c r="D676">
        <f>WEEKDAY(A676,14)</f>
        <v>7</v>
      </c>
      <c r="E676">
        <f>VLOOKUP(D676,L$2:M$8,2,FALSE)</f>
        <v>0.25</v>
      </c>
      <c r="F676">
        <f t="shared" si="30"/>
        <v>5</v>
      </c>
      <c r="G676">
        <f>IF(F676&gt;F675,G675+B676*E676,B676*E676)</f>
        <v>5.1594705000000003</v>
      </c>
      <c r="H676">
        <f t="shared" si="31"/>
        <v>1</v>
      </c>
      <c r="I676">
        <f t="shared" si="32"/>
        <v>0</v>
      </c>
    </row>
    <row r="677" spans="1:9">
      <c r="A677" s="1">
        <v>39702</v>
      </c>
      <c r="B677">
        <v>5.2001799999999996</v>
      </c>
      <c r="C677">
        <v>5.68</v>
      </c>
      <c r="D677">
        <f>WEEKDAY(A677,14)</f>
        <v>1</v>
      </c>
      <c r="E677">
        <f>VLOOKUP(D677,L$2:M$8,2,FALSE)</f>
        <v>0</v>
      </c>
      <c r="F677">
        <f t="shared" si="30"/>
        <v>1</v>
      </c>
      <c r="G677">
        <f>IF(F677&gt;F676,G676+B677*E677,B677*E677)</f>
        <v>0</v>
      </c>
      <c r="H677">
        <f t="shared" si="31"/>
        <v>0</v>
      </c>
      <c r="I677">
        <f t="shared" si="32"/>
        <v>5.1594705000000003</v>
      </c>
    </row>
    <row r="678" spans="1:9">
      <c r="A678" s="1">
        <v>39703</v>
      </c>
      <c r="B678">
        <v>5.3041999999999998</v>
      </c>
      <c r="C678">
        <v>5.68</v>
      </c>
      <c r="D678">
        <f>WEEKDAY(A678,14)</f>
        <v>2</v>
      </c>
      <c r="E678">
        <f>VLOOKUP(D678,L$2:M$8,2,FALSE)</f>
        <v>0</v>
      </c>
      <c r="F678">
        <f t="shared" si="30"/>
        <v>2</v>
      </c>
      <c r="G678">
        <f>IF(F678&gt;F677,G677+B678*E678,B678*E678)</f>
        <v>0</v>
      </c>
      <c r="H678">
        <f t="shared" si="31"/>
        <v>0</v>
      </c>
      <c r="I678">
        <f t="shared" si="32"/>
        <v>0</v>
      </c>
    </row>
    <row r="679" spans="1:9">
      <c r="A679" s="1">
        <v>39706</v>
      </c>
      <c r="B679">
        <v>5.01762</v>
      </c>
      <c r="C679">
        <v>5.68</v>
      </c>
      <c r="D679">
        <f>WEEKDAY(A679,14)</f>
        <v>5</v>
      </c>
      <c r="E679">
        <f>VLOOKUP(D679,L$2:M$8,2,FALSE)</f>
        <v>0.05</v>
      </c>
      <c r="F679">
        <f t="shared" si="30"/>
        <v>3</v>
      </c>
      <c r="G679">
        <f>IF(F679&gt;F678,G678+B679*E679,B679*E679)</f>
        <v>0.25088100000000002</v>
      </c>
      <c r="H679">
        <f t="shared" si="31"/>
        <v>0.05</v>
      </c>
      <c r="I679">
        <f t="shared" si="32"/>
        <v>0</v>
      </c>
    </row>
    <row r="680" spans="1:9">
      <c r="A680" s="1">
        <v>39707</v>
      </c>
      <c r="B680">
        <v>5.1995100000000001</v>
      </c>
      <c r="C680">
        <v>5.68</v>
      </c>
      <c r="D680">
        <f>WEEKDAY(A680,14)</f>
        <v>6</v>
      </c>
      <c r="E680">
        <f>VLOOKUP(D680,L$2:M$8,2,FALSE)</f>
        <v>0.7</v>
      </c>
      <c r="F680">
        <f t="shared" si="30"/>
        <v>4</v>
      </c>
      <c r="G680">
        <f>IF(F680&gt;F679,G679+B680*E680,B680*E680)</f>
        <v>3.8905379999999998</v>
      </c>
      <c r="H680">
        <f t="shared" si="31"/>
        <v>0.75</v>
      </c>
      <c r="I680">
        <f t="shared" si="32"/>
        <v>0</v>
      </c>
    </row>
    <row r="681" spans="1:9">
      <c r="A681" s="1">
        <v>39708</v>
      </c>
      <c r="B681">
        <v>5.2189699999999997</v>
      </c>
      <c r="C681">
        <v>5.68</v>
      </c>
      <c r="D681">
        <f>WEEKDAY(A681,14)</f>
        <v>7</v>
      </c>
      <c r="E681">
        <f>VLOOKUP(D681,L$2:M$8,2,FALSE)</f>
        <v>0.25</v>
      </c>
      <c r="F681">
        <f t="shared" si="30"/>
        <v>5</v>
      </c>
      <c r="G681">
        <f>IF(F681&gt;F680,G680+B681*E681,B681*E681)</f>
        <v>5.1952805</v>
      </c>
      <c r="H681">
        <f t="shared" si="31"/>
        <v>1</v>
      </c>
      <c r="I681">
        <f t="shared" si="32"/>
        <v>0</v>
      </c>
    </row>
    <row r="682" spans="1:9">
      <c r="A682" s="1">
        <v>39709</v>
      </c>
      <c r="B682">
        <v>5.2405900000000001</v>
      </c>
      <c r="C682">
        <v>6.0149999999999997</v>
      </c>
      <c r="D682">
        <f>WEEKDAY(A682,14)</f>
        <v>1</v>
      </c>
      <c r="E682">
        <f>VLOOKUP(D682,L$2:M$8,2,FALSE)</f>
        <v>0</v>
      </c>
      <c r="F682">
        <f t="shared" si="30"/>
        <v>1</v>
      </c>
      <c r="G682">
        <f>IF(F682&gt;F681,G681+B682*E682,B682*E682)</f>
        <v>0</v>
      </c>
      <c r="H682">
        <f t="shared" si="31"/>
        <v>0</v>
      </c>
      <c r="I682">
        <f t="shared" si="32"/>
        <v>5.1952805</v>
      </c>
    </row>
    <row r="683" spans="1:9">
      <c r="A683" s="1">
        <v>39710</v>
      </c>
      <c r="B683">
        <v>5.2941200000000004</v>
      </c>
      <c r="C683">
        <v>6.0149999999999997</v>
      </c>
      <c r="D683">
        <f>WEEKDAY(A683,14)</f>
        <v>2</v>
      </c>
      <c r="E683">
        <f>VLOOKUP(D683,L$2:M$8,2,FALSE)</f>
        <v>0</v>
      </c>
      <c r="F683">
        <f t="shared" si="30"/>
        <v>2</v>
      </c>
      <c r="G683">
        <f>IF(F683&gt;F682,G682+B683*E683,B683*E683)</f>
        <v>0</v>
      </c>
      <c r="H683">
        <f t="shared" si="31"/>
        <v>0</v>
      </c>
      <c r="I683">
        <f t="shared" si="32"/>
        <v>0</v>
      </c>
    </row>
    <row r="684" spans="1:9">
      <c r="A684" s="1">
        <v>39713</v>
      </c>
      <c r="B684">
        <v>5.4334499999999997</v>
      </c>
      <c r="C684">
        <v>6.0149999999999997</v>
      </c>
      <c r="D684">
        <f>WEEKDAY(A684,14)</f>
        <v>5</v>
      </c>
      <c r="E684">
        <f>VLOOKUP(D684,L$2:M$8,2,FALSE)</f>
        <v>0.05</v>
      </c>
      <c r="F684">
        <f t="shared" si="30"/>
        <v>3</v>
      </c>
      <c r="G684">
        <f>IF(F684&gt;F683,G683+B684*E684,B684*E684)</f>
        <v>0.27167249999999998</v>
      </c>
      <c r="H684">
        <f t="shared" si="31"/>
        <v>0.05</v>
      </c>
      <c r="I684">
        <f t="shared" si="32"/>
        <v>0</v>
      </c>
    </row>
    <row r="685" spans="1:9">
      <c r="A685" s="1">
        <v>39714</v>
      </c>
      <c r="B685">
        <v>5.4654299999999996</v>
      </c>
      <c r="C685">
        <v>6.0149999999999997</v>
      </c>
      <c r="D685">
        <f>WEEKDAY(A685,14)</f>
        <v>6</v>
      </c>
      <c r="E685">
        <f>VLOOKUP(D685,L$2:M$8,2,FALSE)</f>
        <v>0.7</v>
      </c>
      <c r="F685">
        <f t="shared" si="30"/>
        <v>4</v>
      </c>
      <c r="G685">
        <f>IF(F685&gt;F684,G684+B685*E685,B685*E685)</f>
        <v>4.0974734999999995</v>
      </c>
      <c r="H685">
        <f t="shared" si="31"/>
        <v>0.75</v>
      </c>
      <c r="I685">
        <f t="shared" si="32"/>
        <v>0</v>
      </c>
    </row>
    <row r="686" spans="1:9">
      <c r="A686" s="1">
        <v>39715</v>
      </c>
      <c r="B686">
        <v>5.4648599999999998</v>
      </c>
      <c r="C686">
        <v>6.0149999999999997</v>
      </c>
      <c r="D686">
        <f>WEEKDAY(A686,14)</f>
        <v>7</v>
      </c>
      <c r="E686">
        <f>VLOOKUP(D686,L$2:M$8,2,FALSE)</f>
        <v>0.25</v>
      </c>
      <c r="F686">
        <f t="shared" si="30"/>
        <v>5</v>
      </c>
      <c r="G686">
        <f>IF(F686&gt;F685,G685+B686*E686,B686*E686)</f>
        <v>5.4636884999999999</v>
      </c>
      <c r="H686">
        <f t="shared" si="31"/>
        <v>1</v>
      </c>
      <c r="I686">
        <f t="shared" si="32"/>
        <v>0</v>
      </c>
    </row>
    <row r="687" spans="1:9">
      <c r="A687" s="1">
        <v>39716</v>
      </c>
      <c r="B687">
        <v>5.4752999999999998</v>
      </c>
      <c r="C687">
        <v>6</v>
      </c>
      <c r="D687">
        <f>WEEKDAY(A687,14)</f>
        <v>1</v>
      </c>
      <c r="E687">
        <f>VLOOKUP(D687,L$2:M$8,2,FALSE)</f>
        <v>0</v>
      </c>
      <c r="F687">
        <f t="shared" si="30"/>
        <v>1</v>
      </c>
      <c r="G687">
        <f>IF(F687&gt;F686,G686+B687*E687,B687*E687)</f>
        <v>0</v>
      </c>
      <c r="H687">
        <f t="shared" si="31"/>
        <v>0</v>
      </c>
      <c r="I687">
        <f t="shared" si="32"/>
        <v>5.4636884999999999</v>
      </c>
    </row>
    <row r="688" spans="1:9">
      <c r="A688" s="1">
        <v>39717</v>
      </c>
      <c r="B688">
        <v>5.45085</v>
      </c>
      <c r="C688">
        <v>6</v>
      </c>
      <c r="D688">
        <f>WEEKDAY(A688,14)</f>
        <v>2</v>
      </c>
      <c r="E688">
        <f>VLOOKUP(D688,L$2:M$8,2,FALSE)</f>
        <v>0</v>
      </c>
      <c r="F688">
        <f t="shared" si="30"/>
        <v>2</v>
      </c>
      <c r="G688">
        <f>IF(F688&gt;F687,G687+B688*E688,B688*E688)</f>
        <v>0</v>
      </c>
      <c r="H688">
        <f t="shared" si="31"/>
        <v>0</v>
      </c>
      <c r="I688">
        <f t="shared" si="32"/>
        <v>0</v>
      </c>
    </row>
    <row r="689" spans="1:9">
      <c r="A689" s="1">
        <v>39720</v>
      </c>
      <c r="B689">
        <v>5.3650399999999996</v>
      </c>
      <c r="C689">
        <v>6</v>
      </c>
      <c r="D689">
        <f>WEEKDAY(A689,14)</f>
        <v>5</v>
      </c>
      <c r="E689">
        <f>VLOOKUP(D689,L$2:M$8,2,FALSE)</f>
        <v>0.05</v>
      </c>
      <c r="F689">
        <f t="shared" si="30"/>
        <v>3</v>
      </c>
      <c r="G689">
        <f>IF(F689&gt;F688,G688+B689*E689,B689*E689)</f>
        <v>0.26825199999999999</v>
      </c>
      <c r="H689">
        <f t="shared" si="31"/>
        <v>0.05</v>
      </c>
      <c r="I689">
        <f t="shared" si="32"/>
        <v>0</v>
      </c>
    </row>
    <row r="690" spans="1:9">
      <c r="A690" s="1">
        <v>39721</v>
      </c>
      <c r="B690">
        <v>5.5156000000000001</v>
      </c>
      <c r="C690">
        <v>6</v>
      </c>
      <c r="D690">
        <f>WEEKDAY(A690,14)</f>
        <v>6</v>
      </c>
      <c r="E690">
        <f>VLOOKUP(D690,L$2:M$8,2,FALSE)</f>
        <v>0.7</v>
      </c>
      <c r="F690">
        <f t="shared" si="30"/>
        <v>4</v>
      </c>
      <c r="G690">
        <f>IF(F690&gt;F689,G689+B690*E690,B690*E690)</f>
        <v>4.1291719999999996</v>
      </c>
      <c r="H690">
        <f t="shared" si="31"/>
        <v>0.75</v>
      </c>
      <c r="I690">
        <f t="shared" si="32"/>
        <v>0</v>
      </c>
    </row>
    <row r="691" spans="1:9">
      <c r="A691" s="1">
        <v>39722</v>
      </c>
      <c r="B691">
        <v>5.4970699999999999</v>
      </c>
      <c r="C691">
        <v>6</v>
      </c>
      <c r="D691">
        <f>WEEKDAY(A691,14)</f>
        <v>7</v>
      </c>
      <c r="E691">
        <f>VLOOKUP(D691,L$2:M$8,2,FALSE)</f>
        <v>0.25</v>
      </c>
      <c r="F691">
        <f t="shared" si="30"/>
        <v>5</v>
      </c>
      <c r="G691">
        <f>IF(F691&gt;F690,G690+B691*E691,B691*E691)</f>
        <v>5.5034394999999998</v>
      </c>
      <c r="H691">
        <f t="shared" si="31"/>
        <v>1</v>
      </c>
      <c r="I691">
        <f t="shared" si="32"/>
        <v>0</v>
      </c>
    </row>
    <row r="692" spans="1:9">
      <c r="A692" s="1">
        <v>39723</v>
      </c>
      <c r="B692">
        <v>5.4569400000000003</v>
      </c>
      <c r="C692">
        <v>5.84</v>
      </c>
      <c r="D692">
        <f>WEEKDAY(A692,14)</f>
        <v>1</v>
      </c>
      <c r="E692">
        <f>VLOOKUP(D692,L$2:M$8,2,FALSE)</f>
        <v>0</v>
      </c>
      <c r="F692">
        <f t="shared" si="30"/>
        <v>1</v>
      </c>
      <c r="G692">
        <f>IF(F692&gt;F691,G691+B692*E692,B692*E692)</f>
        <v>0</v>
      </c>
      <c r="H692">
        <f t="shared" si="31"/>
        <v>0</v>
      </c>
      <c r="I692">
        <f t="shared" si="32"/>
        <v>5.5034394999999998</v>
      </c>
    </row>
    <row r="693" spans="1:9">
      <c r="A693" s="1">
        <v>39724</v>
      </c>
      <c r="B693">
        <v>5.4474999999999998</v>
      </c>
      <c r="C693">
        <v>5.84</v>
      </c>
      <c r="D693">
        <f>WEEKDAY(A693,14)</f>
        <v>2</v>
      </c>
      <c r="E693">
        <f>VLOOKUP(D693,L$2:M$8,2,FALSE)</f>
        <v>0</v>
      </c>
      <c r="F693">
        <f t="shared" si="30"/>
        <v>2</v>
      </c>
      <c r="G693">
        <f>IF(F693&gt;F692,G692+B693*E693,B693*E693)</f>
        <v>0</v>
      </c>
      <c r="H693">
        <f t="shared" si="31"/>
        <v>0</v>
      </c>
      <c r="I693">
        <f t="shared" si="32"/>
        <v>0</v>
      </c>
    </row>
    <row r="694" spans="1:9">
      <c r="A694" s="1">
        <v>39727</v>
      </c>
      <c r="B694">
        <v>5.2116199999999999</v>
      </c>
      <c r="C694">
        <v>5.84</v>
      </c>
      <c r="D694">
        <f>WEEKDAY(A694,14)</f>
        <v>5</v>
      </c>
      <c r="E694">
        <f>VLOOKUP(D694,L$2:M$8,2,FALSE)</f>
        <v>0.05</v>
      </c>
      <c r="F694">
        <f t="shared" si="30"/>
        <v>3</v>
      </c>
      <c r="G694">
        <f>IF(F694&gt;F693,G693+B694*E694,B694*E694)</f>
        <v>0.26058100000000001</v>
      </c>
      <c r="H694">
        <f t="shared" si="31"/>
        <v>0.05</v>
      </c>
      <c r="I694">
        <f t="shared" si="32"/>
        <v>0</v>
      </c>
    </row>
    <row r="695" spans="1:9">
      <c r="A695" s="1">
        <v>39728</v>
      </c>
      <c r="B695">
        <v>5.26288</v>
      </c>
      <c r="C695">
        <v>5.84</v>
      </c>
      <c r="D695">
        <f>WEEKDAY(A695,14)</f>
        <v>6</v>
      </c>
      <c r="E695">
        <f>VLOOKUP(D695,L$2:M$8,2,FALSE)</f>
        <v>0.7</v>
      </c>
      <c r="F695">
        <f t="shared" si="30"/>
        <v>4</v>
      </c>
      <c r="G695">
        <f>IF(F695&gt;F694,G694+B695*E695,B695*E695)</f>
        <v>3.9445969999999999</v>
      </c>
      <c r="H695">
        <f t="shared" si="31"/>
        <v>0.75</v>
      </c>
      <c r="I695">
        <f t="shared" si="32"/>
        <v>0</v>
      </c>
    </row>
    <row r="696" spans="1:9">
      <c r="A696" s="1">
        <v>39729</v>
      </c>
      <c r="B696">
        <v>5.4523200000000003</v>
      </c>
      <c r="C696">
        <v>5.84</v>
      </c>
      <c r="D696">
        <f>WEEKDAY(A696,14)</f>
        <v>7</v>
      </c>
      <c r="E696">
        <f>VLOOKUP(D696,L$2:M$8,2,FALSE)</f>
        <v>0.25</v>
      </c>
      <c r="F696">
        <f t="shared" si="30"/>
        <v>5</v>
      </c>
      <c r="G696">
        <f>IF(F696&gt;F695,G695+B696*E696,B696*E696)</f>
        <v>5.307677</v>
      </c>
      <c r="H696">
        <f t="shared" si="31"/>
        <v>1</v>
      </c>
      <c r="I696">
        <f t="shared" si="32"/>
        <v>0</v>
      </c>
    </row>
    <row r="697" spans="1:9">
      <c r="A697" s="1">
        <v>39730</v>
      </c>
      <c r="B697">
        <v>5.6667399999999999</v>
      </c>
      <c r="C697">
        <v>6.36</v>
      </c>
      <c r="D697">
        <f>WEEKDAY(A697,14)</f>
        <v>1</v>
      </c>
      <c r="E697">
        <f>VLOOKUP(D697,L$2:M$8,2,FALSE)</f>
        <v>0</v>
      </c>
      <c r="F697">
        <f t="shared" si="30"/>
        <v>1</v>
      </c>
      <c r="G697">
        <f>IF(F697&gt;F696,G696+B697*E697,B697*E697)</f>
        <v>0</v>
      </c>
      <c r="H697">
        <f t="shared" si="31"/>
        <v>0</v>
      </c>
      <c r="I697">
        <f t="shared" si="32"/>
        <v>5.307677</v>
      </c>
    </row>
    <row r="698" spans="1:9">
      <c r="A698" s="1">
        <v>39731</v>
      </c>
      <c r="B698">
        <v>5.8447699999999996</v>
      </c>
      <c r="C698">
        <v>6.36</v>
      </c>
      <c r="D698">
        <f>WEEKDAY(A698,14)</f>
        <v>2</v>
      </c>
      <c r="E698">
        <f>VLOOKUP(D698,L$2:M$8,2,FALSE)</f>
        <v>0</v>
      </c>
      <c r="F698">
        <f t="shared" si="30"/>
        <v>2</v>
      </c>
      <c r="G698">
        <f>IF(F698&gt;F697,G697+B698*E698,B698*E698)</f>
        <v>0</v>
      </c>
      <c r="H698">
        <f t="shared" si="31"/>
        <v>0</v>
      </c>
      <c r="I698">
        <f t="shared" si="32"/>
        <v>0</v>
      </c>
    </row>
    <row r="699" spans="1:9">
      <c r="A699" s="1">
        <v>39735</v>
      </c>
      <c r="B699">
        <v>6.01234</v>
      </c>
      <c r="C699">
        <v>6.36</v>
      </c>
      <c r="D699">
        <f>WEEKDAY(A699,14)</f>
        <v>6</v>
      </c>
      <c r="E699">
        <f>VLOOKUP(D699,L$2:M$8,2,FALSE)</f>
        <v>0.7</v>
      </c>
      <c r="F699">
        <f t="shared" si="30"/>
        <v>3</v>
      </c>
      <c r="G699">
        <f>IF(F699&gt;F698,G698+B699*E699,B699*E699)</f>
        <v>4.2086379999999997</v>
      </c>
      <c r="H699">
        <f t="shared" si="31"/>
        <v>0.7</v>
      </c>
      <c r="I699">
        <f t="shared" si="32"/>
        <v>0</v>
      </c>
    </row>
    <row r="700" spans="1:9">
      <c r="A700" s="1">
        <v>39736</v>
      </c>
      <c r="B700">
        <v>5.9051900000000002</v>
      </c>
      <c r="C700">
        <v>6.36</v>
      </c>
      <c r="D700">
        <f>WEEKDAY(A700,14)</f>
        <v>7</v>
      </c>
      <c r="E700">
        <f>VLOOKUP(D700,L$2:M$8,2,FALSE)</f>
        <v>0.25</v>
      </c>
      <c r="F700">
        <f t="shared" si="30"/>
        <v>4</v>
      </c>
      <c r="G700">
        <f>IF(F700&gt;F699,G699+B700*E700,B700*E700)</f>
        <v>5.6849354999999999</v>
      </c>
      <c r="H700">
        <f t="shared" si="31"/>
        <v>0.95</v>
      </c>
      <c r="I700">
        <f t="shared" si="32"/>
        <v>0</v>
      </c>
    </row>
    <row r="701" spans="1:9">
      <c r="A701" s="1">
        <v>39737</v>
      </c>
      <c r="B701">
        <v>5.8435800000000002</v>
      </c>
      <c r="C701">
        <v>5.94</v>
      </c>
      <c r="D701">
        <f>WEEKDAY(A701,14)</f>
        <v>1</v>
      </c>
      <c r="E701">
        <f>VLOOKUP(D701,L$2:M$8,2,FALSE)</f>
        <v>0</v>
      </c>
      <c r="F701">
        <f t="shared" si="30"/>
        <v>1</v>
      </c>
      <c r="G701">
        <f>IF(F701&gt;F700,G700+B701*E701,B701*E701)</f>
        <v>0</v>
      </c>
      <c r="H701">
        <f t="shared" si="31"/>
        <v>0</v>
      </c>
      <c r="I701">
        <f t="shared" si="32"/>
        <v>5.9841426315789477</v>
      </c>
    </row>
    <row r="702" spans="1:9">
      <c r="A702" s="1">
        <v>39738</v>
      </c>
      <c r="B702">
        <v>5.8286699999999998</v>
      </c>
      <c r="C702">
        <v>5.94</v>
      </c>
      <c r="D702">
        <f>WEEKDAY(A702,14)</f>
        <v>2</v>
      </c>
      <c r="E702">
        <f>VLOOKUP(D702,L$2:M$8,2,FALSE)</f>
        <v>0</v>
      </c>
      <c r="F702">
        <f t="shared" si="30"/>
        <v>2</v>
      </c>
      <c r="G702">
        <f>IF(F702&gt;F701,G701+B702*E702,B702*E702)</f>
        <v>0</v>
      </c>
      <c r="H702">
        <f t="shared" si="31"/>
        <v>0</v>
      </c>
      <c r="I702">
        <f t="shared" si="32"/>
        <v>0</v>
      </c>
    </row>
    <row r="703" spans="1:9">
      <c r="A703" s="1">
        <v>39741</v>
      </c>
      <c r="B703">
        <v>5.5088100000000004</v>
      </c>
      <c r="C703">
        <v>5.94</v>
      </c>
      <c r="D703">
        <f>WEEKDAY(A703,14)</f>
        <v>5</v>
      </c>
      <c r="E703">
        <f>VLOOKUP(D703,L$2:M$8,2,FALSE)</f>
        <v>0.05</v>
      </c>
      <c r="F703">
        <f t="shared" si="30"/>
        <v>3</v>
      </c>
      <c r="G703">
        <f>IF(F703&gt;F702,G702+B703*E703,B703*E703)</f>
        <v>0.27544050000000003</v>
      </c>
      <c r="H703">
        <f t="shared" si="31"/>
        <v>0.05</v>
      </c>
      <c r="I703">
        <f t="shared" si="32"/>
        <v>0</v>
      </c>
    </row>
    <row r="704" spans="1:9">
      <c r="A704" s="1">
        <v>39742</v>
      </c>
      <c r="B704">
        <v>5.3554000000000004</v>
      </c>
      <c r="C704">
        <v>5.94</v>
      </c>
      <c r="D704">
        <f>WEEKDAY(A704,14)</f>
        <v>6</v>
      </c>
      <c r="E704">
        <f>VLOOKUP(D704,L$2:M$8,2,FALSE)</f>
        <v>0.7</v>
      </c>
      <c r="F704">
        <f t="shared" si="30"/>
        <v>4</v>
      </c>
      <c r="G704">
        <f>IF(F704&gt;F703,G703+B704*E704,B704*E704)</f>
        <v>4.0242205000000002</v>
      </c>
      <c r="H704">
        <f t="shared" si="31"/>
        <v>0.75</v>
      </c>
      <c r="I704">
        <f t="shared" si="32"/>
        <v>0</v>
      </c>
    </row>
    <row r="705" spans="1:9">
      <c r="A705" s="1">
        <v>39743</v>
      </c>
      <c r="B705">
        <v>5.3763699999999996</v>
      </c>
      <c r="C705">
        <v>5.94</v>
      </c>
      <c r="D705">
        <f>WEEKDAY(A705,14)</f>
        <v>7</v>
      </c>
      <c r="E705">
        <f>VLOOKUP(D705,L$2:M$8,2,FALSE)</f>
        <v>0.25</v>
      </c>
      <c r="F705">
        <f t="shared" si="30"/>
        <v>5</v>
      </c>
      <c r="G705">
        <f>IF(F705&gt;F704,G704+B705*E705,B705*E705)</f>
        <v>5.3683130000000006</v>
      </c>
      <c r="H705">
        <f t="shared" si="31"/>
        <v>1</v>
      </c>
      <c r="I705">
        <f t="shared" si="32"/>
        <v>0</v>
      </c>
    </row>
    <row r="706" spans="1:9">
      <c r="A706" s="1">
        <v>39744</v>
      </c>
      <c r="B706">
        <v>5.4105499999999997</v>
      </c>
      <c r="C706">
        <v>6.3849999999999998</v>
      </c>
      <c r="D706">
        <f>WEEKDAY(A706,14)</f>
        <v>1</v>
      </c>
      <c r="E706">
        <f>VLOOKUP(D706,L$2:M$8,2,FALSE)</f>
        <v>0</v>
      </c>
      <c r="F706">
        <f t="shared" si="30"/>
        <v>1</v>
      </c>
      <c r="G706">
        <f>IF(F706&gt;F705,G705+B706*E706,B706*E706)</f>
        <v>0</v>
      </c>
      <c r="H706">
        <f t="shared" si="31"/>
        <v>0</v>
      </c>
      <c r="I706">
        <f t="shared" si="32"/>
        <v>5.3683130000000006</v>
      </c>
    </row>
    <row r="707" spans="1:9">
      <c r="A707" s="1">
        <v>39745</v>
      </c>
      <c r="B707">
        <v>5.6750400000000001</v>
      </c>
      <c r="C707">
        <v>6.3849999999999998</v>
      </c>
      <c r="D707">
        <f>WEEKDAY(A707,14)</f>
        <v>2</v>
      </c>
      <c r="E707">
        <f>VLOOKUP(D707,L$2:M$8,2,FALSE)</f>
        <v>0</v>
      </c>
      <c r="F707">
        <f t="shared" ref="F707:F770" si="33">IF(AND(D707&gt;D706,F706&lt;6),F706+1,1)</f>
        <v>2</v>
      </c>
      <c r="G707">
        <f>IF(F707&gt;F706,G706+B707*E707,B707*E707)</f>
        <v>0</v>
      </c>
      <c r="H707">
        <f t="shared" si="31"/>
        <v>0</v>
      </c>
      <c r="I707">
        <f t="shared" si="32"/>
        <v>0</v>
      </c>
    </row>
    <row r="708" spans="1:9">
      <c r="A708" s="1">
        <v>39748</v>
      </c>
      <c r="B708">
        <v>5.9199099999999998</v>
      </c>
      <c r="C708">
        <v>6.3849999999999998</v>
      </c>
      <c r="D708">
        <f>WEEKDAY(A708,14)</f>
        <v>5</v>
      </c>
      <c r="E708">
        <f>VLOOKUP(D708,L$2:M$8,2,FALSE)</f>
        <v>0.05</v>
      </c>
      <c r="F708">
        <f t="shared" si="33"/>
        <v>3</v>
      </c>
      <c r="G708">
        <f>IF(F708&gt;F707,G707+B708*E708,B708*E708)</f>
        <v>0.29599550000000002</v>
      </c>
      <c r="H708">
        <f t="shared" ref="H708:H771" si="34">IF(AND(F708&lt;6,F708&gt;F707),E708+H707,E708)</f>
        <v>0.05</v>
      </c>
      <c r="I708">
        <f t="shared" ref="I708:I771" si="35">IF(F707&gt;F708,G707/H707,0)</f>
        <v>0</v>
      </c>
    </row>
    <row r="709" spans="1:9">
      <c r="A709" s="1">
        <v>39749</v>
      </c>
      <c r="B709">
        <v>6.0484400000000003</v>
      </c>
      <c r="C709">
        <v>6.3849999999999998</v>
      </c>
      <c r="D709">
        <f>WEEKDAY(A709,14)</f>
        <v>6</v>
      </c>
      <c r="E709">
        <f>VLOOKUP(D709,L$2:M$8,2,FALSE)</f>
        <v>0.7</v>
      </c>
      <c r="F709">
        <f t="shared" si="33"/>
        <v>4</v>
      </c>
      <c r="G709">
        <f>IF(F709&gt;F708,G708+B709*E709,B709*E709)</f>
        <v>4.5299034999999996</v>
      </c>
      <c r="H709">
        <f t="shared" si="34"/>
        <v>0.75</v>
      </c>
      <c r="I709">
        <f t="shared" si="35"/>
        <v>0</v>
      </c>
    </row>
    <row r="710" spans="1:9">
      <c r="A710" s="1">
        <v>39750</v>
      </c>
      <c r="B710">
        <v>6.0141400000000003</v>
      </c>
      <c r="C710">
        <v>6.3849999999999998</v>
      </c>
      <c r="D710">
        <f>WEEKDAY(A710,14)</f>
        <v>7</v>
      </c>
      <c r="E710">
        <f>VLOOKUP(D710,L$2:M$8,2,FALSE)</f>
        <v>0.25</v>
      </c>
      <c r="F710">
        <f t="shared" si="33"/>
        <v>5</v>
      </c>
      <c r="G710">
        <f>IF(F710&gt;F709,G709+B710*E710,B710*E710)</f>
        <v>6.0334384999999999</v>
      </c>
      <c r="H710">
        <f t="shared" si="34"/>
        <v>1</v>
      </c>
      <c r="I710">
        <f t="shared" si="35"/>
        <v>0</v>
      </c>
    </row>
    <row r="711" spans="1:9">
      <c r="A711" s="1">
        <v>39751</v>
      </c>
      <c r="B711">
        <v>6.024</v>
      </c>
      <c r="C711">
        <v>6.125</v>
      </c>
      <c r="D711">
        <f>WEEKDAY(A711,14)</f>
        <v>1</v>
      </c>
      <c r="E711">
        <f>VLOOKUP(D711,L$2:M$8,2,FALSE)</f>
        <v>0</v>
      </c>
      <c r="F711">
        <f t="shared" si="33"/>
        <v>1</v>
      </c>
      <c r="G711">
        <f>IF(F711&gt;F710,G710+B711*E711,B711*E711)</f>
        <v>0</v>
      </c>
      <c r="H711">
        <f t="shared" si="34"/>
        <v>0</v>
      </c>
      <c r="I711">
        <f t="shared" si="35"/>
        <v>6.0334384999999999</v>
      </c>
    </row>
    <row r="712" spans="1:9">
      <c r="A712" s="1">
        <v>39752</v>
      </c>
      <c r="B712">
        <v>5.9881099999999998</v>
      </c>
      <c r="C712">
        <v>6.125</v>
      </c>
      <c r="D712">
        <f>WEEKDAY(A712,14)</f>
        <v>2</v>
      </c>
      <c r="E712">
        <f>VLOOKUP(D712,L$2:M$8,2,FALSE)</f>
        <v>0</v>
      </c>
      <c r="F712">
        <f t="shared" si="33"/>
        <v>2</v>
      </c>
      <c r="G712">
        <f>IF(F712&gt;F711,G711+B712*E712,B712*E712)</f>
        <v>0</v>
      </c>
      <c r="H712">
        <f t="shared" si="34"/>
        <v>0</v>
      </c>
      <c r="I712">
        <f t="shared" si="35"/>
        <v>0</v>
      </c>
    </row>
    <row r="713" spans="1:9">
      <c r="A713" s="1">
        <v>39755</v>
      </c>
      <c r="B713">
        <v>5.9496500000000001</v>
      </c>
      <c r="C713">
        <v>6.125</v>
      </c>
      <c r="D713">
        <f>WEEKDAY(A713,14)</f>
        <v>5</v>
      </c>
      <c r="E713">
        <f>VLOOKUP(D713,L$2:M$8,2,FALSE)</f>
        <v>0.05</v>
      </c>
      <c r="F713">
        <f t="shared" si="33"/>
        <v>3</v>
      </c>
      <c r="G713">
        <f>IF(F713&gt;F712,G712+B713*E713,B713*E713)</f>
        <v>0.29748250000000004</v>
      </c>
      <c r="H713">
        <f t="shared" si="34"/>
        <v>0.05</v>
      </c>
      <c r="I713">
        <f t="shared" si="35"/>
        <v>0</v>
      </c>
    </row>
    <row r="714" spans="1:9">
      <c r="A714" s="1">
        <v>39756</v>
      </c>
      <c r="B714">
        <v>5.5965100000000003</v>
      </c>
      <c r="C714">
        <v>6.125</v>
      </c>
      <c r="D714">
        <f>WEEKDAY(A714,14)</f>
        <v>6</v>
      </c>
      <c r="E714">
        <f>VLOOKUP(D714,L$2:M$8,2,FALSE)</f>
        <v>0.7</v>
      </c>
      <c r="F714">
        <f t="shared" si="33"/>
        <v>4</v>
      </c>
      <c r="G714">
        <f>IF(F714&gt;F713,G713+B714*E714,B714*E714)</f>
        <v>4.2150394999999996</v>
      </c>
      <c r="H714">
        <f t="shared" si="34"/>
        <v>0.75</v>
      </c>
      <c r="I714">
        <f t="shared" si="35"/>
        <v>0</v>
      </c>
    </row>
    <row r="715" spans="1:9">
      <c r="A715" s="1">
        <v>39757</v>
      </c>
      <c r="B715">
        <v>5.4488300000000001</v>
      </c>
      <c r="C715">
        <v>6.125</v>
      </c>
      <c r="D715">
        <f>WEEKDAY(A715,14)</f>
        <v>7</v>
      </c>
      <c r="E715">
        <f>VLOOKUP(D715,L$2:M$8,2,FALSE)</f>
        <v>0.25</v>
      </c>
      <c r="F715">
        <f t="shared" si="33"/>
        <v>5</v>
      </c>
      <c r="G715">
        <f>IF(F715&gt;F714,G714+B715*E715,B715*E715)</f>
        <v>5.5772469999999998</v>
      </c>
      <c r="H715">
        <f t="shared" si="34"/>
        <v>1</v>
      </c>
      <c r="I715">
        <f t="shared" si="35"/>
        <v>0</v>
      </c>
    </row>
    <row r="716" spans="1:9">
      <c r="A716" s="1">
        <v>39758</v>
      </c>
      <c r="B716">
        <v>5.4835399999999996</v>
      </c>
      <c r="C716">
        <v>6.0650000000000004</v>
      </c>
      <c r="D716">
        <f>WEEKDAY(A716,14)</f>
        <v>1</v>
      </c>
      <c r="E716">
        <f>VLOOKUP(D716,L$2:M$8,2,FALSE)</f>
        <v>0</v>
      </c>
      <c r="F716">
        <f t="shared" si="33"/>
        <v>1</v>
      </c>
      <c r="G716">
        <f>IF(F716&gt;F715,G715+B716*E716,B716*E716)</f>
        <v>0</v>
      </c>
      <c r="H716">
        <f t="shared" si="34"/>
        <v>0</v>
      </c>
      <c r="I716">
        <f t="shared" si="35"/>
        <v>5.5772469999999998</v>
      </c>
    </row>
    <row r="717" spans="1:9">
      <c r="A717" s="1">
        <v>39759</v>
      </c>
      <c r="B717">
        <v>5.4821600000000004</v>
      </c>
      <c r="C717">
        <v>6.0650000000000004</v>
      </c>
      <c r="D717">
        <f>WEEKDAY(A717,14)</f>
        <v>2</v>
      </c>
      <c r="E717">
        <f>VLOOKUP(D717,L$2:M$8,2,FALSE)</f>
        <v>0</v>
      </c>
      <c r="F717">
        <f t="shared" si="33"/>
        <v>2</v>
      </c>
      <c r="G717">
        <f>IF(F717&gt;F716,G716+B717*E717,B717*E717)</f>
        <v>0</v>
      </c>
      <c r="H717">
        <f t="shared" si="34"/>
        <v>0</v>
      </c>
      <c r="I717">
        <f t="shared" si="35"/>
        <v>0</v>
      </c>
    </row>
    <row r="718" spans="1:9">
      <c r="A718" s="1">
        <v>39762</v>
      </c>
      <c r="B718">
        <v>5.57721</v>
      </c>
      <c r="C718">
        <v>6.0650000000000004</v>
      </c>
      <c r="D718">
        <f>WEEKDAY(A718,14)</f>
        <v>5</v>
      </c>
      <c r="E718">
        <f>VLOOKUP(D718,L$2:M$8,2,FALSE)</f>
        <v>0.05</v>
      </c>
      <c r="F718">
        <f t="shared" si="33"/>
        <v>3</v>
      </c>
      <c r="G718">
        <f>IF(F718&gt;F717,G717+B718*E718,B718*E718)</f>
        <v>0.27886050000000001</v>
      </c>
      <c r="H718">
        <f t="shared" si="34"/>
        <v>0.05</v>
      </c>
      <c r="I718">
        <f t="shared" si="35"/>
        <v>0</v>
      </c>
    </row>
    <row r="719" spans="1:9">
      <c r="A719" s="1">
        <v>39764</v>
      </c>
      <c r="B719">
        <v>5.4296300000000004</v>
      </c>
      <c r="C719">
        <v>6.0650000000000004</v>
      </c>
      <c r="D719">
        <f>WEEKDAY(A719,14)</f>
        <v>7</v>
      </c>
      <c r="E719">
        <f>VLOOKUP(D719,L$2:M$8,2,FALSE)</f>
        <v>0.25</v>
      </c>
      <c r="F719">
        <f t="shared" si="33"/>
        <v>4</v>
      </c>
      <c r="G719">
        <f>IF(F719&gt;F718,G718+B719*E719,B719*E719)</f>
        <v>1.6362680000000001</v>
      </c>
      <c r="H719">
        <f t="shared" si="34"/>
        <v>0.3</v>
      </c>
      <c r="I719">
        <f t="shared" si="35"/>
        <v>0</v>
      </c>
    </row>
    <row r="720" spans="1:9">
      <c r="A720" s="1">
        <v>39765</v>
      </c>
      <c r="B720">
        <v>5.5539199999999997</v>
      </c>
      <c r="C720">
        <v>5.9649999999999999</v>
      </c>
      <c r="D720">
        <f>WEEKDAY(A720,14)</f>
        <v>1</v>
      </c>
      <c r="E720">
        <f>VLOOKUP(D720,L$2:M$8,2,FALSE)</f>
        <v>0</v>
      </c>
      <c r="F720">
        <f t="shared" si="33"/>
        <v>1</v>
      </c>
      <c r="G720">
        <f>IF(F720&gt;F719,G719+B720*E720,B720*E720)</f>
        <v>0</v>
      </c>
      <c r="H720">
        <f t="shared" si="34"/>
        <v>0</v>
      </c>
      <c r="I720">
        <f t="shared" si="35"/>
        <v>5.454226666666667</v>
      </c>
    </row>
    <row r="721" spans="1:9">
      <c r="A721" s="1">
        <v>39766</v>
      </c>
      <c r="B721">
        <v>5.4948699999999997</v>
      </c>
      <c r="C721">
        <v>5.9649999999999999</v>
      </c>
      <c r="D721">
        <f>WEEKDAY(A721,14)</f>
        <v>2</v>
      </c>
      <c r="E721">
        <f>VLOOKUP(D721,L$2:M$8,2,FALSE)</f>
        <v>0</v>
      </c>
      <c r="F721">
        <f t="shared" si="33"/>
        <v>2</v>
      </c>
      <c r="G721">
        <f>IF(F721&gt;F720,G720+B721*E721,B721*E721)</f>
        <v>0</v>
      </c>
      <c r="H721">
        <f t="shared" si="34"/>
        <v>0</v>
      </c>
      <c r="I721">
        <f t="shared" si="35"/>
        <v>0</v>
      </c>
    </row>
    <row r="722" spans="1:9">
      <c r="A722" s="1">
        <v>39769</v>
      </c>
      <c r="B722">
        <v>5.54453</v>
      </c>
      <c r="C722">
        <v>5.9649999999999999</v>
      </c>
      <c r="D722">
        <f>WEEKDAY(A722,14)</f>
        <v>5</v>
      </c>
      <c r="E722">
        <f>VLOOKUP(D722,L$2:M$8,2,FALSE)</f>
        <v>0.05</v>
      </c>
      <c r="F722">
        <f t="shared" si="33"/>
        <v>3</v>
      </c>
      <c r="G722">
        <f>IF(F722&gt;F721,G721+B722*E722,B722*E722)</f>
        <v>0.27722649999999999</v>
      </c>
      <c r="H722">
        <f t="shared" si="34"/>
        <v>0.05</v>
      </c>
      <c r="I722">
        <f t="shared" si="35"/>
        <v>0</v>
      </c>
    </row>
    <row r="723" spans="1:9">
      <c r="A723" s="1">
        <v>39770</v>
      </c>
      <c r="B723">
        <v>5.4702000000000002</v>
      </c>
      <c r="C723">
        <v>5.9649999999999999</v>
      </c>
      <c r="D723">
        <f>WEEKDAY(A723,14)</f>
        <v>6</v>
      </c>
      <c r="E723">
        <f>VLOOKUP(D723,L$2:M$8,2,FALSE)</f>
        <v>0.7</v>
      </c>
      <c r="F723">
        <f t="shared" si="33"/>
        <v>4</v>
      </c>
      <c r="G723">
        <f>IF(F723&gt;F722,G722+B723*E723,B723*E723)</f>
        <v>4.1063665</v>
      </c>
      <c r="H723">
        <f t="shared" si="34"/>
        <v>0.75</v>
      </c>
      <c r="I723">
        <f t="shared" si="35"/>
        <v>0</v>
      </c>
    </row>
    <row r="724" spans="1:9">
      <c r="A724" s="1">
        <v>39771</v>
      </c>
      <c r="B724">
        <v>5.4594800000000001</v>
      </c>
      <c r="C724">
        <v>5.8949999999999996</v>
      </c>
      <c r="D724">
        <f>WEEKDAY(A724,14)</f>
        <v>7</v>
      </c>
      <c r="E724">
        <f>VLOOKUP(D724,L$2:M$8,2,FALSE)</f>
        <v>0.25</v>
      </c>
      <c r="F724">
        <f t="shared" si="33"/>
        <v>5</v>
      </c>
      <c r="G724">
        <f>IF(F724&gt;F723,G723+B724*E724,B724*E724)</f>
        <v>5.4712364999999998</v>
      </c>
      <c r="H724">
        <f t="shared" si="34"/>
        <v>1</v>
      </c>
      <c r="I724">
        <f t="shared" si="35"/>
        <v>0</v>
      </c>
    </row>
    <row r="725" spans="1:9">
      <c r="A725" s="1">
        <v>39772</v>
      </c>
      <c r="B725">
        <v>5.4078200000000001</v>
      </c>
      <c r="C725">
        <v>5.8949999999999996</v>
      </c>
      <c r="D725">
        <f>WEEKDAY(A725,14)</f>
        <v>1</v>
      </c>
      <c r="E725">
        <f>VLOOKUP(D725,L$2:M$8,2,FALSE)</f>
        <v>0</v>
      </c>
      <c r="F725">
        <f t="shared" si="33"/>
        <v>1</v>
      </c>
      <c r="G725">
        <f>IF(F725&gt;F724,G724+B725*E725,B725*E725)</f>
        <v>0</v>
      </c>
      <c r="H725">
        <f t="shared" si="34"/>
        <v>0</v>
      </c>
      <c r="I725">
        <f t="shared" si="35"/>
        <v>5.4712364999999998</v>
      </c>
    </row>
    <row r="726" spans="1:9">
      <c r="A726" s="1">
        <v>39773</v>
      </c>
      <c r="B726">
        <v>5.35168</v>
      </c>
      <c r="C726">
        <v>5.8949999999999996</v>
      </c>
      <c r="D726">
        <f>WEEKDAY(A726,14)</f>
        <v>2</v>
      </c>
      <c r="E726">
        <f>VLOOKUP(D726,L$2:M$8,2,FALSE)</f>
        <v>0</v>
      </c>
      <c r="F726">
        <f t="shared" si="33"/>
        <v>2</v>
      </c>
      <c r="G726">
        <f>IF(F726&gt;F725,G725+B726*E726,B726*E726)</f>
        <v>0</v>
      </c>
      <c r="H726">
        <f t="shared" si="34"/>
        <v>0</v>
      </c>
      <c r="I726">
        <f t="shared" si="35"/>
        <v>0</v>
      </c>
    </row>
    <row r="727" spans="1:9">
      <c r="A727" s="1">
        <v>39776</v>
      </c>
      <c r="B727">
        <v>5.34056</v>
      </c>
      <c r="C727">
        <v>5.8949999999999996</v>
      </c>
      <c r="D727">
        <f>WEEKDAY(A727,14)</f>
        <v>5</v>
      </c>
      <c r="E727">
        <f>VLOOKUP(D727,L$2:M$8,2,FALSE)</f>
        <v>0.05</v>
      </c>
      <c r="F727">
        <f t="shared" si="33"/>
        <v>3</v>
      </c>
      <c r="G727">
        <f>IF(F727&gt;F726,G726+B727*E727,B727*E727)</f>
        <v>0.26702799999999999</v>
      </c>
      <c r="H727">
        <f t="shared" si="34"/>
        <v>0.05</v>
      </c>
      <c r="I727">
        <f t="shared" si="35"/>
        <v>0</v>
      </c>
    </row>
    <row r="728" spans="1:9">
      <c r="A728" s="1">
        <v>39777</v>
      </c>
      <c r="B728">
        <v>4.75014</v>
      </c>
      <c r="C728">
        <v>5.8949999999999996</v>
      </c>
      <c r="D728">
        <f>WEEKDAY(A728,14)</f>
        <v>6</v>
      </c>
      <c r="E728">
        <f>VLOOKUP(D728,L$2:M$8,2,FALSE)</f>
        <v>0.7</v>
      </c>
      <c r="F728">
        <f t="shared" si="33"/>
        <v>4</v>
      </c>
      <c r="G728">
        <f>IF(F728&gt;F727,G727+B728*E728,B728*E728)</f>
        <v>3.5921259999999995</v>
      </c>
      <c r="H728">
        <f t="shared" si="34"/>
        <v>0.75</v>
      </c>
      <c r="I728">
        <f t="shared" si="35"/>
        <v>0</v>
      </c>
    </row>
    <row r="729" spans="1:9">
      <c r="A729" s="1">
        <v>39778</v>
      </c>
      <c r="B729">
        <v>4.7660400000000003</v>
      </c>
      <c r="C729">
        <v>5.8949999999999996</v>
      </c>
      <c r="D729">
        <f>WEEKDAY(A729,14)</f>
        <v>7</v>
      </c>
      <c r="E729">
        <f>VLOOKUP(D729,L$2:M$8,2,FALSE)</f>
        <v>0.25</v>
      </c>
      <c r="F729">
        <f t="shared" si="33"/>
        <v>5</v>
      </c>
      <c r="G729">
        <f>IF(F729&gt;F728,G728+B729*E729,B729*E729)</f>
        <v>4.7836359999999996</v>
      </c>
      <c r="H729">
        <f t="shared" si="34"/>
        <v>1</v>
      </c>
      <c r="I729">
        <f t="shared" si="35"/>
        <v>0</v>
      </c>
    </row>
    <row r="730" spans="1:9">
      <c r="A730" s="1">
        <v>39780</v>
      </c>
      <c r="B730">
        <v>4.8293699999999999</v>
      </c>
      <c r="C730">
        <v>5.4550000000000001</v>
      </c>
      <c r="D730">
        <f>WEEKDAY(A730,14)</f>
        <v>2</v>
      </c>
      <c r="E730">
        <f>VLOOKUP(D730,L$2:M$8,2,FALSE)</f>
        <v>0</v>
      </c>
      <c r="F730">
        <f t="shared" si="33"/>
        <v>1</v>
      </c>
      <c r="G730">
        <f>IF(F730&gt;F729,G729+B730*E730,B730*E730)</f>
        <v>0</v>
      </c>
      <c r="H730">
        <f t="shared" si="34"/>
        <v>0</v>
      </c>
      <c r="I730">
        <f t="shared" si="35"/>
        <v>4.7836359999999996</v>
      </c>
    </row>
    <row r="731" spans="1:9">
      <c r="A731" s="1">
        <v>39783</v>
      </c>
      <c r="B731">
        <v>4.6018999999999997</v>
      </c>
      <c r="C731">
        <v>5.4550000000000001</v>
      </c>
      <c r="D731">
        <f>WEEKDAY(A731,14)</f>
        <v>5</v>
      </c>
      <c r="E731">
        <f>VLOOKUP(D731,L$2:M$8,2,FALSE)</f>
        <v>0.05</v>
      </c>
      <c r="F731">
        <f t="shared" si="33"/>
        <v>2</v>
      </c>
      <c r="G731">
        <f>IF(F731&gt;F730,G730+B731*E731,B731*E731)</f>
        <v>0.23009499999999999</v>
      </c>
      <c r="H731">
        <f t="shared" si="34"/>
        <v>0.05</v>
      </c>
      <c r="I731">
        <f t="shared" si="35"/>
        <v>0</v>
      </c>
    </row>
    <row r="732" spans="1:9">
      <c r="A732" s="1">
        <v>39784</v>
      </c>
      <c r="B732">
        <v>4.6502800000000004</v>
      </c>
      <c r="C732">
        <v>5.4550000000000001</v>
      </c>
      <c r="D732">
        <f>WEEKDAY(A732,14)</f>
        <v>6</v>
      </c>
      <c r="E732">
        <f>VLOOKUP(D732,L$2:M$8,2,FALSE)</f>
        <v>0.7</v>
      </c>
      <c r="F732">
        <f t="shared" si="33"/>
        <v>3</v>
      </c>
      <c r="G732">
        <f>IF(F732&gt;F731,G731+B732*E732,B732*E732)</f>
        <v>3.4852910000000001</v>
      </c>
      <c r="H732">
        <f t="shared" si="34"/>
        <v>0.75</v>
      </c>
      <c r="I732">
        <f t="shared" si="35"/>
        <v>0</v>
      </c>
    </row>
    <row r="733" spans="1:9">
      <c r="A733" s="1">
        <v>39785</v>
      </c>
      <c r="B733">
        <v>4.5625900000000001</v>
      </c>
      <c r="C733">
        <v>5.4550000000000001</v>
      </c>
      <c r="D733">
        <f>WEEKDAY(A733,14)</f>
        <v>7</v>
      </c>
      <c r="E733">
        <f>VLOOKUP(D733,L$2:M$8,2,FALSE)</f>
        <v>0.25</v>
      </c>
      <c r="F733">
        <f t="shared" si="33"/>
        <v>4</v>
      </c>
      <c r="G733">
        <f>IF(F733&gt;F732,G732+B733*E733,B733*E733)</f>
        <v>4.6259385000000002</v>
      </c>
      <c r="H733">
        <f t="shared" si="34"/>
        <v>1</v>
      </c>
      <c r="I733">
        <f t="shared" si="35"/>
        <v>0</v>
      </c>
    </row>
    <row r="734" spans="1:9">
      <c r="A734" s="1">
        <v>39786</v>
      </c>
      <c r="B734">
        <v>4.4886400000000002</v>
      </c>
      <c r="C734">
        <v>5.3949999999999996</v>
      </c>
      <c r="D734">
        <f>WEEKDAY(A734,14)</f>
        <v>1</v>
      </c>
      <c r="E734">
        <f>VLOOKUP(D734,L$2:M$8,2,FALSE)</f>
        <v>0</v>
      </c>
      <c r="F734">
        <f t="shared" si="33"/>
        <v>1</v>
      </c>
      <c r="G734">
        <f>IF(F734&gt;F733,G733+B734*E734,B734*E734)</f>
        <v>0</v>
      </c>
      <c r="H734">
        <f t="shared" si="34"/>
        <v>0</v>
      </c>
      <c r="I734">
        <f t="shared" si="35"/>
        <v>4.6259385000000002</v>
      </c>
    </row>
    <row r="735" spans="1:9">
      <c r="A735" s="1">
        <v>39787</v>
      </c>
      <c r="B735">
        <v>4.72506</v>
      </c>
      <c r="C735">
        <v>5.3949999999999996</v>
      </c>
      <c r="D735">
        <f>WEEKDAY(A735,14)</f>
        <v>2</v>
      </c>
      <c r="E735">
        <f>VLOOKUP(D735,L$2:M$8,2,FALSE)</f>
        <v>0</v>
      </c>
      <c r="F735">
        <f t="shared" si="33"/>
        <v>2</v>
      </c>
      <c r="G735">
        <f>IF(F735&gt;F734,G734+B735*E735,B735*E735)</f>
        <v>0</v>
      </c>
      <c r="H735">
        <f t="shared" si="34"/>
        <v>0</v>
      </c>
      <c r="I735">
        <f t="shared" si="35"/>
        <v>0</v>
      </c>
    </row>
    <row r="736" spans="1:9">
      <c r="A736" s="1">
        <v>39790</v>
      </c>
      <c r="B736">
        <v>4.7061200000000003</v>
      </c>
      <c r="C736">
        <v>5.3949999999999996</v>
      </c>
      <c r="D736">
        <f>WEEKDAY(A736,14)</f>
        <v>5</v>
      </c>
      <c r="E736">
        <f>VLOOKUP(D736,L$2:M$8,2,FALSE)</f>
        <v>0.05</v>
      </c>
      <c r="F736">
        <f t="shared" si="33"/>
        <v>3</v>
      </c>
      <c r="G736">
        <f>IF(F736&gt;F735,G735+B736*E736,B736*E736)</f>
        <v>0.23530600000000002</v>
      </c>
      <c r="H736">
        <f t="shared" si="34"/>
        <v>0.05</v>
      </c>
      <c r="I736">
        <f t="shared" si="35"/>
        <v>0</v>
      </c>
    </row>
    <row r="737" spans="1:9">
      <c r="A737" s="1">
        <v>39791</v>
      </c>
      <c r="B737">
        <v>4.52121</v>
      </c>
      <c r="C737">
        <v>5.3949999999999996</v>
      </c>
      <c r="D737">
        <f>WEEKDAY(A737,14)</f>
        <v>6</v>
      </c>
      <c r="E737">
        <f>VLOOKUP(D737,L$2:M$8,2,FALSE)</f>
        <v>0.7</v>
      </c>
      <c r="F737">
        <f t="shared" si="33"/>
        <v>4</v>
      </c>
      <c r="G737">
        <f>IF(F737&gt;F736,G736+B737*E737,B737*E737)</f>
        <v>3.400153</v>
      </c>
      <c r="H737">
        <f t="shared" si="34"/>
        <v>0.75</v>
      </c>
      <c r="I737">
        <f t="shared" si="35"/>
        <v>0</v>
      </c>
    </row>
    <row r="738" spans="1:9">
      <c r="A738" s="1">
        <v>39792</v>
      </c>
      <c r="B738">
        <v>4.3573700000000004</v>
      </c>
      <c r="C738">
        <v>5.3949999999999996</v>
      </c>
      <c r="D738">
        <f>WEEKDAY(A738,14)</f>
        <v>7</v>
      </c>
      <c r="E738">
        <f>VLOOKUP(D738,L$2:M$8,2,FALSE)</f>
        <v>0.25</v>
      </c>
      <c r="F738">
        <f t="shared" si="33"/>
        <v>5</v>
      </c>
      <c r="G738">
        <f>IF(F738&gt;F737,G737+B738*E738,B738*E738)</f>
        <v>4.4894955000000003</v>
      </c>
      <c r="H738">
        <f t="shared" si="34"/>
        <v>1</v>
      </c>
      <c r="I738">
        <f t="shared" si="35"/>
        <v>0</v>
      </c>
    </row>
    <row r="739" spans="1:9">
      <c r="A739" s="1">
        <v>39793</v>
      </c>
      <c r="B739">
        <v>4.1133600000000001</v>
      </c>
      <c r="C739">
        <v>5.1150000000000002</v>
      </c>
      <c r="D739">
        <f>WEEKDAY(A739,14)</f>
        <v>1</v>
      </c>
      <c r="E739">
        <f>VLOOKUP(D739,L$2:M$8,2,FALSE)</f>
        <v>0</v>
      </c>
      <c r="F739">
        <f t="shared" si="33"/>
        <v>1</v>
      </c>
      <c r="G739">
        <f>IF(F739&gt;F738,G738+B739*E739,B739*E739)</f>
        <v>0</v>
      </c>
      <c r="H739">
        <f t="shared" si="34"/>
        <v>0</v>
      </c>
      <c r="I739">
        <f t="shared" si="35"/>
        <v>4.4894955000000003</v>
      </c>
    </row>
    <row r="740" spans="1:9">
      <c r="A740" s="1">
        <v>39794</v>
      </c>
      <c r="B740">
        <v>4.1081399999999997</v>
      </c>
      <c r="C740">
        <v>5.1150000000000002</v>
      </c>
      <c r="D740">
        <f>WEEKDAY(A740,14)</f>
        <v>2</v>
      </c>
      <c r="E740">
        <f>VLOOKUP(D740,L$2:M$8,2,FALSE)</f>
        <v>0</v>
      </c>
      <c r="F740">
        <f t="shared" si="33"/>
        <v>2</v>
      </c>
      <c r="G740">
        <f>IF(F740&gt;F739,G739+B740*E740,B740*E740)</f>
        <v>0</v>
      </c>
      <c r="H740">
        <f t="shared" si="34"/>
        <v>0</v>
      </c>
      <c r="I740">
        <f t="shared" si="35"/>
        <v>0</v>
      </c>
    </row>
    <row r="741" spans="1:9">
      <c r="A741" s="1">
        <v>39797</v>
      </c>
      <c r="B741">
        <v>4.1355000000000004</v>
      </c>
      <c r="C741">
        <v>5.1150000000000002</v>
      </c>
      <c r="D741">
        <f>WEEKDAY(A741,14)</f>
        <v>5</v>
      </c>
      <c r="E741">
        <f>VLOOKUP(D741,L$2:M$8,2,FALSE)</f>
        <v>0.05</v>
      </c>
      <c r="F741">
        <f t="shared" si="33"/>
        <v>3</v>
      </c>
      <c r="G741">
        <f>IF(F741&gt;F740,G740+B741*E741,B741*E741)</f>
        <v>0.20677500000000004</v>
      </c>
      <c r="H741">
        <f t="shared" si="34"/>
        <v>0.05</v>
      </c>
      <c r="I741">
        <f t="shared" si="35"/>
        <v>0</v>
      </c>
    </row>
    <row r="742" spans="1:9">
      <c r="A742" s="1">
        <v>39798</v>
      </c>
      <c r="B742">
        <v>3.9807100000000002</v>
      </c>
      <c r="C742">
        <v>5.1150000000000002</v>
      </c>
      <c r="D742">
        <f>WEEKDAY(A742,14)</f>
        <v>6</v>
      </c>
      <c r="E742">
        <f>VLOOKUP(D742,L$2:M$8,2,FALSE)</f>
        <v>0.7</v>
      </c>
      <c r="F742">
        <f t="shared" si="33"/>
        <v>4</v>
      </c>
      <c r="G742">
        <f>IF(F742&gt;F741,G741+B742*E742,B742*E742)</f>
        <v>2.9932719999999997</v>
      </c>
      <c r="H742">
        <f t="shared" si="34"/>
        <v>0.75</v>
      </c>
      <c r="I742">
        <f t="shared" si="35"/>
        <v>0</v>
      </c>
    </row>
    <row r="743" spans="1:9">
      <c r="A743" s="1">
        <v>39799</v>
      </c>
      <c r="B743">
        <v>3.79209</v>
      </c>
      <c r="C743">
        <v>5.09</v>
      </c>
      <c r="D743">
        <f>WEEKDAY(A743,14)</f>
        <v>7</v>
      </c>
      <c r="E743">
        <f>VLOOKUP(D743,L$2:M$8,2,FALSE)</f>
        <v>0.25</v>
      </c>
      <c r="F743">
        <f t="shared" si="33"/>
        <v>5</v>
      </c>
      <c r="G743">
        <f>IF(F743&gt;F742,G742+B743*E743,B743*E743)</f>
        <v>3.9412944999999997</v>
      </c>
      <c r="H743">
        <f t="shared" si="34"/>
        <v>1</v>
      </c>
      <c r="I743">
        <f t="shared" si="35"/>
        <v>0</v>
      </c>
    </row>
    <row r="744" spans="1:9">
      <c r="A744" s="1">
        <v>39800</v>
      </c>
      <c r="B744">
        <v>3.7729200000000001</v>
      </c>
      <c r="C744">
        <v>5.09</v>
      </c>
      <c r="D744">
        <f>WEEKDAY(A744,14)</f>
        <v>1</v>
      </c>
      <c r="E744">
        <f>VLOOKUP(D744,L$2:M$8,2,FALSE)</f>
        <v>0</v>
      </c>
      <c r="F744">
        <f t="shared" si="33"/>
        <v>1</v>
      </c>
      <c r="G744">
        <f>IF(F744&gt;F743,G743+B744*E744,B744*E744)</f>
        <v>0</v>
      </c>
      <c r="H744">
        <f t="shared" si="34"/>
        <v>0</v>
      </c>
      <c r="I744">
        <f t="shared" si="35"/>
        <v>3.9412944999999997</v>
      </c>
    </row>
    <row r="745" spans="1:9">
      <c r="A745" s="1">
        <v>39801</v>
      </c>
      <c r="B745">
        <v>3.79982</v>
      </c>
      <c r="C745">
        <v>5.09</v>
      </c>
      <c r="D745">
        <f>WEEKDAY(A745,14)</f>
        <v>2</v>
      </c>
      <c r="E745">
        <f>VLOOKUP(D745,L$2:M$8,2,FALSE)</f>
        <v>0</v>
      </c>
      <c r="F745">
        <f t="shared" si="33"/>
        <v>2</v>
      </c>
      <c r="G745">
        <f>IF(F745&gt;F744,G744+B745*E745,B745*E745)</f>
        <v>0</v>
      </c>
      <c r="H745">
        <f t="shared" si="34"/>
        <v>0</v>
      </c>
      <c r="I745">
        <f t="shared" si="35"/>
        <v>0</v>
      </c>
    </row>
    <row r="746" spans="1:9">
      <c r="A746" s="1">
        <v>39804</v>
      </c>
      <c r="B746">
        <v>4.0362799999999996</v>
      </c>
      <c r="C746">
        <v>5.09</v>
      </c>
      <c r="D746">
        <f>WEEKDAY(A746,14)</f>
        <v>5</v>
      </c>
      <c r="E746">
        <f>VLOOKUP(D746,L$2:M$8,2,FALSE)</f>
        <v>0.05</v>
      </c>
      <c r="F746">
        <f t="shared" si="33"/>
        <v>3</v>
      </c>
      <c r="G746">
        <f>IF(F746&gt;F745,G745+B746*E746,B746*E746)</f>
        <v>0.20181399999999999</v>
      </c>
      <c r="H746">
        <f t="shared" si="34"/>
        <v>0.05</v>
      </c>
      <c r="I746">
        <f t="shared" si="35"/>
        <v>0</v>
      </c>
    </row>
    <row r="747" spans="1:9">
      <c r="A747" s="1">
        <v>39805</v>
      </c>
      <c r="B747">
        <v>4.1033600000000003</v>
      </c>
      <c r="C747">
        <v>5.09</v>
      </c>
      <c r="D747">
        <f>WEEKDAY(A747,14)</f>
        <v>6</v>
      </c>
      <c r="E747">
        <f>VLOOKUP(D747,L$2:M$8,2,FALSE)</f>
        <v>0.7</v>
      </c>
      <c r="F747">
        <f t="shared" si="33"/>
        <v>4</v>
      </c>
      <c r="G747">
        <f>IF(F747&gt;F746,G746+B747*E747,B747*E747)</f>
        <v>3.0741660000000004</v>
      </c>
      <c r="H747">
        <f t="shared" si="34"/>
        <v>0.75</v>
      </c>
      <c r="I747">
        <f t="shared" si="35"/>
        <v>0</v>
      </c>
    </row>
    <row r="748" spans="1:9">
      <c r="A748" s="1">
        <v>39806</v>
      </c>
      <c r="B748">
        <v>4.0055300000000003</v>
      </c>
      <c r="C748">
        <v>5.09</v>
      </c>
      <c r="D748">
        <f>WEEKDAY(A748,14)</f>
        <v>7</v>
      </c>
      <c r="E748">
        <f>VLOOKUP(D748,L$2:M$8,2,FALSE)</f>
        <v>0.25</v>
      </c>
      <c r="F748">
        <f t="shared" si="33"/>
        <v>5</v>
      </c>
      <c r="G748">
        <f>IF(F748&gt;F747,G747+B748*E748,B748*E748)</f>
        <v>4.0755485</v>
      </c>
      <c r="H748">
        <f t="shared" si="34"/>
        <v>1</v>
      </c>
      <c r="I748">
        <f t="shared" si="35"/>
        <v>0</v>
      </c>
    </row>
    <row r="749" spans="1:9">
      <c r="A749" s="1">
        <v>39808</v>
      </c>
      <c r="B749">
        <v>3.8728899999999999</v>
      </c>
      <c r="C749">
        <v>5.0250000000000004</v>
      </c>
      <c r="D749">
        <f>WEEKDAY(A749,14)</f>
        <v>2</v>
      </c>
      <c r="E749">
        <f>VLOOKUP(D749,L$2:M$8,2,FALSE)</f>
        <v>0</v>
      </c>
      <c r="F749">
        <f t="shared" si="33"/>
        <v>1</v>
      </c>
      <c r="G749">
        <f>IF(F749&gt;F748,G748+B749*E749,B749*E749)</f>
        <v>0</v>
      </c>
      <c r="H749">
        <f t="shared" si="34"/>
        <v>0</v>
      </c>
      <c r="I749">
        <f t="shared" si="35"/>
        <v>4.0755485</v>
      </c>
    </row>
    <row r="750" spans="1:9">
      <c r="A750" s="1">
        <v>39811</v>
      </c>
      <c r="B750">
        <v>3.7522799999999998</v>
      </c>
      <c r="C750">
        <v>5.0250000000000004</v>
      </c>
      <c r="D750">
        <f>WEEKDAY(A750,14)</f>
        <v>5</v>
      </c>
      <c r="E750">
        <f>VLOOKUP(D750,L$2:M$8,2,FALSE)</f>
        <v>0.05</v>
      </c>
      <c r="F750">
        <f t="shared" si="33"/>
        <v>2</v>
      </c>
      <c r="G750">
        <f>IF(F750&gt;F749,G749+B750*E750,B750*E750)</f>
        <v>0.187614</v>
      </c>
      <c r="H750">
        <f t="shared" si="34"/>
        <v>0.05</v>
      </c>
      <c r="I750">
        <f t="shared" si="35"/>
        <v>0</v>
      </c>
    </row>
    <row r="751" spans="1:9">
      <c r="A751" s="1">
        <v>39812</v>
      </c>
      <c r="B751">
        <v>3.8924599999999998</v>
      </c>
      <c r="C751">
        <v>5.0250000000000004</v>
      </c>
      <c r="D751">
        <f>WEEKDAY(A751,14)</f>
        <v>6</v>
      </c>
      <c r="E751">
        <f>VLOOKUP(D751,L$2:M$8,2,FALSE)</f>
        <v>0.7</v>
      </c>
      <c r="F751">
        <f t="shared" si="33"/>
        <v>3</v>
      </c>
      <c r="G751">
        <f>IF(F751&gt;F750,G750+B751*E751,B751*E751)</f>
        <v>2.9123359999999998</v>
      </c>
      <c r="H751">
        <f t="shared" si="34"/>
        <v>0.75</v>
      </c>
      <c r="I751">
        <f t="shared" si="35"/>
        <v>0</v>
      </c>
    </row>
    <row r="752" spans="1:9">
      <c r="A752" s="1">
        <v>39813</v>
      </c>
      <c r="B752">
        <v>4.0070800000000002</v>
      </c>
      <c r="C752">
        <v>5.0250000000000004</v>
      </c>
      <c r="D752">
        <f>WEEKDAY(A752,14)</f>
        <v>7</v>
      </c>
      <c r="E752">
        <f>VLOOKUP(D752,L$2:M$8,2,FALSE)</f>
        <v>0.25</v>
      </c>
      <c r="F752">
        <f t="shared" si="33"/>
        <v>4</v>
      </c>
      <c r="G752">
        <f>IF(F752&gt;F751,G751+B752*E752,B752*E752)</f>
        <v>3.9141059999999999</v>
      </c>
      <c r="H752">
        <f t="shared" si="34"/>
        <v>1</v>
      </c>
      <c r="I752">
        <f t="shared" si="35"/>
        <v>0</v>
      </c>
    </row>
    <row r="753" spans="1:9">
      <c r="A753" s="1">
        <v>39815</v>
      </c>
      <c r="B753">
        <v>3.6329600000000002</v>
      </c>
      <c r="C753">
        <v>4.91</v>
      </c>
      <c r="D753">
        <f>WEEKDAY(A753,14)</f>
        <v>2</v>
      </c>
      <c r="E753">
        <f>VLOOKUP(D753,L$2:M$8,2,FALSE)</f>
        <v>0</v>
      </c>
      <c r="F753">
        <f t="shared" si="33"/>
        <v>1</v>
      </c>
      <c r="G753">
        <f>IF(F753&gt;F752,G752+B753*E753,B753*E753)</f>
        <v>0</v>
      </c>
      <c r="H753">
        <f t="shared" si="34"/>
        <v>0</v>
      </c>
      <c r="I753">
        <f t="shared" si="35"/>
        <v>3.9141059999999999</v>
      </c>
    </row>
    <row r="754" spans="1:9">
      <c r="A754" s="1">
        <v>39818</v>
      </c>
      <c r="B754">
        <v>4.0692199999999996</v>
      </c>
      <c r="C754">
        <v>4.91</v>
      </c>
      <c r="D754">
        <f>WEEKDAY(A754,14)</f>
        <v>5</v>
      </c>
      <c r="E754">
        <f>VLOOKUP(D754,L$2:M$8,2,FALSE)</f>
        <v>0.05</v>
      </c>
      <c r="F754">
        <f t="shared" si="33"/>
        <v>2</v>
      </c>
      <c r="G754">
        <f>IF(F754&gt;F753,G753+B754*E754,B754*E754)</f>
        <v>0.203461</v>
      </c>
      <c r="H754">
        <f t="shared" si="34"/>
        <v>0.05</v>
      </c>
      <c r="I754">
        <f t="shared" si="35"/>
        <v>0</v>
      </c>
    </row>
    <row r="755" spans="1:9">
      <c r="A755" s="1">
        <v>39819</v>
      </c>
      <c r="B755">
        <v>3.6051700000000002</v>
      </c>
      <c r="C755">
        <v>4.91</v>
      </c>
      <c r="D755">
        <f>WEEKDAY(A755,14)</f>
        <v>6</v>
      </c>
      <c r="E755">
        <f>VLOOKUP(D755,L$2:M$8,2,FALSE)</f>
        <v>0.7</v>
      </c>
      <c r="F755">
        <f t="shared" si="33"/>
        <v>3</v>
      </c>
      <c r="G755">
        <f>IF(F755&gt;F754,G754+B755*E755,B755*E755)</f>
        <v>2.7270799999999999</v>
      </c>
      <c r="H755">
        <f t="shared" si="34"/>
        <v>0.75</v>
      </c>
      <c r="I755">
        <f t="shared" si="35"/>
        <v>0</v>
      </c>
    </row>
    <row r="756" spans="1:9">
      <c r="A756" s="1">
        <v>39820</v>
      </c>
      <c r="B756">
        <v>3.6011899999999999</v>
      </c>
      <c r="C756">
        <v>4.91</v>
      </c>
      <c r="D756">
        <f>WEEKDAY(A756,14)</f>
        <v>7</v>
      </c>
      <c r="E756">
        <f>VLOOKUP(D756,L$2:M$8,2,FALSE)</f>
        <v>0.25</v>
      </c>
      <c r="F756">
        <f t="shared" si="33"/>
        <v>4</v>
      </c>
      <c r="G756">
        <f>IF(F756&gt;F755,G755+B756*E756,B756*E756)</f>
        <v>3.6273774999999997</v>
      </c>
      <c r="H756">
        <f t="shared" si="34"/>
        <v>1</v>
      </c>
      <c r="I756">
        <f t="shared" si="35"/>
        <v>0</v>
      </c>
    </row>
    <row r="757" spans="1:9">
      <c r="A757" s="1">
        <v>39821</v>
      </c>
      <c r="B757">
        <v>3.72187</v>
      </c>
      <c r="C757">
        <v>4.8849999999999998</v>
      </c>
      <c r="D757">
        <f>WEEKDAY(A757,14)</f>
        <v>1</v>
      </c>
      <c r="E757">
        <f>VLOOKUP(D757,L$2:M$8,2,FALSE)</f>
        <v>0</v>
      </c>
      <c r="F757">
        <f t="shared" si="33"/>
        <v>1</v>
      </c>
      <c r="G757">
        <f>IF(F757&gt;F756,G756+B757*E757,B757*E757)</f>
        <v>0</v>
      </c>
      <c r="H757">
        <f t="shared" si="34"/>
        <v>0</v>
      </c>
      <c r="I757">
        <f t="shared" si="35"/>
        <v>3.6273774999999997</v>
      </c>
    </row>
    <row r="758" spans="1:9">
      <c r="A758" s="1">
        <v>39822</v>
      </c>
      <c r="B758">
        <v>3.8124899999999999</v>
      </c>
      <c r="C758">
        <v>4.8849999999999998</v>
      </c>
      <c r="D758">
        <f>WEEKDAY(A758,14)</f>
        <v>2</v>
      </c>
      <c r="E758">
        <f>VLOOKUP(D758,L$2:M$8,2,FALSE)</f>
        <v>0</v>
      </c>
      <c r="F758">
        <f t="shared" si="33"/>
        <v>2</v>
      </c>
      <c r="G758">
        <f>IF(F758&gt;F757,G757+B758*E758,B758*E758)</f>
        <v>0</v>
      </c>
      <c r="H758">
        <f t="shared" si="34"/>
        <v>0</v>
      </c>
      <c r="I758">
        <f t="shared" si="35"/>
        <v>0</v>
      </c>
    </row>
    <row r="759" spans="1:9">
      <c r="A759" s="1">
        <v>39825</v>
      </c>
      <c r="B759">
        <v>3.7958500000000002</v>
      </c>
      <c r="C759">
        <v>4.8849999999999998</v>
      </c>
      <c r="D759">
        <f>WEEKDAY(A759,14)</f>
        <v>5</v>
      </c>
      <c r="E759">
        <f>VLOOKUP(D759,L$2:M$8,2,FALSE)</f>
        <v>0.05</v>
      </c>
      <c r="F759">
        <f t="shared" si="33"/>
        <v>3</v>
      </c>
      <c r="G759">
        <f>IF(F759&gt;F758,G758+B759*E759,B759*E759)</f>
        <v>0.18979250000000003</v>
      </c>
      <c r="H759">
        <f t="shared" si="34"/>
        <v>0.05</v>
      </c>
      <c r="I759">
        <f t="shared" si="35"/>
        <v>0</v>
      </c>
    </row>
    <row r="760" spans="1:9">
      <c r="A760" s="1">
        <v>39826</v>
      </c>
      <c r="B760">
        <v>3.7599100000000001</v>
      </c>
      <c r="C760">
        <v>4.8849999999999998</v>
      </c>
      <c r="D760">
        <f>WEEKDAY(A760,14)</f>
        <v>6</v>
      </c>
      <c r="E760">
        <f>VLOOKUP(D760,L$2:M$8,2,FALSE)</f>
        <v>0.7</v>
      </c>
      <c r="F760">
        <f t="shared" si="33"/>
        <v>4</v>
      </c>
      <c r="G760">
        <f>IF(F760&gt;F759,G759+B760*E760,B760*E760)</f>
        <v>2.8217295</v>
      </c>
      <c r="H760">
        <f t="shared" si="34"/>
        <v>0.75</v>
      </c>
      <c r="I760">
        <f t="shared" si="35"/>
        <v>0</v>
      </c>
    </row>
    <row r="761" spans="1:9">
      <c r="A761" s="1">
        <v>39827</v>
      </c>
      <c r="B761">
        <v>3.75495</v>
      </c>
      <c r="C761">
        <v>4.8849999999999998</v>
      </c>
      <c r="D761">
        <f>WEEKDAY(A761,14)</f>
        <v>7</v>
      </c>
      <c r="E761">
        <f>VLOOKUP(D761,L$2:M$8,2,FALSE)</f>
        <v>0.25</v>
      </c>
      <c r="F761">
        <f t="shared" si="33"/>
        <v>5</v>
      </c>
      <c r="G761">
        <f>IF(F761&gt;F760,G760+B761*E761,B761*E761)</f>
        <v>3.7604670000000002</v>
      </c>
      <c r="H761">
        <f t="shared" si="34"/>
        <v>1</v>
      </c>
      <c r="I761">
        <f t="shared" si="35"/>
        <v>0</v>
      </c>
    </row>
    <row r="762" spans="1:9">
      <c r="A762" s="1">
        <v>39828</v>
      </c>
      <c r="B762">
        <v>3.80857</v>
      </c>
      <c r="C762">
        <v>5.0449999999999999</v>
      </c>
      <c r="D762">
        <f>WEEKDAY(A762,14)</f>
        <v>1</v>
      </c>
      <c r="E762">
        <f>VLOOKUP(D762,L$2:M$8,2,FALSE)</f>
        <v>0</v>
      </c>
      <c r="F762">
        <f t="shared" si="33"/>
        <v>1</v>
      </c>
      <c r="G762">
        <f>IF(F762&gt;F761,G761+B762*E762,B762*E762)</f>
        <v>0</v>
      </c>
      <c r="H762">
        <f t="shared" si="34"/>
        <v>0</v>
      </c>
      <c r="I762">
        <f t="shared" si="35"/>
        <v>3.7604670000000002</v>
      </c>
    </row>
    <row r="763" spans="1:9">
      <c r="A763" s="1">
        <v>39829</v>
      </c>
      <c r="B763">
        <v>3.9130199999999999</v>
      </c>
      <c r="C763">
        <v>5.0449999999999999</v>
      </c>
      <c r="D763">
        <f>WEEKDAY(A763,14)</f>
        <v>2</v>
      </c>
      <c r="E763">
        <f>VLOOKUP(D763,L$2:M$8,2,FALSE)</f>
        <v>0</v>
      </c>
      <c r="F763">
        <f t="shared" si="33"/>
        <v>2</v>
      </c>
      <c r="G763">
        <f>IF(F763&gt;F762,G762+B763*E763,B763*E763)</f>
        <v>0</v>
      </c>
      <c r="H763">
        <f t="shared" si="34"/>
        <v>0</v>
      </c>
      <c r="I763">
        <f t="shared" si="35"/>
        <v>0</v>
      </c>
    </row>
    <row r="764" spans="1:9">
      <c r="A764" s="1">
        <v>39833</v>
      </c>
      <c r="B764">
        <v>3.9285399999999999</v>
      </c>
      <c r="C764">
        <v>5.0449999999999999</v>
      </c>
      <c r="D764">
        <f>WEEKDAY(A764,14)</f>
        <v>6</v>
      </c>
      <c r="E764">
        <f>VLOOKUP(D764,L$2:M$8,2,FALSE)</f>
        <v>0.7</v>
      </c>
      <c r="F764">
        <f t="shared" si="33"/>
        <v>3</v>
      </c>
      <c r="G764">
        <f>IF(F764&gt;F763,G763+B764*E764,B764*E764)</f>
        <v>2.7499779999999996</v>
      </c>
      <c r="H764">
        <f t="shared" si="34"/>
        <v>0.7</v>
      </c>
      <c r="I764">
        <f t="shared" si="35"/>
        <v>0</v>
      </c>
    </row>
    <row r="765" spans="1:9">
      <c r="A765" s="1">
        <v>39834</v>
      </c>
      <c r="B765">
        <v>4.0843600000000002</v>
      </c>
      <c r="C765">
        <v>5.0449999999999999</v>
      </c>
      <c r="D765">
        <f>WEEKDAY(A765,14)</f>
        <v>7</v>
      </c>
      <c r="E765">
        <f>VLOOKUP(D765,L$2:M$8,2,FALSE)</f>
        <v>0.25</v>
      </c>
      <c r="F765">
        <f t="shared" si="33"/>
        <v>4</v>
      </c>
      <c r="G765">
        <f>IF(F765&gt;F764,G764+B765*E765,B765*E765)</f>
        <v>3.7710679999999996</v>
      </c>
      <c r="H765">
        <f t="shared" si="34"/>
        <v>0.95</v>
      </c>
      <c r="I765">
        <f t="shared" si="35"/>
        <v>0</v>
      </c>
    </row>
    <row r="766" spans="1:9">
      <c r="A766" s="1">
        <v>39835</v>
      </c>
      <c r="B766">
        <v>4.05342</v>
      </c>
      <c r="C766">
        <v>5.0250000000000004</v>
      </c>
      <c r="D766">
        <f>WEEKDAY(A766,14)</f>
        <v>1</v>
      </c>
      <c r="E766">
        <f>VLOOKUP(D766,L$2:M$8,2,FALSE)</f>
        <v>0</v>
      </c>
      <c r="F766">
        <f t="shared" si="33"/>
        <v>1</v>
      </c>
      <c r="G766">
        <f>IF(F766&gt;F765,G765+B766*E766,B766*E766)</f>
        <v>0</v>
      </c>
      <c r="H766">
        <f t="shared" si="34"/>
        <v>0</v>
      </c>
      <c r="I766">
        <f t="shared" si="35"/>
        <v>3.9695452631578947</v>
      </c>
    </row>
    <row r="767" spans="1:9">
      <c r="A767" s="1">
        <v>39836</v>
      </c>
      <c r="B767">
        <v>4.0049299999999999</v>
      </c>
      <c r="C767">
        <v>5.0250000000000004</v>
      </c>
      <c r="D767">
        <f>WEEKDAY(A767,14)</f>
        <v>2</v>
      </c>
      <c r="E767">
        <f>VLOOKUP(D767,L$2:M$8,2,FALSE)</f>
        <v>0</v>
      </c>
      <c r="F767">
        <f t="shared" si="33"/>
        <v>2</v>
      </c>
      <c r="G767">
        <f>IF(F767&gt;F766,G766+B767*E767,B767*E767)</f>
        <v>0</v>
      </c>
      <c r="H767">
        <f t="shared" si="34"/>
        <v>0</v>
      </c>
      <c r="I767">
        <f t="shared" si="35"/>
        <v>0</v>
      </c>
    </row>
    <row r="768" spans="1:9">
      <c r="A768" s="1">
        <v>39839</v>
      </c>
      <c r="B768">
        <v>4.0208300000000001</v>
      </c>
      <c r="C768">
        <v>5.0250000000000004</v>
      </c>
      <c r="D768">
        <f>WEEKDAY(A768,14)</f>
        <v>5</v>
      </c>
      <c r="E768">
        <f>VLOOKUP(D768,L$2:M$8,2,FALSE)</f>
        <v>0.05</v>
      </c>
      <c r="F768">
        <f t="shared" si="33"/>
        <v>3</v>
      </c>
      <c r="G768">
        <f>IF(F768&gt;F767,G767+B768*E768,B768*E768)</f>
        <v>0.20104150000000001</v>
      </c>
      <c r="H768">
        <f t="shared" si="34"/>
        <v>0.05</v>
      </c>
      <c r="I768">
        <f t="shared" si="35"/>
        <v>0</v>
      </c>
    </row>
    <row r="769" spans="1:9">
      <c r="A769" s="1">
        <v>39840</v>
      </c>
      <c r="B769">
        <v>3.9132799999999999</v>
      </c>
      <c r="C769">
        <v>5.0250000000000004</v>
      </c>
      <c r="D769">
        <f>WEEKDAY(A769,14)</f>
        <v>6</v>
      </c>
      <c r="E769">
        <f>VLOOKUP(D769,L$2:M$8,2,FALSE)</f>
        <v>0.7</v>
      </c>
      <c r="F769">
        <f t="shared" si="33"/>
        <v>4</v>
      </c>
      <c r="G769">
        <f>IF(F769&gt;F768,G768+B769*E769,B769*E769)</f>
        <v>2.9403375</v>
      </c>
      <c r="H769">
        <f t="shared" si="34"/>
        <v>0.75</v>
      </c>
      <c r="I769">
        <f t="shared" si="35"/>
        <v>0</v>
      </c>
    </row>
    <row r="770" spans="1:9">
      <c r="A770" s="1">
        <v>39841</v>
      </c>
      <c r="B770">
        <v>4.0089800000000002</v>
      </c>
      <c r="C770">
        <v>5.0250000000000004</v>
      </c>
      <c r="D770">
        <f>WEEKDAY(A770,14)</f>
        <v>7</v>
      </c>
      <c r="E770">
        <f>VLOOKUP(D770,L$2:M$8,2,FALSE)</f>
        <v>0.25</v>
      </c>
      <c r="F770">
        <f t="shared" si="33"/>
        <v>5</v>
      </c>
      <c r="G770">
        <f>IF(F770&gt;F769,G769+B770*E770,B770*E770)</f>
        <v>3.9425825000000003</v>
      </c>
      <c r="H770">
        <f t="shared" si="34"/>
        <v>1</v>
      </c>
      <c r="I770">
        <f t="shared" si="35"/>
        <v>0</v>
      </c>
    </row>
    <row r="771" spans="1:9">
      <c r="A771" s="1">
        <v>39842</v>
      </c>
      <c r="B771">
        <v>4.2959100000000001</v>
      </c>
      <c r="C771">
        <v>5.2</v>
      </c>
      <c r="D771">
        <f>WEEKDAY(A771,14)</f>
        <v>1</v>
      </c>
      <c r="E771">
        <f>VLOOKUP(D771,L$2:M$8,2,FALSE)</f>
        <v>0</v>
      </c>
      <c r="F771">
        <f t="shared" ref="F771:F834" si="36">IF(AND(D771&gt;D770,F770&lt;6),F770+1,1)</f>
        <v>1</v>
      </c>
      <c r="G771">
        <f>IF(F771&gt;F770,G770+B771*E771,B771*E771)</f>
        <v>0</v>
      </c>
      <c r="H771">
        <f t="shared" si="34"/>
        <v>0</v>
      </c>
      <c r="I771">
        <f t="shared" si="35"/>
        <v>3.9425825000000003</v>
      </c>
    </row>
    <row r="772" spans="1:9">
      <c r="A772" s="1">
        <v>39843</v>
      </c>
      <c r="B772">
        <v>4.2903700000000002</v>
      </c>
      <c r="C772">
        <v>5.2</v>
      </c>
      <c r="D772">
        <f>WEEKDAY(A772,14)</f>
        <v>2</v>
      </c>
      <c r="E772">
        <f>VLOOKUP(D772,L$2:M$8,2,FALSE)</f>
        <v>0</v>
      </c>
      <c r="F772">
        <f t="shared" si="36"/>
        <v>2</v>
      </c>
      <c r="G772">
        <f>IF(F772&gt;F771,G771+B772*E772,B772*E772)</f>
        <v>0</v>
      </c>
      <c r="H772">
        <f t="shared" ref="H772:H835" si="37">IF(AND(F772&lt;6,F772&gt;F771),E772+H771,E772)</f>
        <v>0</v>
      </c>
      <c r="I772">
        <f t="shared" ref="I772:I835" si="38">IF(F771&gt;F772,G771/H771,0)</f>
        <v>0</v>
      </c>
    </row>
    <row r="773" spans="1:9">
      <c r="A773" s="1">
        <v>39846</v>
      </c>
      <c r="B773">
        <v>4.1578400000000002</v>
      </c>
      <c r="C773">
        <v>5.2</v>
      </c>
      <c r="D773">
        <f>WEEKDAY(A773,14)</f>
        <v>5</v>
      </c>
      <c r="E773">
        <f>VLOOKUP(D773,L$2:M$8,2,FALSE)</f>
        <v>0.05</v>
      </c>
      <c r="F773">
        <f t="shared" si="36"/>
        <v>3</v>
      </c>
      <c r="G773">
        <f>IF(F773&gt;F772,G772+B773*E773,B773*E773)</f>
        <v>0.20789200000000002</v>
      </c>
      <c r="H773">
        <f t="shared" si="37"/>
        <v>0.05</v>
      </c>
      <c r="I773">
        <f t="shared" si="38"/>
        <v>0</v>
      </c>
    </row>
    <row r="774" spans="1:9">
      <c r="A774" s="1">
        <v>39847</v>
      </c>
      <c r="B774">
        <v>4.2890499999999996</v>
      </c>
      <c r="C774">
        <v>5.2</v>
      </c>
      <c r="D774">
        <f>WEEKDAY(A774,14)</f>
        <v>6</v>
      </c>
      <c r="E774">
        <f>VLOOKUP(D774,L$2:M$8,2,FALSE)</f>
        <v>0.7</v>
      </c>
      <c r="F774">
        <f t="shared" si="36"/>
        <v>4</v>
      </c>
      <c r="G774">
        <f>IF(F774&gt;F773,G773+B774*E774,B774*E774)</f>
        <v>3.2102269999999997</v>
      </c>
      <c r="H774">
        <f t="shared" si="37"/>
        <v>0.75</v>
      </c>
      <c r="I774">
        <f t="shared" si="38"/>
        <v>0</v>
      </c>
    </row>
    <row r="775" spans="1:9">
      <c r="A775" s="1">
        <v>39848</v>
      </c>
      <c r="B775">
        <v>4.3495799999999996</v>
      </c>
      <c r="C775">
        <v>5.2</v>
      </c>
      <c r="D775">
        <f>WEEKDAY(A775,14)</f>
        <v>7</v>
      </c>
      <c r="E775">
        <f>VLOOKUP(D775,L$2:M$8,2,FALSE)</f>
        <v>0.25</v>
      </c>
      <c r="F775">
        <f t="shared" si="36"/>
        <v>5</v>
      </c>
      <c r="G775">
        <f>IF(F775&gt;F774,G774+B775*E775,B775*E775)</f>
        <v>4.2976219999999996</v>
      </c>
      <c r="H775">
        <f t="shared" si="37"/>
        <v>1</v>
      </c>
      <c r="I775">
        <f t="shared" si="38"/>
        <v>0</v>
      </c>
    </row>
    <row r="776" spans="1:9">
      <c r="A776" s="1">
        <v>39849</v>
      </c>
      <c r="B776">
        <v>4.3181200000000004</v>
      </c>
      <c r="C776">
        <v>5.085</v>
      </c>
      <c r="D776">
        <f>WEEKDAY(A776,14)</f>
        <v>1</v>
      </c>
      <c r="E776">
        <f>VLOOKUP(D776,L$2:M$8,2,FALSE)</f>
        <v>0</v>
      </c>
      <c r="F776">
        <f t="shared" si="36"/>
        <v>1</v>
      </c>
      <c r="G776">
        <f>IF(F776&gt;F775,G775+B776*E776,B776*E776)</f>
        <v>0</v>
      </c>
      <c r="H776">
        <f t="shared" si="37"/>
        <v>0</v>
      </c>
      <c r="I776">
        <f t="shared" si="38"/>
        <v>4.2976219999999996</v>
      </c>
    </row>
    <row r="777" spans="1:9">
      <c r="A777" s="1">
        <v>39850</v>
      </c>
      <c r="B777">
        <v>4.3668300000000002</v>
      </c>
      <c r="C777">
        <v>5.085</v>
      </c>
      <c r="D777">
        <f>WEEKDAY(A777,14)</f>
        <v>2</v>
      </c>
      <c r="E777">
        <f>VLOOKUP(D777,L$2:M$8,2,FALSE)</f>
        <v>0</v>
      </c>
      <c r="F777">
        <f t="shared" si="36"/>
        <v>2</v>
      </c>
      <c r="G777">
        <f>IF(F777&gt;F776,G776+B777*E777,B777*E777)</f>
        <v>0</v>
      </c>
      <c r="H777">
        <f t="shared" si="37"/>
        <v>0</v>
      </c>
      <c r="I777">
        <f t="shared" si="38"/>
        <v>0</v>
      </c>
    </row>
    <row r="778" spans="1:9">
      <c r="A778" s="1">
        <v>39853</v>
      </c>
      <c r="B778">
        <v>4.3491299999999997</v>
      </c>
      <c r="C778">
        <v>5.085</v>
      </c>
      <c r="D778">
        <f>WEEKDAY(A778,14)</f>
        <v>5</v>
      </c>
      <c r="E778">
        <f>VLOOKUP(D778,L$2:M$8,2,FALSE)</f>
        <v>0.05</v>
      </c>
      <c r="F778">
        <f t="shared" si="36"/>
        <v>3</v>
      </c>
      <c r="G778">
        <f>IF(F778&gt;F777,G777+B778*E778,B778*E778)</f>
        <v>0.2174565</v>
      </c>
      <c r="H778">
        <f t="shared" si="37"/>
        <v>0.05</v>
      </c>
      <c r="I778">
        <f t="shared" si="38"/>
        <v>0</v>
      </c>
    </row>
    <row r="779" spans="1:9">
      <c r="A779" s="1">
        <v>39854</v>
      </c>
      <c r="B779">
        <v>4.16012</v>
      </c>
      <c r="C779">
        <v>5.085</v>
      </c>
      <c r="D779">
        <f>WEEKDAY(A779,14)</f>
        <v>6</v>
      </c>
      <c r="E779">
        <f>VLOOKUP(D779,L$2:M$8,2,FALSE)</f>
        <v>0.7</v>
      </c>
      <c r="F779">
        <f t="shared" si="36"/>
        <v>4</v>
      </c>
      <c r="G779">
        <f>IF(F779&gt;F778,G778+B779*E779,B779*E779)</f>
        <v>3.1295404999999996</v>
      </c>
      <c r="H779">
        <f t="shared" si="37"/>
        <v>0.75</v>
      </c>
      <c r="I779">
        <f t="shared" si="38"/>
        <v>0</v>
      </c>
    </row>
    <row r="780" spans="1:9">
      <c r="A780" s="1">
        <v>39855</v>
      </c>
      <c r="B780">
        <v>4.0732999999999997</v>
      </c>
      <c r="C780">
        <v>5.085</v>
      </c>
      <c r="D780">
        <f>WEEKDAY(A780,14)</f>
        <v>7</v>
      </c>
      <c r="E780">
        <f>VLOOKUP(D780,L$2:M$8,2,FALSE)</f>
        <v>0.25</v>
      </c>
      <c r="F780">
        <f t="shared" si="36"/>
        <v>5</v>
      </c>
      <c r="G780">
        <f>IF(F780&gt;F779,G779+B780*E780,B780*E780)</f>
        <v>4.1478655</v>
      </c>
      <c r="H780">
        <f t="shared" si="37"/>
        <v>1</v>
      </c>
      <c r="I780">
        <f t="shared" si="38"/>
        <v>0</v>
      </c>
    </row>
    <row r="781" spans="1:9">
      <c r="A781" s="1">
        <v>39856</v>
      </c>
      <c r="B781">
        <v>4.0552799999999998</v>
      </c>
      <c r="C781">
        <v>4.9649999999999999</v>
      </c>
      <c r="D781">
        <f>WEEKDAY(A781,14)</f>
        <v>1</v>
      </c>
      <c r="E781">
        <f>VLOOKUP(D781,L$2:M$8,2,FALSE)</f>
        <v>0</v>
      </c>
      <c r="F781">
        <f t="shared" si="36"/>
        <v>1</v>
      </c>
      <c r="G781">
        <f>IF(F781&gt;F780,G780+B781*E781,B781*E781)</f>
        <v>0</v>
      </c>
      <c r="H781">
        <f t="shared" si="37"/>
        <v>0</v>
      </c>
      <c r="I781">
        <f t="shared" si="38"/>
        <v>4.1478655</v>
      </c>
    </row>
    <row r="782" spans="1:9">
      <c r="A782" s="1">
        <v>39857</v>
      </c>
      <c r="B782">
        <v>4.2455699999999998</v>
      </c>
      <c r="C782">
        <v>4.9649999999999999</v>
      </c>
      <c r="D782">
        <f>WEEKDAY(A782,14)</f>
        <v>2</v>
      </c>
      <c r="E782">
        <f>VLOOKUP(D782,L$2:M$8,2,FALSE)</f>
        <v>0</v>
      </c>
      <c r="F782">
        <f t="shared" si="36"/>
        <v>2</v>
      </c>
      <c r="G782">
        <f>IF(F782&gt;F781,G781+B782*E782,B782*E782)</f>
        <v>0</v>
      </c>
      <c r="H782">
        <f t="shared" si="37"/>
        <v>0</v>
      </c>
      <c r="I782">
        <f t="shared" si="38"/>
        <v>0</v>
      </c>
    </row>
    <row r="783" spans="1:9">
      <c r="A783" s="1">
        <v>39861</v>
      </c>
      <c r="B783">
        <v>4.0968299999999997</v>
      </c>
      <c r="C783">
        <v>4.9649999999999999</v>
      </c>
      <c r="D783">
        <f>WEEKDAY(A783,14)</f>
        <v>6</v>
      </c>
      <c r="E783">
        <f>VLOOKUP(D783,L$2:M$8,2,FALSE)</f>
        <v>0.7</v>
      </c>
      <c r="F783">
        <f t="shared" si="36"/>
        <v>3</v>
      </c>
      <c r="G783">
        <f>IF(F783&gt;F782,G782+B783*E783,B783*E783)</f>
        <v>2.8677809999999995</v>
      </c>
      <c r="H783">
        <f t="shared" si="37"/>
        <v>0.7</v>
      </c>
      <c r="I783">
        <f t="shared" si="38"/>
        <v>0</v>
      </c>
    </row>
    <row r="784" spans="1:9">
      <c r="A784" s="1">
        <v>39862</v>
      </c>
      <c r="B784">
        <v>4.1198199999999998</v>
      </c>
      <c r="C784">
        <v>4.9649999999999999</v>
      </c>
      <c r="D784">
        <f>WEEKDAY(A784,14)</f>
        <v>7</v>
      </c>
      <c r="E784">
        <f>VLOOKUP(D784,L$2:M$8,2,FALSE)</f>
        <v>0.25</v>
      </c>
      <c r="F784">
        <f t="shared" si="36"/>
        <v>4</v>
      </c>
      <c r="G784">
        <f>IF(F784&gt;F783,G783+B784*E784,B784*E784)</f>
        <v>3.8977359999999992</v>
      </c>
      <c r="H784">
        <f t="shared" si="37"/>
        <v>0.95</v>
      </c>
      <c r="I784">
        <f t="shared" si="38"/>
        <v>0</v>
      </c>
    </row>
    <row r="785" spans="1:9">
      <c r="A785" s="1">
        <v>39863</v>
      </c>
      <c r="B785">
        <v>4.2408400000000004</v>
      </c>
      <c r="C785">
        <v>4.9950000000000001</v>
      </c>
      <c r="D785">
        <f>WEEKDAY(A785,14)</f>
        <v>1</v>
      </c>
      <c r="E785">
        <f>VLOOKUP(D785,L$2:M$8,2,FALSE)</f>
        <v>0</v>
      </c>
      <c r="F785">
        <f t="shared" si="36"/>
        <v>1</v>
      </c>
      <c r="G785">
        <f>IF(F785&gt;F784,G784+B785*E785,B785*E785)</f>
        <v>0</v>
      </c>
      <c r="H785">
        <f t="shared" si="37"/>
        <v>0</v>
      </c>
      <c r="I785">
        <f t="shared" si="38"/>
        <v>4.102879999999999</v>
      </c>
    </row>
    <row r="786" spans="1:9">
      <c r="A786" s="1">
        <v>39864</v>
      </c>
      <c r="B786">
        <v>4.1956899999999999</v>
      </c>
      <c r="C786">
        <v>4.9950000000000001</v>
      </c>
      <c r="D786">
        <f>WEEKDAY(A786,14)</f>
        <v>2</v>
      </c>
      <c r="E786">
        <f>VLOOKUP(D786,L$2:M$8,2,FALSE)</f>
        <v>0</v>
      </c>
      <c r="F786">
        <f t="shared" si="36"/>
        <v>2</v>
      </c>
      <c r="G786">
        <f>IF(F786&gt;F785,G785+B786*E786,B786*E786)</f>
        <v>0</v>
      </c>
      <c r="H786">
        <f t="shared" si="37"/>
        <v>0</v>
      </c>
      <c r="I786">
        <f t="shared" si="38"/>
        <v>0</v>
      </c>
    </row>
    <row r="787" spans="1:9">
      <c r="A787" s="1">
        <v>39867</v>
      </c>
      <c r="B787">
        <v>4.2295999999999996</v>
      </c>
      <c r="C787">
        <v>4.9950000000000001</v>
      </c>
      <c r="D787">
        <f>WEEKDAY(A787,14)</f>
        <v>5</v>
      </c>
      <c r="E787">
        <f>VLOOKUP(D787,L$2:M$8,2,FALSE)</f>
        <v>0.05</v>
      </c>
      <c r="F787">
        <f t="shared" si="36"/>
        <v>3</v>
      </c>
      <c r="G787">
        <f>IF(F787&gt;F786,G786+B787*E787,B787*E787)</f>
        <v>0.21148</v>
      </c>
      <c r="H787">
        <f t="shared" si="37"/>
        <v>0.05</v>
      </c>
      <c r="I787">
        <f t="shared" si="38"/>
        <v>0</v>
      </c>
    </row>
    <row r="788" spans="1:9">
      <c r="A788" s="1">
        <v>39868</v>
      </c>
      <c r="B788">
        <v>4.2818300000000002</v>
      </c>
      <c r="C788">
        <v>4.9950000000000001</v>
      </c>
      <c r="D788">
        <f>WEEKDAY(A788,14)</f>
        <v>6</v>
      </c>
      <c r="E788">
        <f>VLOOKUP(D788,L$2:M$8,2,FALSE)</f>
        <v>0.7</v>
      </c>
      <c r="F788">
        <f t="shared" si="36"/>
        <v>4</v>
      </c>
      <c r="G788">
        <f>IF(F788&gt;F787,G787+B788*E788,B788*E788)</f>
        <v>3.208761</v>
      </c>
      <c r="H788">
        <f t="shared" si="37"/>
        <v>0.75</v>
      </c>
      <c r="I788">
        <f t="shared" si="38"/>
        <v>0</v>
      </c>
    </row>
    <row r="789" spans="1:9">
      <c r="A789" s="1">
        <v>39869</v>
      </c>
      <c r="B789">
        <v>4.4022100000000002</v>
      </c>
      <c r="C789">
        <v>4.9950000000000001</v>
      </c>
      <c r="D789">
        <f>WEEKDAY(A789,14)</f>
        <v>7</v>
      </c>
      <c r="E789">
        <f>VLOOKUP(D789,L$2:M$8,2,FALSE)</f>
        <v>0.25</v>
      </c>
      <c r="F789">
        <f t="shared" si="36"/>
        <v>5</v>
      </c>
      <c r="G789">
        <f>IF(F789&gt;F788,G788+B789*E789,B789*E789)</f>
        <v>4.3093135</v>
      </c>
      <c r="H789">
        <f t="shared" si="37"/>
        <v>1</v>
      </c>
      <c r="I789">
        <f t="shared" si="38"/>
        <v>0</v>
      </c>
    </row>
    <row r="790" spans="1:9">
      <c r="A790" s="1">
        <v>39870</v>
      </c>
      <c r="B790">
        <v>4.4149000000000003</v>
      </c>
      <c r="C790">
        <v>5.0750000000000002</v>
      </c>
      <c r="D790">
        <f>WEEKDAY(A790,14)</f>
        <v>1</v>
      </c>
      <c r="E790">
        <f>VLOOKUP(D790,L$2:M$8,2,FALSE)</f>
        <v>0</v>
      </c>
      <c r="F790">
        <f t="shared" si="36"/>
        <v>1</v>
      </c>
      <c r="G790">
        <f>IF(F790&gt;F789,G789+B790*E790,B790*E790)</f>
        <v>0</v>
      </c>
      <c r="H790">
        <f t="shared" si="37"/>
        <v>0</v>
      </c>
      <c r="I790">
        <f t="shared" si="38"/>
        <v>4.3093135</v>
      </c>
    </row>
    <row r="791" spans="1:9">
      <c r="A791" s="1">
        <v>39871</v>
      </c>
      <c r="B791">
        <v>4.4553900000000004</v>
      </c>
      <c r="C791">
        <v>5.0750000000000002</v>
      </c>
      <c r="D791">
        <f>WEEKDAY(A791,14)</f>
        <v>2</v>
      </c>
      <c r="E791">
        <f>VLOOKUP(D791,L$2:M$8,2,FALSE)</f>
        <v>0</v>
      </c>
      <c r="F791">
        <f t="shared" si="36"/>
        <v>2</v>
      </c>
      <c r="G791">
        <f>IF(F791&gt;F790,G790+B791*E791,B791*E791)</f>
        <v>0</v>
      </c>
      <c r="H791">
        <f t="shared" si="37"/>
        <v>0</v>
      </c>
      <c r="I791">
        <f t="shared" si="38"/>
        <v>0</v>
      </c>
    </row>
    <row r="792" spans="1:9">
      <c r="A792" s="1">
        <v>39874</v>
      </c>
      <c r="B792">
        <v>4.3978400000000004</v>
      </c>
      <c r="C792">
        <v>5.0750000000000002</v>
      </c>
      <c r="D792">
        <f>WEEKDAY(A792,14)</f>
        <v>5</v>
      </c>
      <c r="E792">
        <f>VLOOKUP(D792,L$2:M$8,2,FALSE)</f>
        <v>0.05</v>
      </c>
      <c r="F792">
        <f t="shared" si="36"/>
        <v>3</v>
      </c>
      <c r="G792">
        <f>IF(F792&gt;F791,G791+B792*E792,B792*E792)</f>
        <v>0.21989200000000003</v>
      </c>
      <c r="H792">
        <f t="shared" si="37"/>
        <v>0.05</v>
      </c>
      <c r="I792">
        <f t="shared" si="38"/>
        <v>0</v>
      </c>
    </row>
    <row r="793" spans="1:9">
      <c r="A793" s="1">
        <v>39875</v>
      </c>
      <c r="B793">
        <v>4.3591699999999998</v>
      </c>
      <c r="C793">
        <v>5.0750000000000002</v>
      </c>
      <c r="D793">
        <f>WEEKDAY(A793,14)</f>
        <v>6</v>
      </c>
      <c r="E793">
        <f>VLOOKUP(D793,L$2:M$8,2,FALSE)</f>
        <v>0.7</v>
      </c>
      <c r="F793">
        <f t="shared" si="36"/>
        <v>4</v>
      </c>
      <c r="G793">
        <f>IF(F793&gt;F792,G792+B793*E793,B793*E793)</f>
        <v>3.2713109999999999</v>
      </c>
      <c r="H793">
        <f t="shared" si="37"/>
        <v>0.75</v>
      </c>
      <c r="I793">
        <f t="shared" si="38"/>
        <v>0</v>
      </c>
    </row>
    <row r="794" spans="1:9">
      <c r="A794" s="1">
        <v>39876</v>
      </c>
      <c r="B794">
        <v>4.3877800000000002</v>
      </c>
      <c r="C794">
        <v>5.0750000000000002</v>
      </c>
      <c r="D794">
        <f>WEEKDAY(A794,14)</f>
        <v>7</v>
      </c>
      <c r="E794">
        <f>VLOOKUP(D794,L$2:M$8,2,FALSE)</f>
        <v>0.25</v>
      </c>
      <c r="F794">
        <f t="shared" si="36"/>
        <v>5</v>
      </c>
      <c r="G794">
        <f>IF(F794&gt;F793,G793+B794*E794,B794*E794)</f>
        <v>4.3682559999999997</v>
      </c>
      <c r="H794">
        <f t="shared" si="37"/>
        <v>1</v>
      </c>
      <c r="I794">
        <f t="shared" si="38"/>
        <v>0</v>
      </c>
    </row>
    <row r="795" spans="1:9">
      <c r="A795" s="1">
        <v>39877</v>
      </c>
      <c r="B795">
        <v>4.2229599999999996</v>
      </c>
      <c r="C795">
        <v>4.9550000000000001</v>
      </c>
      <c r="D795">
        <f>WEEKDAY(A795,14)</f>
        <v>1</v>
      </c>
      <c r="E795">
        <f>VLOOKUP(D795,L$2:M$8,2,FALSE)</f>
        <v>0</v>
      </c>
      <c r="F795">
        <f t="shared" si="36"/>
        <v>1</v>
      </c>
      <c r="G795">
        <f>IF(F795&gt;F794,G794+B795*E795,B795*E795)</f>
        <v>0</v>
      </c>
      <c r="H795">
        <f t="shared" si="37"/>
        <v>0</v>
      </c>
      <c r="I795">
        <f t="shared" si="38"/>
        <v>4.3682559999999997</v>
      </c>
    </row>
    <row r="796" spans="1:9">
      <c r="A796" s="1">
        <v>39878</v>
      </c>
      <c r="B796">
        <v>4.21441</v>
      </c>
      <c r="C796">
        <v>4.9550000000000001</v>
      </c>
      <c r="D796">
        <f>WEEKDAY(A796,14)</f>
        <v>2</v>
      </c>
      <c r="E796">
        <f>VLOOKUP(D796,L$2:M$8,2,FALSE)</f>
        <v>0</v>
      </c>
      <c r="F796">
        <f t="shared" si="36"/>
        <v>2</v>
      </c>
      <c r="G796">
        <f>IF(F796&gt;F795,G795+B796*E796,B796*E796)</f>
        <v>0</v>
      </c>
      <c r="H796">
        <f t="shared" si="37"/>
        <v>0</v>
      </c>
      <c r="I796">
        <f t="shared" si="38"/>
        <v>0</v>
      </c>
    </row>
    <row r="797" spans="1:9">
      <c r="A797" s="1">
        <v>39881</v>
      </c>
      <c r="B797">
        <v>4.2600699999999998</v>
      </c>
      <c r="C797">
        <v>4.9550000000000001</v>
      </c>
      <c r="D797">
        <f>WEEKDAY(A797,14)</f>
        <v>5</v>
      </c>
      <c r="E797">
        <f>VLOOKUP(D797,L$2:M$8,2,FALSE)</f>
        <v>0.05</v>
      </c>
      <c r="F797">
        <f t="shared" si="36"/>
        <v>3</v>
      </c>
      <c r="G797">
        <f>IF(F797&gt;F796,G796+B797*E797,B797*E797)</f>
        <v>0.21300350000000001</v>
      </c>
      <c r="H797">
        <f t="shared" si="37"/>
        <v>0.05</v>
      </c>
      <c r="I797">
        <f t="shared" si="38"/>
        <v>0</v>
      </c>
    </row>
    <row r="798" spans="1:9">
      <c r="A798" s="1">
        <v>39882</v>
      </c>
      <c r="B798">
        <v>4.2873000000000001</v>
      </c>
      <c r="C798">
        <v>4.9550000000000001</v>
      </c>
      <c r="D798">
        <f>WEEKDAY(A798,14)</f>
        <v>6</v>
      </c>
      <c r="E798">
        <f>VLOOKUP(D798,L$2:M$8,2,FALSE)</f>
        <v>0.7</v>
      </c>
      <c r="F798">
        <f t="shared" si="36"/>
        <v>4</v>
      </c>
      <c r="G798">
        <f>IF(F798&gt;F797,G797+B798*E798,B798*E798)</f>
        <v>3.2141134999999998</v>
      </c>
      <c r="H798">
        <f t="shared" si="37"/>
        <v>0.75</v>
      </c>
      <c r="I798">
        <f t="shared" si="38"/>
        <v>0</v>
      </c>
    </row>
    <row r="799" spans="1:9">
      <c r="A799" s="1">
        <v>39883</v>
      </c>
      <c r="B799">
        <v>4.2295199999999999</v>
      </c>
      <c r="C799">
        <v>4.9550000000000001</v>
      </c>
      <c r="D799">
        <f>WEEKDAY(A799,14)</f>
        <v>7</v>
      </c>
      <c r="E799">
        <f>VLOOKUP(D799,L$2:M$8,2,FALSE)</f>
        <v>0.25</v>
      </c>
      <c r="F799">
        <f t="shared" si="36"/>
        <v>5</v>
      </c>
      <c r="G799">
        <f>IF(F799&gt;F798,G798+B799*E799,B799*E799)</f>
        <v>4.2714935000000001</v>
      </c>
      <c r="H799">
        <f t="shared" si="37"/>
        <v>1</v>
      </c>
      <c r="I799">
        <f t="shared" si="38"/>
        <v>0</v>
      </c>
    </row>
    <row r="800" spans="1:9">
      <c r="A800" s="1">
        <v>39884</v>
      </c>
      <c r="B800">
        <v>4.1757200000000001</v>
      </c>
      <c r="C800">
        <v>4.9050000000000002</v>
      </c>
      <c r="D800">
        <f>WEEKDAY(A800,14)</f>
        <v>1</v>
      </c>
      <c r="E800">
        <f>VLOOKUP(D800,L$2:M$8,2,FALSE)</f>
        <v>0</v>
      </c>
      <c r="F800">
        <f t="shared" si="36"/>
        <v>1</v>
      </c>
      <c r="G800">
        <f>IF(F800&gt;F799,G799+B800*E800,B800*E800)</f>
        <v>0</v>
      </c>
      <c r="H800">
        <f t="shared" si="37"/>
        <v>0</v>
      </c>
      <c r="I800">
        <f t="shared" si="38"/>
        <v>4.2714935000000001</v>
      </c>
    </row>
    <row r="801" spans="1:9">
      <c r="A801" s="1">
        <v>39885</v>
      </c>
      <c r="B801">
        <v>4.1787599999999996</v>
      </c>
      <c r="C801">
        <v>4.9050000000000002</v>
      </c>
      <c r="D801">
        <f>WEEKDAY(A801,14)</f>
        <v>2</v>
      </c>
      <c r="E801">
        <f>VLOOKUP(D801,L$2:M$8,2,FALSE)</f>
        <v>0</v>
      </c>
      <c r="F801">
        <f t="shared" si="36"/>
        <v>2</v>
      </c>
      <c r="G801">
        <f>IF(F801&gt;F800,G800+B801*E801,B801*E801)</f>
        <v>0</v>
      </c>
      <c r="H801">
        <f t="shared" si="37"/>
        <v>0</v>
      </c>
      <c r="I801">
        <f t="shared" si="38"/>
        <v>0</v>
      </c>
    </row>
    <row r="802" spans="1:9">
      <c r="A802" s="1">
        <v>39888</v>
      </c>
      <c r="B802">
        <v>4.2065299999999999</v>
      </c>
      <c r="C802">
        <v>4.9050000000000002</v>
      </c>
      <c r="D802">
        <f>WEEKDAY(A802,14)</f>
        <v>5</v>
      </c>
      <c r="E802">
        <f>VLOOKUP(D802,L$2:M$8,2,FALSE)</f>
        <v>0.05</v>
      </c>
      <c r="F802">
        <f t="shared" si="36"/>
        <v>3</v>
      </c>
      <c r="G802">
        <f>IF(F802&gt;F801,G801+B802*E802,B802*E802)</f>
        <v>0.2103265</v>
      </c>
      <c r="H802">
        <f t="shared" si="37"/>
        <v>0.05</v>
      </c>
      <c r="I802">
        <f t="shared" si="38"/>
        <v>0</v>
      </c>
    </row>
    <row r="803" spans="1:9">
      <c r="A803" s="1">
        <v>39889</v>
      </c>
      <c r="B803">
        <v>4.2091599999999998</v>
      </c>
      <c r="C803">
        <v>4.9050000000000002</v>
      </c>
      <c r="D803">
        <f>WEEKDAY(A803,14)</f>
        <v>6</v>
      </c>
      <c r="E803">
        <f>VLOOKUP(D803,L$2:M$8,2,FALSE)</f>
        <v>0.7</v>
      </c>
      <c r="F803">
        <f t="shared" si="36"/>
        <v>4</v>
      </c>
      <c r="G803">
        <f>IF(F803&gt;F802,G802+B803*E803,B803*E803)</f>
        <v>3.1567384999999994</v>
      </c>
      <c r="H803">
        <f t="shared" si="37"/>
        <v>0.75</v>
      </c>
      <c r="I803">
        <f t="shared" si="38"/>
        <v>0</v>
      </c>
    </row>
    <row r="804" spans="1:9">
      <c r="A804" s="1">
        <v>39890</v>
      </c>
      <c r="B804">
        <v>3.8771599999999999</v>
      </c>
      <c r="C804">
        <v>4.9050000000000002</v>
      </c>
      <c r="D804">
        <f>WEEKDAY(A804,14)</f>
        <v>7</v>
      </c>
      <c r="E804">
        <f>VLOOKUP(D804,L$2:M$8,2,FALSE)</f>
        <v>0.25</v>
      </c>
      <c r="F804">
        <f t="shared" si="36"/>
        <v>5</v>
      </c>
      <c r="G804">
        <f>IF(F804&gt;F803,G803+B804*E804,B804*E804)</f>
        <v>4.1260284999999994</v>
      </c>
      <c r="H804">
        <f t="shared" si="37"/>
        <v>1</v>
      </c>
      <c r="I804">
        <f t="shared" si="38"/>
        <v>0</v>
      </c>
    </row>
    <row r="805" spans="1:9">
      <c r="A805" s="1">
        <v>39891</v>
      </c>
      <c r="B805">
        <v>3.8337699999999999</v>
      </c>
      <c r="C805">
        <v>4.7750000000000004</v>
      </c>
      <c r="D805">
        <f>WEEKDAY(A805,14)</f>
        <v>1</v>
      </c>
      <c r="E805">
        <f>VLOOKUP(D805,L$2:M$8,2,FALSE)</f>
        <v>0</v>
      </c>
      <c r="F805">
        <f t="shared" si="36"/>
        <v>1</v>
      </c>
      <c r="G805">
        <f>IF(F805&gt;F804,G804+B805*E805,B805*E805)</f>
        <v>0</v>
      </c>
      <c r="H805">
        <f t="shared" si="37"/>
        <v>0</v>
      </c>
      <c r="I805">
        <f t="shared" si="38"/>
        <v>4.1260284999999994</v>
      </c>
    </row>
    <row r="806" spans="1:9">
      <c r="A806" s="1">
        <v>39892</v>
      </c>
      <c r="B806">
        <v>3.8969200000000002</v>
      </c>
      <c r="C806">
        <v>4.7750000000000004</v>
      </c>
      <c r="D806">
        <f>WEEKDAY(A806,14)</f>
        <v>2</v>
      </c>
      <c r="E806">
        <f>VLOOKUP(D806,L$2:M$8,2,FALSE)</f>
        <v>0</v>
      </c>
      <c r="F806">
        <f t="shared" si="36"/>
        <v>2</v>
      </c>
      <c r="G806">
        <f>IF(F806&gt;F805,G805+B806*E806,B806*E806)</f>
        <v>0</v>
      </c>
      <c r="H806">
        <f t="shared" si="37"/>
        <v>0</v>
      </c>
      <c r="I806">
        <f t="shared" si="38"/>
        <v>0</v>
      </c>
    </row>
    <row r="807" spans="1:9">
      <c r="A807" s="1">
        <v>39895</v>
      </c>
      <c r="B807">
        <v>3.9289399999999999</v>
      </c>
      <c r="C807">
        <v>4.7750000000000004</v>
      </c>
      <c r="D807">
        <f>WEEKDAY(A807,14)</f>
        <v>5</v>
      </c>
      <c r="E807">
        <f>VLOOKUP(D807,L$2:M$8,2,FALSE)</f>
        <v>0.05</v>
      </c>
      <c r="F807">
        <f t="shared" si="36"/>
        <v>3</v>
      </c>
      <c r="G807">
        <f>IF(F807&gt;F806,G806+B807*E807,B807*E807)</f>
        <v>0.19644700000000001</v>
      </c>
      <c r="H807">
        <f t="shared" si="37"/>
        <v>0.05</v>
      </c>
      <c r="I807">
        <f t="shared" si="38"/>
        <v>0</v>
      </c>
    </row>
    <row r="808" spans="1:9">
      <c r="A808" s="1">
        <v>39896</v>
      </c>
      <c r="B808">
        <v>3.93485</v>
      </c>
      <c r="C808">
        <v>4.7750000000000004</v>
      </c>
      <c r="D808">
        <f>WEEKDAY(A808,14)</f>
        <v>6</v>
      </c>
      <c r="E808">
        <f>VLOOKUP(D808,L$2:M$8,2,FALSE)</f>
        <v>0.7</v>
      </c>
      <c r="F808">
        <f t="shared" si="36"/>
        <v>4</v>
      </c>
      <c r="G808">
        <f>IF(F808&gt;F807,G807+B808*E808,B808*E808)</f>
        <v>2.9508419999999997</v>
      </c>
      <c r="H808">
        <f t="shared" si="37"/>
        <v>0.75</v>
      </c>
      <c r="I808">
        <f t="shared" si="38"/>
        <v>0</v>
      </c>
    </row>
    <row r="809" spans="1:9">
      <c r="A809" s="1">
        <v>39897</v>
      </c>
      <c r="B809">
        <v>3.9622700000000002</v>
      </c>
      <c r="C809">
        <v>4.7750000000000004</v>
      </c>
      <c r="D809">
        <f>WEEKDAY(A809,14)</f>
        <v>7</v>
      </c>
      <c r="E809">
        <f>VLOOKUP(D809,L$2:M$8,2,FALSE)</f>
        <v>0.25</v>
      </c>
      <c r="F809">
        <f t="shared" si="36"/>
        <v>5</v>
      </c>
      <c r="G809">
        <f>IF(F809&gt;F808,G808+B809*E809,B809*E809)</f>
        <v>3.9414094999999998</v>
      </c>
      <c r="H809">
        <f t="shared" si="37"/>
        <v>1</v>
      </c>
      <c r="I809">
        <f t="shared" si="38"/>
        <v>0</v>
      </c>
    </row>
    <row r="810" spans="1:9">
      <c r="A810" s="1">
        <v>39898</v>
      </c>
      <c r="B810">
        <v>3.9359099999999998</v>
      </c>
      <c r="C810">
        <v>4.7050000000000001</v>
      </c>
      <c r="D810">
        <f>WEEKDAY(A810,14)</f>
        <v>1</v>
      </c>
      <c r="E810">
        <f>VLOOKUP(D810,L$2:M$8,2,FALSE)</f>
        <v>0</v>
      </c>
      <c r="F810">
        <f t="shared" si="36"/>
        <v>1</v>
      </c>
      <c r="G810">
        <f>IF(F810&gt;F809,G809+B810*E810,B810*E810)</f>
        <v>0</v>
      </c>
      <c r="H810">
        <f t="shared" si="37"/>
        <v>0</v>
      </c>
      <c r="I810">
        <f t="shared" si="38"/>
        <v>3.9414094999999998</v>
      </c>
    </row>
    <row r="811" spans="1:9">
      <c r="A811" s="1">
        <v>39899</v>
      </c>
      <c r="B811">
        <v>3.9131300000000002</v>
      </c>
      <c r="C811">
        <v>4.7050000000000001</v>
      </c>
      <c r="D811">
        <f>WEEKDAY(A811,14)</f>
        <v>2</v>
      </c>
      <c r="E811">
        <f>VLOOKUP(D811,L$2:M$8,2,FALSE)</f>
        <v>0</v>
      </c>
      <c r="F811">
        <f t="shared" si="36"/>
        <v>2</v>
      </c>
      <c r="G811">
        <f>IF(F811&gt;F810,G810+B811*E811,B811*E811)</f>
        <v>0</v>
      </c>
      <c r="H811">
        <f t="shared" si="37"/>
        <v>0</v>
      </c>
      <c r="I811">
        <f t="shared" si="38"/>
        <v>0</v>
      </c>
    </row>
    <row r="812" spans="1:9">
      <c r="A812" s="1">
        <v>39902</v>
      </c>
      <c r="B812">
        <v>3.8842099999999999</v>
      </c>
      <c r="C812">
        <v>4.7050000000000001</v>
      </c>
      <c r="D812">
        <f>WEEKDAY(A812,14)</f>
        <v>5</v>
      </c>
      <c r="E812">
        <f>VLOOKUP(D812,L$2:M$8,2,FALSE)</f>
        <v>0.05</v>
      </c>
      <c r="F812">
        <f t="shared" si="36"/>
        <v>3</v>
      </c>
      <c r="G812">
        <f>IF(F812&gt;F811,G811+B812*E812,B812*E812)</f>
        <v>0.19421050000000001</v>
      </c>
      <c r="H812">
        <f t="shared" si="37"/>
        <v>0.05</v>
      </c>
      <c r="I812">
        <f t="shared" si="38"/>
        <v>0</v>
      </c>
    </row>
    <row r="813" spans="1:9">
      <c r="A813" s="1">
        <v>39903</v>
      </c>
      <c r="B813">
        <v>3.8956</v>
      </c>
      <c r="C813">
        <v>4.7050000000000001</v>
      </c>
      <c r="D813">
        <f>WEEKDAY(A813,14)</f>
        <v>6</v>
      </c>
      <c r="E813">
        <f>VLOOKUP(D813,L$2:M$8,2,FALSE)</f>
        <v>0.7</v>
      </c>
      <c r="F813">
        <f t="shared" si="36"/>
        <v>4</v>
      </c>
      <c r="G813">
        <f>IF(F813&gt;F812,G812+B813*E813,B813*E813)</f>
        <v>2.9211304999999999</v>
      </c>
      <c r="H813">
        <f t="shared" si="37"/>
        <v>0.75</v>
      </c>
      <c r="I813">
        <f t="shared" si="38"/>
        <v>0</v>
      </c>
    </row>
    <row r="814" spans="1:9">
      <c r="A814" s="1">
        <v>39904</v>
      </c>
      <c r="B814">
        <v>3.9044099999999999</v>
      </c>
      <c r="C814">
        <v>4.7050000000000001</v>
      </c>
      <c r="D814">
        <f>WEEKDAY(A814,14)</f>
        <v>7</v>
      </c>
      <c r="E814">
        <f>VLOOKUP(D814,L$2:M$8,2,FALSE)</f>
        <v>0.25</v>
      </c>
      <c r="F814">
        <f t="shared" si="36"/>
        <v>5</v>
      </c>
      <c r="G814">
        <f>IF(F814&gt;F813,G813+B814*E814,B814*E814)</f>
        <v>3.8972329999999999</v>
      </c>
      <c r="H814">
        <f t="shared" si="37"/>
        <v>1</v>
      </c>
      <c r="I814">
        <f t="shared" si="38"/>
        <v>0</v>
      </c>
    </row>
    <row r="815" spans="1:9">
      <c r="A815" s="1">
        <v>39905</v>
      </c>
      <c r="B815">
        <v>3.9812699999999999</v>
      </c>
      <c r="C815">
        <v>4.7949999999999999</v>
      </c>
      <c r="D815">
        <f>WEEKDAY(A815,14)</f>
        <v>1</v>
      </c>
      <c r="E815">
        <f>VLOOKUP(D815,L$2:M$8,2,FALSE)</f>
        <v>0</v>
      </c>
      <c r="F815">
        <f t="shared" si="36"/>
        <v>1</v>
      </c>
      <c r="G815">
        <f>IF(F815&gt;F814,G814+B815*E815,B815*E815)</f>
        <v>0</v>
      </c>
      <c r="H815">
        <f t="shared" si="37"/>
        <v>0</v>
      </c>
      <c r="I815">
        <f t="shared" si="38"/>
        <v>3.8972329999999999</v>
      </c>
    </row>
    <row r="816" spans="1:9">
      <c r="A816" s="1">
        <v>39906</v>
      </c>
      <c r="B816">
        <v>4.0741300000000003</v>
      </c>
      <c r="C816">
        <v>4.7949999999999999</v>
      </c>
      <c r="D816">
        <f>WEEKDAY(A816,14)</f>
        <v>2</v>
      </c>
      <c r="E816">
        <f>VLOOKUP(D816,L$2:M$8,2,FALSE)</f>
        <v>0</v>
      </c>
      <c r="F816">
        <f t="shared" si="36"/>
        <v>2</v>
      </c>
      <c r="G816">
        <f>IF(F816&gt;F815,G815+B816*E816,B816*E816)</f>
        <v>0</v>
      </c>
      <c r="H816">
        <f t="shared" si="37"/>
        <v>0</v>
      </c>
      <c r="I816">
        <f t="shared" si="38"/>
        <v>0</v>
      </c>
    </row>
    <row r="817" spans="1:9">
      <c r="A817" s="1">
        <v>39909</v>
      </c>
      <c r="B817">
        <v>4.0684899999999997</v>
      </c>
      <c r="C817">
        <v>4.7949999999999999</v>
      </c>
      <c r="D817">
        <f>WEEKDAY(A817,14)</f>
        <v>5</v>
      </c>
      <c r="E817">
        <f>VLOOKUP(D817,L$2:M$8,2,FALSE)</f>
        <v>0.05</v>
      </c>
      <c r="F817">
        <f t="shared" si="36"/>
        <v>3</v>
      </c>
      <c r="G817">
        <f>IF(F817&gt;F816,G816+B817*E817,B817*E817)</f>
        <v>0.20342450000000001</v>
      </c>
      <c r="H817">
        <f t="shared" si="37"/>
        <v>0.05</v>
      </c>
      <c r="I817">
        <f t="shared" si="38"/>
        <v>0</v>
      </c>
    </row>
    <row r="818" spans="1:9">
      <c r="A818" s="1">
        <v>39910</v>
      </c>
      <c r="B818">
        <v>4.0099</v>
      </c>
      <c r="C818">
        <v>4.7949999999999999</v>
      </c>
      <c r="D818">
        <f>WEEKDAY(A818,14)</f>
        <v>6</v>
      </c>
      <c r="E818">
        <f>VLOOKUP(D818,L$2:M$8,2,FALSE)</f>
        <v>0.7</v>
      </c>
      <c r="F818">
        <f t="shared" si="36"/>
        <v>4</v>
      </c>
      <c r="G818">
        <f>IF(F818&gt;F817,G817+B818*E818,B818*E818)</f>
        <v>3.0103545</v>
      </c>
      <c r="H818">
        <f t="shared" si="37"/>
        <v>0.75</v>
      </c>
      <c r="I818">
        <f t="shared" si="38"/>
        <v>0</v>
      </c>
    </row>
    <row r="819" spans="1:9">
      <c r="A819" s="1">
        <v>39911</v>
      </c>
      <c r="B819">
        <v>3.9313099999999999</v>
      </c>
      <c r="C819">
        <v>4.7949999999999999</v>
      </c>
      <c r="D819">
        <f>WEEKDAY(A819,14)</f>
        <v>7</v>
      </c>
      <c r="E819">
        <f>VLOOKUP(D819,L$2:M$8,2,FALSE)</f>
        <v>0.25</v>
      </c>
      <c r="F819">
        <f t="shared" si="36"/>
        <v>5</v>
      </c>
      <c r="G819">
        <f>IF(F819&gt;F818,G818+B819*E819,B819*E819)</f>
        <v>3.993182</v>
      </c>
      <c r="H819">
        <f t="shared" si="37"/>
        <v>1</v>
      </c>
      <c r="I819">
        <f t="shared" si="38"/>
        <v>0</v>
      </c>
    </row>
    <row r="820" spans="1:9">
      <c r="A820" s="1">
        <v>39912</v>
      </c>
      <c r="B820">
        <v>4.0188800000000002</v>
      </c>
      <c r="C820">
        <v>4.72</v>
      </c>
      <c r="D820">
        <f>WEEKDAY(A820,14)</f>
        <v>1</v>
      </c>
      <c r="E820">
        <f>VLOOKUP(D820,L$2:M$8,2,FALSE)</f>
        <v>0</v>
      </c>
      <c r="F820">
        <f t="shared" si="36"/>
        <v>1</v>
      </c>
      <c r="G820">
        <f>IF(F820&gt;F819,G819+B820*E820,B820*E820)</f>
        <v>0</v>
      </c>
      <c r="H820">
        <f t="shared" si="37"/>
        <v>0</v>
      </c>
      <c r="I820">
        <f t="shared" si="38"/>
        <v>3.993182</v>
      </c>
    </row>
    <row r="821" spans="1:9">
      <c r="A821" s="1">
        <v>39916</v>
      </c>
      <c r="B821">
        <v>3.9816400000000001</v>
      </c>
      <c r="C821">
        <v>4.72</v>
      </c>
      <c r="D821">
        <f>WEEKDAY(A821,14)</f>
        <v>5</v>
      </c>
      <c r="E821">
        <f>VLOOKUP(D821,L$2:M$8,2,FALSE)</f>
        <v>0.05</v>
      </c>
      <c r="F821">
        <f t="shared" si="36"/>
        <v>2</v>
      </c>
      <c r="G821">
        <f>IF(F821&gt;F820,G820+B821*E821,B821*E821)</f>
        <v>0.19908200000000001</v>
      </c>
      <c r="H821">
        <f t="shared" si="37"/>
        <v>0.05</v>
      </c>
      <c r="I821">
        <f t="shared" si="38"/>
        <v>0</v>
      </c>
    </row>
    <row r="822" spans="1:9">
      <c r="A822" s="1">
        <v>39917</v>
      </c>
      <c r="B822">
        <v>3.9580700000000002</v>
      </c>
      <c r="C822">
        <v>4.72</v>
      </c>
      <c r="D822">
        <f>WEEKDAY(A822,14)</f>
        <v>6</v>
      </c>
      <c r="E822">
        <f>VLOOKUP(D822,L$2:M$8,2,FALSE)</f>
        <v>0.7</v>
      </c>
      <c r="F822">
        <f t="shared" si="36"/>
        <v>3</v>
      </c>
      <c r="G822">
        <f>IF(F822&gt;F821,G821+B822*E822,B822*E822)</f>
        <v>2.9697310000000003</v>
      </c>
      <c r="H822">
        <f t="shared" si="37"/>
        <v>0.75</v>
      </c>
      <c r="I822">
        <f t="shared" si="38"/>
        <v>0</v>
      </c>
    </row>
    <row r="823" spans="1:9">
      <c r="A823" s="1">
        <v>39918</v>
      </c>
      <c r="B823">
        <v>3.93676</v>
      </c>
      <c r="C823">
        <v>4.72</v>
      </c>
      <c r="D823">
        <f>WEEKDAY(A823,14)</f>
        <v>7</v>
      </c>
      <c r="E823">
        <f>VLOOKUP(D823,L$2:M$8,2,FALSE)</f>
        <v>0.25</v>
      </c>
      <c r="F823">
        <f t="shared" si="36"/>
        <v>4</v>
      </c>
      <c r="G823">
        <f>IF(F823&gt;F822,G822+B823*E823,B823*E823)</f>
        <v>3.9539210000000002</v>
      </c>
      <c r="H823">
        <f t="shared" si="37"/>
        <v>1</v>
      </c>
      <c r="I823">
        <f t="shared" si="38"/>
        <v>0</v>
      </c>
    </row>
    <row r="824" spans="1:9">
      <c r="A824" s="1">
        <v>39919</v>
      </c>
      <c r="B824">
        <v>3.9709400000000001</v>
      </c>
      <c r="C824">
        <v>4.7249999999999996</v>
      </c>
      <c r="D824">
        <f>WEEKDAY(A824,14)</f>
        <v>1</v>
      </c>
      <c r="E824">
        <f>VLOOKUP(D824,L$2:M$8,2,FALSE)</f>
        <v>0</v>
      </c>
      <c r="F824">
        <f t="shared" si="36"/>
        <v>1</v>
      </c>
      <c r="G824">
        <f>IF(F824&gt;F823,G823+B824*E824,B824*E824)</f>
        <v>0</v>
      </c>
      <c r="H824">
        <f t="shared" si="37"/>
        <v>0</v>
      </c>
      <c r="I824">
        <f t="shared" si="38"/>
        <v>3.9539210000000002</v>
      </c>
    </row>
    <row r="825" spans="1:9">
      <c r="A825" s="1">
        <v>39920</v>
      </c>
      <c r="B825">
        <v>4.0345800000000001</v>
      </c>
      <c r="C825">
        <v>4.7249999999999996</v>
      </c>
      <c r="D825">
        <f>WEEKDAY(A825,14)</f>
        <v>2</v>
      </c>
      <c r="E825">
        <f>VLOOKUP(D825,L$2:M$8,2,FALSE)</f>
        <v>0</v>
      </c>
      <c r="F825">
        <f t="shared" si="36"/>
        <v>2</v>
      </c>
      <c r="G825">
        <f>IF(F825&gt;F824,G824+B825*E825,B825*E825)</f>
        <v>0</v>
      </c>
      <c r="H825">
        <f t="shared" si="37"/>
        <v>0</v>
      </c>
      <c r="I825">
        <f t="shared" si="38"/>
        <v>0</v>
      </c>
    </row>
    <row r="826" spans="1:9">
      <c r="A826" s="1">
        <v>39923</v>
      </c>
      <c r="B826">
        <v>3.9962200000000001</v>
      </c>
      <c r="C826">
        <v>4.7249999999999996</v>
      </c>
      <c r="D826">
        <f>WEEKDAY(A826,14)</f>
        <v>5</v>
      </c>
      <c r="E826">
        <f>VLOOKUP(D826,L$2:M$8,2,FALSE)</f>
        <v>0.05</v>
      </c>
      <c r="F826">
        <f t="shared" si="36"/>
        <v>3</v>
      </c>
      <c r="G826">
        <f>IF(F826&gt;F825,G825+B826*E826,B826*E826)</f>
        <v>0.19981100000000002</v>
      </c>
      <c r="H826">
        <f t="shared" si="37"/>
        <v>0.05</v>
      </c>
      <c r="I826">
        <f t="shared" si="38"/>
        <v>0</v>
      </c>
    </row>
    <row r="827" spans="1:9">
      <c r="A827" s="1">
        <v>39924</v>
      </c>
      <c r="B827">
        <v>3.9960399999999998</v>
      </c>
      <c r="C827">
        <v>4.7249999999999996</v>
      </c>
      <c r="D827">
        <f>WEEKDAY(A827,14)</f>
        <v>6</v>
      </c>
      <c r="E827">
        <f>VLOOKUP(D827,L$2:M$8,2,FALSE)</f>
        <v>0.7</v>
      </c>
      <c r="F827">
        <f t="shared" si="36"/>
        <v>4</v>
      </c>
      <c r="G827">
        <f>IF(F827&gt;F826,G826+B827*E827,B827*E827)</f>
        <v>2.9970389999999996</v>
      </c>
      <c r="H827">
        <f t="shared" si="37"/>
        <v>0.75</v>
      </c>
      <c r="I827">
        <f t="shared" si="38"/>
        <v>0</v>
      </c>
    </row>
    <row r="828" spans="1:9">
      <c r="A828" s="1">
        <v>39925</v>
      </c>
      <c r="B828">
        <v>4.0244499999999999</v>
      </c>
      <c r="C828">
        <v>4.7249999999999996</v>
      </c>
      <c r="D828">
        <f>WEEKDAY(A828,14)</f>
        <v>7</v>
      </c>
      <c r="E828">
        <f>VLOOKUP(D828,L$2:M$8,2,FALSE)</f>
        <v>0.25</v>
      </c>
      <c r="F828">
        <f t="shared" si="36"/>
        <v>5</v>
      </c>
      <c r="G828">
        <f>IF(F828&gt;F827,G827+B828*E828,B828*E828)</f>
        <v>4.0031514999999995</v>
      </c>
      <c r="H828">
        <f t="shared" si="37"/>
        <v>1</v>
      </c>
      <c r="I828">
        <f t="shared" si="38"/>
        <v>0</v>
      </c>
    </row>
    <row r="829" spans="1:9">
      <c r="A829" s="1">
        <v>39926</v>
      </c>
      <c r="B829">
        <v>3.9940099999999998</v>
      </c>
      <c r="C829">
        <v>4.7050000000000001</v>
      </c>
      <c r="D829">
        <f>WEEKDAY(A829,14)</f>
        <v>1</v>
      </c>
      <c r="E829">
        <f>VLOOKUP(D829,L$2:M$8,2,FALSE)</f>
        <v>0</v>
      </c>
      <c r="F829">
        <f t="shared" si="36"/>
        <v>1</v>
      </c>
      <c r="G829">
        <f>IF(F829&gt;F828,G828+B829*E829,B829*E829)</f>
        <v>0</v>
      </c>
      <c r="H829">
        <f t="shared" si="37"/>
        <v>0</v>
      </c>
      <c r="I829">
        <f t="shared" si="38"/>
        <v>4.0031514999999995</v>
      </c>
    </row>
    <row r="830" spans="1:9">
      <c r="A830" s="1">
        <v>39927</v>
      </c>
      <c r="B830">
        <v>3.99335</v>
      </c>
      <c r="C830">
        <v>4.7050000000000001</v>
      </c>
      <c r="D830">
        <f>WEEKDAY(A830,14)</f>
        <v>2</v>
      </c>
      <c r="E830">
        <f>VLOOKUP(D830,L$2:M$8,2,FALSE)</f>
        <v>0</v>
      </c>
      <c r="F830">
        <f t="shared" si="36"/>
        <v>2</v>
      </c>
      <c r="G830">
        <f>IF(F830&gt;F829,G829+B830*E830,B830*E830)</f>
        <v>0</v>
      </c>
      <c r="H830">
        <f t="shared" si="37"/>
        <v>0</v>
      </c>
      <c r="I830">
        <f t="shared" si="38"/>
        <v>0</v>
      </c>
    </row>
    <row r="831" spans="1:9">
      <c r="A831" s="1">
        <v>39930</v>
      </c>
      <c r="B831">
        <v>3.8380399999999999</v>
      </c>
      <c r="C831">
        <v>4.7050000000000001</v>
      </c>
      <c r="D831">
        <f>WEEKDAY(A831,14)</f>
        <v>5</v>
      </c>
      <c r="E831">
        <f>VLOOKUP(D831,L$2:M$8,2,FALSE)</f>
        <v>0.05</v>
      </c>
      <c r="F831">
        <f t="shared" si="36"/>
        <v>3</v>
      </c>
      <c r="G831">
        <f>IF(F831&gt;F830,G830+B831*E831,B831*E831)</f>
        <v>0.19190200000000002</v>
      </c>
      <c r="H831">
        <f t="shared" si="37"/>
        <v>0.05</v>
      </c>
      <c r="I831">
        <f t="shared" si="38"/>
        <v>0</v>
      </c>
    </row>
    <row r="832" spans="1:9">
      <c r="A832" s="1">
        <v>39931</v>
      </c>
      <c r="B832">
        <v>3.9025099999999999</v>
      </c>
      <c r="C832">
        <v>4.7050000000000001</v>
      </c>
      <c r="D832">
        <f>WEEKDAY(A832,14)</f>
        <v>6</v>
      </c>
      <c r="E832">
        <f>VLOOKUP(D832,L$2:M$8,2,FALSE)</f>
        <v>0.7</v>
      </c>
      <c r="F832">
        <f t="shared" si="36"/>
        <v>4</v>
      </c>
      <c r="G832">
        <f>IF(F832&gt;F831,G831+B832*E832,B832*E832)</f>
        <v>2.9236589999999998</v>
      </c>
      <c r="H832">
        <f t="shared" si="37"/>
        <v>0.75</v>
      </c>
      <c r="I832">
        <f t="shared" si="38"/>
        <v>0</v>
      </c>
    </row>
    <row r="833" spans="1:9">
      <c r="A833" s="1">
        <v>39932</v>
      </c>
      <c r="B833">
        <v>3.9857</v>
      </c>
      <c r="C833">
        <v>4.7050000000000001</v>
      </c>
      <c r="D833">
        <f>WEEKDAY(A833,14)</f>
        <v>7</v>
      </c>
      <c r="E833">
        <f>VLOOKUP(D833,L$2:M$8,2,FALSE)</f>
        <v>0.25</v>
      </c>
      <c r="F833">
        <f t="shared" si="36"/>
        <v>5</v>
      </c>
      <c r="G833">
        <f>IF(F833&gt;F832,G832+B833*E833,B833*E833)</f>
        <v>3.9200839999999997</v>
      </c>
      <c r="H833">
        <f t="shared" si="37"/>
        <v>1</v>
      </c>
      <c r="I833">
        <f t="shared" si="38"/>
        <v>0</v>
      </c>
    </row>
    <row r="834" spans="1:9">
      <c r="A834" s="1">
        <v>39933</v>
      </c>
      <c r="B834">
        <v>4.0141</v>
      </c>
      <c r="C834">
        <v>4.7649999999999997</v>
      </c>
      <c r="D834">
        <f>WEEKDAY(A834,14)</f>
        <v>1</v>
      </c>
      <c r="E834">
        <f>VLOOKUP(D834,L$2:M$8,2,FALSE)</f>
        <v>0</v>
      </c>
      <c r="F834">
        <f t="shared" si="36"/>
        <v>1</v>
      </c>
      <c r="G834">
        <f>IF(F834&gt;F833,G833+B834*E834,B834*E834)</f>
        <v>0</v>
      </c>
      <c r="H834">
        <f t="shared" si="37"/>
        <v>0</v>
      </c>
      <c r="I834">
        <f t="shared" si="38"/>
        <v>3.9200839999999997</v>
      </c>
    </row>
    <row r="835" spans="1:9">
      <c r="A835" s="1">
        <v>39934</v>
      </c>
      <c r="B835">
        <v>4.08589</v>
      </c>
      <c r="C835">
        <v>4.7649999999999997</v>
      </c>
      <c r="D835">
        <f>WEEKDAY(A835,14)</f>
        <v>2</v>
      </c>
      <c r="E835">
        <f>VLOOKUP(D835,L$2:M$8,2,FALSE)</f>
        <v>0</v>
      </c>
      <c r="F835">
        <f t="shared" ref="F835:F898" si="39">IF(AND(D835&gt;D834,F834&lt;6),F834+1,1)</f>
        <v>2</v>
      </c>
      <c r="G835">
        <f>IF(F835&gt;F834,G834+B835*E835,B835*E835)</f>
        <v>0</v>
      </c>
      <c r="H835">
        <f t="shared" si="37"/>
        <v>0</v>
      </c>
      <c r="I835">
        <f t="shared" si="38"/>
        <v>0</v>
      </c>
    </row>
    <row r="836" spans="1:9">
      <c r="A836" s="1">
        <v>39937</v>
      </c>
      <c r="B836">
        <v>4.0382800000000003</v>
      </c>
      <c r="C836">
        <v>4.7649999999999997</v>
      </c>
      <c r="D836">
        <f>WEEKDAY(A836,14)</f>
        <v>5</v>
      </c>
      <c r="E836">
        <f>VLOOKUP(D836,L$2:M$8,2,FALSE)</f>
        <v>0.05</v>
      </c>
      <c r="F836">
        <f t="shared" si="39"/>
        <v>3</v>
      </c>
      <c r="G836">
        <f>IF(F836&gt;F835,G835+B836*E836,B836*E836)</f>
        <v>0.20191400000000004</v>
      </c>
      <c r="H836">
        <f t="shared" ref="H836:H899" si="40">IF(AND(F836&lt;6,F836&gt;F835),E836+H835,E836)</f>
        <v>0.05</v>
      </c>
      <c r="I836">
        <f t="shared" ref="I836:I899" si="41">IF(F835&gt;F836,G835/H835,0)</f>
        <v>0</v>
      </c>
    </row>
    <row r="837" spans="1:9">
      <c r="A837" s="1">
        <v>39938</v>
      </c>
      <c r="B837">
        <v>3.9839699999999998</v>
      </c>
      <c r="C837">
        <v>4.7649999999999997</v>
      </c>
      <c r="D837">
        <f>WEEKDAY(A837,14)</f>
        <v>6</v>
      </c>
      <c r="E837">
        <f>VLOOKUP(D837,L$2:M$8,2,FALSE)</f>
        <v>0.7</v>
      </c>
      <c r="F837">
        <f t="shared" si="39"/>
        <v>4</v>
      </c>
      <c r="G837">
        <f>IF(F837&gt;F836,G836+B837*E837,B837*E837)</f>
        <v>2.9906929999999998</v>
      </c>
      <c r="H837">
        <f t="shared" si="40"/>
        <v>0.75</v>
      </c>
      <c r="I837">
        <f t="shared" si="41"/>
        <v>0</v>
      </c>
    </row>
    <row r="838" spans="1:9">
      <c r="A838" s="1">
        <v>39939</v>
      </c>
      <c r="B838">
        <v>3.9681299999999999</v>
      </c>
      <c r="C838">
        <v>4.7649999999999997</v>
      </c>
      <c r="D838">
        <f>WEEKDAY(A838,14)</f>
        <v>7</v>
      </c>
      <c r="E838">
        <f>VLOOKUP(D838,L$2:M$8,2,FALSE)</f>
        <v>0.25</v>
      </c>
      <c r="F838">
        <f t="shared" si="39"/>
        <v>5</v>
      </c>
      <c r="G838">
        <f>IF(F838&gt;F837,G837+B838*E838,B838*E838)</f>
        <v>3.9827254999999999</v>
      </c>
      <c r="H838">
        <f t="shared" si="40"/>
        <v>1</v>
      </c>
      <c r="I838">
        <f t="shared" si="41"/>
        <v>0</v>
      </c>
    </row>
    <row r="839" spans="1:9">
      <c r="A839" s="1">
        <v>39940</v>
      </c>
      <c r="B839">
        <v>4.0854200000000001</v>
      </c>
      <c r="C839">
        <v>4.76</v>
      </c>
      <c r="D839">
        <f>WEEKDAY(A839,14)</f>
        <v>1</v>
      </c>
      <c r="E839">
        <f>VLOOKUP(D839,L$2:M$8,2,FALSE)</f>
        <v>0</v>
      </c>
      <c r="F839">
        <f t="shared" si="39"/>
        <v>1</v>
      </c>
      <c r="G839">
        <f>IF(F839&gt;F838,G838+B839*E839,B839*E839)</f>
        <v>0</v>
      </c>
      <c r="H839">
        <f t="shared" si="40"/>
        <v>0</v>
      </c>
      <c r="I839">
        <f t="shared" si="41"/>
        <v>3.9827254999999999</v>
      </c>
    </row>
    <row r="840" spans="1:9">
      <c r="A840" s="1">
        <v>39941</v>
      </c>
      <c r="B840">
        <v>4.1292600000000004</v>
      </c>
      <c r="C840">
        <v>4.76</v>
      </c>
      <c r="D840">
        <f>WEEKDAY(A840,14)</f>
        <v>2</v>
      </c>
      <c r="E840">
        <f>VLOOKUP(D840,L$2:M$8,2,FALSE)</f>
        <v>0</v>
      </c>
      <c r="F840">
        <f t="shared" si="39"/>
        <v>2</v>
      </c>
      <c r="G840">
        <f>IF(F840&gt;F839,G839+B840*E840,B840*E840)</f>
        <v>0</v>
      </c>
      <c r="H840">
        <f t="shared" si="40"/>
        <v>0</v>
      </c>
      <c r="I840">
        <f t="shared" si="41"/>
        <v>0</v>
      </c>
    </row>
    <row r="841" spans="1:9">
      <c r="A841" s="1">
        <v>39944</v>
      </c>
      <c r="B841">
        <v>3.9994900000000002</v>
      </c>
      <c r="C841">
        <v>4.76</v>
      </c>
      <c r="D841">
        <f>WEEKDAY(A841,14)</f>
        <v>5</v>
      </c>
      <c r="E841">
        <f>VLOOKUP(D841,L$2:M$8,2,FALSE)</f>
        <v>0.05</v>
      </c>
      <c r="F841">
        <f t="shared" si="39"/>
        <v>3</v>
      </c>
      <c r="G841">
        <f>IF(F841&gt;F840,G840+B841*E841,B841*E841)</f>
        <v>0.19997450000000003</v>
      </c>
      <c r="H841">
        <f t="shared" si="40"/>
        <v>0.05</v>
      </c>
      <c r="I841">
        <f t="shared" si="41"/>
        <v>0</v>
      </c>
    </row>
    <row r="842" spans="1:9">
      <c r="A842" s="1">
        <v>39945</v>
      </c>
      <c r="B842">
        <v>3.98366</v>
      </c>
      <c r="C842">
        <v>4.76</v>
      </c>
      <c r="D842">
        <f>WEEKDAY(A842,14)</f>
        <v>6</v>
      </c>
      <c r="E842">
        <f>VLOOKUP(D842,L$2:M$8,2,FALSE)</f>
        <v>0.7</v>
      </c>
      <c r="F842">
        <f t="shared" si="39"/>
        <v>4</v>
      </c>
      <c r="G842">
        <f>IF(F842&gt;F841,G841+B842*E842,B842*E842)</f>
        <v>2.9885364999999999</v>
      </c>
      <c r="H842">
        <f t="shared" si="40"/>
        <v>0.75</v>
      </c>
      <c r="I842">
        <f t="shared" si="41"/>
        <v>0</v>
      </c>
    </row>
    <row r="843" spans="1:9">
      <c r="A843" s="1">
        <v>39946</v>
      </c>
      <c r="B843">
        <v>3.9344399999999999</v>
      </c>
      <c r="C843">
        <v>4.76</v>
      </c>
      <c r="D843">
        <f>WEEKDAY(A843,14)</f>
        <v>7</v>
      </c>
      <c r="E843">
        <f>VLOOKUP(D843,L$2:M$8,2,FALSE)</f>
        <v>0.25</v>
      </c>
      <c r="F843">
        <f t="shared" si="39"/>
        <v>5</v>
      </c>
      <c r="G843">
        <f>IF(F843&gt;F842,G842+B843*E843,B843*E843)</f>
        <v>3.9721465</v>
      </c>
      <c r="H843">
        <f t="shared" si="40"/>
        <v>1</v>
      </c>
      <c r="I843">
        <f t="shared" si="41"/>
        <v>0</v>
      </c>
    </row>
    <row r="844" spans="1:9">
      <c r="A844" s="1">
        <v>39947</v>
      </c>
      <c r="B844">
        <v>3.93771</v>
      </c>
      <c r="C844">
        <v>4.7450000000000001</v>
      </c>
      <c r="D844">
        <f>WEEKDAY(A844,14)</f>
        <v>1</v>
      </c>
      <c r="E844">
        <f>VLOOKUP(D844,L$2:M$8,2,FALSE)</f>
        <v>0</v>
      </c>
      <c r="F844">
        <f t="shared" si="39"/>
        <v>1</v>
      </c>
      <c r="G844">
        <f>IF(F844&gt;F843,G843+B844*E844,B844*E844)</f>
        <v>0</v>
      </c>
      <c r="H844">
        <f t="shared" si="40"/>
        <v>0</v>
      </c>
      <c r="I844">
        <f t="shared" si="41"/>
        <v>3.9721465</v>
      </c>
    </row>
    <row r="845" spans="1:9">
      <c r="A845" s="1">
        <v>39948</v>
      </c>
      <c r="B845">
        <v>3.9483600000000001</v>
      </c>
      <c r="C845">
        <v>4.7450000000000001</v>
      </c>
      <c r="D845">
        <f>WEEKDAY(A845,14)</f>
        <v>2</v>
      </c>
      <c r="E845">
        <f>VLOOKUP(D845,L$2:M$8,2,FALSE)</f>
        <v>0</v>
      </c>
      <c r="F845">
        <f t="shared" si="39"/>
        <v>2</v>
      </c>
      <c r="G845">
        <f>IF(F845&gt;F844,G844+B845*E845,B845*E845)</f>
        <v>0</v>
      </c>
      <c r="H845">
        <f t="shared" si="40"/>
        <v>0</v>
      </c>
      <c r="I845">
        <f t="shared" si="41"/>
        <v>0</v>
      </c>
    </row>
    <row r="846" spans="1:9">
      <c r="A846" s="1">
        <v>39951</v>
      </c>
      <c r="B846">
        <v>3.9990199999999998</v>
      </c>
      <c r="C846">
        <v>4.7450000000000001</v>
      </c>
      <c r="D846">
        <f>WEEKDAY(A846,14)</f>
        <v>5</v>
      </c>
      <c r="E846">
        <f>VLOOKUP(D846,L$2:M$8,2,FALSE)</f>
        <v>0.05</v>
      </c>
      <c r="F846">
        <f t="shared" si="39"/>
        <v>3</v>
      </c>
      <c r="G846">
        <f>IF(F846&gt;F845,G845+B846*E846,B846*E846)</f>
        <v>0.19995099999999999</v>
      </c>
      <c r="H846">
        <f t="shared" si="40"/>
        <v>0.05</v>
      </c>
      <c r="I846">
        <f t="shared" si="41"/>
        <v>0</v>
      </c>
    </row>
    <row r="847" spans="1:9">
      <c r="A847" s="1">
        <v>39952</v>
      </c>
      <c r="B847">
        <v>4.0019400000000003</v>
      </c>
      <c r="C847">
        <v>4.7450000000000001</v>
      </c>
      <c r="D847">
        <f>WEEKDAY(A847,14)</f>
        <v>6</v>
      </c>
      <c r="E847">
        <f>VLOOKUP(D847,L$2:M$8,2,FALSE)</f>
        <v>0.7</v>
      </c>
      <c r="F847">
        <f t="shared" si="39"/>
        <v>4</v>
      </c>
      <c r="G847">
        <f>IF(F847&gt;F846,G846+B847*E847,B847*E847)</f>
        <v>3.001309</v>
      </c>
      <c r="H847">
        <f t="shared" si="40"/>
        <v>0.75</v>
      </c>
      <c r="I847">
        <f t="shared" si="41"/>
        <v>0</v>
      </c>
    </row>
    <row r="848" spans="1:9">
      <c r="A848" s="1">
        <v>39953</v>
      </c>
      <c r="B848">
        <v>3.9658899999999999</v>
      </c>
      <c r="C848">
        <v>4.7450000000000001</v>
      </c>
      <c r="D848">
        <f>WEEKDAY(A848,14)</f>
        <v>7</v>
      </c>
      <c r="E848">
        <f>VLOOKUP(D848,L$2:M$8,2,FALSE)</f>
        <v>0.25</v>
      </c>
      <c r="F848">
        <f t="shared" si="39"/>
        <v>5</v>
      </c>
      <c r="G848">
        <f>IF(F848&gt;F847,G847+B848*E848,B848*E848)</f>
        <v>3.9927815</v>
      </c>
      <c r="H848">
        <f t="shared" si="40"/>
        <v>1</v>
      </c>
      <c r="I848">
        <f t="shared" si="41"/>
        <v>0</v>
      </c>
    </row>
    <row r="849" spans="1:9">
      <c r="A849" s="1">
        <v>39954</v>
      </c>
      <c r="B849">
        <v>4.0625</v>
      </c>
      <c r="C849">
        <v>4.835</v>
      </c>
      <c r="D849">
        <f>WEEKDAY(A849,14)</f>
        <v>1</v>
      </c>
      <c r="E849">
        <f>VLOOKUP(D849,L$2:M$8,2,FALSE)</f>
        <v>0</v>
      </c>
      <c r="F849">
        <f t="shared" si="39"/>
        <v>1</v>
      </c>
      <c r="G849">
        <f>IF(F849&gt;F848,G848+B849*E849,B849*E849)</f>
        <v>0</v>
      </c>
      <c r="H849">
        <f t="shared" si="40"/>
        <v>0</v>
      </c>
      <c r="I849">
        <f t="shared" si="41"/>
        <v>3.9927815</v>
      </c>
    </row>
    <row r="850" spans="1:9">
      <c r="A850" s="1">
        <v>39955</v>
      </c>
      <c r="B850">
        <v>4.1267899999999997</v>
      </c>
      <c r="C850">
        <v>4.835</v>
      </c>
      <c r="D850">
        <f>WEEKDAY(A850,14)</f>
        <v>2</v>
      </c>
      <c r="E850">
        <f>VLOOKUP(D850,L$2:M$8,2,FALSE)</f>
        <v>0</v>
      </c>
      <c r="F850">
        <f t="shared" si="39"/>
        <v>2</v>
      </c>
      <c r="G850">
        <f>IF(F850&gt;F849,G849+B850*E850,B850*E850)</f>
        <v>0</v>
      </c>
      <c r="H850">
        <f t="shared" si="40"/>
        <v>0</v>
      </c>
      <c r="I850">
        <f t="shared" si="41"/>
        <v>0</v>
      </c>
    </row>
    <row r="851" spans="1:9">
      <c r="A851" s="1">
        <v>39959</v>
      </c>
      <c r="B851">
        <v>4.1848000000000001</v>
      </c>
      <c r="C851">
        <v>4.835</v>
      </c>
      <c r="D851">
        <f>WEEKDAY(A851,14)</f>
        <v>6</v>
      </c>
      <c r="E851">
        <f>VLOOKUP(D851,L$2:M$8,2,FALSE)</f>
        <v>0.7</v>
      </c>
      <c r="F851">
        <f t="shared" si="39"/>
        <v>3</v>
      </c>
      <c r="G851">
        <f>IF(F851&gt;F850,G850+B851*E851,B851*E851)</f>
        <v>2.92936</v>
      </c>
      <c r="H851">
        <f t="shared" si="40"/>
        <v>0.7</v>
      </c>
      <c r="I851">
        <f t="shared" si="41"/>
        <v>0</v>
      </c>
    </row>
    <row r="852" spans="1:9">
      <c r="A852" s="1">
        <v>39960</v>
      </c>
      <c r="B852">
        <v>4.5461299999999998</v>
      </c>
      <c r="C852">
        <v>4.835</v>
      </c>
      <c r="D852">
        <f>WEEKDAY(A852,14)</f>
        <v>7</v>
      </c>
      <c r="E852">
        <f>VLOOKUP(D852,L$2:M$8,2,FALSE)</f>
        <v>0.25</v>
      </c>
      <c r="F852">
        <f t="shared" si="39"/>
        <v>4</v>
      </c>
      <c r="G852">
        <f>IF(F852&gt;F851,G851+B852*E852,B852*E852)</f>
        <v>4.0658925000000004</v>
      </c>
      <c r="H852">
        <f t="shared" si="40"/>
        <v>0.95</v>
      </c>
      <c r="I852">
        <f t="shared" si="41"/>
        <v>0</v>
      </c>
    </row>
    <row r="853" spans="1:9">
      <c r="A853" s="1">
        <v>39961</v>
      </c>
      <c r="B853">
        <v>4.6970099999999997</v>
      </c>
      <c r="C853">
        <v>5.2149999999999999</v>
      </c>
      <c r="D853">
        <f>WEEKDAY(A853,14)</f>
        <v>1</v>
      </c>
      <c r="E853">
        <f>VLOOKUP(D853,L$2:M$8,2,FALSE)</f>
        <v>0</v>
      </c>
      <c r="F853">
        <f t="shared" si="39"/>
        <v>1</v>
      </c>
      <c r="G853">
        <f>IF(F853&gt;F852,G852+B853*E853,B853*E853)</f>
        <v>0</v>
      </c>
      <c r="H853">
        <f t="shared" si="40"/>
        <v>0</v>
      </c>
      <c r="I853">
        <f t="shared" si="41"/>
        <v>4.279886842105264</v>
      </c>
    </row>
    <row r="854" spans="1:9">
      <c r="A854" s="1">
        <v>39962</v>
      </c>
      <c r="B854">
        <v>4.3483000000000001</v>
      </c>
      <c r="C854">
        <v>5.2149999999999999</v>
      </c>
      <c r="D854">
        <f>WEEKDAY(A854,14)</f>
        <v>2</v>
      </c>
      <c r="E854">
        <f>VLOOKUP(D854,L$2:M$8,2,FALSE)</f>
        <v>0</v>
      </c>
      <c r="F854">
        <f t="shared" si="39"/>
        <v>2</v>
      </c>
      <c r="G854">
        <f>IF(F854&gt;F853,G853+B854*E854,B854*E854)</f>
        <v>0</v>
      </c>
      <c r="H854">
        <f t="shared" si="40"/>
        <v>0</v>
      </c>
      <c r="I854">
        <f t="shared" si="41"/>
        <v>0</v>
      </c>
    </row>
    <row r="855" spans="1:9">
      <c r="A855" s="1">
        <v>39965</v>
      </c>
      <c r="B855">
        <v>4.6571899999999999</v>
      </c>
      <c r="C855">
        <v>5.2149999999999999</v>
      </c>
      <c r="D855">
        <f>WEEKDAY(A855,14)</f>
        <v>5</v>
      </c>
      <c r="E855">
        <f>VLOOKUP(D855,L$2:M$8,2,FALSE)</f>
        <v>0.05</v>
      </c>
      <c r="F855">
        <f t="shared" si="39"/>
        <v>3</v>
      </c>
      <c r="G855">
        <f>IF(F855&gt;F854,G854+B855*E855,B855*E855)</f>
        <v>0.2328595</v>
      </c>
      <c r="H855">
        <f t="shared" si="40"/>
        <v>0.05</v>
      </c>
      <c r="I855">
        <f t="shared" si="41"/>
        <v>0</v>
      </c>
    </row>
    <row r="856" spans="1:9">
      <c r="A856" s="1">
        <v>39966</v>
      </c>
      <c r="B856">
        <v>4.6038300000000003</v>
      </c>
      <c r="C856">
        <v>5.2149999999999999</v>
      </c>
      <c r="D856">
        <f>WEEKDAY(A856,14)</f>
        <v>6</v>
      </c>
      <c r="E856">
        <f>VLOOKUP(D856,L$2:M$8,2,FALSE)</f>
        <v>0.7</v>
      </c>
      <c r="F856">
        <f t="shared" si="39"/>
        <v>4</v>
      </c>
      <c r="G856">
        <f>IF(F856&gt;F855,G855+B856*E856,B856*E856)</f>
        <v>3.4555405000000001</v>
      </c>
      <c r="H856">
        <f t="shared" si="40"/>
        <v>0.75</v>
      </c>
      <c r="I856">
        <f t="shared" si="41"/>
        <v>0</v>
      </c>
    </row>
    <row r="857" spans="1:9">
      <c r="A857" s="1">
        <v>39967</v>
      </c>
      <c r="B857">
        <v>4.5316599999999996</v>
      </c>
      <c r="C857">
        <v>5.2149999999999999</v>
      </c>
      <c r="D857">
        <f>WEEKDAY(A857,14)</f>
        <v>7</v>
      </c>
      <c r="E857">
        <f>VLOOKUP(D857,L$2:M$8,2,FALSE)</f>
        <v>0.25</v>
      </c>
      <c r="F857">
        <f t="shared" si="39"/>
        <v>5</v>
      </c>
      <c r="G857">
        <f>IF(F857&gt;F856,G856+B857*E857,B857*E857)</f>
        <v>4.5884555000000002</v>
      </c>
      <c r="H857">
        <f t="shared" si="40"/>
        <v>1</v>
      </c>
      <c r="I857">
        <f t="shared" si="41"/>
        <v>0</v>
      </c>
    </row>
    <row r="858" spans="1:9">
      <c r="A858" s="1">
        <v>39968</v>
      </c>
      <c r="B858">
        <v>4.7247700000000004</v>
      </c>
      <c r="C858">
        <v>5.5149999999999997</v>
      </c>
      <c r="D858">
        <f>WEEKDAY(A858,14)</f>
        <v>1</v>
      </c>
      <c r="E858">
        <f>VLOOKUP(D858,L$2:M$8,2,FALSE)</f>
        <v>0</v>
      </c>
      <c r="F858">
        <f t="shared" si="39"/>
        <v>1</v>
      </c>
      <c r="G858">
        <f>IF(F858&gt;F857,G857+B858*E858,B858*E858)</f>
        <v>0</v>
      </c>
      <c r="H858">
        <f t="shared" si="40"/>
        <v>0</v>
      </c>
      <c r="I858">
        <f t="shared" si="41"/>
        <v>4.5884555000000002</v>
      </c>
    </row>
    <row r="859" spans="1:9">
      <c r="A859" s="1">
        <v>39969</v>
      </c>
      <c r="B859">
        <v>4.9133599999999999</v>
      </c>
      <c r="C859">
        <v>5.5149999999999997</v>
      </c>
      <c r="D859">
        <f>WEEKDAY(A859,14)</f>
        <v>2</v>
      </c>
      <c r="E859">
        <f>VLOOKUP(D859,L$2:M$8,2,FALSE)</f>
        <v>0</v>
      </c>
      <c r="F859">
        <f t="shared" si="39"/>
        <v>2</v>
      </c>
      <c r="G859">
        <f>IF(F859&gt;F858,G858+B859*E859,B859*E859)</f>
        <v>0</v>
      </c>
      <c r="H859">
        <f t="shared" si="40"/>
        <v>0</v>
      </c>
      <c r="I859">
        <f t="shared" si="41"/>
        <v>0</v>
      </c>
    </row>
    <row r="860" spans="1:9">
      <c r="A860" s="1">
        <v>39972</v>
      </c>
      <c r="B860">
        <v>5.0210299999999997</v>
      </c>
      <c r="C860">
        <v>5.5149999999999997</v>
      </c>
      <c r="D860">
        <f>WEEKDAY(A860,14)</f>
        <v>5</v>
      </c>
      <c r="E860">
        <f>VLOOKUP(D860,L$2:M$8,2,FALSE)</f>
        <v>0.05</v>
      </c>
      <c r="F860">
        <f t="shared" si="39"/>
        <v>3</v>
      </c>
      <c r="G860">
        <f>IF(F860&gt;F859,G859+B860*E860,B860*E860)</f>
        <v>0.25105149999999998</v>
      </c>
      <c r="H860">
        <f t="shared" si="40"/>
        <v>0.05</v>
      </c>
      <c r="I860">
        <f t="shared" si="41"/>
        <v>0</v>
      </c>
    </row>
    <row r="861" spans="1:9">
      <c r="A861" s="1">
        <v>39973</v>
      </c>
      <c r="B861">
        <v>4.9680900000000001</v>
      </c>
      <c r="C861">
        <v>5.5149999999999997</v>
      </c>
      <c r="D861">
        <f>WEEKDAY(A861,14)</f>
        <v>6</v>
      </c>
      <c r="E861">
        <f>VLOOKUP(D861,L$2:M$8,2,FALSE)</f>
        <v>0.7</v>
      </c>
      <c r="F861">
        <f t="shared" si="39"/>
        <v>4</v>
      </c>
      <c r="G861">
        <f>IF(F861&gt;F860,G860+B861*E861,B861*E861)</f>
        <v>3.7287144999999997</v>
      </c>
      <c r="H861">
        <f t="shared" si="40"/>
        <v>0.75</v>
      </c>
      <c r="I861">
        <f t="shared" si="41"/>
        <v>0</v>
      </c>
    </row>
    <row r="862" spans="1:9">
      <c r="A862" s="1">
        <v>39974</v>
      </c>
      <c r="B862">
        <v>5.0580299999999996</v>
      </c>
      <c r="C862">
        <v>5.5149999999999997</v>
      </c>
      <c r="D862">
        <f>WEEKDAY(A862,14)</f>
        <v>7</v>
      </c>
      <c r="E862">
        <f>VLOOKUP(D862,L$2:M$8,2,FALSE)</f>
        <v>0.25</v>
      </c>
      <c r="F862">
        <f t="shared" si="39"/>
        <v>5</v>
      </c>
      <c r="G862">
        <f>IF(F862&gt;F861,G861+B862*E862,B862*E862)</f>
        <v>4.9932219999999994</v>
      </c>
      <c r="H862">
        <f t="shared" si="40"/>
        <v>1</v>
      </c>
      <c r="I862">
        <f t="shared" si="41"/>
        <v>0</v>
      </c>
    </row>
    <row r="863" spans="1:9">
      <c r="A863" s="1">
        <v>39975</v>
      </c>
      <c r="B863">
        <v>4.9733999999999998</v>
      </c>
      <c r="C863">
        <v>5.3049999999999997</v>
      </c>
      <c r="D863">
        <f>WEEKDAY(A863,14)</f>
        <v>1</v>
      </c>
      <c r="E863">
        <f>VLOOKUP(D863,L$2:M$8,2,FALSE)</f>
        <v>0</v>
      </c>
      <c r="F863">
        <f t="shared" si="39"/>
        <v>1</v>
      </c>
      <c r="G863">
        <f>IF(F863&gt;F862,G862+B863*E863,B863*E863)</f>
        <v>0</v>
      </c>
      <c r="H863">
        <f t="shared" si="40"/>
        <v>0</v>
      </c>
      <c r="I863">
        <f t="shared" si="41"/>
        <v>4.9932219999999994</v>
      </c>
    </row>
    <row r="864" spans="1:9">
      <c r="A864" s="1">
        <v>39976</v>
      </c>
      <c r="B864">
        <v>4.84314</v>
      </c>
      <c r="C864">
        <v>5.3049999999999997</v>
      </c>
      <c r="D864">
        <f>WEEKDAY(A864,14)</f>
        <v>2</v>
      </c>
      <c r="E864">
        <f>VLOOKUP(D864,L$2:M$8,2,FALSE)</f>
        <v>0</v>
      </c>
      <c r="F864">
        <f t="shared" si="39"/>
        <v>2</v>
      </c>
      <c r="G864">
        <f>IF(F864&gt;F863,G863+B864*E864,B864*E864)</f>
        <v>0</v>
      </c>
      <c r="H864">
        <f t="shared" si="40"/>
        <v>0</v>
      </c>
      <c r="I864">
        <f t="shared" si="41"/>
        <v>0</v>
      </c>
    </row>
    <row r="865" spans="1:9">
      <c r="A865" s="1">
        <v>39979</v>
      </c>
      <c r="B865">
        <v>4.7158499999999997</v>
      </c>
      <c r="C865">
        <v>5.3049999999999997</v>
      </c>
      <c r="D865">
        <f>WEEKDAY(A865,14)</f>
        <v>5</v>
      </c>
      <c r="E865">
        <f>VLOOKUP(D865,L$2:M$8,2,FALSE)</f>
        <v>0.05</v>
      </c>
      <c r="F865">
        <f t="shared" si="39"/>
        <v>3</v>
      </c>
      <c r="G865">
        <f>IF(F865&gt;F864,G864+B865*E865,B865*E865)</f>
        <v>0.23579249999999999</v>
      </c>
      <c r="H865">
        <f t="shared" si="40"/>
        <v>0.05</v>
      </c>
      <c r="I865">
        <f t="shared" si="41"/>
        <v>0</v>
      </c>
    </row>
    <row r="866" spans="1:9">
      <c r="A866" s="1">
        <v>39980</v>
      </c>
      <c r="B866">
        <v>4.6514300000000004</v>
      </c>
      <c r="C866">
        <v>5.3049999999999997</v>
      </c>
      <c r="D866">
        <f>WEEKDAY(A866,14)</f>
        <v>6</v>
      </c>
      <c r="E866">
        <f>VLOOKUP(D866,L$2:M$8,2,FALSE)</f>
        <v>0.7</v>
      </c>
      <c r="F866">
        <f t="shared" si="39"/>
        <v>4</v>
      </c>
      <c r="G866">
        <f>IF(F866&gt;F865,G865+B866*E866,B866*E866)</f>
        <v>3.4917935</v>
      </c>
      <c r="H866">
        <f t="shared" si="40"/>
        <v>0.75</v>
      </c>
      <c r="I866">
        <f t="shared" si="41"/>
        <v>0</v>
      </c>
    </row>
    <row r="867" spans="1:9">
      <c r="A867" s="1">
        <v>39981</v>
      </c>
      <c r="B867">
        <v>4.5533700000000001</v>
      </c>
      <c r="C867">
        <v>5.3049999999999997</v>
      </c>
      <c r="D867">
        <f>WEEKDAY(A867,14)</f>
        <v>7</v>
      </c>
      <c r="E867">
        <f>VLOOKUP(D867,L$2:M$8,2,FALSE)</f>
        <v>0.25</v>
      </c>
      <c r="F867">
        <f t="shared" si="39"/>
        <v>5</v>
      </c>
      <c r="G867">
        <f>IF(F867&gt;F866,G866+B867*E867,B867*E867)</f>
        <v>4.6301360000000003</v>
      </c>
      <c r="H867">
        <f t="shared" si="40"/>
        <v>1</v>
      </c>
      <c r="I867">
        <f t="shared" si="41"/>
        <v>0</v>
      </c>
    </row>
    <row r="868" spans="1:9">
      <c r="A868" s="1">
        <v>39982</v>
      </c>
      <c r="B868">
        <v>4.8695300000000001</v>
      </c>
      <c r="C868">
        <v>5.3449999999999998</v>
      </c>
      <c r="D868">
        <f>WEEKDAY(A868,14)</f>
        <v>1</v>
      </c>
      <c r="E868">
        <f>VLOOKUP(D868,L$2:M$8,2,FALSE)</f>
        <v>0</v>
      </c>
      <c r="F868">
        <f t="shared" si="39"/>
        <v>1</v>
      </c>
      <c r="G868">
        <f>IF(F868&gt;F867,G867+B868*E868,B868*E868)</f>
        <v>0</v>
      </c>
      <c r="H868">
        <f t="shared" si="40"/>
        <v>0</v>
      </c>
      <c r="I868">
        <f t="shared" si="41"/>
        <v>4.6301360000000003</v>
      </c>
    </row>
    <row r="869" spans="1:9">
      <c r="A869" s="1">
        <v>39983</v>
      </c>
      <c r="B869">
        <v>4.7997699999999996</v>
      </c>
      <c r="C869">
        <v>5.3449999999999998</v>
      </c>
      <c r="D869">
        <f>WEEKDAY(A869,14)</f>
        <v>2</v>
      </c>
      <c r="E869">
        <f>VLOOKUP(D869,L$2:M$8,2,FALSE)</f>
        <v>0</v>
      </c>
      <c r="F869">
        <f t="shared" si="39"/>
        <v>2</v>
      </c>
      <c r="G869">
        <f>IF(F869&gt;F868,G868+B869*E869,B869*E869)</f>
        <v>0</v>
      </c>
      <c r="H869">
        <f t="shared" si="40"/>
        <v>0</v>
      </c>
      <c r="I869">
        <f t="shared" si="41"/>
        <v>0</v>
      </c>
    </row>
    <row r="870" spans="1:9">
      <c r="A870" s="1">
        <v>39986</v>
      </c>
      <c r="B870">
        <v>4.7069200000000002</v>
      </c>
      <c r="C870">
        <v>5.3449999999999998</v>
      </c>
      <c r="D870">
        <f>WEEKDAY(A870,14)</f>
        <v>5</v>
      </c>
      <c r="E870">
        <f>VLOOKUP(D870,L$2:M$8,2,FALSE)</f>
        <v>0.05</v>
      </c>
      <c r="F870">
        <f t="shared" si="39"/>
        <v>3</v>
      </c>
      <c r="G870">
        <f>IF(F870&gt;F869,G869+B870*E870,B870*E870)</f>
        <v>0.23534600000000003</v>
      </c>
      <c r="H870">
        <f t="shared" si="40"/>
        <v>0.05</v>
      </c>
      <c r="I870">
        <f t="shared" si="41"/>
        <v>0</v>
      </c>
    </row>
    <row r="871" spans="1:9">
      <c r="A871" s="1">
        <v>39987</v>
      </c>
      <c r="B871">
        <v>4.7171700000000003</v>
      </c>
      <c r="C871">
        <v>5.3449999999999998</v>
      </c>
      <c r="D871">
        <f>WEEKDAY(A871,14)</f>
        <v>6</v>
      </c>
      <c r="E871">
        <f>VLOOKUP(D871,L$2:M$8,2,FALSE)</f>
        <v>0.7</v>
      </c>
      <c r="F871">
        <f t="shared" si="39"/>
        <v>4</v>
      </c>
      <c r="G871">
        <f>IF(F871&gt;F870,G870+B871*E871,B871*E871)</f>
        <v>3.5373649999999999</v>
      </c>
      <c r="H871">
        <f t="shared" si="40"/>
        <v>0.75</v>
      </c>
      <c r="I871">
        <f t="shared" si="41"/>
        <v>0</v>
      </c>
    </row>
    <row r="872" spans="1:9">
      <c r="A872" s="1">
        <v>39988</v>
      </c>
      <c r="B872">
        <v>4.7295199999999999</v>
      </c>
      <c r="C872">
        <v>5.3449999999999998</v>
      </c>
      <c r="D872">
        <f>WEEKDAY(A872,14)</f>
        <v>7</v>
      </c>
      <c r="E872">
        <f>VLOOKUP(D872,L$2:M$8,2,FALSE)</f>
        <v>0.25</v>
      </c>
      <c r="F872">
        <f t="shared" si="39"/>
        <v>5</v>
      </c>
      <c r="G872">
        <f>IF(F872&gt;F871,G871+B872*E872,B872*E872)</f>
        <v>4.7197449999999996</v>
      </c>
      <c r="H872">
        <f t="shared" si="40"/>
        <v>1</v>
      </c>
      <c r="I872">
        <f t="shared" si="41"/>
        <v>0</v>
      </c>
    </row>
    <row r="873" spans="1:9">
      <c r="A873" s="1">
        <v>39989</v>
      </c>
      <c r="B873">
        <v>4.5573600000000001</v>
      </c>
      <c r="C873">
        <v>5.2450000000000001</v>
      </c>
      <c r="D873">
        <f>WEEKDAY(A873,14)</f>
        <v>1</v>
      </c>
      <c r="E873">
        <f>VLOOKUP(D873,L$2:M$8,2,FALSE)</f>
        <v>0</v>
      </c>
      <c r="F873">
        <f t="shared" si="39"/>
        <v>1</v>
      </c>
      <c r="G873">
        <f>IF(F873&gt;F872,G872+B873*E873,B873*E873)</f>
        <v>0</v>
      </c>
      <c r="H873">
        <f t="shared" si="40"/>
        <v>0</v>
      </c>
      <c r="I873">
        <f t="shared" si="41"/>
        <v>4.7197449999999996</v>
      </c>
    </row>
    <row r="874" spans="1:9">
      <c r="A874" s="1">
        <v>39990</v>
      </c>
      <c r="B874">
        <v>4.52963</v>
      </c>
      <c r="C874">
        <v>5.2450000000000001</v>
      </c>
      <c r="D874">
        <f>WEEKDAY(A874,14)</f>
        <v>2</v>
      </c>
      <c r="E874">
        <f>VLOOKUP(D874,L$2:M$8,2,FALSE)</f>
        <v>0</v>
      </c>
      <c r="F874">
        <f t="shared" si="39"/>
        <v>2</v>
      </c>
      <c r="G874">
        <f>IF(F874&gt;F873,G873+B874*E874,B874*E874)</f>
        <v>0</v>
      </c>
      <c r="H874">
        <f t="shared" si="40"/>
        <v>0</v>
      </c>
      <c r="I874">
        <f t="shared" si="41"/>
        <v>0</v>
      </c>
    </row>
    <row r="875" spans="1:9">
      <c r="A875" s="1">
        <v>39993</v>
      </c>
      <c r="B875">
        <v>4.5382300000000004</v>
      </c>
      <c r="C875">
        <v>5.2450000000000001</v>
      </c>
      <c r="D875">
        <f>WEEKDAY(A875,14)</f>
        <v>5</v>
      </c>
      <c r="E875">
        <f>VLOOKUP(D875,L$2:M$8,2,FALSE)</f>
        <v>0.05</v>
      </c>
      <c r="F875">
        <f t="shared" si="39"/>
        <v>3</v>
      </c>
      <c r="G875">
        <f>IF(F875&gt;F874,G874+B875*E875,B875*E875)</f>
        <v>0.22691150000000004</v>
      </c>
      <c r="H875">
        <f t="shared" si="40"/>
        <v>0.05</v>
      </c>
      <c r="I875">
        <f t="shared" si="41"/>
        <v>0</v>
      </c>
    </row>
    <row r="876" spans="1:9">
      <c r="A876" s="1">
        <v>39994</v>
      </c>
      <c r="B876">
        <v>4.5836899999999998</v>
      </c>
      <c r="C876">
        <v>5.2450000000000001</v>
      </c>
      <c r="D876">
        <f>WEEKDAY(A876,14)</f>
        <v>6</v>
      </c>
      <c r="E876">
        <f>VLOOKUP(D876,L$2:M$8,2,FALSE)</f>
        <v>0.7</v>
      </c>
      <c r="F876">
        <f t="shared" si="39"/>
        <v>4</v>
      </c>
      <c r="G876">
        <f>IF(F876&gt;F875,G875+B876*E876,B876*E876)</f>
        <v>3.4354944999999995</v>
      </c>
      <c r="H876">
        <f t="shared" si="40"/>
        <v>0.75</v>
      </c>
      <c r="I876">
        <f t="shared" si="41"/>
        <v>0</v>
      </c>
    </row>
    <row r="877" spans="1:9">
      <c r="A877" s="1">
        <v>39995</v>
      </c>
      <c r="B877">
        <v>4.55199</v>
      </c>
      <c r="C877">
        <v>5.2450000000000001</v>
      </c>
      <c r="D877">
        <f>WEEKDAY(A877,14)</f>
        <v>7</v>
      </c>
      <c r="E877">
        <f>VLOOKUP(D877,L$2:M$8,2,FALSE)</f>
        <v>0.25</v>
      </c>
      <c r="F877">
        <f t="shared" si="39"/>
        <v>5</v>
      </c>
      <c r="G877">
        <f>IF(F877&gt;F876,G876+B877*E877,B877*E877)</f>
        <v>4.5734919999999999</v>
      </c>
      <c r="H877">
        <f t="shared" si="40"/>
        <v>1</v>
      </c>
      <c r="I877">
        <f t="shared" si="41"/>
        <v>0</v>
      </c>
    </row>
    <row r="878" spans="1:9">
      <c r="A878" s="1">
        <v>39996</v>
      </c>
      <c r="B878">
        <v>4.5123800000000003</v>
      </c>
      <c r="C878">
        <v>5.125</v>
      </c>
      <c r="D878">
        <f>WEEKDAY(A878,14)</f>
        <v>1</v>
      </c>
      <c r="E878">
        <f>VLOOKUP(D878,L$2:M$8,2,FALSE)</f>
        <v>0</v>
      </c>
      <c r="F878">
        <f t="shared" si="39"/>
        <v>1</v>
      </c>
      <c r="G878">
        <f>IF(F878&gt;F877,G877+B878*E878,B878*E878)</f>
        <v>0</v>
      </c>
      <c r="H878">
        <f t="shared" si="40"/>
        <v>0</v>
      </c>
      <c r="I878">
        <f t="shared" si="41"/>
        <v>4.5734919999999999</v>
      </c>
    </row>
    <row r="879" spans="1:9">
      <c r="A879" s="1">
        <v>40000</v>
      </c>
      <c r="B879">
        <v>4.5132099999999999</v>
      </c>
      <c r="C879">
        <v>5.125</v>
      </c>
      <c r="D879">
        <f>WEEKDAY(A879,14)</f>
        <v>5</v>
      </c>
      <c r="E879">
        <f>VLOOKUP(D879,L$2:M$8,2,FALSE)</f>
        <v>0.05</v>
      </c>
      <c r="F879">
        <f t="shared" si="39"/>
        <v>2</v>
      </c>
      <c r="G879">
        <f>IF(F879&gt;F878,G878+B879*E879,B879*E879)</f>
        <v>0.22566050000000001</v>
      </c>
      <c r="H879">
        <f t="shared" si="40"/>
        <v>0.05</v>
      </c>
      <c r="I879">
        <f t="shared" si="41"/>
        <v>0</v>
      </c>
    </row>
    <row r="880" spans="1:9">
      <c r="A880" s="1">
        <v>40001</v>
      </c>
      <c r="B880">
        <v>4.4764900000000001</v>
      </c>
      <c r="C880">
        <v>5.125</v>
      </c>
      <c r="D880">
        <f>WEEKDAY(A880,14)</f>
        <v>6</v>
      </c>
      <c r="E880">
        <f>VLOOKUP(D880,L$2:M$8,2,FALSE)</f>
        <v>0.7</v>
      </c>
      <c r="F880">
        <f t="shared" si="39"/>
        <v>3</v>
      </c>
      <c r="G880">
        <f>IF(F880&gt;F879,G879+B880*E880,B880*E880)</f>
        <v>3.3592035</v>
      </c>
      <c r="H880">
        <f t="shared" si="40"/>
        <v>0.75</v>
      </c>
      <c r="I880">
        <f t="shared" si="41"/>
        <v>0</v>
      </c>
    </row>
    <row r="881" spans="1:9">
      <c r="A881" s="1">
        <v>40002</v>
      </c>
      <c r="B881">
        <v>4.3291700000000004</v>
      </c>
      <c r="C881">
        <v>5.125</v>
      </c>
      <c r="D881">
        <f>WEEKDAY(A881,14)</f>
        <v>7</v>
      </c>
      <c r="E881">
        <f>VLOOKUP(D881,L$2:M$8,2,FALSE)</f>
        <v>0.25</v>
      </c>
      <c r="F881">
        <f t="shared" si="39"/>
        <v>4</v>
      </c>
      <c r="G881">
        <f>IF(F881&gt;F880,G880+B881*E881,B881*E881)</f>
        <v>4.4414959999999999</v>
      </c>
      <c r="H881">
        <f t="shared" si="40"/>
        <v>1</v>
      </c>
      <c r="I881">
        <f t="shared" si="41"/>
        <v>0</v>
      </c>
    </row>
    <row r="882" spans="1:9">
      <c r="A882" s="1">
        <v>40003</v>
      </c>
      <c r="B882">
        <v>4.4334600000000002</v>
      </c>
      <c r="C882">
        <v>5.0650000000000004</v>
      </c>
      <c r="D882">
        <f>WEEKDAY(A882,14)</f>
        <v>1</v>
      </c>
      <c r="E882">
        <f>VLOOKUP(D882,L$2:M$8,2,FALSE)</f>
        <v>0</v>
      </c>
      <c r="F882">
        <f t="shared" si="39"/>
        <v>1</v>
      </c>
      <c r="G882">
        <f>IF(F882&gt;F881,G881+B882*E882,B882*E882)</f>
        <v>0</v>
      </c>
      <c r="H882">
        <f t="shared" si="40"/>
        <v>0</v>
      </c>
      <c r="I882">
        <f t="shared" si="41"/>
        <v>4.4414959999999999</v>
      </c>
    </row>
    <row r="883" spans="1:9">
      <c r="A883" s="1">
        <v>40004</v>
      </c>
      <c r="B883">
        <v>4.3342700000000001</v>
      </c>
      <c r="C883">
        <v>5.0650000000000004</v>
      </c>
      <c r="D883">
        <f>WEEKDAY(A883,14)</f>
        <v>2</v>
      </c>
      <c r="E883">
        <f>VLOOKUP(D883,L$2:M$8,2,FALSE)</f>
        <v>0</v>
      </c>
      <c r="F883">
        <f t="shared" si="39"/>
        <v>2</v>
      </c>
      <c r="G883">
        <f>IF(F883&gt;F882,G882+B883*E883,B883*E883)</f>
        <v>0</v>
      </c>
      <c r="H883">
        <f t="shared" si="40"/>
        <v>0</v>
      </c>
      <c r="I883">
        <f t="shared" si="41"/>
        <v>0</v>
      </c>
    </row>
    <row r="884" spans="1:9">
      <c r="A884" s="1">
        <v>40007</v>
      </c>
      <c r="B884">
        <v>4.4042599999999998</v>
      </c>
      <c r="C884">
        <v>5.0650000000000004</v>
      </c>
      <c r="D884">
        <f>WEEKDAY(A884,14)</f>
        <v>5</v>
      </c>
      <c r="E884">
        <f>VLOOKUP(D884,L$2:M$8,2,FALSE)</f>
        <v>0.05</v>
      </c>
      <c r="F884">
        <f t="shared" si="39"/>
        <v>3</v>
      </c>
      <c r="G884">
        <f>IF(F884&gt;F883,G883+B884*E884,B884*E884)</f>
        <v>0.22021299999999999</v>
      </c>
      <c r="H884">
        <f t="shared" si="40"/>
        <v>0.05</v>
      </c>
      <c r="I884">
        <f t="shared" si="41"/>
        <v>0</v>
      </c>
    </row>
    <row r="885" spans="1:9">
      <c r="A885" s="1">
        <v>40008</v>
      </c>
      <c r="B885">
        <v>4.4750699999999997</v>
      </c>
      <c r="C885">
        <v>5.0650000000000004</v>
      </c>
      <c r="D885">
        <f>WEEKDAY(A885,14)</f>
        <v>6</v>
      </c>
      <c r="E885">
        <f>VLOOKUP(D885,L$2:M$8,2,FALSE)</f>
        <v>0.7</v>
      </c>
      <c r="F885">
        <f t="shared" si="39"/>
        <v>4</v>
      </c>
      <c r="G885">
        <f>IF(F885&gt;F884,G884+B885*E885,B885*E885)</f>
        <v>3.3527619999999994</v>
      </c>
      <c r="H885">
        <f t="shared" si="40"/>
        <v>0.75</v>
      </c>
      <c r="I885">
        <f t="shared" si="41"/>
        <v>0</v>
      </c>
    </row>
    <row r="886" spans="1:9">
      <c r="A886" s="1">
        <v>40009</v>
      </c>
      <c r="B886">
        <v>4.64541</v>
      </c>
      <c r="C886">
        <v>5.0650000000000004</v>
      </c>
      <c r="D886">
        <f>WEEKDAY(A886,14)</f>
        <v>7</v>
      </c>
      <c r="E886">
        <f>VLOOKUP(D886,L$2:M$8,2,FALSE)</f>
        <v>0.25</v>
      </c>
      <c r="F886">
        <f t="shared" si="39"/>
        <v>5</v>
      </c>
      <c r="G886">
        <f>IF(F886&gt;F885,G885+B886*E886,B886*E886)</f>
        <v>4.5141144999999998</v>
      </c>
      <c r="H886">
        <f t="shared" si="40"/>
        <v>1</v>
      </c>
      <c r="I886">
        <f t="shared" si="41"/>
        <v>0</v>
      </c>
    </row>
    <row r="887" spans="1:9">
      <c r="A887" s="1">
        <v>40010</v>
      </c>
      <c r="B887">
        <v>4.5721499999999997</v>
      </c>
      <c r="C887">
        <v>5.125</v>
      </c>
      <c r="D887">
        <f>WEEKDAY(A887,14)</f>
        <v>1</v>
      </c>
      <c r="E887">
        <f>VLOOKUP(D887,L$2:M$8,2,FALSE)</f>
        <v>0</v>
      </c>
      <c r="F887">
        <f t="shared" si="39"/>
        <v>1</v>
      </c>
      <c r="G887">
        <f>IF(F887&gt;F886,G886+B887*E887,B887*E887)</f>
        <v>0</v>
      </c>
      <c r="H887">
        <f t="shared" si="40"/>
        <v>0</v>
      </c>
      <c r="I887">
        <f t="shared" si="41"/>
        <v>4.5141144999999998</v>
      </c>
    </row>
    <row r="888" spans="1:9">
      <c r="A888" s="1">
        <v>40011</v>
      </c>
      <c r="B888">
        <v>4.6304800000000004</v>
      </c>
      <c r="C888">
        <v>5.125</v>
      </c>
      <c r="D888">
        <f>WEEKDAY(A888,14)</f>
        <v>2</v>
      </c>
      <c r="E888">
        <f>VLOOKUP(D888,L$2:M$8,2,FALSE)</f>
        <v>0</v>
      </c>
      <c r="F888">
        <f t="shared" si="39"/>
        <v>2</v>
      </c>
      <c r="G888">
        <f>IF(F888&gt;F887,G887+B888*E888,B888*E888)</f>
        <v>0</v>
      </c>
      <c r="H888">
        <f t="shared" si="40"/>
        <v>0</v>
      </c>
      <c r="I888">
        <f t="shared" si="41"/>
        <v>0</v>
      </c>
    </row>
    <row r="889" spans="1:9">
      <c r="A889" s="1">
        <v>40014</v>
      </c>
      <c r="B889">
        <v>4.5684100000000001</v>
      </c>
      <c r="C889">
        <v>5.125</v>
      </c>
      <c r="D889">
        <f>WEEKDAY(A889,14)</f>
        <v>5</v>
      </c>
      <c r="E889">
        <f>VLOOKUP(D889,L$2:M$8,2,FALSE)</f>
        <v>0.05</v>
      </c>
      <c r="F889">
        <f t="shared" si="39"/>
        <v>3</v>
      </c>
      <c r="G889">
        <f>IF(F889&gt;F888,G888+B889*E889,B889*E889)</f>
        <v>0.22842050000000003</v>
      </c>
      <c r="H889">
        <f t="shared" si="40"/>
        <v>0.05</v>
      </c>
      <c r="I889">
        <f t="shared" si="41"/>
        <v>0</v>
      </c>
    </row>
    <row r="890" spans="1:9">
      <c r="A890" s="1">
        <v>40015</v>
      </c>
      <c r="B890">
        <v>4.4450599999999998</v>
      </c>
      <c r="C890">
        <v>5.125</v>
      </c>
      <c r="D890">
        <f>WEEKDAY(A890,14)</f>
        <v>6</v>
      </c>
      <c r="E890">
        <f>VLOOKUP(D890,L$2:M$8,2,FALSE)</f>
        <v>0.7</v>
      </c>
      <c r="F890">
        <f t="shared" si="39"/>
        <v>4</v>
      </c>
      <c r="G890">
        <f>IF(F890&gt;F889,G889+B890*E890,B890*E890)</f>
        <v>3.3399624999999995</v>
      </c>
      <c r="H890">
        <f t="shared" si="40"/>
        <v>0.75</v>
      </c>
      <c r="I890">
        <f t="shared" si="41"/>
        <v>0</v>
      </c>
    </row>
    <row r="891" spans="1:9">
      <c r="A891" s="1">
        <v>40016</v>
      </c>
      <c r="B891">
        <v>4.4958499999999999</v>
      </c>
      <c r="C891">
        <v>5.125</v>
      </c>
      <c r="D891">
        <f>WEEKDAY(A891,14)</f>
        <v>7</v>
      </c>
      <c r="E891">
        <f>VLOOKUP(D891,L$2:M$8,2,FALSE)</f>
        <v>0.25</v>
      </c>
      <c r="F891">
        <f t="shared" si="39"/>
        <v>5</v>
      </c>
      <c r="G891">
        <f>IF(F891&gt;F890,G890+B891*E891,B891*E891)</f>
        <v>4.4639249999999997</v>
      </c>
      <c r="H891">
        <f t="shared" si="40"/>
        <v>1</v>
      </c>
      <c r="I891">
        <f t="shared" si="41"/>
        <v>0</v>
      </c>
    </row>
    <row r="892" spans="1:9">
      <c r="A892" s="1">
        <v>40017</v>
      </c>
      <c r="B892">
        <v>4.6713699999999996</v>
      </c>
      <c r="C892">
        <v>5.1749999999999998</v>
      </c>
      <c r="D892">
        <f>WEEKDAY(A892,14)</f>
        <v>1</v>
      </c>
      <c r="E892">
        <f>VLOOKUP(D892,L$2:M$8,2,FALSE)</f>
        <v>0</v>
      </c>
      <c r="F892">
        <f t="shared" si="39"/>
        <v>1</v>
      </c>
      <c r="G892">
        <f>IF(F892&gt;F891,G891+B892*E892,B892*E892)</f>
        <v>0</v>
      </c>
      <c r="H892">
        <f t="shared" si="40"/>
        <v>0</v>
      </c>
      <c r="I892">
        <f t="shared" si="41"/>
        <v>4.4639249999999997</v>
      </c>
    </row>
    <row r="893" spans="1:9">
      <c r="A893" s="1">
        <v>40018</v>
      </c>
      <c r="B893">
        <v>4.60961</v>
      </c>
      <c r="C893">
        <v>5.1749999999999998</v>
      </c>
      <c r="D893">
        <f>WEEKDAY(A893,14)</f>
        <v>2</v>
      </c>
      <c r="E893">
        <f>VLOOKUP(D893,L$2:M$8,2,FALSE)</f>
        <v>0</v>
      </c>
      <c r="F893">
        <f t="shared" si="39"/>
        <v>2</v>
      </c>
      <c r="G893">
        <f>IF(F893&gt;F892,G892+B893*E893,B893*E893)</f>
        <v>0</v>
      </c>
      <c r="H893">
        <f t="shared" si="40"/>
        <v>0</v>
      </c>
      <c r="I893">
        <f t="shared" si="41"/>
        <v>0</v>
      </c>
    </row>
    <row r="894" spans="1:9">
      <c r="A894" s="1">
        <v>40021</v>
      </c>
      <c r="B894">
        <v>4.6386399999999997</v>
      </c>
      <c r="C894">
        <v>5.1749999999999998</v>
      </c>
      <c r="D894">
        <f>WEEKDAY(A894,14)</f>
        <v>5</v>
      </c>
      <c r="E894">
        <f>VLOOKUP(D894,L$2:M$8,2,FALSE)</f>
        <v>0.05</v>
      </c>
      <c r="F894">
        <f t="shared" si="39"/>
        <v>3</v>
      </c>
      <c r="G894">
        <f>IF(F894&gt;F893,G893+B894*E894,B894*E894)</f>
        <v>0.231932</v>
      </c>
      <c r="H894">
        <f t="shared" si="40"/>
        <v>0.05</v>
      </c>
      <c r="I894">
        <f t="shared" si="41"/>
        <v>0</v>
      </c>
    </row>
    <row r="895" spans="1:9">
      <c r="A895" s="1">
        <v>40022</v>
      </c>
      <c r="B895">
        <v>4.5880599999999996</v>
      </c>
      <c r="C895">
        <v>5.1749999999999998</v>
      </c>
      <c r="D895">
        <f>WEEKDAY(A895,14)</f>
        <v>6</v>
      </c>
      <c r="E895">
        <f>VLOOKUP(D895,L$2:M$8,2,FALSE)</f>
        <v>0.7</v>
      </c>
      <c r="F895">
        <f t="shared" si="39"/>
        <v>4</v>
      </c>
      <c r="G895">
        <f>IF(F895&gt;F894,G894+B895*E895,B895*E895)</f>
        <v>3.4435739999999995</v>
      </c>
      <c r="H895">
        <f t="shared" si="40"/>
        <v>0.75</v>
      </c>
      <c r="I895">
        <f t="shared" si="41"/>
        <v>0</v>
      </c>
    </row>
    <row r="896" spans="1:9">
      <c r="A896" s="1">
        <v>40023</v>
      </c>
      <c r="B896">
        <v>4.5456399999999997</v>
      </c>
      <c r="C896">
        <v>5.1749999999999998</v>
      </c>
      <c r="D896">
        <f>WEEKDAY(A896,14)</f>
        <v>7</v>
      </c>
      <c r="E896">
        <f>VLOOKUP(D896,L$2:M$8,2,FALSE)</f>
        <v>0.25</v>
      </c>
      <c r="F896">
        <f t="shared" si="39"/>
        <v>5</v>
      </c>
      <c r="G896">
        <f>IF(F896&gt;F895,G895+B896*E896,B896*E896)</f>
        <v>4.5799839999999996</v>
      </c>
      <c r="H896">
        <f t="shared" si="40"/>
        <v>1</v>
      </c>
      <c r="I896">
        <f t="shared" si="41"/>
        <v>0</v>
      </c>
    </row>
    <row r="897" spans="1:9">
      <c r="A897" s="1">
        <v>40024</v>
      </c>
      <c r="B897">
        <v>4.5411099999999998</v>
      </c>
      <c r="C897">
        <v>5.12</v>
      </c>
      <c r="D897">
        <f>WEEKDAY(A897,14)</f>
        <v>1</v>
      </c>
      <c r="E897">
        <f>VLOOKUP(D897,L$2:M$8,2,FALSE)</f>
        <v>0</v>
      </c>
      <c r="F897">
        <f t="shared" si="39"/>
        <v>1</v>
      </c>
      <c r="G897">
        <f>IF(F897&gt;F896,G896+B897*E897,B897*E897)</f>
        <v>0</v>
      </c>
      <c r="H897">
        <f t="shared" si="40"/>
        <v>0</v>
      </c>
      <c r="I897">
        <f t="shared" si="41"/>
        <v>4.5799839999999996</v>
      </c>
    </row>
    <row r="898" spans="1:9">
      <c r="A898" s="1">
        <v>40025</v>
      </c>
      <c r="B898">
        <v>4.3966200000000004</v>
      </c>
      <c r="C898">
        <v>5.12</v>
      </c>
      <c r="D898">
        <f>WEEKDAY(A898,14)</f>
        <v>2</v>
      </c>
      <c r="E898">
        <f>VLOOKUP(D898,L$2:M$8,2,FALSE)</f>
        <v>0</v>
      </c>
      <c r="F898">
        <f t="shared" si="39"/>
        <v>2</v>
      </c>
      <c r="G898">
        <f>IF(F898&gt;F897,G897+B898*E898,B898*E898)</f>
        <v>0</v>
      </c>
      <c r="H898">
        <f t="shared" si="40"/>
        <v>0</v>
      </c>
      <c r="I898">
        <f t="shared" si="41"/>
        <v>0</v>
      </c>
    </row>
    <row r="899" spans="1:9">
      <c r="A899" s="1">
        <v>40028</v>
      </c>
      <c r="B899">
        <v>4.5200199999999997</v>
      </c>
      <c r="C899">
        <v>5.12</v>
      </c>
      <c r="D899">
        <f>WEEKDAY(A899,14)</f>
        <v>5</v>
      </c>
      <c r="E899">
        <f>VLOOKUP(D899,L$2:M$8,2,FALSE)</f>
        <v>0.05</v>
      </c>
      <c r="F899">
        <f t="shared" ref="F899:F962" si="42">IF(AND(D899&gt;D898,F898&lt;6),F898+1,1)</f>
        <v>3</v>
      </c>
      <c r="G899">
        <f>IF(F899&gt;F898,G898+B899*E899,B899*E899)</f>
        <v>0.22600100000000001</v>
      </c>
      <c r="H899">
        <f t="shared" si="40"/>
        <v>0.05</v>
      </c>
      <c r="I899">
        <f t="shared" si="41"/>
        <v>0</v>
      </c>
    </row>
    <row r="900" spans="1:9">
      <c r="A900" s="1">
        <v>40029</v>
      </c>
      <c r="B900">
        <v>4.5781799999999997</v>
      </c>
      <c r="C900">
        <v>5.12</v>
      </c>
      <c r="D900">
        <f>WEEKDAY(A900,14)</f>
        <v>6</v>
      </c>
      <c r="E900">
        <f>VLOOKUP(D900,L$2:M$8,2,FALSE)</f>
        <v>0.7</v>
      </c>
      <c r="F900">
        <f t="shared" si="42"/>
        <v>4</v>
      </c>
      <c r="G900">
        <f>IF(F900&gt;F899,G899+B900*E900,B900*E900)</f>
        <v>3.4307269999999996</v>
      </c>
      <c r="H900">
        <f t="shared" ref="H900:H963" si="43">IF(AND(F900&lt;6,F900&gt;F899),E900+H899,E900)</f>
        <v>0.75</v>
      </c>
      <c r="I900">
        <f t="shared" ref="I900:I963" si="44">IF(F899&gt;F900,G899/H899,0)</f>
        <v>0</v>
      </c>
    </row>
    <row r="901" spans="1:9">
      <c r="A901" s="1">
        <v>40030</v>
      </c>
      <c r="B901">
        <v>4.6917</v>
      </c>
      <c r="C901">
        <v>5.12</v>
      </c>
      <c r="D901">
        <f>WEEKDAY(A901,14)</f>
        <v>7</v>
      </c>
      <c r="E901">
        <f>VLOOKUP(D901,L$2:M$8,2,FALSE)</f>
        <v>0.25</v>
      </c>
      <c r="F901">
        <f t="shared" si="42"/>
        <v>5</v>
      </c>
      <c r="G901">
        <f>IF(F901&gt;F900,G900+B901*E901,B901*E901)</f>
        <v>4.6036519999999994</v>
      </c>
      <c r="H901">
        <f t="shared" si="43"/>
        <v>1</v>
      </c>
      <c r="I901">
        <f t="shared" si="44"/>
        <v>0</v>
      </c>
    </row>
    <row r="902" spans="1:9">
      <c r="A902" s="1">
        <v>40031</v>
      </c>
      <c r="B902">
        <v>4.7088200000000002</v>
      </c>
      <c r="C902">
        <v>5.2149999999999999</v>
      </c>
      <c r="D902">
        <f>WEEKDAY(A902,14)</f>
        <v>1</v>
      </c>
      <c r="E902">
        <f>VLOOKUP(D902,L$2:M$8,2,FALSE)</f>
        <v>0</v>
      </c>
      <c r="F902">
        <f t="shared" si="42"/>
        <v>1</v>
      </c>
      <c r="G902">
        <f>IF(F902&gt;F901,G901+B902*E902,B902*E902)</f>
        <v>0</v>
      </c>
      <c r="H902">
        <f t="shared" si="43"/>
        <v>0</v>
      </c>
      <c r="I902">
        <f t="shared" si="44"/>
        <v>4.6036519999999994</v>
      </c>
    </row>
    <row r="903" spans="1:9">
      <c r="A903" s="1">
        <v>40032</v>
      </c>
      <c r="B903">
        <v>4.8023300000000004</v>
      </c>
      <c r="C903">
        <v>5.2149999999999999</v>
      </c>
      <c r="D903">
        <f>WEEKDAY(A903,14)</f>
        <v>2</v>
      </c>
      <c r="E903">
        <f>VLOOKUP(D903,L$2:M$8,2,FALSE)</f>
        <v>0</v>
      </c>
      <c r="F903">
        <f t="shared" si="42"/>
        <v>2</v>
      </c>
      <c r="G903">
        <f>IF(F903&gt;F902,G902+B903*E903,B903*E903)</f>
        <v>0</v>
      </c>
      <c r="H903">
        <f t="shared" si="43"/>
        <v>0</v>
      </c>
      <c r="I903">
        <f t="shared" si="44"/>
        <v>0</v>
      </c>
    </row>
    <row r="904" spans="1:9">
      <c r="A904" s="1">
        <v>40035</v>
      </c>
      <c r="B904">
        <v>4.69414</v>
      </c>
      <c r="C904">
        <v>5.2149999999999999</v>
      </c>
      <c r="D904">
        <f>WEEKDAY(A904,14)</f>
        <v>5</v>
      </c>
      <c r="E904">
        <f>VLOOKUP(D904,L$2:M$8,2,FALSE)</f>
        <v>0.05</v>
      </c>
      <c r="F904">
        <f t="shared" si="42"/>
        <v>3</v>
      </c>
      <c r="G904">
        <f>IF(F904&gt;F903,G903+B904*E904,B904*E904)</f>
        <v>0.234707</v>
      </c>
      <c r="H904">
        <f t="shared" si="43"/>
        <v>0.05</v>
      </c>
      <c r="I904">
        <f t="shared" si="44"/>
        <v>0</v>
      </c>
    </row>
    <row r="905" spans="1:9">
      <c r="A905" s="1">
        <v>40036</v>
      </c>
      <c r="B905">
        <v>4.6273999999999997</v>
      </c>
      <c r="C905">
        <v>5.2149999999999999</v>
      </c>
      <c r="D905">
        <f>WEEKDAY(A905,14)</f>
        <v>6</v>
      </c>
      <c r="E905">
        <f>VLOOKUP(D905,L$2:M$8,2,FALSE)</f>
        <v>0.7</v>
      </c>
      <c r="F905">
        <f t="shared" si="42"/>
        <v>4</v>
      </c>
      <c r="G905">
        <f>IF(F905&gt;F904,G904+B905*E905,B905*E905)</f>
        <v>3.4738869999999995</v>
      </c>
      <c r="H905">
        <f t="shared" si="43"/>
        <v>0.75</v>
      </c>
      <c r="I905">
        <f t="shared" si="44"/>
        <v>0</v>
      </c>
    </row>
    <row r="906" spans="1:9">
      <c r="A906" s="1">
        <v>40037</v>
      </c>
      <c r="B906">
        <v>4.6362800000000002</v>
      </c>
      <c r="C906">
        <v>5.2149999999999999</v>
      </c>
      <c r="D906">
        <f>WEEKDAY(A906,14)</f>
        <v>7</v>
      </c>
      <c r="E906">
        <f>VLOOKUP(D906,L$2:M$8,2,FALSE)</f>
        <v>0.25</v>
      </c>
      <c r="F906">
        <f t="shared" si="42"/>
        <v>5</v>
      </c>
      <c r="G906">
        <f>IF(F906&gt;F905,G905+B906*E906,B906*E906)</f>
        <v>4.6329569999999993</v>
      </c>
      <c r="H906">
        <f t="shared" si="43"/>
        <v>1</v>
      </c>
      <c r="I906">
        <f t="shared" si="44"/>
        <v>0</v>
      </c>
    </row>
    <row r="907" spans="1:9">
      <c r="A907" s="1">
        <v>40038</v>
      </c>
      <c r="B907">
        <v>4.5270599999999996</v>
      </c>
      <c r="C907">
        <v>5.0449999999999999</v>
      </c>
      <c r="D907">
        <f>WEEKDAY(A907,14)</f>
        <v>1</v>
      </c>
      <c r="E907">
        <f>VLOOKUP(D907,L$2:M$8,2,FALSE)</f>
        <v>0</v>
      </c>
      <c r="F907">
        <f t="shared" si="42"/>
        <v>1</v>
      </c>
      <c r="G907">
        <f>IF(F907&gt;F906,G906+B907*E907,B907*E907)</f>
        <v>0</v>
      </c>
      <c r="H907">
        <f t="shared" si="43"/>
        <v>0</v>
      </c>
      <c r="I907">
        <f t="shared" si="44"/>
        <v>4.6329569999999993</v>
      </c>
    </row>
    <row r="908" spans="1:9">
      <c r="A908" s="1">
        <v>40039</v>
      </c>
      <c r="B908">
        <v>4.4905799999999996</v>
      </c>
      <c r="C908">
        <v>5.0449999999999999</v>
      </c>
      <c r="D908">
        <f>WEEKDAY(A908,14)</f>
        <v>2</v>
      </c>
      <c r="E908">
        <f>VLOOKUP(D908,L$2:M$8,2,FALSE)</f>
        <v>0</v>
      </c>
      <c r="F908">
        <f t="shared" si="42"/>
        <v>2</v>
      </c>
      <c r="G908">
        <f>IF(F908&gt;F907,G907+B908*E908,B908*E908)</f>
        <v>0</v>
      </c>
      <c r="H908">
        <f t="shared" si="43"/>
        <v>0</v>
      </c>
      <c r="I908">
        <f t="shared" si="44"/>
        <v>0</v>
      </c>
    </row>
    <row r="909" spans="1:9">
      <c r="A909" s="1">
        <v>40042</v>
      </c>
      <c r="B909">
        <v>4.4661600000000004</v>
      </c>
      <c r="C909">
        <v>5.0449999999999999</v>
      </c>
      <c r="D909">
        <f>WEEKDAY(A909,14)</f>
        <v>5</v>
      </c>
      <c r="E909">
        <f>VLOOKUP(D909,L$2:M$8,2,FALSE)</f>
        <v>0.05</v>
      </c>
      <c r="F909">
        <f t="shared" si="42"/>
        <v>3</v>
      </c>
      <c r="G909">
        <f>IF(F909&gt;F908,G908+B909*E909,B909*E909)</f>
        <v>0.22330800000000003</v>
      </c>
      <c r="H909">
        <f t="shared" si="43"/>
        <v>0.05</v>
      </c>
      <c r="I909">
        <f t="shared" si="44"/>
        <v>0</v>
      </c>
    </row>
    <row r="910" spans="1:9">
      <c r="A910" s="1">
        <v>40043</v>
      </c>
      <c r="B910">
        <v>4.5086599999999999</v>
      </c>
      <c r="C910">
        <v>5.0449999999999999</v>
      </c>
      <c r="D910">
        <f>WEEKDAY(A910,14)</f>
        <v>6</v>
      </c>
      <c r="E910">
        <f>VLOOKUP(D910,L$2:M$8,2,FALSE)</f>
        <v>0.7</v>
      </c>
      <c r="F910">
        <f t="shared" si="42"/>
        <v>4</v>
      </c>
      <c r="G910">
        <f>IF(F910&gt;F909,G909+B910*E910,B910*E910)</f>
        <v>3.3793699999999998</v>
      </c>
      <c r="H910">
        <f t="shared" si="43"/>
        <v>0.75</v>
      </c>
      <c r="I910">
        <f t="shared" si="44"/>
        <v>0</v>
      </c>
    </row>
    <row r="911" spans="1:9">
      <c r="A911" s="1">
        <v>40044</v>
      </c>
      <c r="B911">
        <v>4.4772499999999997</v>
      </c>
      <c r="C911">
        <v>5.0449999999999999</v>
      </c>
      <c r="D911">
        <f>WEEKDAY(A911,14)</f>
        <v>7</v>
      </c>
      <c r="E911">
        <f>VLOOKUP(D911,L$2:M$8,2,FALSE)</f>
        <v>0.25</v>
      </c>
      <c r="F911">
        <f t="shared" si="42"/>
        <v>5</v>
      </c>
      <c r="G911">
        <f>IF(F911&gt;F910,G910+B911*E911,B911*E911)</f>
        <v>4.4986824999999993</v>
      </c>
      <c r="H911">
        <f t="shared" si="43"/>
        <v>1</v>
      </c>
      <c r="I911">
        <f t="shared" si="44"/>
        <v>0</v>
      </c>
    </row>
    <row r="912" spans="1:9">
      <c r="A912" s="1">
        <v>40045</v>
      </c>
      <c r="B912">
        <v>4.4468100000000002</v>
      </c>
      <c r="C912">
        <v>5.0650000000000004</v>
      </c>
      <c r="D912">
        <f>WEEKDAY(A912,14)</f>
        <v>1</v>
      </c>
      <c r="E912">
        <f>VLOOKUP(D912,L$2:M$8,2,FALSE)</f>
        <v>0</v>
      </c>
      <c r="F912">
        <f t="shared" si="42"/>
        <v>1</v>
      </c>
      <c r="G912">
        <f>IF(F912&gt;F911,G911+B912*E912,B912*E912)</f>
        <v>0</v>
      </c>
      <c r="H912">
        <f t="shared" si="43"/>
        <v>0</v>
      </c>
      <c r="I912">
        <f t="shared" si="44"/>
        <v>4.4986824999999993</v>
      </c>
    </row>
    <row r="913" spans="1:9">
      <c r="A913" s="1">
        <v>40046</v>
      </c>
      <c r="B913">
        <v>4.5218299999999996</v>
      </c>
      <c r="C913">
        <v>5.0650000000000004</v>
      </c>
      <c r="D913">
        <f>WEEKDAY(A913,14)</f>
        <v>2</v>
      </c>
      <c r="E913">
        <f>VLOOKUP(D913,L$2:M$8,2,FALSE)</f>
        <v>0</v>
      </c>
      <c r="F913">
        <f t="shared" si="42"/>
        <v>2</v>
      </c>
      <c r="G913">
        <f>IF(F913&gt;F912,G912+B913*E913,B913*E913)</f>
        <v>0</v>
      </c>
      <c r="H913">
        <f t="shared" si="43"/>
        <v>0</v>
      </c>
      <c r="I913">
        <f t="shared" si="44"/>
        <v>0</v>
      </c>
    </row>
    <row r="914" spans="1:9">
      <c r="A914" s="1">
        <v>40049</v>
      </c>
      <c r="B914">
        <v>4.4896900000000004</v>
      </c>
      <c r="C914">
        <v>5.0650000000000004</v>
      </c>
      <c r="D914">
        <f>WEEKDAY(A914,14)</f>
        <v>5</v>
      </c>
      <c r="E914">
        <f>VLOOKUP(D914,L$2:M$8,2,FALSE)</f>
        <v>0.05</v>
      </c>
      <c r="F914">
        <f t="shared" si="42"/>
        <v>3</v>
      </c>
      <c r="G914">
        <f>IF(F914&gt;F913,G913+B914*E914,B914*E914)</f>
        <v>0.22448450000000003</v>
      </c>
      <c r="H914">
        <f t="shared" si="43"/>
        <v>0.05</v>
      </c>
      <c r="I914">
        <f t="shared" si="44"/>
        <v>0</v>
      </c>
    </row>
    <row r="915" spans="1:9">
      <c r="A915" s="1">
        <v>40050</v>
      </c>
      <c r="B915">
        <v>4.46678</v>
      </c>
      <c r="C915">
        <v>5.0650000000000004</v>
      </c>
      <c r="D915">
        <f>WEEKDAY(A915,14)</f>
        <v>6</v>
      </c>
      <c r="E915">
        <f>VLOOKUP(D915,L$2:M$8,2,FALSE)</f>
        <v>0.7</v>
      </c>
      <c r="F915">
        <f t="shared" si="42"/>
        <v>4</v>
      </c>
      <c r="G915">
        <f>IF(F915&gt;F914,G914+B915*E915,B915*E915)</f>
        <v>3.3512304999999998</v>
      </c>
      <c r="H915">
        <f t="shared" si="43"/>
        <v>0.75</v>
      </c>
      <c r="I915">
        <f t="shared" si="44"/>
        <v>0</v>
      </c>
    </row>
    <row r="916" spans="1:9">
      <c r="A916" s="1">
        <v>40051</v>
      </c>
      <c r="B916">
        <v>4.4625000000000004</v>
      </c>
      <c r="C916">
        <v>5.0650000000000004</v>
      </c>
      <c r="D916">
        <f>WEEKDAY(A916,14)</f>
        <v>7</v>
      </c>
      <c r="E916">
        <f>VLOOKUP(D916,L$2:M$8,2,FALSE)</f>
        <v>0.25</v>
      </c>
      <c r="F916">
        <f t="shared" si="42"/>
        <v>5</v>
      </c>
      <c r="G916">
        <f>IF(F916&gt;F915,G915+B916*E916,B916*E916)</f>
        <v>4.4668554999999994</v>
      </c>
      <c r="H916">
        <f t="shared" si="43"/>
        <v>1</v>
      </c>
      <c r="I916">
        <f t="shared" si="44"/>
        <v>0</v>
      </c>
    </row>
    <row r="917" spans="1:9">
      <c r="A917" s="1">
        <v>40052</v>
      </c>
      <c r="B917">
        <v>4.4893200000000002</v>
      </c>
      <c r="C917">
        <v>5.0049999999999999</v>
      </c>
      <c r="D917">
        <f>WEEKDAY(A917,14)</f>
        <v>1</v>
      </c>
      <c r="E917">
        <f>VLOOKUP(D917,L$2:M$8,2,FALSE)</f>
        <v>0</v>
      </c>
      <c r="F917">
        <f t="shared" si="42"/>
        <v>1</v>
      </c>
      <c r="G917">
        <f>IF(F917&gt;F916,G916+B917*E917,B917*E917)</f>
        <v>0</v>
      </c>
      <c r="H917">
        <f t="shared" si="43"/>
        <v>0</v>
      </c>
      <c r="I917">
        <f t="shared" si="44"/>
        <v>4.4668554999999994</v>
      </c>
    </row>
    <row r="918" spans="1:9">
      <c r="A918" s="1">
        <v>40053</v>
      </c>
      <c r="B918">
        <v>4.4840200000000001</v>
      </c>
      <c r="C918">
        <v>5.0049999999999999</v>
      </c>
      <c r="D918">
        <f>WEEKDAY(A918,14)</f>
        <v>2</v>
      </c>
      <c r="E918">
        <f>VLOOKUP(D918,L$2:M$8,2,FALSE)</f>
        <v>0</v>
      </c>
      <c r="F918">
        <f t="shared" si="42"/>
        <v>2</v>
      </c>
      <c r="G918">
        <f>IF(F918&gt;F917,G917+B918*E918,B918*E918)</f>
        <v>0</v>
      </c>
      <c r="H918">
        <f t="shared" si="43"/>
        <v>0</v>
      </c>
      <c r="I918">
        <f t="shared" si="44"/>
        <v>0</v>
      </c>
    </row>
    <row r="919" spans="1:9">
      <c r="A919" s="1">
        <v>40056</v>
      </c>
      <c r="B919">
        <v>4.4218400000000004</v>
      </c>
      <c r="C919">
        <v>5.0049999999999999</v>
      </c>
      <c r="D919">
        <f>WEEKDAY(A919,14)</f>
        <v>5</v>
      </c>
      <c r="E919">
        <f>VLOOKUP(D919,L$2:M$8,2,FALSE)</f>
        <v>0.05</v>
      </c>
      <c r="F919">
        <f t="shared" si="42"/>
        <v>3</v>
      </c>
      <c r="G919">
        <f>IF(F919&gt;F918,G918+B919*E919,B919*E919)</f>
        <v>0.22109200000000004</v>
      </c>
      <c r="H919">
        <f t="shared" si="43"/>
        <v>0.05</v>
      </c>
      <c r="I919">
        <f t="shared" si="44"/>
        <v>0</v>
      </c>
    </row>
    <row r="920" spans="1:9">
      <c r="A920" s="1">
        <v>40057</v>
      </c>
      <c r="B920">
        <v>4.4017999999999997</v>
      </c>
      <c r="C920">
        <v>5.0049999999999999</v>
      </c>
      <c r="D920">
        <f>WEEKDAY(A920,14)</f>
        <v>6</v>
      </c>
      <c r="E920">
        <f>VLOOKUP(D920,L$2:M$8,2,FALSE)</f>
        <v>0.7</v>
      </c>
      <c r="F920">
        <f t="shared" si="42"/>
        <v>4</v>
      </c>
      <c r="G920">
        <f>IF(F920&gt;F919,G919+B920*E920,B920*E920)</f>
        <v>3.3023519999999995</v>
      </c>
      <c r="H920">
        <f t="shared" si="43"/>
        <v>0.75</v>
      </c>
      <c r="I920">
        <f t="shared" si="44"/>
        <v>0</v>
      </c>
    </row>
    <row r="921" spans="1:9">
      <c r="A921" s="1">
        <v>40058</v>
      </c>
      <c r="B921">
        <v>4.3146899999999997</v>
      </c>
      <c r="C921">
        <v>5.0049999999999999</v>
      </c>
      <c r="D921">
        <f>WEEKDAY(A921,14)</f>
        <v>7</v>
      </c>
      <c r="E921">
        <f>VLOOKUP(D921,L$2:M$8,2,FALSE)</f>
        <v>0.25</v>
      </c>
      <c r="F921">
        <f t="shared" si="42"/>
        <v>5</v>
      </c>
      <c r="G921">
        <f>IF(F921&gt;F920,G920+B921*E921,B921*E921)</f>
        <v>4.3810244999999997</v>
      </c>
      <c r="H921">
        <f t="shared" si="43"/>
        <v>1</v>
      </c>
      <c r="I921">
        <f t="shared" si="44"/>
        <v>0</v>
      </c>
    </row>
    <row r="922" spans="1:9">
      <c r="A922" s="1">
        <v>40059</v>
      </c>
      <c r="B922">
        <v>4.3619700000000003</v>
      </c>
      <c r="C922">
        <v>4.9950000000000001</v>
      </c>
      <c r="D922">
        <f>WEEKDAY(A922,14)</f>
        <v>1</v>
      </c>
      <c r="E922">
        <f>VLOOKUP(D922,L$2:M$8,2,FALSE)</f>
        <v>0</v>
      </c>
      <c r="F922">
        <f t="shared" si="42"/>
        <v>1</v>
      </c>
      <c r="G922">
        <f>IF(F922&gt;F921,G921+B922*E922,B922*E922)</f>
        <v>0</v>
      </c>
      <c r="H922">
        <f t="shared" si="43"/>
        <v>0</v>
      </c>
      <c r="I922">
        <f t="shared" si="44"/>
        <v>4.3810244999999997</v>
      </c>
    </row>
    <row r="923" spans="1:9">
      <c r="A923" s="1">
        <v>40060</v>
      </c>
      <c r="B923">
        <v>4.4236899999999997</v>
      </c>
      <c r="C923">
        <v>4.9950000000000001</v>
      </c>
      <c r="D923">
        <f>WEEKDAY(A923,14)</f>
        <v>2</v>
      </c>
      <c r="E923">
        <f>VLOOKUP(D923,L$2:M$8,2,FALSE)</f>
        <v>0</v>
      </c>
      <c r="F923">
        <f t="shared" si="42"/>
        <v>2</v>
      </c>
      <c r="G923">
        <f>IF(F923&gt;F922,G922+B923*E923,B923*E923)</f>
        <v>0</v>
      </c>
      <c r="H923">
        <f t="shared" si="43"/>
        <v>0</v>
      </c>
      <c r="I923">
        <f t="shared" si="44"/>
        <v>0</v>
      </c>
    </row>
    <row r="924" spans="1:9">
      <c r="A924" s="1">
        <v>40064</v>
      </c>
      <c r="B924">
        <v>4.4147100000000004</v>
      </c>
      <c r="C924">
        <v>4.9950000000000001</v>
      </c>
      <c r="D924">
        <f>WEEKDAY(A924,14)</f>
        <v>6</v>
      </c>
      <c r="E924">
        <f>VLOOKUP(D924,L$2:M$8,2,FALSE)</f>
        <v>0.7</v>
      </c>
      <c r="F924">
        <f t="shared" si="42"/>
        <v>3</v>
      </c>
      <c r="G924">
        <f>IF(F924&gt;F923,G923+B924*E924,B924*E924)</f>
        <v>3.0902970000000001</v>
      </c>
      <c r="H924">
        <f t="shared" si="43"/>
        <v>0.7</v>
      </c>
      <c r="I924">
        <f t="shared" si="44"/>
        <v>0</v>
      </c>
    </row>
    <row r="925" spans="1:9">
      <c r="A925" s="1">
        <v>40065</v>
      </c>
      <c r="B925">
        <v>4.3998600000000003</v>
      </c>
      <c r="C925">
        <v>4.9950000000000001</v>
      </c>
      <c r="D925">
        <f>WEEKDAY(A925,14)</f>
        <v>7</v>
      </c>
      <c r="E925">
        <f>VLOOKUP(D925,L$2:M$8,2,FALSE)</f>
        <v>0.25</v>
      </c>
      <c r="F925">
        <f t="shared" si="42"/>
        <v>4</v>
      </c>
      <c r="G925">
        <f>IF(F925&gt;F924,G924+B925*E925,B925*E925)</f>
        <v>4.1902620000000006</v>
      </c>
      <c r="H925">
        <f t="shared" si="43"/>
        <v>0.95</v>
      </c>
      <c r="I925">
        <f t="shared" si="44"/>
        <v>0</v>
      </c>
    </row>
    <row r="926" spans="1:9">
      <c r="A926" s="1">
        <v>40066</v>
      </c>
      <c r="B926">
        <v>4.2849700000000004</v>
      </c>
      <c r="C926">
        <v>4.9649999999999999</v>
      </c>
      <c r="D926">
        <f>WEEKDAY(A926,14)</f>
        <v>1</v>
      </c>
      <c r="E926">
        <f>VLOOKUP(D926,L$2:M$8,2,FALSE)</f>
        <v>0</v>
      </c>
      <c r="F926">
        <f t="shared" si="42"/>
        <v>1</v>
      </c>
      <c r="G926">
        <f>IF(F926&gt;F925,G925+B926*E926,B926*E926)</f>
        <v>0</v>
      </c>
      <c r="H926">
        <f t="shared" si="43"/>
        <v>0</v>
      </c>
      <c r="I926">
        <f t="shared" si="44"/>
        <v>4.4108021052631585</v>
      </c>
    </row>
    <row r="927" spans="1:9">
      <c r="A927" s="1">
        <v>40067</v>
      </c>
      <c r="B927">
        <v>4.28939</v>
      </c>
      <c r="C927">
        <v>4.9649999999999999</v>
      </c>
      <c r="D927">
        <f>WEEKDAY(A927,14)</f>
        <v>2</v>
      </c>
      <c r="E927">
        <f>VLOOKUP(D927,L$2:M$8,2,FALSE)</f>
        <v>0</v>
      </c>
      <c r="F927">
        <f t="shared" si="42"/>
        <v>2</v>
      </c>
      <c r="G927">
        <f>IF(F927&gt;F926,G926+B927*E927,B927*E927)</f>
        <v>0</v>
      </c>
      <c r="H927">
        <f t="shared" si="43"/>
        <v>0</v>
      </c>
      <c r="I927">
        <f t="shared" si="44"/>
        <v>0</v>
      </c>
    </row>
    <row r="928" spans="1:9">
      <c r="A928" s="1">
        <v>40070</v>
      </c>
      <c r="B928">
        <v>4.3567200000000001</v>
      </c>
      <c r="C928">
        <v>4.9649999999999999</v>
      </c>
      <c r="D928">
        <f>WEEKDAY(A928,14)</f>
        <v>5</v>
      </c>
      <c r="E928">
        <f>VLOOKUP(D928,L$2:M$8,2,FALSE)</f>
        <v>0.05</v>
      </c>
      <c r="F928">
        <f t="shared" si="42"/>
        <v>3</v>
      </c>
      <c r="G928">
        <f>IF(F928&gt;F927,G927+B928*E928,B928*E928)</f>
        <v>0.21783600000000003</v>
      </c>
      <c r="H928">
        <f t="shared" si="43"/>
        <v>0.05</v>
      </c>
      <c r="I928">
        <f t="shared" si="44"/>
        <v>0</v>
      </c>
    </row>
    <row r="929" spans="1:9">
      <c r="A929" s="1">
        <v>40071</v>
      </c>
      <c r="B929">
        <v>4.3923500000000004</v>
      </c>
      <c r="C929">
        <v>4.9649999999999999</v>
      </c>
      <c r="D929">
        <f>WEEKDAY(A929,14)</f>
        <v>6</v>
      </c>
      <c r="E929">
        <f>VLOOKUP(D929,L$2:M$8,2,FALSE)</f>
        <v>0.7</v>
      </c>
      <c r="F929">
        <f t="shared" si="42"/>
        <v>4</v>
      </c>
      <c r="G929">
        <f>IF(F929&gt;F928,G928+B929*E929,B929*E929)</f>
        <v>3.2924810000000004</v>
      </c>
      <c r="H929">
        <f t="shared" si="43"/>
        <v>0.75</v>
      </c>
      <c r="I929">
        <f t="shared" si="44"/>
        <v>0</v>
      </c>
    </row>
    <row r="930" spans="1:9">
      <c r="A930" s="1">
        <v>40072</v>
      </c>
      <c r="B930">
        <v>4.3875000000000002</v>
      </c>
      <c r="C930">
        <v>4.9649999999999999</v>
      </c>
      <c r="D930">
        <f>WEEKDAY(A930,14)</f>
        <v>7</v>
      </c>
      <c r="E930">
        <f>VLOOKUP(D930,L$2:M$8,2,FALSE)</f>
        <v>0.25</v>
      </c>
      <c r="F930">
        <f t="shared" si="42"/>
        <v>5</v>
      </c>
      <c r="G930">
        <f>IF(F930&gt;F929,G929+B930*E930,B930*E930)</f>
        <v>4.3893560000000003</v>
      </c>
      <c r="H930">
        <f t="shared" si="43"/>
        <v>1</v>
      </c>
      <c r="I930">
        <f t="shared" si="44"/>
        <v>0</v>
      </c>
    </row>
    <row r="931" spans="1:9">
      <c r="A931" s="1">
        <v>40073</v>
      </c>
      <c r="B931">
        <v>4.3106099999999996</v>
      </c>
      <c r="C931">
        <v>4.9400000000000004</v>
      </c>
      <c r="D931">
        <f>WEEKDAY(A931,14)</f>
        <v>1</v>
      </c>
      <c r="E931">
        <f>VLOOKUP(D931,L$2:M$8,2,FALSE)</f>
        <v>0</v>
      </c>
      <c r="F931">
        <f t="shared" si="42"/>
        <v>1</v>
      </c>
      <c r="G931">
        <f>IF(F931&gt;F930,G930+B931*E931,B931*E931)</f>
        <v>0</v>
      </c>
      <c r="H931">
        <f t="shared" si="43"/>
        <v>0</v>
      </c>
      <c r="I931">
        <f t="shared" si="44"/>
        <v>4.3893560000000003</v>
      </c>
    </row>
    <row r="932" spans="1:9">
      <c r="A932" s="1">
        <v>40074</v>
      </c>
      <c r="B932">
        <v>4.3872499999999999</v>
      </c>
      <c r="C932">
        <v>4.9400000000000004</v>
      </c>
      <c r="D932">
        <f>WEEKDAY(A932,14)</f>
        <v>2</v>
      </c>
      <c r="E932">
        <f>VLOOKUP(D932,L$2:M$8,2,FALSE)</f>
        <v>0</v>
      </c>
      <c r="F932">
        <f t="shared" si="42"/>
        <v>2</v>
      </c>
      <c r="G932">
        <f>IF(F932&gt;F931,G931+B932*E932,B932*E932)</f>
        <v>0</v>
      </c>
      <c r="H932">
        <f t="shared" si="43"/>
        <v>0</v>
      </c>
      <c r="I932">
        <f t="shared" si="44"/>
        <v>0</v>
      </c>
    </row>
    <row r="933" spans="1:9">
      <c r="A933" s="1">
        <v>40077</v>
      </c>
      <c r="B933">
        <v>4.4135299999999997</v>
      </c>
      <c r="C933">
        <v>4.9400000000000004</v>
      </c>
      <c r="D933">
        <f>WEEKDAY(A933,14)</f>
        <v>5</v>
      </c>
      <c r="E933">
        <f>VLOOKUP(D933,L$2:M$8,2,FALSE)</f>
        <v>0.05</v>
      </c>
      <c r="F933">
        <f t="shared" si="42"/>
        <v>3</v>
      </c>
      <c r="G933">
        <f>IF(F933&gt;F932,G932+B933*E933,B933*E933)</f>
        <v>0.2206765</v>
      </c>
      <c r="H933">
        <f t="shared" si="43"/>
        <v>0.05</v>
      </c>
      <c r="I933">
        <f t="shared" si="44"/>
        <v>0</v>
      </c>
    </row>
    <row r="934" spans="1:9">
      <c r="A934" s="1">
        <v>40078</v>
      </c>
      <c r="B934">
        <v>4.3859000000000004</v>
      </c>
      <c r="C934">
        <v>4.9400000000000004</v>
      </c>
      <c r="D934">
        <f>WEEKDAY(A934,14)</f>
        <v>6</v>
      </c>
      <c r="E934">
        <f>VLOOKUP(D934,L$2:M$8,2,FALSE)</f>
        <v>0.7</v>
      </c>
      <c r="F934">
        <f t="shared" si="42"/>
        <v>4</v>
      </c>
      <c r="G934">
        <f>IF(F934&gt;F933,G933+B934*E934,B934*E934)</f>
        <v>3.2908065000000004</v>
      </c>
      <c r="H934">
        <f t="shared" si="43"/>
        <v>0.75</v>
      </c>
      <c r="I934">
        <f t="shared" si="44"/>
        <v>0</v>
      </c>
    </row>
    <row r="935" spans="1:9">
      <c r="A935" s="1">
        <v>40079</v>
      </c>
      <c r="B935">
        <v>4.3746999999999998</v>
      </c>
      <c r="C935">
        <v>4.9400000000000004</v>
      </c>
      <c r="D935">
        <f>WEEKDAY(A935,14)</f>
        <v>7</v>
      </c>
      <c r="E935">
        <f>VLOOKUP(D935,L$2:M$8,2,FALSE)</f>
        <v>0.25</v>
      </c>
      <c r="F935">
        <f t="shared" si="42"/>
        <v>5</v>
      </c>
      <c r="G935">
        <f>IF(F935&gt;F934,G934+B935*E935,B935*E935)</f>
        <v>4.3844815000000006</v>
      </c>
      <c r="H935">
        <f t="shared" si="43"/>
        <v>1</v>
      </c>
      <c r="I935">
        <f t="shared" si="44"/>
        <v>0</v>
      </c>
    </row>
    <row r="936" spans="1:9">
      <c r="A936" s="1">
        <v>40080</v>
      </c>
      <c r="B936">
        <v>4.30776</v>
      </c>
      <c r="C936">
        <v>4.8650000000000002</v>
      </c>
      <c r="D936">
        <f>WEEKDAY(A936,14)</f>
        <v>1</v>
      </c>
      <c r="E936">
        <f>VLOOKUP(D936,L$2:M$8,2,FALSE)</f>
        <v>0</v>
      </c>
      <c r="F936">
        <f t="shared" si="42"/>
        <v>1</v>
      </c>
      <c r="G936">
        <f>IF(F936&gt;F935,G935+B936*E936,B936*E936)</f>
        <v>0</v>
      </c>
      <c r="H936">
        <f t="shared" si="43"/>
        <v>0</v>
      </c>
      <c r="I936">
        <f t="shared" si="44"/>
        <v>4.3844815000000006</v>
      </c>
    </row>
    <row r="937" spans="1:9">
      <c r="A937" s="1">
        <v>40081</v>
      </c>
      <c r="B937">
        <v>4.26938</v>
      </c>
      <c r="C937">
        <v>4.8650000000000002</v>
      </c>
      <c r="D937">
        <f>WEEKDAY(A937,14)</f>
        <v>2</v>
      </c>
      <c r="E937">
        <f>VLOOKUP(D937,L$2:M$8,2,FALSE)</f>
        <v>0</v>
      </c>
      <c r="F937">
        <f t="shared" si="42"/>
        <v>2</v>
      </c>
      <c r="G937">
        <f>IF(F937&gt;F936,G936+B937*E937,B937*E937)</f>
        <v>0</v>
      </c>
      <c r="H937">
        <f t="shared" si="43"/>
        <v>0</v>
      </c>
      <c r="I937">
        <f t="shared" si="44"/>
        <v>0</v>
      </c>
    </row>
    <row r="938" spans="1:9">
      <c r="A938" s="1">
        <v>40084</v>
      </c>
      <c r="B938">
        <v>4.21577</v>
      </c>
      <c r="C938">
        <v>4.8650000000000002</v>
      </c>
      <c r="D938">
        <f>WEEKDAY(A938,14)</f>
        <v>5</v>
      </c>
      <c r="E938">
        <f>VLOOKUP(D938,L$2:M$8,2,FALSE)</f>
        <v>0.05</v>
      </c>
      <c r="F938">
        <f t="shared" si="42"/>
        <v>3</v>
      </c>
      <c r="G938">
        <f>IF(F938&gt;F937,G937+B938*E938,B938*E938)</f>
        <v>0.21078850000000002</v>
      </c>
      <c r="H938">
        <f t="shared" si="43"/>
        <v>0.05</v>
      </c>
      <c r="I938">
        <f t="shared" si="44"/>
        <v>0</v>
      </c>
    </row>
    <row r="939" spans="1:9">
      <c r="A939" s="1">
        <v>40085</v>
      </c>
      <c r="B939">
        <v>4.2086199999999998</v>
      </c>
      <c r="C939">
        <v>4.8650000000000002</v>
      </c>
      <c r="D939">
        <f>WEEKDAY(A939,14)</f>
        <v>6</v>
      </c>
      <c r="E939">
        <f>VLOOKUP(D939,L$2:M$8,2,FALSE)</f>
        <v>0.7</v>
      </c>
      <c r="F939">
        <f t="shared" si="42"/>
        <v>4</v>
      </c>
      <c r="G939">
        <f>IF(F939&gt;F938,G938+B939*E939,B939*E939)</f>
        <v>3.1568224999999996</v>
      </c>
      <c r="H939">
        <f t="shared" si="43"/>
        <v>0.75</v>
      </c>
      <c r="I939">
        <f t="shared" si="44"/>
        <v>0</v>
      </c>
    </row>
    <row r="940" spans="1:9">
      <c r="A940" s="1">
        <v>40086</v>
      </c>
      <c r="B940">
        <v>4.2246699999999997</v>
      </c>
      <c r="C940">
        <v>4.8650000000000002</v>
      </c>
      <c r="D940">
        <f>WEEKDAY(A940,14)</f>
        <v>7</v>
      </c>
      <c r="E940">
        <f>VLOOKUP(D940,L$2:M$8,2,FALSE)</f>
        <v>0.25</v>
      </c>
      <c r="F940">
        <f t="shared" si="42"/>
        <v>5</v>
      </c>
      <c r="G940">
        <f>IF(F940&gt;F939,G939+B940*E940,B940*E940)</f>
        <v>4.2129899999999996</v>
      </c>
      <c r="H940">
        <f t="shared" si="43"/>
        <v>1</v>
      </c>
      <c r="I940">
        <f t="shared" si="44"/>
        <v>0</v>
      </c>
    </row>
    <row r="941" spans="1:9">
      <c r="A941" s="1">
        <v>40087</v>
      </c>
      <c r="B941">
        <v>4.1036700000000002</v>
      </c>
      <c r="C941">
        <v>4.7949999999999999</v>
      </c>
      <c r="D941">
        <f>WEEKDAY(A941,14)</f>
        <v>1</v>
      </c>
      <c r="E941">
        <f>VLOOKUP(D941,L$2:M$8,2,FALSE)</f>
        <v>0</v>
      </c>
      <c r="F941">
        <f t="shared" si="42"/>
        <v>1</v>
      </c>
      <c r="G941">
        <f>IF(F941&gt;F940,G940+B941*E941,B941*E941)</f>
        <v>0</v>
      </c>
      <c r="H941">
        <f t="shared" si="43"/>
        <v>0</v>
      </c>
      <c r="I941">
        <f t="shared" si="44"/>
        <v>4.2129899999999996</v>
      </c>
    </row>
    <row r="942" spans="1:9">
      <c r="A942" s="1">
        <v>40088</v>
      </c>
      <c r="B942">
        <v>4.1062799999999999</v>
      </c>
      <c r="C942">
        <v>4.7949999999999999</v>
      </c>
      <c r="D942">
        <f>WEEKDAY(A942,14)</f>
        <v>2</v>
      </c>
      <c r="E942">
        <f>VLOOKUP(D942,L$2:M$8,2,FALSE)</f>
        <v>0</v>
      </c>
      <c r="F942">
        <f t="shared" si="42"/>
        <v>2</v>
      </c>
      <c r="G942">
        <f>IF(F942&gt;F941,G941+B942*E942,B942*E942)</f>
        <v>0</v>
      </c>
      <c r="H942">
        <f t="shared" si="43"/>
        <v>0</v>
      </c>
      <c r="I942">
        <f t="shared" si="44"/>
        <v>0</v>
      </c>
    </row>
    <row r="943" spans="1:9">
      <c r="A943" s="1">
        <v>40091</v>
      </c>
      <c r="B943">
        <v>4.1319699999999999</v>
      </c>
      <c r="C943">
        <v>4.7949999999999999</v>
      </c>
      <c r="D943">
        <f>WEEKDAY(A943,14)</f>
        <v>5</v>
      </c>
      <c r="E943">
        <f>VLOOKUP(D943,L$2:M$8,2,FALSE)</f>
        <v>0.05</v>
      </c>
      <c r="F943">
        <f t="shared" si="42"/>
        <v>3</v>
      </c>
      <c r="G943">
        <f>IF(F943&gt;F942,G942+B943*E943,B943*E943)</f>
        <v>0.20659850000000002</v>
      </c>
      <c r="H943">
        <f t="shared" si="43"/>
        <v>0.05</v>
      </c>
      <c r="I943">
        <f t="shared" si="44"/>
        <v>0</v>
      </c>
    </row>
    <row r="944" spans="1:9">
      <c r="A944" s="1">
        <v>40092</v>
      </c>
      <c r="B944">
        <v>4.1411199999999999</v>
      </c>
      <c r="C944">
        <v>4.7949999999999999</v>
      </c>
      <c r="D944">
        <f>WEEKDAY(A944,14)</f>
        <v>6</v>
      </c>
      <c r="E944">
        <f>VLOOKUP(D944,L$2:M$8,2,FALSE)</f>
        <v>0.7</v>
      </c>
      <c r="F944">
        <f t="shared" si="42"/>
        <v>4</v>
      </c>
      <c r="G944">
        <f>IF(F944&gt;F943,G943+B944*E944,B944*E944)</f>
        <v>3.1053824999999997</v>
      </c>
      <c r="H944">
        <f t="shared" si="43"/>
        <v>0.75</v>
      </c>
      <c r="I944">
        <f t="shared" si="44"/>
        <v>0</v>
      </c>
    </row>
    <row r="945" spans="1:9">
      <c r="A945" s="1">
        <v>40093</v>
      </c>
      <c r="B945">
        <v>4.0916499999999996</v>
      </c>
      <c r="C945">
        <v>4.7949999999999999</v>
      </c>
      <c r="D945">
        <f>WEEKDAY(A945,14)</f>
        <v>7</v>
      </c>
      <c r="E945">
        <f>VLOOKUP(D945,L$2:M$8,2,FALSE)</f>
        <v>0.25</v>
      </c>
      <c r="F945">
        <f t="shared" si="42"/>
        <v>5</v>
      </c>
      <c r="G945">
        <f>IF(F945&gt;F944,G944+B945*E945,B945*E945)</f>
        <v>4.1282949999999996</v>
      </c>
      <c r="H945">
        <f t="shared" si="43"/>
        <v>1</v>
      </c>
      <c r="I945">
        <f t="shared" si="44"/>
        <v>0</v>
      </c>
    </row>
    <row r="946" spans="1:9">
      <c r="A946" s="1">
        <v>40094</v>
      </c>
      <c r="B946">
        <v>4.12155</v>
      </c>
      <c r="C946">
        <v>4.8449999999999998</v>
      </c>
      <c r="D946">
        <f>WEEKDAY(A946,14)</f>
        <v>1</v>
      </c>
      <c r="E946">
        <f>VLOOKUP(D946,L$2:M$8,2,FALSE)</f>
        <v>0</v>
      </c>
      <c r="F946">
        <f t="shared" si="42"/>
        <v>1</v>
      </c>
      <c r="G946">
        <f>IF(F946&gt;F945,G945+B946*E946,B946*E946)</f>
        <v>0</v>
      </c>
      <c r="H946">
        <f t="shared" si="43"/>
        <v>0</v>
      </c>
      <c r="I946">
        <f t="shared" si="44"/>
        <v>4.1282949999999996</v>
      </c>
    </row>
    <row r="947" spans="1:9">
      <c r="A947" s="1">
        <v>40095</v>
      </c>
      <c r="B947">
        <v>4.2515700000000001</v>
      </c>
      <c r="C947">
        <v>4.8449999999999998</v>
      </c>
      <c r="D947">
        <f>WEEKDAY(A947,14)</f>
        <v>2</v>
      </c>
      <c r="E947">
        <f>VLOOKUP(D947,L$2:M$8,2,FALSE)</f>
        <v>0</v>
      </c>
      <c r="F947">
        <f t="shared" si="42"/>
        <v>2</v>
      </c>
      <c r="G947">
        <f>IF(F947&gt;F946,G946+B947*E947,B947*E947)</f>
        <v>0</v>
      </c>
      <c r="H947">
        <f t="shared" si="43"/>
        <v>0</v>
      </c>
      <c r="I947">
        <f t="shared" si="44"/>
        <v>0</v>
      </c>
    </row>
    <row r="948" spans="1:9">
      <c r="A948" s="1">
        <v>40099</v>
      </c>
      <c r="B948">
        <v>4.2189300000000003</v>
      </c>
      <c r="C948">
        <v>4.8449999999999998</v>
      </c>
      <c r="D948">
        <f>WEEKDAY(A948,14)</f>
        <v>6</v>
      </c>
      <c r="E948">
        <f>VLOOKUP(D948,L$2:M$8,2,FALSE)</f>
        <v>0.7</v>
      </c>
      <c r="F948">
        <f t="shared" si="42"/>
        <v>3</v>
      </c>
      <c r="G948">
        <f>IF(F948&gt;F947,G947+B948*E948,B948*E948)</f>
        <v>2.9532509999999998</v>
      </c>
      <c r="H948">
        <f t="shared" si="43"/>
        <v>0.7</v>
      </c>
      <c r="I948">
        <f t="shared" si="44"/>
        <v>0</v>
      </c>
    </row>
    <row r="949" spans="1:9">
      <c r="A949" s="1">
        <v>40100</v>
      </c>
      <c r="B949">
        <v>4.3229699999999998</v>
      </c>
      <c r="C949">
        <v>4.8449999999999998</v>
      </c>
      <c r="D949">
        <f>WEEKDAY(A949,14)</f>
        <v>7</v>
      </c>
      <c r="E949">
        <f>VLOOKUP(D949,L$2:M$8,2,FALSE)</f>
        <v>0.25</v>
      </c>
      <c r="F949">
        <f t="shared" si="42"/>
        <v>4</v>
      </c>
      <c r="G949">
        <f>IF(F949&gt;F948,G948+B949*E949,B949*E949)</f>
        <v>4.0339934999999993</v>
      </c>
      <c r="H949">
        <f t="shared" si="43"/>
        <v>0.95</v>
      </c>
      <c r="I949">
        <f t="shared" si="44"/>
        <v>0</v>
      </c>
    </row>
    <row r="950" spans="1:9">
      <c r="A950" s="1">
        <v>40101</v>
      </c>
      <c r="B950">
        <v>4.4003899999999998</v>
      </c>
      <c r="C950">
        <v>4.9249999999999998</v>
      </c>
      <c r="D950">
        <f>WEEKDAY(A950,14)</f>
        <v>1</v>
      </c>
      <c r="E950">
        <f>VLOOKUP(D950,L$2:M$8,2,FALSE)</f>
        <v>0</v>
      </c>
      <c r="F950">
        <f t="shared" si="42"/>
        <v>1</v>
      </c>
      <c r="G950">
        <f>IF(F950&gt;F949,G949+B950*E950,B950*E950)</f>
        <v>0</v>
      </c>
      <c r="H950">
        <f t="shared" si="43"/>
        <v>0</v>
      </c>
      <c r="I950">
        <f t="shared" si="44"/>
        <v>4.2463089473684201</v>
      </c>
    </row>
    <row r="951" spans="1:9">
      <c r="A951" s="1">
        <v>40102</v>
      </c>
      <c r="B951">
        <v>4.3581500000000002</v>
      </c>
      <c r="C951">
        <v>4.9249999999999998</v>
      </c>
      <c r="D951">
        <f>WEEKDAY(A951,14)</f>
        <v>2</v>
      </c>
      <c r="E951">
        <f>VLOOKUP(D951,L$2:M$8,2,FALSE)</f>
        <v>0</v>
      </c>
      <c r="F951">
        <f t="shared" si="42"/>
        <v>2</v>
      </c>
      <c r="G951">
        <f>IF(F951&gt;F950,G950+B951*E951,B951*E951)</f>
        <v>0</v>
      </c>
      <c r="H951">
        <f t="shared" si="43"/>
        <v>0</v>
      </c>
      <c r="I951">
        <f t="shared" si="44"/>
        <v>0</v>
      </c>
    </row>
    <row r="952" spans="1:9">
      <c r="A952" s="1">
        <v>40105</v>
      </c>
      <c r="B952">
        <v>4.3423100000000003</v>
      </c>
      <c r="C952">
        <v>4.9249999999999998</v>
      </c>
      <c r="D952">
        <f>WEEKDAY(A952,14)</f>
        <v>5</v>
      </c>
      <c r="E952">
        <f>VLOOKUP(D952,L$2:M$8,2,FALSE)</f>
        <v>0.05</v>
      </c>
      <c r="F952">
        <f t="shared" si="42"/>
        <v>3</v>
      </c>
      <c r="G952">
        <f>IF(F952&gt;F951,G951+B952*E952,B952*E952)</f>
        <v>0.21711550000000002</v>
      </c>
      <c r="H952">
        <f t="shared" si="43"/>
        <v>0.05</v>
      </c>
      <c r="I952">
        <f t="shared" si="44"/>
        <v>0</v>
      </c>
    </row>
    <row r="953" spans="1:9">
      <c r="A953" s="1">
        <v>40106</v>
      </c>
      <c r="B953">
        <v>4.3051000000000004</v>
      </c>
      <c r="C953">
        <v>4.9249999999999998</v>
      </c>
      <c r="D953">
        <f>WEEKDAY(A953,14)</f>
        <v>6</v>
      </c>
      <c r="E953">
        <f>VLOOKUP(D953,L$2:M$8,2,FALSE)</f>
        <v>0.7</v>
      </c>
      <c r="F953">
        <f t="shared" si="42"/>
        <v>4</v>
      </c>
      <c r="G953">
        <f>IF(F953&gt;F952,G952+B953*E953,B953*E953)</f>
        <v>3.2306854999999999</v>
      </c>
      <c r="H953">
        <f t="shared" si="43"/>
        <v>0.75</v>
      </c>
      <c r="I953">
        <f t="shared" si="44"/>
        <v>0</v>
      </c>
    </row>
    <row r="954" spans="1:9">
      <c r="A954" s="1">
        <v>40107</v>
      </c>
      <c r="B954">
        <v>4.3519100000000002</v>
      </c>
      <c r="C954">
        <v>4.9249999999999998</v>
      </c>
      <c r="D954">
        <f>WEEKDAY(A954,14)</f>
        <v>7</v>
      </c>
      <c r="E954">
        <f>VLOOKUP(D954,L$2:M$8,2,FALSE)</f>
        <v>0.25</v>
      </c>
      <c r="F954">
        <f t="shared" si="42"/>
        <v>5</v>
      </c>
      <c r="G954">
        <f>IF(F954&gt;F953,G953+B954*E954,B954*E954)</f>
        <v>4.3186629999999999</v>
      </c>
      <c r="H954">
        <f t="shared" si="43"/>
        <v>1</v>
      </c>
      <c r="I954">
        <f t="shared" si="44"/>
        <v>0</v>
      </c>
    </row>
    <row r="955" spans="1:9">
      <c r="A955" s="1">
        <v>40108</v>
      </c>
      <c r="B955">
        <v>4.3488800000000003</v>
      </c>
      <c r="C955">
        <v>4.9550000000000001</v>
      </c>
      <c r="D955">
        <f>WEEKDAY(A955,14)</f>
        <v>1</v>
      </c>
      <c r="E955">
        <f>VLOOKUP(D955,L$2:M$8,2,FALSE)</f>
        <v>0</v>
      </c>
      <c r="F955">
        <f t="shared" si="42"/>
        <v>1</v>
      </c>
      <c r="G955">
        <f>IF(F955&gt;F954,G954+B955*E955,B955*E955)</f>
        <v>0</v>
      </c>
      <c r="H955">
        <f t="shared" si="43"/>
        <v>0</v>
      </c>
      <c r="I955">
        <f t="shared" si="44"/>
        <v>4.3186629999999999</v>
      </c>
    </row>
    <row r="956" spans="1:9">
      <c r="A956" s="1">
        <v>40109</v>
      </c>
      <c r="B956">
        <v>4.3882599999999998</v>
      </c>
      <c r="C956">
        <v>4.9550000000000001</v>
      </c>
      <c r="D956">
        <f>WEEKDAY(A956,14)</f>
        <v>2</v>
      </c>
      <c r="E956">
        <f>VLOOKUP(D956,L$2:M$8,2,FALSE)</f>
        <v>0</v>
      </c>
      <c r="F956">
        <f t="shared" si="42"/>
        <v>2</v>
      </c>
      <c r="G956">
        <f>IF(F956&gt;F955,G955+B956*E956,B956*E956)</f>
        <v>0</v>
      </c>
      <c r="H956">
        <f t="shared" si="43"/>
        <v>0</v>
      </c>
      <c r="I956">
        <f t="shared" si="44"/>
        <v>0</v>
      </c>
    </row>
    <row r="957" spans="1:9">
      <c r="A957" s="1">
        <v>40112</v>
      </c>
      <c r="B957">
        <v>4.4589600000000003</v>
      </c>
      <c r="C957">
        <v>4.9550000000000001</v>
      </c>
      <c r="D957">
        <f>WEEKDAY(A957,14)</f>
        <v>5</v>
      </c>
      <c r="E957">
        <f>VLOOKUP(D957,L$2:M$8,2,FALSE)</f>
        <v>0.05</v>
      </c>
      <c r="F957">
        <f t="shared" si="42"/>
        <v>3</v>
      </c>
      <c r="G957">
        <f>IF(F957&gt;F956,G956+B957*E957,B957*E957)</f>
        <v>0.22294800000000004</v>
      </c>
      <c r="H957">
        <f t="shared" si="43"/>
        <v>0.05</v>
      </c>
      <c r="I957">
        <f t="shared" si="44"/>
        <v>0</v>
      </c>
    </row>
    <row r="958" spans="1:9">
      <c r="A958" s="1">
        <v>40113</v>
      </c>
      <c r="B958">
        <v>4.3817000000000004</v>
      </c>
      <c r="C958">
        <v>4.9550000000000001</v>
      </c>
      <c r="D958">
        <f>WEEKDAY(A958,14)</f>
        <v>6</v>
      </c>
      <c r="E958">
        <f>VLOOKUP(D958,L$2:M$8,2,FALSE)</f>
        <v>0.7</v>
      </c>
      <c r="F958">
        <f t="shared" si="42"/>
        <v>4</v>
      </c>
      <c r="G958">
        <f>IF(F958&gt;F957,G957+B958*E958,B958*E958)</f>
        <v>3.2901380000000002</v>
      </c>
      <c r="H958">
        <f t="shared" si="43"/>
        <v>0.75</v>
      </c>
      <c r="I958">
        <f t="shared" si="44"/>
        <v>0</v>
      </c>
    </row>
    <row r="959" spans="1:9">
      <c r="A959" s="1">
        <v>40114</v>
      </c>
      <c r="B959">
        <v>4.2932100000000002</v>
      </c>
      <c r="C959">
        <v>4.9550000000000001</v>
      </c>
      <c r="D959">
        <f>WEEKDAY(A959,14)</f>
        <v>7</v>
      </c>
      <c r="E959">
        <f>VLOOKUP(D959,L$2:M$8,2,FALSE)</f>
        <v>0.25</v>
      </c>
      <c r="F959">
        <f t="shared" si="42"/>
        <v>5</v>
      </c>
      <c r="G959">
        <f>IF(F959&gt;F958,G958+B959*E959,B959*E959)</f>
        <v>4.3634405000000003</v>
      </c>
      <c r="H959">
        <f t="shared" si="43"/>
        <v>1</v>
      </c>
      <c r="I959">
        <f t="shared" si="44"/>
        <v>0</v>
      </c>
    </row>
    <row r="960" spans="1:9">
      <c r="A960" s="1">
        <v>40115</v>
      </c>
      <c r="B960">
        <v>4.35555</v>
      </c>
      <c r="C960">
        <v>4.9050000000000002</v>
      </c>
      <c r="D960">
        <f>WEEKDAY(A960,14)</f>
        <v>1</v>
      </c>
      <c r="E960">
        <f>VLOOKUP(D960,L$2:M$8,2,FALSE)</f>
        <v>0</v>
      </c>
      <c r="F960">
        <f t="shared" si="42"/>
        <v>1</v>
      </c>
      <c r="G960">
        <f>IF(F960&gt;F959,G959+B960*E960,B960*E960)</f>
        <v>0</v>
      </c>
      <c r="H960">
        <f t="shared" si="43"/>
        <v>0</v>
      </c>
      <c r="I960">
        <f t="shared" si="44"/>
        <v>4.3634405000000003</v>
      </c>
    </row>
    <row r="961" spans="1:9">
      <c r="A961" s="1">
        <v>40116</v>
      </c>
      <c r="B961">
        <v>4.2897400000000001</v>
      </c>
      <c r="C961">
        <v>4.9050000000000002</v>
      </c>
      <c r="D961">
        <f>WEEKDAY(A961,14)</f>
        <v>2</v>
      </c>
      <c r="E961">
        <f>VLOOKUP(D961,L$2:M$8,2,FALSE)</f>
        <v>0</v>
      </c>
      <c r="F961">
        <f t="shared" si="42"/>
        <v>2</v>
      </c>
      <c r="G961">
        <f>IF(F961&gt;F960,G960+B961*E961,B961*E961)</f>
        <v>0</v>
      </c>
      <c r="H961">
        <f t="shared" si="43"/>
        <v>0</v>
      </c>
      <c r="I961">
        <f t="shared" si="44"/>
        <v>0</v>
      </c>
    </row>
    <row r="962" spans="1:9">
      <c r="A962" s="1">
        <v>40119</v>
      </c>
      <c r="B962">
        <v>4.34084</v>
      </c>
      <c r="C962">
        <v>4.9050000000000002</v>
      </c>
      <c r="D962">
        <f>WEEKDAY(A962,14)</f>
        <v>5</v>
      </c>
      <c r="E962">
        <f>VLOOKUP(D962,L$2:M$8,2,FALSE)</f>
        <v>0.05</v>
      </c>
      <c r="F962">
        <f t="shared" si="42"/>
        <v>3</v>
      </c>
      <c r="G962">
        <f>IF(F962&gt;F961,G961+B962*E962,B962*E962)</f>
        <v>0.21704200000000001</v>
      </c>
      <c r="H962">
        <f t="shared" si="43"/>
        <v>0.05</v>
      </c>
      <c r="I962">
        <f t="shared" si="44"/>
        <v>0</v>
      </c>
    </row>
    <row r="963" spans="1:9">
      <c r="A963" s="1">
        <v>40120</v>
      </c>
      <c r="B963">
        <v>4.3734099999999998</v>
      </c>
      <c r="C963">
        <v>4.9050000000000002</v>
      </c>
      <c r="D963">
        <f>WEEKDAY(A963,14)</f>
        <v>6</v>
      </c>
      <c r="E963">
        <f>VLOOKUP(D963,L$2:M$8,2,FALSE)</f>
        <v>0.7</v>
      </c>
      <c r="F963">
        <f t="shared" ref="F963:F1026" si="45">IF(AND(D963&gt;D962,F962&lt;6),F962+1,1)</f>
        <v>4</v>
      </c>
      <c r="G963">
        <f>IF(F963&gt;F962,G962+B963*E963,B963*E963)</f>
        <v>3.278429</v>
      </c>
      <c r="H963">
        <f t="shared" si="43"/>
        <v>0.75</v>
      </c>
      <c r="I963">
        <f t="shared" si="44"/>
        <v>0</v>
      </c>
    </row>
    <row r="964" spans="1:9">
      <c r="A964" s="1">
        <v>40121</v>
      </c>
      <c r="B964">
        <v>4.3972199999999999</v>
      </c>
      <c r="C964">
        <v>4.9050000000000002</v>
      </c>
      <c r="D964">
        <f>WEEKDAY(A964,14)</f>
        <v>7</v>
      </c>
      <c r="E964">
        <f>VLOOKUP(D964,L$2:M$8,2,FALSE)</f>
        <v>0.25</v>
      </c>
      <c r="F964">
        <f t="shared" si="45"/>
        <v>5</v>
      </c>
      <c r="G964">
        <f>IF(F964&gt;F963,G963+B964*E964,B964*E964)</f>
        <v>4.3777340000000002</v>
      </c>
      <c r="H964">
        <f t="shared" ref="H964:H1027" si="46">IF(AND(F964&lt;6,F964&gt;F963),E964+H963,E964)</f>
        <v>1</v>
      </c>
      <c r="I964">
        <f t="shared" ref="I964:I1027" si="47">IF(F963&gt;F964,G963/H963,0)</f>
        <v>0</v>
      </c>
    </row>
    <row r="965" spans="1:9">
      <c r="A965" s="1">
        <v>40122</v>
      </c>
      <c r="B965">
        <v>4.3402700000000003</v>
      </c>
      <c r="C965">
        <v>4.835</v>
      </c>
      <c r="D965">
        <f>WEEKDAY(A965,14)</f>
        <v>1</v>
      </c>
      <c r="E965">
        <f>VLOOKUP(D965,L$2:M$8,2,FALSE)</f>
        <v>0</v>
      </c>
      <c r="F965">
        <f t="shared" si="45"/>
        <v>1</v>
      </c>
      <c r="G965">
        <f>IF(F965&gt;F964,G964+B965*E965,B965*E965)</f>
        <v>0</v>
      </c>
      <c r="H965">
        <f t="shared" si="46"/>
        <v>0</v>
      </c>
      <c r="I965">
        <f t="shared" si="47"/>
        <v>4.3777340000000002</v>
      </c>
    </row>
    <row r="966" spans="1:9">
      <c r="A966" s="1">
        <v>40123</v>
      </c>
      <c r="B966">
        <v>4.2931800000000004</v>
      </c>
      <c r="C966">
        <v>4.835</v>
      </c>
      <c r="D966">
        <f>WEEKDAY(A966,14)</f>
        <v>2</v>
      </c>
      <c r="E966">
        <f>VLOOKUP(D966,L$2:M$8,2,FALSE)</f>
        <v>0</v>
      </c>
      <c r="F966">
        <f t="shared" si="45"/>
        <v>2</v>
      </c>
      <c r="G966">
        <f>IF(F966&gt;F965,G965+B966*E966,B966*E966)</f>
        <v>0</v>
      </c>
      <c r="H966">
        <f t="shared" si="46"/>
        <v>0</v>
      </c>
      <c r="I966">
        <f t="shared" si="47"/>
        <v>0</v>
      </c>
    </row>
    <row r="967" spans="1:9">
      <c r="A967" s="1">
        <v>40126</v>
      </c>
      <c r="B967">
        <v>4.2771800000000004</v>
      </c>
      <c r="C967">
        <v>4.835</v>
      </c>
      <c r="D967">
        <f>WEEKDAY(A967,14)</f>
        <v>5</v>
      </c>
      <c r="E967">
        <f>VLOOKUP(D967,L$2:M$8,2,FALSE)</f>
        <v>0.05</v>
      </c>
      <c r="F967">
        <f t="shared" si="45"/>
        <v>3</v>
      </c>
      <c r="G967">
        <f>IF(F967&gt;F966,G966+B967*E967,B967*E967)</f>
        <v>0.21385900000000002</v>
      </c>
      <c r="H967">
        <f t="shared" si="46"/>
        <v>0.05</v>
      </c>
      <c r="I967">
        <f t="shared" si="47"/>
        <v>0</v>
      </c>
    </row>
    <row r="968" spans="1:9">
      <c r="A968" s="1">
        <v>40127</v>
      </c>
      <c r="B968">
        <v>4.2500600000000004</v>
      </c>
      <c r="C968">
        <v>4.835</v>
      </c>
      <c r="D968">
        <f>WEEKDAY(A968,14)</f>
        <v>6</v>
      </c>
      <c r="E968">
        <f>VLOOKUP(D968,L$2:M$8,2,FALSE)</f>
        <v>0.7</v>
      </c>
      <c r="F968">
        <f t="shared" si="45"/>
        <v>4</v>
      </c>
      <c r="G968">
        <f>IF(F968&gt;F967,G967+B968*E968,B968*E968)</f>
        <v>3.1889010000000004</v>
      </c>
      <c r="H968">
        <f t="shared" si="46"/>
        <v>0.75</v>
      </c>
      <c r="I968">
        <f t="shared" si="47"/>
        <v>0</v>
      </c>
    </row>
    <row r="969" spans="1:9">
      <c r="A969" s="1">
        <v>40129</v>
      </c>
      <c r="B969">
        <v>4.2054900000000002</v>
      </c>
      <c r="C969">
        <v>4.7549999999999999</v>
      </c>
      <c r="D969">
        <f>WEEKDAY(A969,14)</f>
        <v>1</v>
      </c>
      <c r="E969">
        <f>VLOOKUP(D969,L$2:M$8,2,FALSE)</f>
        <v>0</v>
      </c>
      <c r="F969">
        <f t="shared" si="45"/>
        <v>1</v>
      </c>
      <c r="G969">
        <f>IF(F969&gt;F968,G968+B969*E969,B969*E969)</f>
        <v>0</v>
      </c>
      <c r="H969">
        <f t="shared" si="46"/>
        <v>0</v>
      </c>
      <c r="I969">
        <f t="shared" si="47"/>
        <v>4.2518680000000009</v>
      </c>
    </row>
    <row r="970" spans="1:9">
      <c r="A970" s="1">
        <v>40130</v>
      </c>
      <c r="B970">
        <v>4.1259800000000002</v>
      </c>
      <c r="C970">
        <v>4.7549999999999999</v>
      </c>
      <c r="D970">
        <f>WEEKDAY(A970,14)</f>
        <v>2</v>
      </c>
      <c r="E970">
        <f>VLOOKUP(D970,L$2:M$8,2,FALSE)</f>
        <v>0</v>
      </c>
      <c r="F970">
        <f t="shared" si="45"/>
        <v>2</v>
      </c>
      <c r="G970">
        <f>IF(F970&gt;F969,G969+B970*E970,B970*E970)</f>
        <v>0</v>
      </c>
      <c r="H970">
        <f t="shared" si="46"/>
        <v>0</v>
      </c>
      <c r="I970">
        <f t="shared" si="47"/>
        <v>0</v>
      </c>
    </row>
    <row r="971" spans="1:9">
      <c r="A971" s="1">
        <v>40133</v>
      </c>
      <c r="B971">
        <v>4.0276399999999999</v>
      </c>
      <c r="C971">
        <v>4.7549999999999999</v>
      </c>
      <c r="D971">
        <f>WEEKDAY(A971,14)</f>
        <v>5</v>
      </c>
      <c r="E971">
        <f>VLOOKUP(D971,L$2:M$8,2,FALSE)</f>
        <v>0.05</v>
      </c>
      <c r="F971">
        <f t="shared" si="45"/>
        <v>3</v>
      </c>
      <c r="G971">
        <f>IF(F971&gt;F970,G970+B971*E971,B971*E971)</f>
        <v>0.20138200000000001</v>
      </c>
      <c r="H971">
        <f t="shared" si="46"/>
        <v>0.05</v>
      </c>
      <c r="I971">
        <f t="shared" si="47"/>
        <v>0</v>
      </c>
    </row>
    <row r="972" spans="1:9">
      <c r="A972" s="1">
        <v>40134</v>
      </c>
      <c r="B972">
        <v>4.0836399999999999</v>
      </c>
      <c r="C972">
        <v>4.7549999999999999</v>
      </c>
      <c r="D972">
        <f>WEEKDAY(A972,14)</f>
        <v>6</v>
      </c>
      <c r="E972">
        <f>VLOOKUP(D972,L$2:M$8,2,FALSE)</f>
        <v>0.7</v>
      </c>
      <c r="F972">
        <f t="shared" si="45"/>
        <v>4</v>
      </c>
      <c r="G972">
        <f>IF(F972&gt;F971,G971+B972*E972,B972*E972)</f>
        <v>3.05993</v>
      </c>
      <c r="H972">
        <f t="shared" si="46"/>
        <v>0.75</v>
      </c>
      <c r="I972">
        <f t="shared" si="47"/>
        <v>0</v>
      </c>
    </row>
    <row r="973" spans="1:9">
      <c r="A973" s="1">
        <v>40135</v>
      </c>
      <c r="B973">
        <v>4.1321899999999996</v>
      </c>
      <c r="C973">
        <v>4.7050000000000001</v>
      </c>
      <c r="D973">
        <f>WEEKDAY(A973,14)</f>
        <v>7</v>
      </c>
      <c r="E973">
        <f>VLOOKUP(D973,L$2:M$8,2,FALSE)</f>
        <v>0.25</v>
      </c>
      <c r="F973">
        <f t="shared" si="45"/>
        <v>5</v>
      </c>
      <c r="G973">
        <f>IF(F973&gt;F972,G972+B973*E973,B973*E973)</f>
        <v>4.0929774999999999</v>
      </c>
      <c r="H973">
        <f t="shared" si="46"/>
        <v>1</v>
      </c>
      <c r="I973">
        <f t="shared" si="47"/>
        <v>0</v>
      </c>
    </row>
    <row r="974" spans="1:9">
      <c r="A974" s="1">
        <v>40136</v>
      </c>
      <c r="B974">
        <v>4.1420300000000001</v>
      </c>
      <c r="C974">
        <v>4.7549999999999999</v>
      </c>
      <c r="D974">
        <f>WEEKDAY(A974,14)</f>
        <v>1</v>
      </c>
      <c r="E974">
        <f>VLOOKUP(D974,L$2:M$8,2,FALSE)</f>
        <v>0</v>
      </c>
      <c r="F974">
        <f t="shared" si="45"/>
        <v>1</v>
      </c>
      <c r="G974">
        <f>IF(F974&gt;F973,G973+B974*E974,B974*E974)</f>
        <v>0</v>
      </c>
      <c r="H974">
        <f t="shared" si="46"/>
        <v>0</v>
      </c>
      <c r="I974">
        <f t="shared" si="47"/>
        <v>4.0929774999999999</v>
      </c>
    </row>
    <row r="975" spans="1:9">
      <c r="A975" s="1">
        <v>40137</v>
      </c>
      <c r="B975">
        <v>4.1140699999999999</v>
      </c>
      <c r="C975">
        <v>4.7050000000000001</v>
      </c>
      <c r="D975">
        <f>WEEKDAY(A975,14)</f>
        <v>2</v>
      </c>
      <c r="E975">
        <f>VLOOKUP(D975,L$2:M$8,2,FALSE)</f>
        <v>0</v>
      </c>
      <c r="F975">
        <f t="shared" si="45"/>
        <v>2</v>
      </c>
      <c r="G975">
        <f>IF(F975&gt;F974,G974+B975*E975,B975*E975)</f>
        <v>0</v>
      </c>
      <c r="H975">
        <f t="shared" si="46"/>
        <v>0</v>
      </c>
      <c r="I975">
        <f t="shared" si="47"/>
        <v>0</v>
      </c>
    </row>
    <row r="976" spans="1:9">
      <c r="A976" s="1">
        <v>40140</v>
      </c>
      <c r="B976">
        <v>4.0891400000000004</v>
      </c>
      <c r="C976">
        <v>4.7050000000000001</v>
      </c>
      <c r="D976">
        <f>WEEKDAY(A976,14)</f>
        <v>5</v>
      </c>
      <c r="E976">
        <f>VLOOKUP(D976,L$2:M$8,2,FALSE)</f>
        <v>0.05</v>
      </c>
      <c r="F976">
        <f t="shared" si="45"/>
        <v>3</v>
      </c>
      <c r="G976">
        <f>IF(F976&gt;F975,G975+B976*E976,B976*E976)</f>
        <v>0.20445700000000003</v>
      </c>
      <c r="H976">
        <f t="shared" si="46"/>
        <v>0.05</v>
      </c>
      <c r="I976">
        <f t="shared" si="47"/>
        <v>0</v>
      </c>
    </row>
    <row r="977" spans="1:9">
      <c r="A977" s="1">
        <v>40141</v>
      </c>
      <c r="B977">
        <v>4.0075700000000003</v>
      </c>
      <c r="C977">
        <v>4.7050000000000001</v>
      </c>
      <c r="D977">
        <f>WEEKDAY(A977,14)</f>
        <v>6</v>
      </c>
      <c r="E977">
        <f>VLOOKUP(D977,L$2:M$8,2,FALSE)</f>
        <v>0.7</v>
      </c>
      <c r="F977">
        <f t="shared" si="45"/>
        <v>4</v>
      </c>
      <c r="G977">
        <f>IF(F977&gt;F976,G976+B977*E977,B977*E977)</f>
        <v>3.0097560000000003</v>
      </c>
      <c r="H977">
        <f t="shared" si="46"/>
        <v>0.75</v>
      </c>
      <c r="I977">
        <f t="shared" si="47"/>
        <v>0</v>
      </c>
    </row>
    <row r="978" spans="1:9">
      <c r="A978" s="1">
        <v>40142</v>
      </c>
      <c r="B978">
        <v>3.9974500000000002</v>
      </c>
      <c r="C978">
        <v>4.7050000000000001</v>
      </c>
      <c r="D978">
        <f>WEEKDAY(A978,14)</f>
        <v>7</v>
      </c>
      <c r="E978">
        <f>VLOOKUP(D978,L$2:M$8,2,FALSE)</f>
        <v>0.25</v>
      </c>
      <c r="F978">
        <f t="shared" si="45"/>
        <v>5</v>
      </c>
      <c r="G978">
        <f>IF(F978&gt;F977,G977+B978*E978,B978*E978)</f>
        <v>4.0091185000000005</v>
      </c>
      <c r="H978">
        <f t="shared" si="46"/>
        <v>1</v>
      </c>
      <c r="I978">
        <f t="shared" si="47"/>
        <v>0</v>
      </c>
    </row>
    <row r="979" spans="1:9">
      <c r="A979" s="1">
        <v>40144</v>
      </c>
      <c r="B979">
        <v>3.9539499999999999</v>
      </c>
      <c r="C979">
        <v>4.6349999999999998</v>
      </c>
      <c r="D979">
        <f>WEEKDAY(A979,14)</f>
        <v>2</v>
      </c>
      <c r="E979">
        <f>VLOOKUP(D979,L$2:M$8,2,FALSE)</f>
        <v>0</v>
      </c>
      <c r="F979">
        <f t="shared" si="45"/>
        <v>1</v>
      </c>
      <c r="G979">
        <f>IF(F979&gt;F978,G978+B979*E979,B979*E979)</f>
        <v>0</v>
      </c>
      <c r="H979">
        <f t="shared" si="46"/>
        <v>0</v>
      </c>
      <c r="I979">
        <f t="shared" si="47"/>
        <v>4.0091185000000005</v>
      </c>
    </row>
    <row r="980" spans="1:9">
      <c r="A980" s="1">
        <v>40147</v>
      </c>
      <c r="B980">
        <v>3.9489999999999998</v>
      </c>
      <c r="C980">
        <v>4.6349999999999998</v>
      </c>
      <c r="D980">
        <f>WEEKDAY(A980,14)</f>
        <v>5</v>
      </c>
      <c r="E980">
        <f>VLOOKUP(D980,L$2:M$8,2,FALSE)</f>
        <v>0.05</v>
      </c>
      <c r="F980">
        <f t="shared" si="45"/>
        <v>2</v>
      </c>
      <c r="G980">
        <f>IF(F980&gt;F979,G979+B980*E980,B980*E980)</f>
        <v>0.19745000000000001</v>
      </c>
      <c r="H980">
        <f t="shared" si="46"/>
        <v>0.05</v>
      </c>
      <c r="I980">
        <f t="shared" si="47"/>
        <v>0</v>
      </c>
    </row>
    <row r="981" spans="1:9">
      <c r="A981" s="1">
        <v>40148</v>
      </c>
      <c r="B981">
        <v>4.0436500000000004</v>
      </c>
      <c r="C981">
        <v>4.6349999999999998</v>
      </c>
      <c r="D981">
        <f>WEEKDAY(A981,14)</f>
        <v>6</v>
      </c>
      <c r="E981">
        <f>VLOOKUP(D981,L$2:M$8,2,FALSE)</f>
        <v>0.7</v>
      </c>
      <c r="F981">
        <f t="shared" si="45"/>
        <v>3</v>
      </c>
      <c r="G981">
        <f>IF(F981&gt;F980,G980+B981*E981,B981*E981)</f>
        <v>3.0280049999999998</v>
      </c>
      <c r="H981">
        <f t="shared" si="46"/>
        <v>0.75</v>
      </c>
      <c r="I981">
        <f t="shared" si="47"/>
        <v>0</v>
      </c>
    </row>
    <row r="982" spans="1:9">
      <c r="A982" s="1">
        <v>40149</v>
      </c>
      <c r="B982">
        <v>4.1065100000000001</v>
      </c>
      <c r="C982">
        <v>4.6349999999999998</v>
      </c>
      <c r="D982">
        <f>WEEKDAY(A982,14)</f>
        <v>7</v>
      </c>
      <c r="E982">
        <f>VLOOKUP(D982,L$2:M$8,2,FALSE)</f>
        <v>0.25</v>
      </c>
      <c r="F982">
        <f t="shared" si="45"/>
        <v>4</v>
      </c>
      <c r="G982">
        <f>IF(F982&gt;F981,G981+B982*E982,B982*E982)</f>
        <v>4.0546325000000003</v>
      </c>
      <c r="H982">
        <f t="shared" si="46"/>
        <v>1</v>
      </c>
      <c r="I982">
        <f t="shared" si="47"/>
        <v>0</v>
      </c>
    </row>
    <row r="983" spans="1:9">
      <c r="A983" s="1">
        <v>40150</v>
      </c>
      <c r="B983">
        <v>4.1694300000000002</v>
      </c>
      <c r="C983">
        <v>4.7350000000000003</v>
      </c>
      <c r="D983">
        <f>WEEKDAY(A983,14)</f>
        <v>1</v>
      </c>
      <c r="E983">
        <f>VLOOKUP(D983,L$2:M$8,2,FALSE)</f>
        <v>0</v>
      </c>
      <c r="F983">
        <f t="shared" si="45"/>
        <v>1</v>
      </c>
      <c r="G983">
        <f>IF(F983&gt;F982,G982+B983*E983,B983*E983)</f>
        <v>0</v>
      </c>
      <c r="H983">
        <f t="shared" si="46"/>
        <v>0</v>
      </c>
      <c r="I983">
        <f t="shared" si="47"/>
        <v>4.0546325000000003</v>
      </c>
    </row>
    <row r="984" spans="1:9">
      <c r="A984" s="1">
        <v>40151</v>
      </c>
      <c r="B984">
        <v>4.2443099999999996</v>
      </c>
      <c r="C984">
        <v>4.7350000000000003</v>
      </c>
      <c r="D984">
        <f>WEEKDAY(A984,14)</f>
        <v>2</v>
      </c>
      <c r="E984">
        <f>VLOOKUP(D984,L$2:M$8,2,FALSE)</f>
        <v>0</v>
      </c>
      <c r="F984">
        <f t="shared" si="45"/>
        <v>2</v>
      </c>
      <c r="G984">
        <f>IF(F984&gt;F983,G983+B984*E984,B984*E984)</f>
        <v>0</v>
      </c>
      <c r="H984">
        <f t="shared" si="46"/>
        <v>0</v>
      </c>
      <c r="I984">
        <f t="shared" si="47"/>
        <v>0</v>
      </c>
    </row>
    <row r="985" spans="1:9">
      <c r="A985" s="1">
        <v>40154</v>
      </c>
      <c r="B985">
        <v>4.1946000000000003</v>
      </c>
      <c r="C985">
        <v>4.7350000000000003</v>
      </c>
      <c r="D985">
        <f>WEEKDAY(A985,14)</f>
        <v>5</v>
      </c>
      <c r="E985">
        <f>VLOOKUP(D985,L$2:M$8,2,FALSE)</f>
        <v>0.05</v>
      </c>
      <c r="F985">
        <f t="shared" si="45"/>
        <v>3</v>
      </c>
      <c r="G985">
        <f>IF(F985&gt;F984,G984+B985*E985,B985*E985)</f>
        <v>0.20973000000000003</v>
      </c>
      <c r="H985">
        <f t="shared" si="46"/>
        <v>0.05</v>
      </c>
      <c r="I985">
        <f t="shared" si="47"/>
        <v>0</v>
      </c>
    </row>
    <row r="986" spans="1:9">
      <c r="A986" s="1">
        <v>40155</v>
      </c>
      <c r="B986">
        <v>4.1504300000000001</v>
      </c>
      <c r="C986">
        <v>4.7350000000000003</v>
      </c>
      <c r="D986">
        <f>WEEKDAY(A986,14)</f>
        <v>6</v>
      </c>
      <c r="E986">
        <f>VLOOKUP(D986,L$2:M$8,2,FALSE)</f>
        <v>0.7</v>
      </c>
      <c r="F986">
        <f t="shared" si="45"/>
        <v>4</v>
      </c>
      <c r="G986">
        <f>IF(F986&gt;F985,G985+B986*E986,B986*E986)</f>
        <v>3.1150309999999997</v>
      </c>
      <c r="H986">
        <f t="shared" si="46"/>
        <v>0.75</v>
      </c>
      <c r="I986">
        <f t="shared" si="47"/>
        <v>0</v>
      </c>
    </row>
    <row r="987" spans="1:9">
      <c r="A987" s="1">
        <v>40156</v>
      </c>
      <c r="B987">
        <v>4.1916700000000002</v>
      </c>
      <c r="C987">
        <v>4.7350000000000003</v>
      </c>
      <c r="D987">
        <f>WEEKDAY(A987,14)</f>
        <v>7</v>
      </c>
      <c r="E987">
        <f>VLOOKUP(D987,L$2:M$8,2,FALSE)</f>
        <v>0.25</v>
      </c>
      <c r="F987">
        <f t="shared" si="45"/>
        <v>5</v>
      </c>
      <c r="G987">
        <f>IF(F987&gt;F986,G986+B987*E987,B987*E987)</f>
        <v>4.1629484999999997</v>
      </c>
      <c r="H987">
        <f t="shared" si="46"/>
        <v>1</v>
      </c>
      <c r="I987">
        <f t="shared" si="47"/>
        <v>0</v>
      </c>
    </row>
    <row r="988" spans="1:9">
      <c r="A988" s="1">
        <v>40157</v>
      </c>
      <c r="B988">
        <v>4.2251500000000002</v>
      </c>
      <c r="C988">
        <v>4.8650000000000002</v>
      </c>
      <c r="D988">
        <f>WEEKDAY(A988,14)</f>
        <v>1</v>
      </c>
      <c r="E988">
        <f>VLOOKUP(D988,L$2:M$8,2,FALSE)</f>
        <v>0</v>
      </c>
      <c r="F988">
        <f t="shared" si="45"/>
        <v>1</v>
      </c>
      <c r="G988">
        <f>IF(F988&gt;F987,G987+B988*E988,B988*E988)</f>
        <v>0</v>
      </c>
      <c r="H988">
        <f t="shared" si="46"/>
        <v>0</v>
      </c>
      <c r="I988">
        <f t="shared" si="47"/>
        <v>4.1629484999999997</v>
      </c>
    </row>
    <row r="989" spans="1:9">
      <c r="A989" s="1">
        <v>40158</v>
      </c>
      <c r="B989">
        <v>4.24709</v>
      </c>
      <c r="C989">
        <v>4.8650000000000002</v>
      </c>
      <c r="D989">
        <f>WEEKDAY(A989,14)</f>
        <v>2</v>
      </c>
      <c r="E989">
        <f>VLOOKUP(D989,L$2:M$8,2,FALSE)</f>
        <v>0</v>
      </c>
      <c r="F989">
        <f t="shared" si="45"/>
        <v>2</v>
      </c>
      <c r="G989">
        <f>IF(F989&gt;F988,G988+B989*E989,B989*E989)</f>
        <v>0</v>
      </c>
      <c r="H989">
        <f t="shared" si="46"/>
        <v>0</v>
      </c>
      <c r="I989">
        <f t="shared" si="47"/>
        <v>0</v>
      </c>
    </row>
    <row r="990" spans="1:9">
      <c r="A990" s="1">
        <v>40161</v>
      </c>
      <c r="B990">
        <v>4.2831700000000001</v>
      </c>
      <c r="C990">
        <v>4.8650000000000002</v>
      </c>
      <c r="D990">
        <f>WEEKDAY(A990,14)</f>
        <v>5</v>
      </c>
      <c r="E990">
        <f>VLOOKUP(D990,L$2:M$8,2,FALSE)</f>
        <v>0.05</v>
      </c>
      <c r="F990">
        <f t="shared" si="45"/>
        <v>3</v>
      </c>
      <c r="G990">
        <f>IF(F990&gt;F989,G989+B990*E990,B990*E990)</f>
        <v>0.21415850000000003</v>
      </c>
      <c r="H990">
        <f t="shared" si="46"/>
        <v>0.05</v>
      </c>
      <c r="I990">
        <f t="shared" si="47"/>
        <v>0</v>
      </c>
    </row>
    <row r="991" spans="1:9">
      <c r="A991" s="1">
        <v>40162</v>
      </c>
      <c r="B991">
        <v>4.3540700000000001</v>
      </c>
      <c r="C991">
        <v>4.8650000000000002</v>
      </c>
      <c r="D991">
        <f>WEEKDAY(A991,14)</f>
        <v>6</v>
      </c>
      <c r="E991">
        <f>VLOOKUP(D991,L$2:M$8,2,FALSE)</f>
        <v>0.7</v>
      </c>
      <c r="F991">
        <f t="shared" si="45"/>
        <v>4</v>
      </c>
      <c r="G991">
        <f>IF(F991&gt;F990,G990+B991*E991,B991*E991)</f>
        <v>3.2620074999999997</v>
      </c>
      <c r="H991">
        <f t="shared" si="46"/>
        <v>0.75</v>
      </c>
      <c r="I991">
        <f t="shared" si="47"/>
        <v>0</v>
      </c>
    </row>
    <row r="992" spans="1:9">
      <c r="A992" s="1">
        <v>40163</v>
      </c>
      <c r="B992">
        <v>4.3249199999999997</v>
      </c>
      <c r="C992">
        <v>4.8650000000000002</v>
      </c>
      <c r="D992">
        <f>WEEKDAY(A992,14)</f>
        <v>7</v>
      </c>
      <c r="E992">
        <f>VLOOKUP(D992,L$2:M$8,2,FALSE)</f>
        <v>0.25</v>
      </c>
      <c r="F992">
        <f t="shared" si="45"/>
        <v>5</v>
      </c>
      <c r="G992">
        <f>IF(F992&gt;F991,G991+B992*E992,B992*E992)</f>
        <v>4.3432374999999999</v>
      </c>
      <c r="H992">
        <f t="shared" si="46"/>
        <v>1</v>
      </c>
      <c r="I992">
        <f t="shared" si="47"/>
        <v>0</v>
      </c>
    </row>
    <row r="993" spans="1:9">
      <c r="A993" s="1">
        <v>40164</v>
      </c>
      <c r="B993">
        <v>4.1982200000000001</v>
      </c>
      <c r="C993">
        <v>4.9749999999999996</v>
      </c>
      <c r="D993">
        <f>WEEKDAY(A993,14)</f>
        <v>1</v>
      </c>
      <c r="E993">
        <f>VLOOKUP(D993,L$2:M$8,2,FALSE)</f>
        <v>0</v>
      </c>
      <c r="F993">
        <f t="shared" si="45"/>
        <v>1</v>
      </c>
      <c r="G993">
        <f>IF(F993&gt;F992,G992+B993*E993,B993*E993)</f>
        <v>0</v>
      </c>
      <c r="H993">
        <f t="shared" si="46"/>
        <v>0</v>
      </c>
      <c r="I993">
        <f t="shared" si="47"/>
        <v>4.3432374999999999</v>
      </c>
    </row>
    <row r="994" spans="1:9">
      <c r="A994" s="1">
        <v>40165</v>
      </c>
      <c r="B994">
        <v>4.2629099999999998</v>
      </c>
      <c r="C994">
        <v>4.9749999999999996</v>
      </c>
      <c r="D994">
        <f>WEEKDAY(A994,14)</f>
        <v>2</v>
      </c>
      <c r="E994">
        <f>VLOOKUP(D994,L$2:M$8,2,FALSE)</f>
        <v>0</v>
      </c>
      <c r="F994">
        <f t="shared" si="45"/>
        <v>2</v>
      </c>
      <c r="G994">
        <f>IF(F994&gt;F993,G993+B994*E994,B994*E994)</f>
        <v>0</v>
      </c>
      <c r="H994">
        <f t="shared" si="46"/>
        <v>0</v>
      </c>
      <c r="I994">
        <f t="shared" si="47"/>
        <v>0</v>
      </c>
    </row>
    <row r="995" spans="1:9">
      <c r="A995" s="1">
        <v>40168</v>
      </c>
      <c r="B995">
        <v>4.4100400000000004</v>
      </c>
      <c r="C995">
        <v>4.9749999999999996</v>
      </c>
      <c r="D995">
        <f>WEEKDAY(A995,14)</f>
        <v>5</v>
      </c>
      <c r="E995">
        <f>VLOOKUP(D995,L$2:M$8,2,FALSE)</f>
        <v>0.05</v>
      </c>
      <c r="F995">
        <f t="shared" si="45"/>
        <v>3</v>
      </c>
      <c r="G995">
        <f>IF(F995&gt;F994,G994+B995*E995,B995*E995)</f>
        <v>0.22050200000000003</v>
      </c>
      <c r="H995">
        <f t="shared" si="46"/>
        <v>0.05</v>
      </c>
      <c r="I995">
        <f t="shared" si="47"/>
        <v>0</v>
      </c>
    </row>
    <row r="996" spans="1:9">
      <c r="A996" s="1">
        <v>40169</v>
      </c>
      <c r="B996">
        <v>4.4854000000000003</v>
      </c>
      <c r="C996">
        <v>4.9749999999999996</v>
      </c>
      <c r="D996">
        <f>WEEKDAY(A996,14)</f>
        <v>6</v>
      </c>
      <c r="E996">
        <f>VLOOKUP(D996,L$2:M$8,2,FALSE)</f>
        <v>0.7</v>
      </c>
      <c r="F996">
        <f t="shared" si="45"/>
        <v>4</v>
      </c>
      <c r="G996">
        <f>IF(F996&gt;F995,G995+B996*E996,B996*E996)</f>
        <v>3.3602820000000002</v>
      </c>
      <c r="H996">
        <f t="shared" si="46"/>
        <v>0.75</v>
      </c>
      <c r="I996">
        <f t="shared" si="47"/>
        <v>0</v>
      </c>
    </row>
    <row r="997" spans="1:9">
      <c r="A997" s="1">
        <v>40170</v>
      </c>
      <c r="B997">
        <v>4.49594</v>
      </c>
      <c r="C997">
        <v>4.9749999999999996</v>
      </c>
      <c r="D997">
        <f>WEEKDAY(A997,14)</f>
        <v>7</v>
      </c>
      <c r="E997">
        <f>VLOOKUP(D997,L$2:M$8,2,FALSE)</f>
        <v>0.25</v>
      </c>
      <c r="F997">
        <f t="shared" si="45"/>
        <v>5</v>
      </c>
      <c r="G997">
        <f>IF(F997&gt;F996,G996+B997*E997,B997*E997)</f>
        <v>4.484267</v>
      </c>
      <c r="H997">
        <f t="shared" si="46"/>
        <v>1</v>
      </c>
      <c r="I997">
        <f t="shared" si="47"/>
        <v>0</v>
      </c>
    </row>
    <row r="998" spans="1:9">
      <c r="A998" s="1">
        <v>40171</v>
      </c>
      <c r="B998">
        <v>4.5466699999999998</v>
      </c>
      <c r="C998">
        <v>5.0650000000000004</v>
      </c>
      <c r="D998">
        <f>WEEKDAY(A998,14)</f>
        <v>1</v>
      </c>
      <c r="E998">
        <f>VLOOKUP(D998,L$2:M$8,2,FALSE)</f>
        <v>0</v>
      </c>
      <c r="F998">
        <f t="shared" si="45"/>
        <v>1</v>
      </c>
      <c r="G998">
        <f>IF(F998&gt;F997,G997+B998*E998,B998*E998)</f>
        <v>0</v>
      </c>
      <c r="H998">
        <f t="shared" si="46"/>
        <v>0</v>
      </c>
      <c r="I998">
        <f t="shared" si="47"/>
        <v>4.484267</v>
      </c>
    </row>
    <row r="999" spans="1:9">
      <c r="A999" s="1">
        <v>40175</v>
      </c>
      <c r="B999">
        <v>4.5967799999999999</v>
      </c>
      <c r="C999">
        <v>5.0650000000000004</v>
      </c>
      <c r="D999">
        <f>WEEKDAY(A999,14)</f>
        <v>5</v>
      </c>
      <c r="E999">
        <f>VLOOKUP(D999,L$2:M$8,2,FALSE)</f>
        <v>0.05</v>
      </c>
      <c r="F999">
        <f t="shared" si="45"/>
        <v>2</v>
      </c>
      <c r="G999">
        <f>IF(F999&gt;F998,G998+B999*E999,B999*E999)</f>
        <v>0.22983900000000002</v>
      </c>
      <c r="H999">
        <f t="shared" si="46"/>
        <v>0.05</v>
      </c>
      <c r="I999">
        <f t="shared" si="47"/>
        <v>0</v>
      </c>
    </row>
    <row r="1000" spans="1:9">
      <c r="A1000" s="1">
        <v>40176</v>
      </c>
      <c r="B1000">
        <v>4.5562300000000002</v>
      </c>
      <c r="C1000">
        <v>5.0650000000000004</v>
      </c>
      <c r="D1000">
        <f>WEEKDAY(A1000,14)</f>
        <v>6</v>
      </c>
      <c r="E1000">
        <f>VLOOKUP(D1000,L$2:M$8,2,FALSE)</f>
        <v>0.7</v>
      </c>
      <c r="F1000">
        <f t="shared" si="45"/>
        <v>3</v>
      </c>
      <c r="G1000">
        <f>IF(F1000&gt;F999,G999+B1000*E1000,B1000*E1000)</f>
        <v>3.4192</v>
      </c>
      <c r="H1000">
        <f t="shared" si="46"/>
        <v>0.75</v>
      </c>
      <c r="I1000">
        <f t="shared" si="47"/>
        <v>0</v>
      </c>
    </row>
    <row r="1001" spans="1:9">
      <c r="A1001" s="1">
        <v>40177</v>
      </c>
      <c r="B1001">
        <v>4.5227700000000004</v>
      </c>
      <c r="C1001">
        <v>5.0650000000000004</v>
      </c>
      <c r="D1001">
        <f>WEEKDAY(A1001,14)</f>
        <v>7</v>
      </c>
      <c r="E1001">
        <f>VLOOKUP(D1001,L$2:M$8,2,FALSE)</f>
        <v>0.25</v>
      </c>
      <c r="F1001">
        <f t="shared" si="45"/>
        <v>4</v>
      </c>
      <c r="G1001">
        <f>IF(F1001&gt;F1000,G1000+B1001*E1001,B1001*E1001)</f>
        <v>4.5498925000000003</v>
      </c>
      <c r="H1001">
        <f t="shared" si="46"/>
        <v>1</v>
      </c>
      <c r="I1001">
        <f t="shared" si="47"/>
        <v>0</v>
      </c>
    </row>
    <row r="1002" spans="1:9">
      <c r="A1002" s="1">
        <v>40178</v>
      </c>
      <c r="B1002">
        <v>4.5592499999999996</v>
      </c>
      <c r="C1002">
        <v>5.0149999999999997</v>
      </c>
      <c r="D1002">
        <f>WEEKDAY(A1002,14)</f>
        <v>1</v>
      </c>
      <c r="E1002">
        <f>VLOOKUP(D1002,L$2:M$8,2,FALSE)</f>
        <v>0</v>
      </c>
      <c r="F1002">
        <f t="shared" si="45"/>
        <v>1</v>
      </c>
      <c r="G1002">
        <f>IF(F1002&gt;F1001,G1001+B1002*E1002,B1002*E1002)</f>
        <v>0</v>
      </c>
      <c r="H1002">
        <f t="shared" si="46"/>
        <v>0</v>
      </c>
      <c r="I1002">
        <f t="shared" si="47"/>
        <v>4.5498925000000003</v>
      </c>
    </row>
    <row r="1003" spans="1:9">
      <c r="A1003" s="1">
        <v>40182</v>
      </c>
      <c r="B1003">
        <v>4.5325300000000004</v>
      </c>
      <c r="C1003">
        <v>5.0149999999999997</v>
      </c>
      <c r="D1003">
        <f>WEEKDAY(A1003,14)</f>
        <v>5</v>
      </c>
      <c r="E1003">
        <f>VLOOKUP(D1003,L$2:M$8,2,FALSE)</f>
        <v>0.05</v>
      </c>
      <c r="F1003">
        <f t="shared" si="45"/>
        <v>2</v>
      </c>
      <c r="G1003">
        <f>IF(F1003&gt;F1002,G1002+B1003*E1003,B1003*E1003)</f>
        <v>0.22662650000000004</v>
      </c>
      <c r="H1003">
        <f t="shared" si="46"/>
        <v>0.05</v>
      </c>
      <c r="I1003">
        <f t="shared" si="47"/>
        <v>0</v>
      </c>
    </row>
    <row r="1004" spans="1:9">
      <c r="A1004" s="1">
        <v>40183</v>
      </c>
      <c r="B1004">
        <v>4.4366599999999998</v>
      </c>
      <c r="C1004">
        <v>5.0149999999999997</v>
      </c>
      <c r="D1004">
        <f>WEEKDAY(A1004,14)</f>
        <v>6</v>
      </c>
      <c r="E1004">
        <f>VLOOKUP(D1004,L$2:M$8,2,FALSE)</f>
        <v>0.7</v>
      </c>
      <c r="F1004">
        <f t="shared" si="45"/>
        <v>3</v>
      </c>
      <c r="G1004">
        <f>IF(F1004&gt;F1003,G1003+B1004*E1004,B1004*E1004)</f>
        <v>3.3322884999999998</v>
      </c>
      <c r="H1004">
        <f t="shared" si="46"/>
        <v>0.75</v>
      </c>
      <c r="I1004">
        <f t="shared" si="47"/>
        <v>0</v>
      </c>
    </row>
    <row r="1005" spans="1:9">
      <c r="A1005" s="1">
        <v>40184</v>
      </c>
      <c r="B1005">
        <v>4.4757400000000001</v>
      </c>
      <c r="C1005">
        <v>5.0149999999999997</v>
      </c>
      <c r="D1005">
        <f>WEEKDAY(A1005,14)</f>
        <v>7</v>
      </c>
      <c r="E1005">
        <f>VLOOKUP(D1005,L$2:M$8,2,FALSE)</f>
        <v>0.25</v>
      </c>
      <c r="F1005">
        <f t="shared" si="45"/>
        <v>4</v>
      </c>
      <c r="G1005">
        <f>IF(F1005&gt;F1004,G1004+B1005*E1005,B1005*E1005)</f>
        <v>4.4512234999999993</v>
      </c>
      <c r="H1005">
        <f t="shared" si="46"/>
        <v>1</v>
      </c>
      <c r="I1005">
        <f t="shared" si="47"/>
        <v>0</v>
      </c>
    </row>
    <row r="1006" spans="1:9">
      <c r="A1006" s="1">
        <v>40185</v>
      </c>
      <c r="B1006">
        <v>4.5050400000000002</v>
      </c>
      <c r="C1006">
        <v>4.9850000000000003</v>
      </c>
      <c r="D1006">
        <f>WEEKDAY(A1006,14)</f>
        <v>1</v>
      </c>
      <c r="E1006">
        <f>VLOOKUP(D1006,L$2:M$8,2,FALSE)</f>
        <v>0</v>
      </c>
      <c r="F1006">
        <f t="shared" si="45"/>
        <v>1</v>
      </c>
      <c r="G1006">
        <f>IF(F1006&gt;F1005,G1005+B1006*E1006,B1006*E1006)</f>
        <v>0</v>
      </c>
      <c r="H1006">
        <f t="shared" si="46"/>
        <v>0</v>
      </c>
      <c r="I1006">
        <f t="shared" si="47"/>
        <v>4.4512234999999993</v>
      </c>
    </row>
    <row r="1007" spans="1:9">
      <c r="A1007" s="1">
        <v>40186</v>
      </c>
      <c r="B1007">
        <v>4.49953</v>
      </c>
      <c r="C1007">
        <v>4.9850000000000003</v>
      </c>
      <c r="D1007">
        <f>WEEKDAY(A1007,14)</f>
        <v>2</v>
      </c>
      <c r="E1007">
        <f>VLOOKUP(D1007,L$2:M$8,2,FALSE)</f>
        <v>0</v>
      </c>
      <c r="F1007">
        <f t="shared" si="45"/>
        <v>2</v>
      </c>
      <c r="G1007">
        <f>IF(F1007&gt;F1006,G1006+B1007*E1007,B1007*E1007)</f>
        <v>0</v>
      </c>
      <c r="H1007">
        <f t="shared" si="46"/>
        <v>0</v>
      </c>
      <c r="I1007">
        <f t="shared" si="47"/>
        <v>0</v>
      </c>
    </row>
    <row r="1008" spans="1:9">
      <c r="A1008" s="1">
        <v>40189</v>
      </c>
      <c r="B1008">
        <v>4.48888</v>
      </c>
      <c r="C1008">
        <v>4.9850000000000003</v>
      </c>
      <c r="D1008">
        <f>WEEKDAY(A1008,14)</f>
        <v>5</v>
      </c>
      <c r="E1008">
        <f>VLOOKUP(D1008,L$2:M$8,2,FALSE)</f>
        <v>0.05</v>
      </c>
      <c r="F1008">
        <f t="shared" si="45"/>
        <v>3</v>
      </c>
      <c r="G1008">
        <f>IF(F1008&gt;F1007,G1007+B1008*E1008,B1008*E1008)</f>
        <v>0.224444</v>
      </c>
      <c r="H1008">
        <f t="shared" si="46"/>
        <v>0.05</v>
      </c>
      <c r="I1008">
        <f t="shared" si="47"/>
        <v>0</v>
      </c>
    </row>
    <row r="1009" spans="1:9">
      <c r="A1009" s="1">
        <v>40190</v>
      </c>
      <c r="B1009">
        <v>4.40876</v>
      </c>
      <c r="C1009">
        <v>4.9850000000000003</v>
      </c>
      <c r="D1009">
        <f>WEEKDAY(A1009,14)</f>
        <v>6</v>
      </c>
      <c r="E1009">
        <f>VLOOKUP(D1009,L$2:M$8,2,FALSE)</f>
        <v>0.7</v>
      </c>
      <c r="F1009">
        <f t="shared" si="45"/>
        <v>4</v>
      </c>
      <c r="G1009">
        <f>IF(F1009&gt;F1008,G1008+B1009*E1009,B1009*E1009)</f>
        <v>3.3105759999999997</v>
      </c>
      <c r="H1009">
        <f t="shared" si="46"/>
        <v>0.75</v>
      </c>
      <c r="I1009">
        <f t="shared" si="47"/>
        <v>0</v>
      </c>
    </row>
    <row r="1010" spans="1:9">
      <c r="A1010" s="1">
        <v>40191</v>
      </c>
      <c r="B1010">
        <v>4.4541500000000003</v>
      </c>
      <c r="C1010">
        <v>4.9850000000000003</v>
      </c>
      <c r="D1010">
        <f>WEEKDAY(A1010,14)</f>
        <v>7</v>
      </c>
      <c r="E1010">
        <f>VLOOKUP(D1010,L$2:M$8,2,FALSE)</f>
        <v>0.25</v>
      </c>
      <c r="F1010">
        <f t="shared" si="45"/>
        <v>5</v>
      </c>
      <c r="G1010">
        <f>IF(F1010&gt;F1009,G1009+B1010*E1010,B1010*E1010)</f>
        <v>4.4241134999999998</v>
      </c>
      <c r="H1010">
        <f t="shared" si="46"/>
        <v>1</v>
      </c>
      <c r="I1010">
        <f t="shared" si="47"/>
        <v>0</v>
      </c>
    </row>
    <row r="1011" spans="1:9">
      <c r="A1011" s="1">
        <v>40192</v>
      </c>
      <c r="B1011">
        <v>4.42659</v>
      </c>
      <c r="C1011">
        <v>4.915</v>
      </c>
      <c r="D1011">
        <f>WEEKDAY(A1011,14)</f>
        <v>1</v>
      </c>
      <c r="E1011">
        <f>VLOOKUP(D1011,L$2:M$8,2,FALSE)</f>
        <v>0</v>
      </c>
      <c r="F1011">
        <f t="shared" si="45"/>
        <v>1</v>
      </c>
      <c r="G1011">
        <f>IF(F1011&gt;F1010,G1010+B1011*E1011,B1011*E1011)</f>
        <v>0</v>
      </c>
      <c r="H1011">
        <f t="shared" si="46"/>
        <v>0</v>
      </c>
      <c r="I1011">
        <f t="shared" si="47"/>
        <v>4.4241134999999998</v>
      </c>
    </row>
    <row r="1012" spans="1:9">
      <c r="A1012" s="1">
        <v>40193</v>
      </c>
      <c r="B1012">
        <v>4.3696700000000002</v>
      </c>
      <c r="C1012">
        <v>4.915</v>
      </c>
      <c r="D1012">
        <f>WEEKDAY(A1012,14)</f>
        <v>2</v>
      </c>
      <c r="E1012">
        <f>VLOOKUP(D1012,L$2:M$8,2,FALSE)</f>
        <v>0</v>
      </c>
      <c r="F1012">
        <f t="shared" si="45"/>
        <v>2</v>
      </c>
      <c r="G1012">
        <f>IF(F1012&gt;F1011,G1011+B1012*E1012,B1012*E1012)</f>
        <v>0</v>
      </c>
      <c r="H1012">
        <f t="shared" si="46"/>
        <v>0</v>
      </c>
      <c r="I1012">
        <f t="shared" si="47"/>
        <v>0</v>
      </c>
    </row>
    <row r="1013" spans="1:9">
      <c r="A1013" s="1">
        <v>40197</v>
      </c>
      <c r="B1013">
        <v>4.4019700000000004</v>
      </c>
      <c r="C1013">
        <v>4.915</v>
      </c>
      <c r="D1013">
        <f>WEEKDAY(A1013,14)</f>
        <v>6</v>
      </c>
      <c r="E1013">
        <f>VLOOKUP(D1013,L$2:M$8,2,FALSE)</f>
        <v>0.7</v>
      </c>
      <c r="F1013">
        <f t="shared" si="45"/>
        <v>3</v>
      </c>
      <c r="G1013">
        <f>IF(F1013&gt;F1012,G1012+B1013*E1013,B1013*E1013)</f>
        <v>3.0813790000000001</v>
      </c>
      <c r="H1013">
        <f t="shared" si="46"/>
        <v>0.7</v>
      </c>
      <c r="I1013">
        <f t="shared" si="47"/>
        <v>0</v>
      </c>
    </row>
    <row r="1014" spans="1:9">
      <c r="A1014" s="1">
        <v>40198</v>
      </c>
      <c r="B1014">
        <v>4.3677900000000003</v>
      </c>
      <c r="C1014">
        <v>4.915</v>
      </c>
      <c r="D1014">
        <f>WEEKDAY(A1014,14)</f>
        <v>7</v>
      </c>
      <c r="E1014">
        <f>VLOOKUP(D1014,L$2:M$8,2,FALSE)</f>
        <v>0.25</v>
      </c>
      <c r="F1014">
        <f t="shared" si="45"/>
        <v>4</v>
      </c>
      <c r="G1014">
        <f>IF(F1014&gt;F1013,G1013+B1014*E1014,B1014*E1014)</f>
        <v>4.1733264999999999</v>
      </c>
      <c r="H1014">
        <f t="shared" si="46"/>
        <v>0.95</v>
      </c>
      <c r="I1014">
        <f t="shared" si="47"/>
        <v>0</v>
      </c>
    </row>
    <row r="1015" spans="1:9">
      <c r="A1015" s="1">
        <v>40199</v>
      </c>
      <c r="B1015">
        <v>4.3351699999999997</v>
      </c>
      <c r="C1015">
        <v>4.88</v>
      </c>
      <c r="D1015">
        <f>WEEKDAY(A1015,14)</f>
        <v>1</v>
      </c>
      <c r="E1015">
        <f>VLOOKUP(D1015,L$2:M$8,2,FALSE)</f>
        <v>0</v>
      </c>
      <c r="F1015">
        <f t="shared" si="45"/>
        <v>1</v>
      </c>
      <c r="G1015">
        <f>IF(F1015&gt;F1014,G1014+B1015*E1015,B1015*E1015)</f>
        <v>0</v>
      </c>
      <c r="H1015">
        <f t="shared" si="46"/>
        <v>0</v>
      </c>
      <c r="I1015">
        <f t="shared" si="47"/>
        <v>4.3929752631578944</v>
      </c>
    </row>
    <row r="1016" spans="1:9">
      <c r="A1016" s="1">
        <v>40200</v>
      </c>
      <c r="B1016">
        <v>4.3453099999999996</v>
      </c>
      <c r="C1016">
        <v>4.88</v>
      </c>
      <c r="D1016">
        <f>WEEKDAY(A1016,14)</f>
        <v>2</v>
      </c>
      <c r="E1016">
        <f>VLOOKUP(D1016,L$2:M$8,2,FALSE)</f>
        <v>0</v>
      </c>
      <c r="F1016">
        <f t="shared" si="45"/>
        <v>2</v>
      </c>
      <c r="G1016">
        <f>IF(F1016&gt;F1015,G1015+B1016*E1016,B1016*E1016)</f>
        <v>0</v>
      </c>
      <c r="H1016">
        <f t="shared" si="46"/>
        <v>0</v>
      </c>
      <c r="I1016">
        <f t="shared" si="47"/>
        <v>0</v>
      </c>
    </row>
    <row r="1017" spans="1:9">
      <c r="A1017" s="1">
        <v>40203</v>
      </c>
      <c r="B1017">
        <v>4.3808100000000003</v>
      </c>
      <c r="C1017">
        <v>4.88</v>
      </c>
      <c r="D1017">
        <f>WEEKDAY(A1017,14)</f>
        <v>5</v>
      </c>
      <c r="E1017">
        <f>VLOOKUP(D1017,L$2:M$8,2,FALSE)</f>
        <v>0.05</v>
      </c>
      <c r="F1017">
        <f t="shared" si="45"/>
        <v>3</v>
      </c>
      <c r="G1017">
        <f>IF(F1017&gt;F1016,G1016+B1017*E1017,B1017*E1017)</f>
        <v>0.21904050000000003</v>
      </c>
      <c r="H1017">
        <f t="shared" si="46"/>
        <v>0.05</v>
      </c>
      <c r="I1017">
        <f t="shared" si="47"/>
        <v>0</v>
      </c>
    </row>
    <row r="1018" spans="1:9">
      <c r="A1018" s="1">
        <v>40204</v>
      </c>
      <c r="B1018">
        <v>4.3708200000000001</v>
      </c>
      <c r="C1018">
        <v>4.88</v>
      </c>
      <c r="D1018">
        <f>WEEKDAY(A1018,14)</f>
        <v>6</v>
      </c>
      <c r="E1018">
        <f>VLOOKUP(D1018,L$2:M$8,2,FALSE)</f>
        <v>0.7</v>
      </c>
      <c r="F1018">
        <f t="shared" si="45"/>
        <v>4</v>
      </c>
      <c r="G1018">
        <f>IF(F1018&gt;F1017,G1017+B1018*E1018,B1018*E1018)</f>
        <v>3.2786145000000002</v>
      </c>
      <c r="H1018">
        <f t="shared" si="46"/>
        <v>0.75</v>
      </c>
      <c r="I1018">
        <f t="shared" si="47"/>
        <v>0</v>
      </c>
    </row>
    <row r="1019" spans="1:9">
      <c r="A1019" s="1">
        <v>40205</v>
      </c>
      <c r="B1019">
        <v>4.38713</v>
      </c>
      <c r="C1019">
        <v>4.88</v>
      </c>
      <c r="D1019">
        <f>WEEKDAY(A1019,14)</f>
        <v>7</v>
      </c>
      <c r="E1019">
        <f>VLOOKUP(D1019,L$2:M$8,2,FALSE)</f>
        <v>0.25</v>
      </c>
      <c r="F1019">
        <f t="shared" si="45"/>
        <v>5</v>
      </c>
      <c r="G1019">
        <f>IF(F1019&gt;F1018,G1018+B1019*E1019,B1019*E1019)</f>
        <v>4.3753970000000004</v>
      </c>
      <c r="H1019">
        <f t="shared" si="46"/>
        <v>1</v>
      </c>
      <c r="I1019">
        <f t="shared" si="47"/>
        <v>0</v>
      </c>
    </row>
    <row r="1020" spans="1:9">
      <c r="A1020" s="1">
        <v>40206</v>
      </c>
      <c r="B1020">
        <v>4.4035399999999996</v>
      </c>
      <c r="C1020">
        <v>4.9349999999999996</v>
      </c>
      <c r="D1020">
        <f>WEEKDAY(A1020,14)</f>
        <v>1</v>
      </c>
      <c r="E1020">
        <f>VLOOKUP(D1020,L$2:M$8,2,FALSE)</f>
        <v>0</v>
      </c>
      <c r="F1020">
        <f t="shared" si="45"/>
        <v>1</v>
      </c>
      <c r="G1020">
        <f>IF(F1020&gt;F1019,G1019+B1020*E1020,B1020*E1020)</f>
        <v>0</v>
      </c>
      <c r="H1020">
        <f t="shared" si="46"/>
        <v>0</v>
      </c>
      <c r="I1020">
        <f t="shared" si="47"/>
        <v>4.3753970000000004</v>
      </c>
    </row>
    <row r="1021" spans="1:9">
      <c r="A1021" s="1">
        <v>40207</v>
      </c>
      <c r="B1021">
        <v>4.3620299999999999</v>
      </c>
      <c r="C1021">
        <v>4.9349999999999996</v>
      </c>
      <c r="D1021">
        <f>WEEKDAY(A1021,14)</f>
        <v>2</v>
      </c>
      <c r="E1021">
        <f>VLOOKUP(D1021,L$2:M$8,2,FALSE)</f>
        <v>0</v>
      </c>
      <c r="F1021">
        <f t="shared" si="45"/>
        <v>2</v>
      </c>
      <c r="G1021">
        <f>IF(F1021&gt;F1020,G1020+B1021*E1021,B1021*E1021)</f>
        <v>0</v>
      </c>
      <c r="H1021">
        <f t="shared" si="46"/>
        <v>0</v>
      </c>
      <c r="I1021">
        <f t="shared" si="47"/>
        <v>0</v>
      </c>
    </row>
    <row r="1022" spans="1:9">
      <c r="A1022" s="1">
        <v>40210</v>
      </c>
      <c r="B1022">
        <v>4.3830400000000003</v>
      </c>
      <c r="C1022">
        <v>4.9349999999999996</v>
      </c>
      <c r="D1022">
        <f>WEEKDAY(A1022,14)</f>
        <v>5</v>
      </c>
      <c r="E1022">
        <f>VLOOKUP(D1022,L$2:M$8,2,FALSE)</f>
        <v>0.05</v>
      </c>
      <c r="F1022">
        <f t="shared" si="45"/>
        <v>3</v>
      </c>
      <c r="G1022">
        <f>IF(F1022&gt;F1021,G1021+B1022*E1022,B1022*E1022)</f>
        <v>0.21915200000000001</v>
      </c>
      <c r="H1022">
        <f t="shared" si="46"/>
        <v>0.05</v>
      </c>
      <c r="I1022">
        <f t="shared" si="47"/>
        <v>0</v>
      </c>
    </row>
    <row r="1023" spans="1:9">
      <c r="A1023" s="1">
        <v>40211</v>
      </c>
      <c r="B1023">
        <v>4.3619300000000001</v>
      </c>
      <c r="C1023">
        <v>4.9349999999999996</v>
      </c>
      <c r="D1023">
        <f>WEEKDAY(A1023,14)</f>
        <v>6</v>
      </c>
      <c r="E1023">
        <f>VLOOKUP(D1023,L$2:M$8,2,FALSE)</f>
        <v>0.7</v>
      </c>
      <c r="F1023">
        <f t="shared" si="45"/>
        <v>4</v>
      </c>
      <c r="G1023">
        <f>IF(F1023&gt;F1022,G1022+B1023*E1023,B1023*E1023)</f>
        <v>3.2725029999999995</v>
      </c>
      <c r="H1023">
        <f t="shared" si="46"/>
        <v>0.75</v>
      </c>
      <c r="I1023">
        <f t="shared" si="47"/>
        <v>0</v>
      </c>
    </row>
    <row r="1024" spans="1:9">
      <c r="A1024" s="1">
        <v>40212</v>
      </c>
      <c r="B1024">
        <v>4.3947799999999999</v>
      </c>
      <c r="C1024">
        <v>4.9349999999999996</v>
      </c>
      <c r="D1024">
        <f>WEEKDAY(A1024,14)</f>
        <v>7</v>
      </c>
      <c r="E1024">
        <f>VLOOKUP(D1024,L$2:M$8,2,FALSE)</f>
        <v>0.25</v>
      </c>
      <c r="F1024">
        <f t="shared" si="45"/>
        <v>5</v>
      </c>
      <c r="G1024">
        <f>IF(F1024&gt;F1023,G1023+B1024*E1024,B1024*E1024)</f>
        <v>4.3711979999999997</v>
      </c>
      <c r="H1024">
        <f t="shared" si="46"/>
        <v>1</v>
      </c>
      <c r="I1024">
        <f t="shared" si="47"/>
        <v>0</v>
      </c>
    </row>
    <row r="1025" spans="1:9">
      <c r="A1025" s="1">
        <v>40213</v>
      </c>
      <c r="B1025">
        <v>4.3238500000000002</v>
      </c>
      <c r="C1025">
        <v>4.8949999999999996</v>
      </c>
      <c r="D1025">
        <f>WEEKDAY(A1025,14)</f>
        <v>1</v>
      </c>
      <c r="E1025">
        <f>VLOOKUP(D1025,L$2:M$8,2,FALSE)</f>
        <v>0</v>
      </c>
      <c r="F1025">
        <f t="shared" si="45"/>
        <v>1</v>
      </c>
      <c r="G1025">
        <f>IF(F1025&gt;F1024,G1024+B1025*E1025,B1025*E1025)</f>
        <v>0</v>
      </c>
      <c r="H1025">
        <f t="shared" si="46"/>
        <v>0</v>
      </c>
      <c r="I1025">
        <f t="shared" si="47"/>
        <v>4.3711979999999997</v>
      </c>
    </row>
    <row r="1026" spans="1:9">
      <c r="A1026" s="1">
        <v>40214</v>
      </c>
      <c r="B1026">
        <v>4.2766000000000002</v>
      </c>
      <c r="C1026">
        <v>4.8949999999999996</v>
      </c>
      <c r="D1026">
        <f>WEEKDAY(A1026,14)</f>
        <v>2</v>
      </c>
      <c r="E1026">
        <f>VLOOKUP(D1026,L$2:M$8,2,FALSE)</f>
        <v>0</v>
      </c>
      <c r="F1026">
        <f t="shared" si="45"/>
        <v>2</v>
      </c>
      <c r="G1026">
        <f>IF(F1026&gt;F1025,G1025+B1026*E1026,B1026*E1026)</f>
        <v>0</v>
      </c>
      <c r="H1026">
        <f t="shared" si="46"/>
        <v>0</v>
      </c>
      <c r="I1026">
        <f t="shared" si="47"/>
        <v>0</v>
      </c>
    </row>
    <row r="1027" spans="1:9">
      <c r="A1027" s="1">
        <v>40217</v>
      </c>
      <c r="B1027">
        <v>4.3320400000000001</v>
      </c>
      <c r="C1027">
        <v>4.8949999999999996</v>
      </c>
      <c r="D1027">
        <f>WEEKDAY(A1027,14)</f>
        <v>5</v>
      </c>
      <c r="E1027">
        <f>VLOOKUP(D1027,L$2:M$8,2,FALSE)</f>
        <v>0.05</v>
      </c>
      <c r="F1027">
        <f t="shared" ref="F1027:F1090" si="48">IF(AND(D1027&gt;D1026,F1026&lt;6),F1026+1,1)</f>
        <v>3</v>
      </c>
      <c r="G1027">
        <f>IF(F1027&gt;F1026,G1026+B1027*E1027,B1027*E1027)</f>
        <v>0.21660200000000002</v>
      </c>
      <c r="H1027">
        <f t="shared" si="46"/>
        <v>0.05</v>
      </c>
      <c r="I1027">
        <f t="shared" si="47"/>
        <v>0</v>
      </c>
    </row>
    <row r="1028" spans="1:9">
      <c r="A1028" s="1">
        <v>40218</v>
      </c>
      <c r="B1028">
        <v>4.3653199999999996</v>
      </c>
      <c r="C1028">
        <v>4.8949999999999996</v>
      </c>
      <c r="D1028">
        <f>WEEKDAY(A1028,14)</f>
        <v>6</v>
      </c>
      <c r="E1028">
        <f>VLOOKUP(D1028,L$2:M$8,2,FALSE)</f>
        <v>0.7</v>
      </c>
      <c r="F1028">
        <f t="shared" si="48"/>
        <v>4</v>
      </c>
      <c r="G1028">
        <f>IF(F1028&gt;F1027,G1027+B1028*E1028,B1028*E1028)</f>
        <v>3.2723259999999996</v>
      </c>
      <c r="H1028">
        <f t="shared" ref="H1028:H1091" si="49">IF(AND(F1028&lt;6,F1028&gt;F1027),E1028+H1027,E1028)</f>
        <v>0.75</v>
      </c>
      <c r="I1028">
        <f t="shared" ref="I1028:I1091" si="50">IF(F1027&gt;F1028,G1027/H1027,0)</f>
        <v>0</v>
      </c>
    </row>
    <row r="1029" spans="1:9">
      <c r="A1029" s="1">
        <v>40219</v>
      </c>
      <c r="B1029">
        <v>4.4063600000000003</v>
      </c>
      <c r="C1029">
        <v>4.8949999999999996</v>
      </c>
      <c r="D1029">
        <f>WEEKDAY(A1029,14)</f>
        <v>7</v>
      </c>
      <c r="E1029">
        <f>VLOOKUP(D1029,L$2:M$8,2,FALSE)</f>
        <v>0.25</v>
      </c>
      <c r="F1029">
        <f t="shared" si="48"/>
        <v>5</v>
      </c>
      <c r="G1029">
        <f>IF(F1029&gt;F1028,G1028+B1029*E1029,B1029*E1029)</f>
        <v>4.3739159999999995</v>
      </c>
      <c r="H1029">
        <f t="shared" si="49"/>
        <v>1</v>
      </c>
      <c r="I1029">
        <f t="shared" si="50"/>
        <v>0</v>
      </c>
    </row>
    <row r="1030" spans="1:9">
      <c r="A1030" s="1">
        <v>40220</v>
      </c>
      <c r="B1030">
        <v>4.39879</v>
      </c>
      <c r="C1030">
        <v>4.8550000000000004</v>
      </c>
      <c r="D1030">
        <f>WEEKDAY(A1030,14)</f>
        <v>1</v>
      </c>
      <c r="E1030">
        <f>VLOOKUP(D1030,L$2:M$8,2,FALSE)</f>
        <v>0</v>
      </c>
      <c r="F1030">
        <f t="shared" si="48"/>
        <v>1</v>
      </c>
      <c r="G1030">
        <f>IF(F1030&gt;F1029,G1029+B1030*E1030,B1030*E1030)</f>
        <v>0</v>
      </c>
      <c r="H1030">
        <f t="shared" si="49"/>
        <v>0</v>
      </c>
      <c r="I1030">
        <f t="shared" si="50"/>
        <v>4.3739159999999995</v>
      </c>
    </row>
    <row r="1031" spans="1:9">
      <c r="A1031" s="1">
        <v>40221</v>
      </c>
      <c r="B1031">
        <v>4.3460599999999996</v>
      </c>
      <c r="C1031">
        <v>4.8550000000000004</v>
      </c>
      <c r="D1031">
        <f>WEEKDAY(A1031,14)</f>
        <v>2</v>
      </c>
      <c r="E1031">
        <f>VLOOKUP(D1031,L$2:M$8,2,FALSE)</f>
        <v>0</v>
      </c>
      <c r="F1031">
        <f t="shared" si="48"/>
        <v>2</v>
      </c>
      <c r="G1031">
        <f>IF(F1031&gt;F1030,G1030+B1031*E1031,B1031*E1031)</f>
        <v>0</v>
      </c>
      <c r="H1031">
        <f t="shared" si="49"/>
        <v>0</v>
      </c>
      <c r="I1031">
        <f t="shared" si="50"/>
        <v>0</v>
      </c>
    </row>
    <row r="1032" spans="1:9">
      <c r="A1032" s="1">
        <v>40225</v>
      </c>
      <c r="B1032">
        <v>4.3232699999999999</v>
      </c>
      <c r="C1032">
        <v>4.8550000000000004</v>
      </c>
      <c r="D1032">
        <f>WEEKDAY(A1032,14)</f>
        <v>6</v>
      </c>
      <c r="E1032">
        <f>VLOOKUP(D1032,L$2:M$8,2,FALSE)</f>
        <v>0.7</v>
      </c>
      <c r="F1032">
        <f t="shared" si="48"/>
        <v>3</v>
      </c>
      <c r="G1032">
        <f>IF(F1032&gt;F1031,G1031+B1032*E1032,B1032*E1032)</f>
        <v>3.0262889999999998</v>
      </c>
      <c r="H1032">
        <f t="shared" si="49"/>
        <v>0.7</v>
      </c>
      <c r="I1032">
        <f t="shared" si="50"/>
        <v>0</v>
      </c>
    </row>
    <row r="1033" spans="1:9">
      <c r="A1033" s="1">
        <v>40226</v>
      </c>
      <c r="B1033">
        <v>4.3914</v>
      </c>
      <c r="C1033">
        <v>4.8550000000000004</v>
      </c>
      <c r="D1033">
        <f>WEEKDAY(A1033,14)</f>
        <v>7</v>
      </c>
      <c r="E1033">
        <f>VLOOKUP(D1033,L$2:M$8,2,FALSE)</f>
        <v>0.25</v>
      </c>
      <c r="F1033">
        <f t="shared" si="48"/>
        <v>4</v>
      </c>
      <c r="G1033">
        <f>IF(F1033&gt;F1032,G1032+B1033*E1033,B1033*E1033)</f>
        <v>4.1241389999999996</v>
      </c>
      <c r="H1033">
        <f t="shared" si="49"/>
        <v>0.95</v>
      </c>
      <c r="I1033">
        <f t="shared" si="50"/>
        <v>0</v>
      </c>
    </row>
    <row r="1034" spans="1:9">
      <c r="A1034" s="1">
        <v>40227</v>
      </c>
      <c r="B1034">
        <v>4.4681600000000001</v>
      </c>
      <c r="C1034">
        <v>4.9749999999999996</v>
      </c>
      <c r="D1034">
        <f>WEEKDAY(A1034,14)</f>
        <v>1</v>
      </c>
      <c r="E1034">
        <f>VLOOKUP(D1034,L$2:M$8,2,FALSE)</f>
        <v>0</v>
      </c>
      <c r="F1034">
        <f t="shared" si="48"/>
        <v>1</v>
      </c>
      <c r="G1034">
        <f>IF(F1034&gt;F1033,G1033+B1034*E1034,B1034*E1034)</f>
        <v>0</v>
      </c>
      <c r="H1034">
        <f t="shared" si="49"/>
        <v>0</v>
      </c>
      <c r="I1034">
        <f t="shared" si="50"/>
        <v>4.3411989473684205</v>
      </c>
    </row>
    <row r="1035" spans="1:9">
      <c r="A1035" s="1">
        <v>40228</v>
      </c>
      <c r="B1035">
        <v>4.4863099999999996</v>
      </c>
      <c r="C1035">
        <v>4.9749999999999996</v>
      </c>
      <c r="D1035">
        <f>WEEKDAY(A1035,14)</f>
        <v>2</v>
      </c>
      <c r="E1035">
        <f>VLOOKUP(D1035,L$2:M$8,2,FALSE)</f>
        <v>0</v>
      </c>
      <c r="F1035">
        <f t="shared" si="48"/>
        <v>2</v>
      </c>
      <c r="G1035">
        <f>IF(F1035&gt;F1034,G1034+B1035*E1035,B1035*E1035)</f>
        <v>0</v>
      </c>
      <c r="H1035">
        <f t="shared" si="49"/>
        <v>0</v>
      </c>
      <c r="I1035">
        <f t="shared" si="50"/>
        <v>0</v>
      </c>
    </row>
    <row r="1036" spans="1:9">
      <c r="A1036" s="1">
        <v>40231</v>
      </c>
      <c r="B1036">
        <v>4.4624499999999996</v>
      </c>
      <c r="C1036">
        <v>4.9749999999999996</v>
      </c>
      <c r="D1036">
        <f>WEEKDAY(A1036,14)</f>
        <v>5</v>
      </c>
      <c r="E1036">
        <f>VLOOKUP(D1036,L$2:M$8,2,FALSE)</f>
        <v>0.05</v>
      </c>
      <c r="F1036">
        <f t="shared" si="48"/>
        <v>3</v>
      </c>
      <c r="G1036">
        <f>IF(F1036&gt;F1035,G1035+B1036*E1036,B1036*E1036)</f>
        <v>0.2231225</v>
      </c>
      <c r="H1036">
        <f t="shared" si="49"/>
        <v>0.05</v>
      </c>
      <c r="I1036">
        <f t="shared" si="50"/>
        <v>0</v>
      </c>
    </row>
    <row r="1037" spans="1:9">
      <c r="A1037" s="1">
        <v>40232</v>
      </c>
      <c r="B1037">
        <v>4.3914400000000002</v>
      </c>
      <c r="C1037">
        <v>4.9749999999999996</v>
      </c>
      <c r="D1037">
        <f>WEEKDAY(A1037,14)</f>
        <v>6</v>
      </c>
      <c r="E1037">
        <f>VLOOKUP(D1037,L$2:M$8,2,FALSE)</f>
        <v>0.7</v>
      </c>
      <c r="F1037">
        <f t="shared" si="48"/>
        <v>4</v>
      </c>
      <c r="G1037">
        <f>IF(F1037&gt;F1036,G1036+B1037*E1037,B1037*E1037)</f>
        <v>3.2971305000000002</v>
      </c>
      <c r="H1037">
        <f t="shared" si="49"/>
        <v>0.75</v>
      </c>
      <c r="I1037">
        <f t="shared" si="50"/>
        <v>0</v>
      </c>
    </row>
    <row r="1038" spans="1:9">
      <c r="A1038" s="1">
        <v>40233</v>
      </c>
      <c r="B1038">
        <v>4.3958500000000003</v>
      </c>
      <c r="C1038">
        <v>4.9749999999999996</v>
      </c>
      <c r="D1038">
        <f>WEEKDAY(A1038,14)</f>
        <v>7</v>
      </c>
      <c r="E1038">
        <f>VLOOKUP(D1038,L$2:M$8,2,FALSE)</f>
        <v>0.25</v>
      </c>
      <c r="F1038">
        <f t="shared" si="48"/>
        <v>5</v>
      </c>
      <c r="G1038">
        <f>IF(F1038&gt;F1037,G1037+B1038*E1038,B1038*E1038)</f>
        <v>4.3960930000000005</v>
      </c>
      <c r="H1038">
        <f t="shared" si="49"/>
        <v>1</v>
      </c>
      <c r="I1038">
        <f t="shared" si="50"/>
        <v>0</v>
      </c>
    </row>
    <row r="1039" spans="1:9">
      <c r="A1039" s="1">
        <v>40234</v>
      </c>
      <c r="B1039">
        <v>4.3541800000000004</v>
      </c>
      <c r="C1039">
        <v>4.8949999999999996</v>
      </c>
      <c r="D1039">
        <f>WEEKDAY(A1039,14)</f>
        <v>1</v>
      </c>
      <c r="E1039">
        <f>VLOOKUP(D1039,L$2:M$8,2,FALSE)</f>
        <v>0</v>
      </c>
      <c r="F1039">
        <f t="shared" si="48"/>
        <v>1</v>
      </c>
      <c r="G1039">
        <f>IF(F1039&gt;F1038,G1038+B1039*E1039,B1039*E1039)</f>
        <v>0</v>
      </c>
      <c r="H1039">
        <f t="shared" si="49"/>
        <v>0</v>
      </c>
      <c r="I1039">
        <f t="shared" si="50"/>
        <v>4.3960930000000005</v>
      </c>
    </row>
    <row r="1040" spans="1:9">
      <c r="A1040" s="1">
        <v>40235</v>
      </c>
      <c r="B1040">
        <v>4.2907500000000001</v>
      </c>
      <c r="C1040">
        <v>4.8949999999999996</v>
      </c>
      <c r="D1040">
        <f>WEEKDAY(A1040,14)</f>
        <v>2</v>
      </c>
      <c r="E1040">
        <f>VLOOKUP(D1040,L$2:M$8,2,FALSE)</f>
        <v>0</v>
      </c>
      <c r="F1040">
        <f t="shared" si="48"/>
        <v>2</v>
      </c>
      <c r="G1040">
        <f>IF(F1040&gt;F1039,G1039+B1040*E1040,B1040*E1040)</f>
        <v>0</v>
      </c>
      <c r="H1040">
        <f t="shared" si="49"/>
        <v>0</v>
      </c>
      <c r="I1040">
        <f t="shared" si="50"/>
        <v>0</v>
      </c>
    </row>
    <row r="1041" spans="1:9">
      <c r="A1041" s="1">
        <v>40238</v>
      </c>
      <c r="B1041">
        <v>4.3283699999999996</v>
      </c>
      <c r="C1041">
        <v>4.8949999999999996</v>
      </c>
      <c r="D1041">
        <f>WEEKDAY(A1041,14)</f>
        <v>5</v>
      </c>
      <c r="E1041">
        <f>VLOOKUP(D1041,L$2:M$8,2,FALSE)</f>
        <v>0.05</v>
      </c>
      <c r="F1041">
        <f t="shared" si="48"/>
        <v>3</v>
      </c>
      <c r="G1041">
        <f>IF(F1041&gt;F1040,G1040+B1041*E1041,B1041*E1041)</f>
        <v>0.21641849999999999</v>
      </c>
      <c r="H1041">
        <f t="shared" si="49"/>
        <v>0.05</v>
      </c>
      <c r="I1041">
        <f t="shared" si="50"/>
        <v>0</v>
      </c>
    </row>
    <row r="1042" spans="1:9">
      <c r="A1042" s="1">
        <v>40239</v>
      </c>
      <c r="B1042">
        <v>4.3343699999999998</v>
      </c>
      <c r="C1042">
        <v>4.8949999999999996</v>
      </c>
      <c r="D1042">
        <f>WEEKDAY(A1042,14)</f>
        <v>6</v>
      </c>
      <c r="E1042">
        <f>VLOOKUP(D1042,L$2:M$8,2,FALSE)</f>
        <v>0.7</v>
      </c>
      <c r="F1042">
        <f t="shared" si="48"/>
        <v>4</v>
      </c>
      <c r="G1042">
        <f>IF(F1042&gt;F1041,G1041+B1042*E1042,B1042*E1042)</f>
        <v>3.2504774999999997</v>
      </c>
      <c r="H1042">
        <f t="shared" si="49"/>
        <v>0.75</v>
      </c>
      <c r="I1042">
        <f t="shared" si="50"/>
        <v>0</v>
      </c>
    </row>
    <row r="1043" spans="1:9">
      <c r="A1043" s="1">
        <v>40240</v>
      </c>
      <c r="B1043">
        <v>4.3075700000000001</v>
      </c>
      <c r="C1043">
        <v>4.8949999999999996</v>
      </c>
      <c r="D1043">
        <f>WEEKDAY(A1043,14)</f>
        <v>7</v>
      </c>
      <c r="E1043">
        <f>VLOOKUP(D1043,L$2:M$8,2,FALSE)</f>
        <v>0.25</v>
      </c>
      <c r="F1043">
        <f t="shared" si="48"/>
        <v>5</v>
      </c>
      <c r="G1043">
        <f>IF(F1043&gt;F1042,G1042+B1043*E1043,B1043*E1043)</f>
        <v>4.3273700000000002</v>
      </c>
      <c r="H1043">
        <f t="shared" si="49"/>
        <v>1</v>
      </c>
      <c r="I1043">
        <f t="shared" si="50"/>
        <v>0</v>
      </c>
    </row>
    <row r="1044" spans="1:9">
      <c r="A1044" s="1">
        <v>40241</v>
      </c>
      <c r="B1044">
        <v>4.2835400000000003</v>
      </c>
      <c r="C1044">
        <v>4.875</v>
      </c>
      <c r="D1044">
        <f>WEEKDAY(A1044,14)</f>
        <v>1</v>
      </c>
      <c r="E1044">
        <f>VLOOKUP(D1044,L$2:M$8,2,FALSE)</f>
        <v>0</v>
      </c>
      <c r="F1044">
        <f t="shared" si="48"/>
        <v>1</v>
      </c>
      <c r="G1044">
        <f>IF(F1044&gt;F1043,G1043+B1044*E1044,B1044*E1044)</f>
        <v>0</v>
      </c>
      <c r="H1044">
        <f t="shared" si="49"/>
        <v>0</v>
      </c>
      <c r="I1044">
        <f t="shared" si="50"/>
        <v>4.3273700000000002</v>
      </c>
    </row>
    <row r="1045" spans="1:9">
      <c r="A1045" s="1">
        <v>40242</v>
      </c>
      <c r="B1045">
        <v>4.3264399999999998</v>
      </c>
      <c r="C1045">
        <v>4.875</v>
      </c>
      <c r="D1045">
        <f>WEEKDAY(A1045,14)</f>
        <v>2</v>
      </c>
      <c r="E1045">
        <f>VLOOKUP(D1045,L$2:M$8,2,FALSE)</f>
        <v>0</v>
      </c>
      <c r="F1045">
        <f t="shared" si="48"/>
        <v>2</v>
      </c>
      <c r="G1045">
        <f>IF(F1045&gt;F1044,G1044+B1045*E1045,B1045*E1045)</f>
        <v>0</v>
      </c>
      <c r="H1045">
        <f t="shared" si="49"/>
        <v>0</v>
      </c>
      <c r="I1045">
        <f t="shared" si="50"/>
        <v>0</v>
      </c>
    </row>
    <row r="1046" spans="1:9">
      <c r="A1046" s="1">
        <v>40245</v>
      </c>
      <c r="B1046">
        <v>4.3426</v>
      </c>
      <c r="C1046">
        <v>4.875</v>
      </c>
      <c r="D1046">
        <f>WEEKDAY(A1046,14)</f>
        <v>5</v>
      </c>
      <c r="E1046">
        <f>VLOOKUP(D1046,L$2:M$8,2,FALSE)</f>
        <v>0.05</v>
      </c>
      <c r="F1046">
        <f t="shared" si="48"/>
        <v>3</v>
      </c>
      <c r="G1046">
        <f>IF(F1046&gt;F1045,G1045+B1046*E1046,B1046*E1046)</f>
        <v>0.21713000000000002</v>
      </c>
      <c r="H1046">
        <f t="shared" si="49"/>
        <v>0.05</v>
      </c>
      <c r="I1046">
        <f t="shared" si="50"/>
        <v>0</v>
      </c>
    </row>
    <row r="1047" spans="1:9">
      <c r="A1047" s="1">
        <v>40246</v>
      </c>
      <c r="B1047">
        <v>4.3086399999999996</v>
      </c>
      <c r="C1047">
        <v>4.875</v>
      </c>
      <c r="D1047">
        <f>WEEKDAY(A1047,14)</f>
        <v>6</v>
      </c>
      <c r="E1047">
        <f>VLOOKUP(D1047,L$2:M$8,2,FALSE)</f>
        <v>0.7</v>
      </c>
      <c r="F1047">
        <f t="shared" si="48"/>
        <v>4</v>
      </c>
      <c r="G1047">
        <f>IF(F1047&gt;F1046,G1046+B1047*E1047,B1047*E1047)</f>
        <v>3.2331779999999997</v>
      </c>
      <c r="H1047">
        <f t="shared" si="49"/>
        <v>0.75</v>
      </c>
      <c r="I1047">
        <f t="shared" si="50"/>
        <v>0</v>
      </c>
    </row>
    <row r="1048" spans="1:9">
      <c r="A1048" s="1">
        <v>40247</v>
      </c>
      <c r="B1048">
        <v>4.3172600000000001</v>
      </c>
      <c r="C1048">
        <v>4.875</v>
      </c>
      <c r="D1048">
        <f>WEEKDAY(A1048,14)</f>
        <v>7</v>
      </c>
      <c r="E1048">
        <f>VLOOKUP(D1048,L$2:M$8,2,FALSE)</f>
        <v>0.25</v>
      </c>
      <c r="F1048">
        <f t="shared" si="48"/>
        <v>5</v>
      </c>
      <c r="G1048">
        <f>IF(F1048&gt;F1047,G1047+B1048*E1048,B1048*E1048)</f>
        <v>4.3124929999999999</v>
      </c>
      <c r="H1048">
        <f t="shared" si="49"/>
        <v>1</v>
      </c>
      <c r="I1048">
        <f t="shared" si="50"/>
        <v>0</v>
      </c>
    </row>
    <row r="1049" spans="1:9">
      <c r="A1049" s="1">
        <v>40248</v>
      </c>
      <c r="B1049">
        <v>4.32585</v>
      </c>
      <c r="C1049">
        <v>4.8849999999999998</v>
      </c>
      <c r="D1049">
        <f>WEEKDAY(A1049,14)</f>
        <v>1</v>
      </c>
      <c r="E1049">
        <f>VLOOKUP(D1049,L$2:M$8,2,FALSE)</f>
        <v>0</v>
      </c>
      <c r="F1049">
        <f t="shared" si="48"/>
        <v>1</v>
      </c>
      <c r="G1049">
        <f>IF(F1049&gt;F1048,G1048+B1049*E1049,B1049*E1049)</f>
        <v>0</v>
      </c>
      <c r="H1049">
        <f t="shared" si="49"/>
        <v>0</v>
      </c>
      <c r="I1049">
        <f t="shared" si="50"/>
        <v>4.3124929999999999</v>
      </c>
    </row>
    <row r="1050" spans="1:9">
      <c r="A1050" s="1">
        <v>40249</v>
      </c>
      <c r="B1050">
        <v>4.3434299999999997</v>
      </c>
      <c r="C1050">
        <v>4.8849999999999998</v>
      </c>
      <c r="D1050">
        <f>WEEKDAY(A1050,14)</f>
        <v>2</v>
      </c>
      <c r="E1050">
        <f>VLOOKUP(D1050,L$2:M$8,2,FALSE)</f>
        <v>0</v>
      </c>
      <c r="F1050">
        <f t="shared" si="48"/>
        <v>2</v>
      </c>
      <c r="G1050">
        <f>IF(F1050&gt;F1049,G1049+B1050*E1050,B1050*E1050)</f>
        <v>0</v>
      </c>
      <c r="H1050">
        <f t="shared" si="49"/>
        <v>0</v>
      </c>
      <c r="I1050">
        <f t="shared" si="50"/>
        <v>0</v>
      </c>
    </row>
    <row r="1051" spans="1:9">
      <c r="A1051" s="1">
        <v>40252</v>
      </c>
      <c r="B1051">
        <v>4.33894</v>
      </c>
      <c r="C1051">
        <v>4.8849999999999998</v>
      </c>
      <c r="D1051">
        <f>WEEKDAY(A1051,14)</f>
        <v>5</v>
      </c>
      <c r="E1051">
        <f>VLOOKUP(D1051,L$2:M$8,2,FALSE)</f>
        <v>0.05</v>
      </c>
      <c r="F1051">
        <f t="shared" si="48"/>
        <v>3</v>
      </c>
      <c r="G1051">
        <f>IF(F1051&gt;F1050,G1050+B1051*E1051,B1051*E1051)</f>
        <v>0.216947</v>
      </c>
      <c r="H1051">
        <f t="shared" si="49"/>
        <v>0.05</v>
      </c>
      <c r="I1051">
        <f t="shared" si="50"/>
        <v>0</v>
      </c>
    </row>
    <row r="1052" spans="1:9">
      <c r="A1052" s="1">
        <v>40253</v>
      </c>
      <c r="B1052">
        <v>4.3166599999999997</v>
      </c>
      <c r="C1052">
        <v>4.8849999999999998</v>
      </c>
      <c r="D1052">
        <f>WEEKDAY(A1052,14)</f>
        <v>6</v>
      </c>
      <c r="E1052">
        <f>VLOOKUP(D1052,L$2:M$8,2,FALSE)</f>
        <v>0.7</v>
      </c>
      <c r="F1052">
        <f t="shared" si="48"/>
        <v>4</v>
      </c>
      <c r="G1052">
        <f>IF(F1052&gt;F1051,G1051+B1052*E1052,B1052*E1052)</f>
        <v>3.2386089999999994</v>
      </c>
      <c r="H1052">
        <f t="shared" si="49"/>
        <v>0.75</v>
      </c>
      <c r="I1052">
        <f t="shared" si="50"/>
        <v>0</v>
      </c>
    </row>
    <row r="1053" spans="1:9">
      <c r="A1053" s="1">
        <v>40254</v>
      </c>
      <c r="B1053">
        <v>4.2959899999999998</v>
      </c>
      <c r="C1053">
        <v>4.8849999999999998</v>
      </c>
      <c r="D1053">
        <f>WEEKDAY(A1053,14)</f>
        <v>7</v>
      </c>
      <c r="E1053">
        <f>VLOOKUP(D1053,L$2:M$8,2,FALSE)</f>
        <v>0.25</v>
      </c>
      <c r="F1053">
        <f t="shared" si="48"/>
        <v>5</v>
      </c>
      <c r="G1053">
        <f>IF(F1053&gt;F1052,G1052+B1053*E1053,B1053*E1053)</f>
        <v>4.3126064999999993</v>
      </c>
      <c r="H1053">
        <f t="shared" si="49"/>
        <v>1</v>
      </c>
      <c r="I1053">
        <f t="shared" si="50"/>
        <v>0</v>
      </c>
    </row>
    <row r="1054" spans="1:9">
      <c r="A1054" s="1">
        <v>40255</v>
      </c>
      <c r="B1054">
        <v>4.3324199999999999</v>
      </c>
      <c r="C1054">
        <v>4.8899999999999997</v>
      </c>
      <c r="D1054">
        <f>WEEKDAY(A1054,14)</f>
        <v>1</v>
      </c>
      <c r="E1054">
        <f>VLOOKUP(D1054,L$2:M$8,2,FALSE)</f>
        <v>0</v>
      </c>
      <c r="F1054">
        <f t="shared" si="48"/>
        <v>1</v>
      </c>
      <c r="G1054">
        <f>IF(F1054&gt;F1053,G1053+B1054*E1054,B1054*E1054)</f>
        <v>0</v>
      </c>
      <c r="H1054">
        <f t="shared" si="49"/>
        <v>0</v>
      </c>
      <c r="I1054">
        <f t="shared" si="50"/>
        <v>4.3126064999999993</v>
      </c>
    </row>
    <row r="1055" spans="1:9">
      <c r="A1055" s="1">
        <v>40256</v>
      </c>
      <c r="B1055">
        <v>4.3559200000000002</v>
      </c>
      <c r="C1055">
        <v>4.8899999999999997</v>
      </c>
      <c r="D1055">
        <f>WEEKDAY(A1055,14)</f>
        <v>2</v>
      </c>
      <c r="E1055">
        <f>VLOOKUP(D1055,L$2:M$8,2,FALSE)</f>
        <v>0</v>
      </c>
      <c r="F1055">
        <f t="shared" si="48"/>
        <v>2</v>
      </c>
      <c r="G1055">
        <f>IF(F1055&gt;F1054,G1054+B1055*E1055,B1055*E1055)</f>
        <v>0</v>
      </c>
      <c r="H1055">
        <f t="shared" si="49"/>
        <v>0</v>
      </c>
      <c r="I1055">
        <f t="shared" si="50"/>
        <v>0</v>
      </c>
    </row>
    <row r="1056" spans="1:9">
      <c r="A1056" s="1">
        <v>40259</v>
      </c>
      <c r="B1056">
        <v>4.3264699999999996</v>
      </c>
      <c r="C1056">
        <v>4.8899999999999997</v>
      </c>
      <c r="D1056">
        <f>WEEKDAY(A1056,14)</f>
        <v>5</v>
      </c>
      <c r="E1056">
        <f>VLOOKUP(D1056,L$2:M$8,2,FALSE)</f>
        <v>0.05</v>
      </c>
      <c r="F1056">
        <f t="shared" si="48"/>
        <v>3</v>
      </c>
      <c r="G1056">
        <f>IF(F1056&gt;F1055,G1055+B1056*E1056,B1056*E1056)</f>
        <v>0.2163235</v>
      </c>
      <c r="H1056">
        <f t="shared" si="49"/>
        <v>0.05</v>
      </c>
      <c r="I1056">
        <f t="shared" si="50"/>
        <v>0</v>
      </c>
    </row>
    <row r="1057" spans="1:9">
      <c r="A1057" s="1">
        <v>40260</v>
      </c>
      <c r="B1057">
        <v>4.3288799999999998</v>
      </c>
      <c r="C1057">
        <v>4.8899999999999997</v>
      </c>
      <c r="D1057">
        <f>WEEKDAY(A1057,14)</f>
        <v>6</v>
      </c>
      <c r="E1057">
        <f>VLOOKUP(D1057,L$2:M$8,2,FALSE)</f>
        <v>0.7</v>
      </c>
      <c r="F1057">
        <f t="shared" si="48"/>
        <v>4</v>
      </c>
      <c r="G1057">
        <f>IF(F1057&gt;F1056,G1056+B1057*E1057,B1057*E1057)</f>
        <v>3.2465394999999999</v>
      </c>
      <c r="H1057">
        <f t="shared" si="49"/>
        <v>0.75</v>
      </c>
      <c r="I1057">
        <f t="shared" si="50"/>
        <v>0</v>
      </c>
    </row>
    <row r="1058" spans="1:9">
      <c r="A1058" s="1">
        <v>40261</v>
      </c>
      <c r="B1058">
        <v>4.4480700000000004</v>
      </c>
      <c r="C1058">
        <v>4.8899999999999997</v>
      </c>
      <c r="D1058">
        <f>WEEKDAY(A1058,14)</f>
        <v>7</v>
      </c>
      <c r="E1058">
        <f>VLOOKUP(D1058,L$2:M$8,2,FALSE)</f>
        <v>0.25</v>
      </c>
      <c r="F1058">
        <f t="shared" si="48"/>
        <v>5</v>
      </c>
      <c r="G1058">
        <f>IF(F1058&gt;F1057,G1057+B1058*E1058,B1058*E1058)</f>
        <v>4.3585570000000002</v>
      </c>
      <c r="H1058">
        <f t="shared" si="49"/>
        <v>1</v>
      </c>
      <c r="I1058">
        <f t="shared" si="50"/>
        <v>0</v>
      </c>
    </row>
    <row r="1059" spans="1:9">
      <c r="A1059" s="1">
        <v>40262</v>
      </c>
      <c r="B1059">
        <v>4.5108100000000002</v>
      </c>
      <c r="C1059">
        <v>5.0049999999999999</v>
      </c>
      <c r="D1059">
        <f>WEEKDAY(A1059,14)</f>
        <v>1</v>
      </c>
      <c r="E1059">
        <f>VLOOKUP(D1059,L$2:M$8,2,FALSE)</f>
        <v>0</v>
      </c>
      <c r="F1059">
        <f t="shared" si="48"/>
        <v>1</v>
      </c>
      <c r="G1059">
        <f>IF(F1059&gt;F1058,G1058+B1059*E1059,B1059*E1059)</f>
        <v>0</v>
      </c>
      <c r="H1059">
        <f t="shared" si="49"/>
        <v>0</v>
      </c>
      <c r="I1059">
        <f t="shared" si="50"/>
        <v>4.3585570000000002</v>
      </c>
    </row>
    <row r="1060" spans="1:9">
      <c r="A1060" s="1">
        <v>40263</v>
      </c>
      <c r="B1060">
        <v>4.4567899999999998</v>
      </c>
      <c r="C1060">
        <v>5.0049999999999999</v>
      </c>
      <c r="D1060">
        <f>WEEKDAY(A1060,14)</f>
        <v>2</v>
      </c>
      <c r="E1060">
        <f>VLOOKUP(D1060,L$2:M$8,2,FALSE)</f>
        <v>0</v>
      </c>
      <c r="F1060">
        <f t="shared" si="48"/>
        <v>2</v>
      </c>
      <c r="G1060">
        <f>IF(F1060&gt;F1059,G1059+B1060*E1060,B1060*E1060)</f>
        <v>0</v>
      </c>
      <c r="H1060">
        <f t="shared" si="49"/>
        <v>0</v>
      </c>
      <c r="I1060">
        <f t="shared" si="50"/>
        <v>0</v>
      </c>
    </row>
    <row r="1061" spans="1:9">
      <c r="A1061" s="1">
        <v>40266</v>
      </c>
      <c r="B1061">
        <v>4.4592799999999997</v>
      </c>
      <c r="C1061">
        <v>5.0049999999999999</v>
      </c>
      <c r="D1061">
        <f>WEEKDAY(A1061,14)</f>
        <v>5</v>
      </c>
      <c r="E1061">
        <f>VLOOKUP(D1061,L$2:M$8,2,FALSE)</f>
        <v>0.05</v>
      </c>
      <c r="F1061">
        <f t="shared" si="48"/>
        <v>3</v>
      </c>
      <c r="G1061">
        <f>IF(F1061&gt;F1060,G1060+B1061*E1061,B1061*E1061)</f>
        <v>0.222964</v>
      </c>
      <c r="H1061">
        <f t="shared" si="49"/>
        <v>0.05</v>
      </c>
      <c r="I1061">
        <f t="shared" si="50"/>
        <v>0</v>
      </c>
    </row>
    <row r="1062" spans="1:9">
      <c r="A1062" s="1">
        <v>40267</v>
      </c>
      <c r="B1062">
        <v>4.4898899999999999</v>
      </c>
      <c r="C1062">
        <v>5.0049999999999999</v>
      </c>
      <c r="D1062">
        <f>WEEKDAY(A1062,14)</f>
        <v>6</v>
      </c>
      <c r="E1062">
        <f>VLOOKUP(D1062,L$2:M$8,2,FALSE)</f>
        <v>0.7</v>
      </c>
      <c r="F1062">
        <f t="shared" si="48"/>
        <v>4</v>
      </c>
      <c r="G1062">
        <f>IF(F1062&gt;F1061,G1061+B1062*E1062,B1062*E1062)</f>
        <v>3.3658869999999999</v>
      </c>
      <c r="H1062">
        <f t="shared" si="49"/>
        <v>0.75</v>
      </c>
      <c r="I1062">
        <f t="shared" si="50"/>
        <v>0</v>
      </c>
    </row>
    <row r="1063" spans="1:9">
      <c r="A1063" s="1">
        <v>40268</v>
      </c>
      <c r="B1063">
        <v>4.5033099999999999</v>
      </c>
      <c r="C1063">
        <v>5.0049999999999999</v>
      </c>
      <c r="D1063">
        <f>WEEKDAY(A1063,14)</f>
        <v>7</v>
      </c>
      <c r="E1063">
        <f>VLOOKUP(D1063,L$2:M$8,2,FALSE)</f>
        <v>0.25</v>
      </c>
      <c r="F1063">
        <f t="shared" si="48"/>
        <v>5</v>
      </c>
      <c r="G1063">
        <f>IF(F1063&gt;F1062,G1062+B1063*E1063,B1063*E1063)</f>
        <v>4.4917144999999996</v>
      </c>
      <c r="H1063">
        <f t="shared" si="49"/>
        <v>1</v>
      </c>
      <c r="I1063">
        <f t="shared" si="50"/>
        <v>0</v>
      </c>
    </row>
    <row r="1064" spans="1:9">
      <c r="A1064" s="1">
        <v>40269</v>
      </c>
      <c r="B1064">
        <v>4.5550100000000002</v>
      </c>
      <c r="C1064">
        <v>5.1100000000000003</v>
      </c>
      <c r="D1064">
        <f>WEEKDAY(A1064,14)</f>
        <v>1</v>
      </c>
      <c r="E1064">
        <f>VLOOKUP(D1064,L$2:M$8,2,FALSE)</f>
        <v>0</v>
      </c>
      <c r="F1064">
        <f t="shared" si="48"/>
        <v>1</v>
      </c>
      <c r="G1064">
        <f>IF(F1064&gt;F1063,G1063+B1064*E1064,B1064*E1064)</f>
        <v>0</v>
      </c>
      <c r="H1064">
        <f t="shared" si="49"/>
        <v>0</v>
      </c>
      <c r="I1064">
        <f t="shared" si="50"/>
        <v>4.4917144999999996</v>
      </c>
    </row>
    <row r="1065" spans="1:9">
      <c r="A1065" s="1">
        <v>40273</v>
      </c>
      <c r="B1065">
        <v>4.6749299999999998</v>
      </c>
      <c r="C1065">
        <v>5.1100000000000003</v>
      </c>
      <c r="D1065">
        <f>WEEKDAY(A1065,14)</f>
        <v>5</v>
      </c>
      <c r="E1065">
        <f>VLOOKUP(D1065,L$2:M$8,2,FALSE)</f>
        <v>0.05</v>
      </c>
      <c r="F1065">
        <f t="shared" si="48"/>
        <v>2</v>
      </c>
      <c r="G1065">
        <f>IF(F1065&gt;F1064,G1064+B1065*E1065,B1065*E1065)</f>
        <v>0.2337465</v>
      </c>
      <c r="H1065">
        <f t="shared" si="49"/>
        <v>0.05</v>
      </c>
      <c r="I1065">
        <f t="shared" si="50"/>
        <v>0</v>
      </c>
    </row>
    <row r="1066" spans="1:9">
      <c r="A1066" s="1">
        <v>40274</v>
      </c>
      <c r="B1066">
        <v>4.6396600000000001</v>
      </c>
      <c r="C1066">
        <v>5.1100000000000003</v>
      </c>
      <c r="D1066">
        <f>WEEKDAY(A1066,14)</f>
        <v>6</v>
      </c>
      <c r="E1066">
        <f>VLOOKUP(D1066,L$2:M$8,2,FALSE)</f>
        <v>0.7</v>
      </c>
      <c r="F1066">
        <f t="shared" si="48"/>
        <v>3</v>
      </c>
      <c r="G1066">
        <f>IF(F1066&gt;F1065,G1065+B1066*E1066,B1066*E1066)</f>
        <v>3.4815084999999999</v>
      </c>
      <c r="H1066">
        <f t="shared" si="49"/>
        <v>0.75</v>
      </c>
      <c r="I1066">
        <f t="shared" si="50"/>
        <v>0</v>
      </c>
    </row>
    <row r="1067" spans="1:9">
      <c r="A1067" s="1">
        <v>40275</v>
      </c>
      <c r="B1067">
        <v>4.5339099999999997</v>
      </c>
      <c r="C1067">
        <v>5.1100000000000003</v>
      </c>
      <c r="D1067">
        <f>WEEKDAY(A1067,14)</f>
        <v>7</v>
      </c>
      <c r="E1067">
        <f>VLOOKUP(D1067,L$2:M$8,2,FALSE)</f>
        <v>0.25</v>
      </c>
      <c r="F1067">
        <f t="shared" si="48"/>
        <v>4</v>
      </c>
      <c r="G1067">
        <f>IF(F1067&gt;F1066,G1066+B1067*E1067,B1067*E1067)</f>
        <v>4.614986</v>
      </c>
      <c r="H1067">
        <f t="shared" si="49"/>
        <v>1</v>
      </c>
      <c r="I1067">
        <f t="shared" si="50"/>
        <v>0</v>
      </c>
    </row>
    <row r="1068" spans="1:9">
      <c r="A1068" s="1">
        <v>40276</v>
      </c>
      <c r="B1068">
        <v>4.55471</v>
      </c>
      <c r="C1068">
        <v>4.97</v>
      </c>
      <c r="D1068">
        <f>WEEKDAY(A1068,14)</f>
        <v>1</v>
      </c>
      <c r="E1068">
        <f>VLOOKUP(D1068,L$2:M$8,2,FALSE)</f>
        <v>0</v>
      </c>
      <c r="F1068">
        <f t="shared" si="48"/>
        <v>1</v>
      </c>
      <c r="G1068">
        <f>IF(F1068&gt;F1067,G1067+B1068*E1068,B1068*E1068)</f>
        <v>0</v>
      </c>
      <c r="H1068">
        <f t="shared" si="49"/>
        <v>0</v>
      </c>
      <c r="I1068">
        <f t="shared" si="50"/>
        <v>4.614986</v>
      </c>
    </row>
    <row r="1069" spans="1:9">
      <c r="A1069" s="1">
        <v>40277</v>
      </c>
      <c r="B1069">
        <v>4.5415000000000001</v>
      </c>
      <c r="C1069">
        <v>4.97</v>
      </c>
      <c r="D1069">
        <f>WEEKDAY(A1069,14)</f>
        <v>2</v>
      </c>
      <c r="E1069">
        <f>VLOOKUP(D1069,L$2:M$8,2,FALSE)</f>
        <v>0</v>
      </c>
      <c r="F1069">
        <f t="shared" si="48"/>
        <v>2</v>
      </c>
      <c r="G1069">
        <f>IF(F1069&gt;F1068,G1068+B1069*E1069,B1069*E1069)</f>
        <v>0</v>
      </c>
      <c r="H1069">
        <f t="shared" si="49"/>
        <v>0</v>
      </c>
      <c r="I1069">
        <f t="shared" si="50"/>
        <v>0</v>
      </c>
    </row>
    <row r="1070" spans="1:9">
      <c r="A1070" s="1">
        <v>40280</v>
      </c>
      <c r="B1070">
        <v>4.46068</v>
      </c>
      <c r="C1070">
        <v>4.97</v>
      </c>
      <c r="D1070">
        <f>WEEKDAY(A1070,14)</f>
        <v>5</v>
      </c>
      <c r="E1070">
        <f>VLOOKUP(D1070,L$2:M$8,2,FALSE)</f>
        <v>0.05</v>
      </c>
      <c r="F1070">
        <f t="shared" si="48"/>
        <v>3</v>
      </c>
      <c r="G1070">
        <f>IF(F1070&gt;F1069,G1069+B1070*E1070,B1070*E1070)</f>
        <v>0.22303400000000001</v>
      </c>
      <c r="H1070">
        <f t="shared" si="49"/>
        <v>0.05</v>
      </c>
      <c r="I1070">
        <f t="shared" si="50"/>
        <v>0</v>
      </c>
    </row>
    <row r="1071" spans="1:9">
      <c r="A1071" s="1">
        <v>40281</v>
      </c>
      <c r="B1071">
        <v>4.43649</v>
      </c>
      <c r="C1071">
        <v>4.97</v>
      </c>
      <c r="D1071">
        <f>WEEKDAY(A1071,14)</f>
        <v>6</v>
      </c>
      <c r="E1071">
        <f>VLOOKUP(D1071,L$2:M$8,2,FALSE)</f>
        <v>0.7</v>
      </c>
      <c r="F1071">
        <f t="shared" si="48"/>
        <v>4</v>
      </c>
      <c r="G1071">
        <f>IF(F1071&gt;F1070,G1070+B1071*E1071,B1071*E1071)</f>
        <v>3.3285770000000001</v>
      </c>
      <c r="H1071">
        <f t="shared" si="49"/>
        <v>0.75</v>
      </c>
      <c r="I1071">
        <f t="shared" si="50"/>
        <v>0</v>
      </c>
    </row>
    <row r="1072" spans="1:9">
      <c r="A1072" s="1">
        <v>40282</v>
      </c>
      <c r="B1072">
        <v>4.4864100000000002</v>
      </c>
      <c r="C1072">
        <v>4.97</v>
      </c>
      <c r="D1072">
        <f>WEEKDAY(A1072,14)</f>
        <v>7</v>
      </c>
      <c r="E1072">
        <f>VLOOKUP(D1072,L$2:M$8,2,FALSE)</f>
        <v>0.25</v>
      </c>
      <c r="F1072">
        <f t="shared" si="48"/>
        <v>5</v>
      </c>
      <c r="G1072">
        <f>IF(F1072&gt;F1071,G1071+B1072*E1072,B1072*E1072)</f>
        <v>4.4501795</v>
      </c>
      <c r="H1072">
        <f t="shared" si="49"/>
        <v>1</v>
      </c>
      <c r="I1072">
        <f t="shared" si="50"/>
        <v>0</v>
      </c>
    </row>
    <row r="1073" spans="1:9">
      <c r="A1073" s="1">
        <v>40283</v>
      </c>
      <c r="B1073">
        <v>4.4789500000000002</v>
      </c>
      <c r="C1073">
        <v>4.9950000000000001</v>
      </c>
      <c r="D1073">
        <f>WEEKDAY(A1073,14)</f>
        <v>1</v>
      </c>
      <c r="E1073">
        <f>VLOOKUP(D1073,L$2:M$8,2,FALSE)</f>
        <v>0</v>
      </c>
      <c r="F1073">
        <f t="shared" si="48"/>
        <v>1</v>
      </c>
      <c r="G1073">
        <f>IF(F1073&gt;F1072,G1072+B1073*E1073,B1073*E1073)</f>
        <v>0</v>
      </c>
      <c r="H1073">
        <f t="shared" si="49"/>
        <v>0</v>
      </c>
      <c r="I1073">
        <f t="shared" si="50"/>
        <v>4.4501795</v>
      </c>
    </row>
    <row r="1074" spans="1:9">
      <c r="A1074" s="1">
        <v>40284</v>
      </c>
      <c r="B1074">
        <v>4.4211499999999999</v>
      </c>
      <c r="C1074">
        <v>4.9950000000000001</v>
      </c>
      <c r="D1074">
        <f>WEEKDAY(A1074,14)</f>
        <v>2</v>
      </c>
      <c r="E1074">
        <f>VLOOKUP(D1074,L$2:M$8,2,FALSE)</f>
        <v>0</v>
      </c>
      <c r="F1074">
        <f t="shared" si="48"/>
        <v>2</v>
      </c>
      <c r="G1074">
        <f>IF(F1074&gt;F1073,G1073+B1074*E1074,B1074*E1074)</f>
        <v>0</v>
      </c>
      <c r="H1074">
        <f t="shared" si="49"/>
        <v>0</v>
      </c>
      <c r="I1074">
        <f t="shared" si="50"/>
        <v>0</v>
      </c>
    </row>
    <row r="1075" spans="1:9">
      <c r="A1075" s="1">
        <v>40287</v>
      </c>
      <c r="B1075">
        <v>4.4647699999999997</v>
      </c>
      <c r="C1075">
        <v>4.9950000000000001</v>
      </c>
      <c r="D1075">
        <f>WEEKDAY(A1075,14)</f>
        <v>5</v>
      </c>
      <c r="E1075">
        <f>VLOOKUP(D1075,L$2:M$8,2,FALSE)</f>
        <v>0.05</v>
      </c>
      <c r="F1075">
        <f t="shared" si="48"/>
        <v>3</v>
      </c>
      <c r="G1075">
        <f>IF(F1075&gt;F1074,G1074+B1075*E1075,B1075*E1075)</f>
        <v>0.22323850000000001</v>
      </c>
      <c r="H1075">
        <f t="shared" si="49"/>
        <v>0.05</v>
      </c>
      <c r="I1075">
        <f t="shared" si="50"/>
        <v>0</v>
      </c>
    </row>
    <row r="1076" spans="1:9">
      <c r="A1076" s="1">
        <v>40288</v>
      </c>
      <c r="B1076">
        <v>4.4716800000000001</v>
      </c>
      <c r="C1076">
        <v>4.9950000000000001</v>
      </c>
      <c r="D1076">
        <f>WEEKDAY(A1076,14)</f>
        <v>6</v>
      </c>
      <c r="E1076">
        <f>VLOOKUP(D1076,L$2:M$8,2,FALSE)</f>
        <v>0.7</v>
      </c>
      <c r="F1076">
        <f t="shared" si="48"/>
        <v>4</v>
      </c>
      <c r="G1076">
        <f>IF(F1076&gt;F1075,G1075+B1076*E1076,B1076*E1076)</f>
        <v>3.3534145</v>
      </c>
      <c r="H1076">
        <f t="shared" si="49"/>
        <v>0.75</v>
      </c>
      <c r="I1076">
        <f t="shared" si="50"/>
        <v>0</v>
      </c>
    </row>
    <row r="1077" spans="1:9">
      <c r="A1077" s="1">
        <v>40289</v>
      </c>
      <c r="B1077">
        <v>4.4287000000000001</v>
      </c>
      <c r="C1077">
        <v>4.9950000000000001</v>
      </c>
      <c r="D1077">
        <f>WEEKDAY(A1077,14)</f>
        <v>7</v>
      </c>
      <c r="E1077">
        <f>VLOOKUP(D1077,L$2:M$8,2,FALSE)</f>
        <v>0.25</v>
      </c>
      <c r="F1077">
        <f t="shared" si="48"/>
        <v>5</v>
      </c>
      <c r="G1077">
        <f>IF(F1077&gt;F1076,G1076+B1077*E1077,B1077*E1077)</f>
        <v>4.4605895000000002</v>
      </c>
      <c r="H1077">
        <f t="shared" si="49"/>
        <v>1</v>
      </c>
      <c r="I1077">
        <f t="shared" si="50"/>
        <v>0</v>
      </c>
    </row>
    <row r="1078" spans="1:9">
      <c r="A1078" s="1">
        <v>40290</v>
      </c>
      <c r="B1078">
        <v>4.4736799999999999</v>
      </c>
      <c r="C1078">
        <v>4.9850000000000003</v>
      </c>
      <c r="D1078">
        <f>WEEKDAY(A1078,14)</f>
        <v>1</v>
      </c>
      <c r="E1078">
        <f>VLOOKUP(D1078,L$2:M$8,2,FALSE)</f>
        <v>0</v>
      </c>
      <c r="F1078">
        <f t="shared" si="48"/>
        <v>1</v>
      </c>
      <c r="G1078">
        <f>IF(F1078&gt;F1077,G1077+B1078*E1078,B1078*E1078)</f>
        <v>0</v>
      </c>
      <c r="H1078">
        <f t="shared" si="49"/>
        <v>0</v>
      </c>
      <c r="I1078">
        <f t="shared" si="50"/>
        <v>4.4605895000000002</v>
      </c>
    </row>
    <row r="1079" spans="1:9">
      <c r="A1079" s="1">
        <v>40291</v>
      </c>
      <c r="B1079">
        <v>4.4965799999999998</v>
      </c>
      <c r="C1079">
        <v>4.9850000000000003</v>
      </c>
      <c r="D1079">
        <f>WEEKDAY(A1079,14)</f>
        <v>2</v>
      </c>
      <c r="E1079">
        <f>VLOOKUP(D1079,L$2:M$8,2,FALSE)</f>
        <v>0</v>
      </c>
      <c r="F1079">
        <f t="shared" si="48"/>
        <v>2</v>
      </c>
      <c r="G1079">
        <f>IF(F1079&gt;F1078,G1078+B1079*E1079,B1079*E1079)</f>
        <v>0</v>
      </c>
      <c r="H1079">
        <f t="shared" si="49"/>
        <v>0</v>
      </c>
      <c r="I1079">
        <f t="shared" si="50"/>
        <v>0</v>
      </c>
    </row>
    <row r="1080" spans="1:9">
      <c r="A1080" s="1">
        <v>40294</v>
      </c>
      <c r="B1080">
        <v>4.4869700000000003</v>
      </c>
      <c r="C1080">
        <v>4.9850000000000003</v>
      </c>
      <c r="D1080">
        <f>WEEKDAY(A1080,14)</f>
        <v>5</v>
      </c>
      <c r="E1080">
        <f>VLOOKUP(D1080,L$2:M$8,2,FALSE)</f>
        <v>0.05</v>
      </c>
      <c r="F1080">
        <f t="shared" si="48"/>
        <v>3</v>
      </c>
      <c r="G1080">
        <f>IF(F1080&gt;F1079,G1079+B1080*E1080,B1080*E1080)</f>
        <v>0.22434850000000003</v>
      </c>
      <c r="H1080">
        <f t="shared" si="49"/>
        <v>0.05</v>
      </c>
      <c r="I1080">
        <f t="shared" si="50"/>
        <v>0</v>
      </c>
    </row>
    <row r="1081" spans="1:9">
      <c r="A1081" s="1">
        <v>40295</v>
      </c>
      <c r="B1081">
        <v>4.4098199999999999</v>
      </c>
      <c r="C1081">
        <v>4.9850000000000003</v>
      </c>
      <c r="D1081">
        <f>WEEKDAY(A1081,14)</f>
        <v>6</v>
      </c>
      <c r="E1081">
        <f>VLOOKUP(D1081,L$2:M$8,2,FALSE)</f>
        <v>0.7</v>
      </c>
      <c r="F1081">
        <f t="shared" si="48"/>
        <v>4</v>
      </c>
      <c r="G1081">
        <f>IF(F1081&gt;F1080,G1080+B1081*E1081,B1081*E1081)</f>
        <v>3.3112225</v>
      </c>
      <c r="H1081">
        <f t="shared" si="49"/>
        <v>0.75</v>
      </c>
      <c r="I1081">
        <f t="shared" si="50"/>
        <v>0</v>
      </c>
    </row>
    <row r="1082" spans="1:9">
      <c r="A1082" s="1">
        <v>40296</v>
      </c>
      <c r="B1082">
        <v>4.4652900000000004</v>
      </c>
      <c r="C1082">
        <v>4.9850000000000003</v>
      </c>
      <c r="D1082">
        <f>WEEKDAY(A1082,14)</f>
        <v>7</v>
      </c>
      <c r="E1082">
        <f>VLOOKUP(D1082,L$2:M$8,2,FALSE)</f>
        <v>0.25</v>
      </c>
      <c r="F1082">
        <f t="shared" si="48"/>
        <v>5</v>
      </c>
      <c r="G1082">
        <f>IF(F1082&gt;F1081,G1081+B1082*E1082,B1082*E1082)</f>
        <v>4.4275450000000003</v>
      </c>
      <c r="H1082">
        <f t="shared" si="49"/>
        <v>1</v>
      </c>
      <c r="I1082">
        <f t="shared" si="50"/>
        <v>0</v>
      </c>
    </row>
    <row r="1083" spans="1:9">
      <c r="A1083" s="1">
        <v>40297</v>
      </c>
      <c r="B1083">
        <v>4.4231699999999998</v>
      </c>
      <c r="C1083">
        <v>4.9249999999999998</v>
      </c>
      <c r="D1083">
        <f>WEEKDAY(A1083,14)</f>
        <v>1</v>
      </c>
      <c r="E1083">
        <f>VLOOKUP(D1083,L$2:M$8,2,FALSE)</f>
        <v>0</v>
      </c>
      <c r="F1083">
        <f t="shared" si="48"/>
        <v>1</v>
      </c>
      <c r="G1083">
        <f>IF(F1083&gt;F1082,G1082+B1083*E1083,B1083*E1083)</f>
        <v>0</v>
      </c>
      <c r="H1083">
        <f t="shared" si="49"/>
        <v>0</v>
      </c>
      <c r="I1083">
        <f t="shared" si="50"/>
        <v>4.4275450000000003</v>
      </c>
    </row>
    <row r="1084" spans="1:9">
      <c r="A1084" s="1">
        <v>40298</v>
      </c>
      <c r="B1084">
        <v>4.3906999999999998</v>
      </c>
      <c r="C1084">
        <v>4.9249999999999998</v>
      </c>
      <c r="D1084">
        <f>WEEKDAY(A1084,14)</f>
        <v>2</v>
      </c>
      <c r="E1084">
        <f>VLOOKUP(D1084,L$2:M$8,2,FALSE)</f>
        <v>0</v>
      </c>
      <c r="F1084">
        <f t="shared" si="48"/>
        <v>2</v>
      </c>
      <c r="G1084">
        <f>IF(F1084&gt;F1083,G1083+B1084*E1084,B1084*E1084)</f>
        <v>0</v>
      </c>
      <c r="H1084">
        <f t="shared" si="49"/>
        <v>0</v>
      </c>
      <c r="I1084">
        <f t="shared" si="50"/>
        <v>0</v>
      </c>
    </row>
    <row r="1085" spans="1:9">
      <c r="A1085" s="1">
        <v>40301</v>
      </c>
      <c r="B1085">
        <v>4.43302</v>
      </c>
      <c r="C1085">
        <v>4.9249999999999998</v>
      </c>
      <c r="D1085">
        <f>WEEKDAY(A1085,14)</f>
        <v>5</v>
      </c>
      <c r="E1085">
        <f>VLOOKUP(D1085,L$2:M$8,2,FALSE)</f>
        <v>0.05</v>
      </c>
      <c r="F1085">
        <f t="shared" si="48"/>
        <v>3</v>
      </c>
      <c r="G1085">
        <f>IF(F1085&gt;F1084,G1084+B1085*E1085,B1085*E1085)</f>
        <v>0.22165100000000001</v>
      </c>
      <c r="H1085">
        <f t="shared" si="49"/>
        <v>0.05</v>
      </c>
      <c r="I1085">
        <f t="shared" si="50"/>
        <v>0</v>
      </c>
    </row>
    <row r="1086" spans="1:9">
      <c r="A1086" s="1">
        <v>40302</v>
      </c>
      <c r="B1086">
        <v>4.3804400000000001</v>
      </c>
      <c r="C1086">
        <v>4.9249999999999998</v>
      </c>
      <c r="D1086">
        <f>WEEKDAY(A1086,14)</f>
        <v>6</v>
      </c>
      <c r="E1086">
        <f>VLOOKUP(D1086,L$2:M$8,2,FALSE)</f>
        <v>0.7</v>
      </c>
      <c r="F1086">
        <f t="shared" si="48"/>
        <v>4</v>
      </c>
      <c r="G1086">
        <f>IF(F1086&gt;F1085,G1085+B1086*E1086,B1086*E1086)</f>
        <v>3.2879589999999999</v>
      </c>
      <c r="H1086">
        <f t="shared" si="49"/>
        <v>0.75</v>
      </c>
      <c r="I1086">
        <f t="shared" si="50"/>
        <v>0</v>
      </c>
    </row>
    <row r="1087" spans="1:9">
      <c r="A1087" s="1">
        <v>40303</v>
      </c>
      <c r="B1087">
        <v>4.3351600000000001</v>
      </c>
      <c r="C1087">
        <v>4.9249999999999998</v>
      </c>
      <c r="D1087">
        <f>WEEKDAY(A1087,14)</f>
        <v>7</v>
      </c>
      <c r="E1087">
        <f>VLOOKUP(D1087,L$2:M$8,2,FALSE)</f>
        <v>0.25</v>
      </c>
      <c r="F1087">
        <f t="shared" si="48"/>
        <v>5</v>
      </c>
      <c r="G1087">
        <f>IF(F1087&gt;F1086,G1086+B1087*E1087,B1087*E1087)</f>
        <v>4.3717489999999994</v>
      </c>
      <c r="H1087">
        <f t="shared" si="49"/>
        <v>1</v>
      </c>
      <c r="I1087">
        <f t="shared" si="50"/>
        <v>0</v>
      </c>
    </row>
    <row r="1088" spans="1:9">
      <c r="A1088" s="1">
        <v>40304</v>
      </c>
      <c r="B1088">
        <v>4.2225599999999996</v>
      </c>
      <c r="C1088">
        <v>4.8550000000000004</v>
      </c>
      <c r="D1088">
        <f>WEEKDAY(A1088,14)</f>
        <v>1</v>
      </c>
      <c r="E1088">
        <f>VLOOKUP(D1088,L$2:M$8,2,FALSE)</f>
        <v>0</v>
      </c>
      <c r="F1088">
        <f t="shared" si="48"/>
        <v>1</v>
      </c>
      <c r="G1088">
        <f>IF(F1088&gt;F1087,G1087+B1088*E1088,B1088*E1088)</f>
        <v>0</v>
      </c>
      <c r="H1088">
        <f t="shared" si="49"/>
        <v>0</v>
      </c>
      <c r="I1088">
        <f t="shared" si="50"/>
        <v>4.3717489999999994</v>
      </c>
    </row>
    <row r="1089" spans="1:9">
      <c r="A1089" s="1">
        <v>40305</v>
      </c>
      <c r="B1089">
        <v>4.2583799999999998</v>
      </c>
      <c r="C1089">
        <v>4.8550000000000004</v>
      </c>
      <c r="D1089">
        <f>WEEKDAY(A1089,14)</f>
        <v>2</v>
      </c>
      <c r="E1089">
        <f>VLOOKUP(D1089,L$2:M$8,2,FALSE)</f>
        <v>0</v>
      </c>
      <c r="F1089">
        <f t="shared" si="48"/>
        <v>2</v>
      </c>
      <c r="G1089">
        <f>IF(F1089&gt;F1088,G1088+B1089*E1089,B1089*E1089)</f>
        <v>0</v>
      </c>
      <c r="H1089">
        <f t="shared" si="49"/>
        <v>0</v>
      </c>
      <c r="I1089">
        <f t="shared" si="50"/>
        <v>0</v>
      </c>
    </row>
    <row r="1090" spans="1:9">
      <c r="A1090" s="1">
        <v>40308</v>
      </c>
      <c r="B1090">
        <v>4.3116500000000002</v>
      </c>
      <c r="C1090">
        <v>4.8550000000000004</v>
      </c>
      <c r="D1090">
        <f>WEEKDAY(A1090,14)</f>
        <v>5</v>
      </c>
      <c r="E1090">
        <f>VLOOKUP(D1090,L$2:M$8,2,FALSE)</f>
        <v>0.05</v>
      </c>
      <c r="F1090">
        <f t="shared" si="48"/>
        <v>3</v>
      </c>
      <c r="G1090">
        <f>IF(F1090&gt;F1089,G1089+B1090*E1090,B1090*E1090)</f>
        <v>0.21558250000000001</v>
      </c>
      <c r="H1090">
        <f t="shared" si="49"/>
        <v>0.05</v>
      </c>
      <c r="I1090">
        <f t="shared" si="50"/>
        <v>0</v>
      </c>
    </row>
    <row r="1091" spans="1:9">
      <c r="A1091" s="1">
        <v>40309</v>
      </c>
      <c r="B1091">
        <v>4.2863800000000003</v>
      </c>
      <c r="C1091">
        <v>4.8550000000000004</v>
      </c>
      <c r="D1091">
        <f>WEEKDAY(A1091,14)</f>
        <v>6</v>
      </c>
      <c r="E1091">
        <f>VLOOKUP(D1091,L$2:M$8,2,FALSE)</f>
        <v>0.7</v>
      </c>
      <c r="F1091">
        <f t="shared" ref="F1091:F1154" si="51">IF(AND(D1091&gt;D1090,F1090&lt;6),F1090+1,1)</f>
        <v>4</v>
      </c>
      <c r="G1091">
        <f>IF(F1091&gt;F1090,G1090+B1091*E1091,B1091*E1091)</f>
        <v>3.2160484999999999</v>
      </c>
      <c r="H1091">
        <f t="shared" si="49"/>
        <v>0.75</v>
      </c>
      <c r="I1091">
        <f t="shared" si="50"/>
        <v>0</v>
      </c>
    </row>
    <row r="1092" spans="1:9">
      <c r="A1092" s="1">
        <v>40310</v>
      </c>
      <c r="B1092">
        <v>4.2926700000000002</v>
      </c>
      <c r="C1092">
        <v>4.8550000000000004</v>
      </c>
      <c r="D1092">
        <f>WEEKDAY(A1092,14)</f>
        <v>7</v>
      </c>
      <c r="E1092">
        <f>VLOOKUP(D1092,L$2:M$8,2,FALSE)</f>
        <v>0.25</v>
      </c>
      <c r="F1092">
        <f t="shared" si="51"/>
        <v>5</v>
      </c>
      <c r="G1092">
        <f>IF(F1092&gt;F1091,G1091+B1092*E1092,B1092*E1092)</f>
        <v>4.2892159999999997</v>
      </c>
      <c r="H1092">
        <f t="shared" ref="H1092:H1155" si="52">IF(AND(F1092&lt;6,F1092&gt;F1091),E1092+H1091,E1092)</f>
        <v>1</v>
      </c>
      <c r="I1092">
        <f t="shared" ref="I1092:I1155" si="53">IF(F1091&gt;F1092,G1091/H1091,0)</f>
        <v>0</v>
      </c>
    </row>
    <row r="1093" spans="1:9">
      <c r="A1093" s="1">
        <v>40311</v>
      </c>
      <c r="B1093">
        <v>4.2824900000000001</v>
      </c>
      <c r="C1093">
        <v>4.7649999999999997</v>
      </c>
      <c r="D1093">
        <f>WEEKDAY(A1093,14)</f>
        <v>1</v>
      </c>
      <c r="E1093">
        <f>VLOOKUP(D1093,L$2:M$8,2,FALSE)</f>
        <v>0</v>
      </c>
      <c r="F1093">
        <f t="shared" si="51"/>
        <v>1</v>
      </c>
      <c r="G1093">
        <f>IF(F1093&gt;F1092,G1092+B1093*E1093,B1093*E1093)</f>
        <v>0</v>
      </c>
      <c r="H1093">
        <f t="shared" si="52"/>
        <v>0</v>
      </c>
      <c r="I1093">
        <f t="shared" si="53"/>
        <v>4.2892159999999997</v>
      </c>
    </row>
    <row r="1094" spans="1:9">
      <c r="A1094" s="1">
        <v>40312</v>
      </c>
      <c r="B1094">
        <v>4.1918499999999996</v>
      </c>
      <c r="C1094">
        <v>4.7649999999999997</v>
      </c>
      <c r="D1094">
        <f>WEEKDAY(A1094,14)</f>
        <v>2</v>
      </c>
      <c r="E1094">
        <f>VLOOKUP(D1094,L$2:M$8,2,FALSE)</f>
        <v>0</v>
      </c>
      <c r="F1094">
        <f t="shared" si="51"/>
        <v>2</v>
      </c>
      <c r="G1094">
        <f>IF(F1094&gt;F1093,G1093+B1094*E1094,B1094*E1094)</f>
        <v>0</v>
      </c>
      <c r="H1094">
        <f t="shared" si="52"/>
        <v>0</v>
      </c>
      <c r="I1094">
        <f t="shared" si="53"/>
        <v>0</v>
      </c>
    </row>
    <row r="1095" spans="1:9">
      <c r="A1095" s="1">
        <v>40315</v>
      </c>
      <c r="B1095">
        <v>4.1901599999999997</v>
      </c>
      <c r="C1095">
        <v>4.7649999999999997</v>
      </c>
      <c r="D1095">
        <f>WEEKDAY(A1095,14)</f>
        <v>5</v>
      </c>
      <c r="E1095">
        <f>VLOOKUP(D1095,L$2:M$8,2,FALSE)</f>
        <v>0.05</v>
      </c>
      <c r="F1095">
        <f t="shared" si="51"/>
        <v>3</v>
      </c>
      <c r="G1095">
        <f>IF(F1095&gt;F1094,G1094+B1095*E1095,B1095*E1095)</f>
        <v>0.209508</v>
      </c>
      <c r="H1095">
        <f t="shared" si="52"/>
        <v>0.05</v>
      </c>
      <c r="I1095">
        <f t="shared" si="53"/>
        <v>0</v>
      </c>
    </row>
    <row r="1096" spans="1:9">
      <c r="A1096" s="1">
        <v>40316</v>
      </c>
      <c r="B1096">
        <v>4.1365999999999996</v>
      </c>
      <c r="C1096">
        <v>4.7649999999999997</v>
      </c>
      <c r="D1096">
        <f>WEEKDAY(A1096,14)</f>
        <v>6</v>
      </c>
      <c r="E1096">
        <f>VLOOKUP(D1096,L$2:M$8,2,FALSE)</f>
        <v>0.7</v>
      </c>
      <c r="F1096">
        <f t="shared" si="51"/>
        <v>4</v>
      </c>
      <c r="G1096">
        <f>IF(F1096&gt;F1095,G1095+B1096*E1096,B1096*E1096)</f>
        <v>3.1051279999999997</v>
      </c>
      <c r="H1096">
        <f t="shared" si="52"/>
        <v>0.75</v>
      </c>
      <c r="I1096">
        <f t="shared" si="53"/>
        <v>0</v>
      </c>
    </row>
    <row r="1097" spans="1:9">
      <c r="A1097" s="1">
        <v>40317</v>
      </c>
      <c r="B1097">
        <v>4.1277699999999999</v>
      </c>
      <c r="C1097">
        <v>4.7649999999999997</v>
      </c>
      <c r="D1097">
        <f>WEEKDAY(A1097,14)</f>
        <v>7</v>
      </c>
      <c r="E1097">
        <f>VLOOKUP(D1097,L$2:M$8,2,FALSE)</f>
        <v>0.25</v>
      </c>
      <c r="F1097">
        <f t="shared" si="51"/>
        <v>5</v>
      </c>
      <c r="G1097">
        <f>IF(F1097&gt;F1096,G1096+B1097*E1097,B1097*E1097)</f>
        <v>4.1370705000000001</v>
      </c>
      <c r="H1097">
        <f t="shared" si="52"/>
        <v>1</v>
      </c>
      <c r="I1097">
        <f t="shared" si="53"/>
        <v>0</v>
      </c>
    </row>
    <row r="1098" spans="1:9">
      <c r="A1098" s="1">
        <v>40318</v>
      </c>
      <c r="B1098">
        <v>4.0602999999999998</v>
      </c>
      <c r="C1098">
        <v>4.7050000000000001</v>
      </c>
      <c r="D1098">
        <f>WEEKDAY(A1098,14)</f>
        <v>1</v>
      </c>
      <c r="E1098">
        <f>VLOOKUP(D1098,L$2:M$8,2,FALSE)</f>
        <v>0</v>
      </c>
      <c r="F1098">
        <f t="shared" si="51"/>
        <v>1</v>
      </c>
      <c r="G1098">
        <f>IF(F1098&gt;F1097,G1097+B1098*E1098,B1098*E1098)</f>
        <v>0</v>
      </c>
      <c r="H1098">
        <f t="shared" si="52"/>
        <v>0</v>
      </c>
      <c r="I1098">
        <f t="shared" si="53"/>
        <v>4.1370705000000001</v>
      </c>
    </row>
    <row r="1099" spans="1:9">
      <c r="A1099" s="1">
        <v>40319</v>
      </c>
      <c r="B1099">
        <v>4.0434400000000004</v>
      </c>
      <c r="C1099">
        <v>4.7050000000000001</v>
      </c>
      <c r="D1099">
        <f>WEEKDAY(A1099,14)</f>
        <v>2</v>
      </c>
      <c r="E1099">
        <f>VLOOKUP(D1099,L$2:M$8,2,FALSE)</f>
        <v>0</v>
      </c>
      <c r="F1099">
        <f t="shared" si="51"/>
        <v>2</v>
      </c>
      <c r="G1099">
        <f>IF(F1099&gt;F1098,G1098+B1099*E1099,B1099*E1099)</f>
        <v>0</v>
      </c>
      <c r="H1099">
        <f t="shared" si="52"/>
        <v>0</v>
      </c>
      <c r="I1099">
        <f t="shared" si="53"/>
        <v>0</v>
      </c>
    </row>
    <row r="1100" spans="1:9">
      <c r="A1100" s="1">
        <v>40322</v>
      </c>
      <c r="B1100">
        <v>4.11355</v>
      </c>
      <c r="C1100">
        <v>4.7050000000000001</v>
      </c>
      <c r="D1100">
        <f>WEEKDAY(A1100,14)</f>
        <v>5</v>
      </c>
      <c r="E1100">
        <f>VLOOKUP(D1100,L$2:M$8,2,FALSE)</f>
        <v>0.05</v>
      </c>
      <c r="F1100">
        <f t="shared" si="51"/>
        <v>3</v>
      </c>
      <c r="G1100">
        <f>IF(F1100&gt;F1099,G1099+B1100*E1100,B1100*E1100)</f>
        <v>0.20567750000000001</v>
      </c>
      <c r="H1100">
        <f t="shared" si="52"/>
        <v>0.05</v>
      </c>
      <c r="I1100">
        <f t="shared" si="53"/>
        <v>0</v>
      </c>
    </row>
    <row r="1101" spans="1:9">
      <c r="A1101" s="1">
        <v>40323</v>
      </c>
      <c r="B1101">
        <v>4.0582200000000004</v>
      </c>
      <c r="C1101">
        <v>4.7050000000000001</v>
      </c>
      <c r="D1101">
        <f>WEEKDAY(A1101,14)</f>
        <v>6</v>
      </c>
      <c r="E1101">
        <f>VLOOKUP(D1101,L$2:M$8,2,FALSE)</f>
        <v>0.7</v>
      </c>
      <c r="F1101">
        <f t="shared" si="51"/>
        <v>4</v>
      </c>
      <c r="G1101">
        <f>IF(F1101&gt;F1100,G1100+B1101*E1101,B1101*E1101)</f>
        <v>3.0464315000000002</v>
      </c>
      <c r="H1101">
        <f t="shared" si="52"/>
        <v>0.75</v>
      </c>
      <c r="I1101">
        <f t="shared" si="53"/>
        <v>0</v>
      </c>
    </row>
    <row r="1102" spans="1:9">
      <c r="A1102" s="1">
        <v>40324</v>
      </c>
      <c r="B1102">
        <v>4.0848800000000001</v>
      </c>
      <c r="C1102">
        <v>4.7050000000000001</v>
      </c>
      <c r="D1102">
        <f>WEEKDAY(A1102,14)</f>
        <v>7</v>
      </c>
      <c r="E1102">
        <f>VLOOKUP(D1102,L$2:M$8,2,FALSE)</f>
        <v>0.25</v>
      </c>
      <c r="F1102">
        <f t="shared" si="51"/>
        <v>5</v>
      </c>
      <c r="G1102">
        <f>IF(F1102&gt;F1101,G1101+B1102*E1102,B1102*E1102)</f>
        <v>4.0676515000000002</v>
      </c>
      <c r="H1102">
        <f t="shared" si="52"/>
        <v>1</v>
      </c>
      <c r="I1102">
        <f t="shared" si="53"/>
        <v>0</v>
      </c>
    </row>
    <row r="1103" spans="1:9">
      <c r="A1103" s="1">
        <v>40325</v>
      </c>
      <c r="B1103">
        <v>4.1816199999999997</v>
      </c>
      <c r="C1103">
        <v>4.74</v>
      </c>
      <c r="D1103">
        <f>WEEKDAY(A1103,14)</f>
        <v>1</v>
      </c>
      <c r="E1103">
        <f>VLOOKUP(D1103,L$2:M$8,2,FALSE)</f>
        <v>0</v>
      </c>
      <c r="F1103">
        <f t="shared" si="51"/>
        <v>1</v>
      </c>
      <c r="G1103">
        <f>IF(F1103&gt;F1102,G1102+B1103*E1103,B1103*E1103)</f>
        <v>0</v>
      </c>
      <c r="H1103">
        <f t="shared" si="52"/>
        <v>0</v>
      </c>
      <c r="I1103">
        <f t="shared" si="53"/>
        <v>4.0676515000000002</v>
      </c>
    </row>
    <row r="1104" spans="1:9">
      <c r="A1104" s="1">
        <v>40326</v>
      </c>
      <c r="B1104">
        <v>4.1547400000000003</v>
      </c>
      <c r="C1104">
        <v>4.74</v>
      </c>
      <c r="D1104">
        <f>WEEKDAY(A1104,14)</f>
        <v>2</v>
      </c>
      <c r="E1104">
        <f>VLOOKUP(D1104,L$2:M$8,2,FALSE)</f>
        <v>0</v>
      </c>
      <c r="F1104">
        <f t="shared" si="51"/>
        <v>2</v>
      </c>
      <c r="G1104">
        <f>IF(F1104&gt;F1103,G1103+B1104*E1104,B1104*E1104)</f>
        <v>0</v>
      </c>
      <c r="H1104">
        <f t="shared" si="52"/>
        <v>0</v>
      </c>
      <c r="I1104">
        <f t="shared" si="53"/>
        <v>0</v>
      </c>
    </row>
    <row r="1105" spans="1:9">
      <c r="A1105" s="1">
        <v>40330</v>
      </c>
      <c r="B1105">
        <v>4.1510699999999998</v>
      </c>
      <c r="C1105">
        <v>4.74</v>
      </c>
      <c r="D1105">
        <f>WEEKDAY(A1105,14)</f>
        <v>6</v>
      </c>
      <c r="E1105">
        <f>VLOOKUP(D1105,L$2:M$8,2,FALSE)</f>
        <v>0.7</v>
      </c>
      <c r="F1105">
        <f t="shared" si="51"/>
        <v>3</v>
      </c>
      <c r="G1105">
        <f>IF(F1105&gt;F1104,G1104+B1105*E1105,B1105*E1105)</f>
        <v>2.9057489999999997</v>
      </c>
      <c r="H1105">
        <f t="shared" si="52"/>
        <v>0.7</v>
      </c>
      <c r="I1105">
        <f t="shared" si="53"/>
        <v>0</v>
      </c>
    </row>
    <row r="1106" spans="1:9">
      <c r="A1106" s="1">
        <v>40331</v>
      </c>
      <c r="B1106">
        <v>4.1766800000000002</v>
      </c>
      <c r="C1106">
        <v>4.74</v>
      </c>
      <c r="D1106">
        <f>WEEKDAY(A1106,14)</f>
        <v>7</v>
      </c>
      <c r="E1106">
        <f>VLOOKUP(D1106,L$2:M$8,2,FALSE)</f>
        <v>0.25</v>
      </c>
      <c r="F1106">
        <f t="shared" si="51"/>
        <v>4</v>
      </c>
      <c r="G1106">
        <f>IF(F1106&gt;F1105,G1105+B1106*E1106,B1106*E1106)</f>
        <v>3.9499189999999995</v>
      </c>
      <c r="H1106">
        <f t="shared" si="52"/>
        <v>0.95</v>
      </c>
      <c r="I1106">
        <f t="shared" si="53"/>
        <v>0</v>
      </c>
    </row>
    <row r="1107" spans="1:9">
      <c r="A1107" s="1">
        <v>40332</v>
      </c>
      <c r="B1107">
        <v>4.1875799999999996</v>
      </c>
      <c r="C1107">
        <v>4.6449999999999996</v>
      </c>
      <c r="D1107">
        <f>WEEKDAY(A1107,14)</f>
        <v>1</v>
      </c>
      <c r="E1107">
        <f>VLOOKUP(D1107,L$2:M$8,2,FALSE)</f>
        <v>0</v>
      </c>
      <c r="F1107">
        <f t="shared" si="51"/>
        <v>1</v>
      </c>
      <c r="G1107">
        <f>IF(F1107&gt;F1106,G1106+B1107*E1107,B1107*E1107)</f>
        <v>0</v>
      </c>
      <c r="H1107">
        <f t="shared" si="52"/>
        <v>0</v>
      </c>
      <c r="I1107">
        <f t="shared" si="53"/>
        <v>4.1578094736842104</v>
      </c>
    </row>
    <row r="1108" spans="1:9">
      <c r="A1108" s="1">
        <v>40333</v>
      </c>
      <c r="B1108">
        <v>4.0385</v>
      </c>
      <c r="C1108">
        <v>4.6449999999999996</v>
      </c>
      <c r="D1108">
        <f>WEEKDAY(A1108,14)</f>
        <v>2</v>
      </c>
      <c r="E1108">
        <f>VLOOKUP(D1108,L$2:M$8,2,FALSE)</f>
        <v>0</v>
      </c>
      <c r="F1108">
        <f t="shared" si="51"/>
        <v>2</v>
      </c>
      <c r="G1108">
        <f>IF(F1108&gt;F1107,G1107+B1108*E1108,B1108*E1108)</f>
        <v>0</v>
      </c>
      <c r="H1108">
        <f t="shared" si="52"/>
        <v>0</v>
      </c>
      <c r="I1108">
        <f t="shared" si="53"/>
        <v>0</v>
      </c>
    </row>
    <row r="1109" spans="1:9">
      <c r="A1109" s="1">
        <v>40336</v>
      </c>
      <c r="B1109">
        <v>4.0322199999999997</v>
      </c>
      <c r="C1109">
        <v>4.6449999999999996</v>
      </c>
      <c r="D1109">
        <f>WEEKDAY(A1109,14)</f>
        <v>5</v>
      </c>
      <c r="E1109">
        <f>VLOOKUP(D1109,L$2:M$8,2,FALSE)</f>
        <v>0.05</v>
      </c>
      <c r="F1109">
        <f t="shared" si="51"/>
        <v>3</v>
      </c>
      <c r="G1109">
        <f>IF(F1109&gt;F1108,G1108+B1109*E1109,B1109*E1109)</f>
        <v>0.20161099999999998</v>
      </c>
      <c r="H1109">
        <f t="shared" si="52"/>
        <v>0.05</v>
      </c>
      <c r="I1109">
        <f t="shared" si="53"/>
        <v>0</v>
      </c>
    </row>
    <row r="1110" spans="1:9">
      <c r="A1110" s="1">
        <v>40337</v>
      </c>
      <c r="B1110">
        <v>3.9995799999999999</v>
      </c>
      <c r="C1110">
        <v>4.6449999999999996</v>
      </c>
      <c r="D1110">
        <f>WEEKDAY(A1110,14)</f>
        <v>6</v>
      </c>
      <c r="E1110">
        <f>VLOOKUP(D1110,L$2:M$8,2,FALSE)</f>
        <v>0.7</v>
      </c>
      <c r="F1110">
        <f t="shared" si="51"/>
        <v>4</v>
      </c>
      <c r="G1110">
        <f>IF(F1110&gt;F1109,G1109+B1110*E1110,B1110*E1110)</f>
        <v>3.0013169999999993</v>
      </c>
      <c r="H1110">
        <f t="shared" si="52"/>
        <v>0.75</v>
      </c>
      <c r="I1110">
        <f t="shared" si="53"/>
        <v>0</v>
      </c>
    </row>
    <row r="1111" spans="1:9">
      <c r="A1111" s="1">
        <v>40338</v>
      </c>
      <c r="B1111">
        <v>3.9942500000000001</v>
      </c>
      <c r="C1111">
        <v>4.6449999999999996</v>
      </c>
      <c r="D1111">
        <f>WEEKDAY(A1111,14)</f>
        <v>7</v>
      </c>
      <c r="E1111">
        <f>VLOOKUP(D1111,L$2:M$8,2,FALSE)</f>
        <v>0.25</v>
      </c>
      <c r="F1111">
        <f t="shared" si="51"/>
        <v>5</v>
      </c>
      <c r="G1111">
        <f>IF(F1111&gt;F1110,G1110+B1111*E1111,B1111*E1111)</f>
        <v>3.9998794999999996</v>
      </c>
      <c r="H1111">
        <f t="shared" si="52"/>
        <v>1</v>
      </c>
      <c r="I1111">
        <f t="shared" si="53"/>
        <v>0</v>
      </c>
    </row>
    <row r="1112" spans="1:9">
      <c r="A1112" s="1">
        <v>40339</v>
      </c>
      <c r="B1112">
        <v>4.1065300000000002</v>
      </c>
      <c r="C1112">
        <v>4.6749999999999998</v>
      </c>
      <c r="D1112">
        <f>WEEKDAY(A1112,14)</f>
        <v>1</v>
      </c>
      <c r="E1112">
        <f>VLOOKUP(D1112,L$2:M$8,2,FALSE)</f>
        <v>0</v>
      </c>
      <c r="F1112">
        <f t="shared" si="51"/>
        <v>1</v>
      </c>
      <c r="G1112">
        <f>IF(F1112&gt;F1111,G1111+B1112*E1112,B1112*E1112)</f>
        <v>0</v>
      </c>
      <c r="H1112">
        <f t="shared" si="52"/>
        <v>0</v>
      </c>
      <c r="I1112">
        <f t="shared" si="53"/>
        <v>3.9998794999999996</v>
      </c>
    </row>
    <row r="1113" spans="1:9">
      <c r="A1113" s="1">
        <v>40340</v>
      </c>
      <c r="B1113">
        <v>4.0220500000000001</v>
      </c>
      <c r="C1113">
        <v>4.6749999999999998</v>
      </c>
      <c r="D1113">
        <f>WEEKDAY(A1113,14)</f>
        <v>2</v>
      </c>
      <c r="E1113">
        <f>VLOOKUP(D1113,L$2:M$8,2,FALSE)</f>
        <v>0</v>
      </c>
      <c r="F1113">
        <f t="shared" si="51"/>
        <v>2</v>
      </c>
      <c r="G1113">
        <f>IF(F1113&gt;F1112,G1112+B1113*E1113,B1113*E1113)</f>
        <v>0</v>
      </c>
      <c r="H1113">
        <f t="shared" si="52"/>
        <v>0</v>
      </c>
      <c r="I1113">
        <f t="shared" si="53"/>
        <v>0</v>
      </c>
    </row>
    <row r="1114" spans="1:9">
      <c r="A1114" s="1">
        <v>40343</v>
      </c>
      <c r="B1114">
        <v>4.0388500000000001</v>
      </c>
      <c r="C1114">
        <v>4.6749999999999998</v>
      </c>
      <c r="D1114">
        <f>WEEKDAY(A1114,14)</f>
        <v>5</v>
      </c>
      <c r="E1114">
        <f>VLOOKUP(D1114,L$2:M$8,2,FALSE)</f>
        <v>0.05</v>
      </c>
      <c r="F1114">
        <f t="shared" si="51"/>
        <v>3</v>
      </c>
      <c r="G1114">
        <f>IF(F1114&gt;F1113,G1113+B1114*E1114,B1114*E1114)</f>
        <v>0.20194250000000002</v>
      </c>
      <c r="H1114">
        <f t="shared" si="52"/>
        <v>0.05</v>
      </c>
      <c r="I1114">
        <f t="shared" si="53"/>
        <v>0</v>
      </c>
    </row>
    <row r="1115" spans="1:9">
      <c r="A1115" s="1">
        <v>40344</v>
      </c>
      <c r="B1115">
        <v>4.0755400000000002</v>
      </c>
      <c r="C1115">
        <v>4.6749999999999998</v>
      </c>
      <c r="D1115">
        <f>WEEKDAY(A1115,14)</f>
        <v>6</v>
      </c>
      <c r="E1115">
        <f>VLOOKUP(D1115,L$2:M$8,2,FALSE)</f>
        <v>0.7</v>
      </c>
      <c r="F1115">
        <f t="shared" si="51"/>
        <v>4</v>
      </c>
      <c r="G1115">
        <f>IF(F1115&gt;F1114,G1114+B1115*E1115,B1115*E1115)</f>
        <v>3.0548204999999999</v>
      </c>
      <c r="H1115">
        <f t="shared" si="52"/>
        <v>0.75</v>
      </c>
      <c r="I1115">
        <f t="shared" si="53"/>
        <v>0</v>
      </c>
    </row>
    <row r="1116" spans="1:9">
      <c r="A1116" s="1">
        <v>40345</v>
      </c>
      <c r="B1116">
        <v>4.0548799999999998</v>
      </c>
      <c r="C1116">
        <v>4.6749999999999998</v>
      </c>
      <c r="D1116">
        <f>WEEKDAY(A1116,14)</f>
        <v>7</v>
      </c>
      <c r="E1116">
        <f>VLOOKUP(D1116,L$2:M$8,2,FALSE)</f>
        <v>0.25</v>
      </c>
      <c r="F1116">
        <f t="shared" si="51"/>
        <v>5</v>
      </c>
      <c r="G1116">
        <f>IF(F1116&gt;F1115,G1115+B1116*E1116,B1116*E1116)</f>
        <v>4.0685405000000001</v>
      </c>
      <c r="H1116">
        <f t="shared" si="52"/>
        <v>1</v>
      </c>
      <c r="I1116">
        <f t="shared" si="53"/>
        <v>0</v>
      </c>
    </row>
    <row r="1117" spans="1:9">
      <c r="A1117" s="1">
        <v>40346</v>
      </c>
      <c r="B1117">
        <v>3.9681899999999999</v>
      </c>
      <c r="C1117">
        <v>4.6150000000000002</v>
      </c>
      <c r="D1117">
        <f>WEEKDAY(A1117,14)</f>
        <v>1</v>
      </c>
      <c r="E1117">
        <f>VLOOKUP(D1117,L$2:M$8,2,FALSE)</f>
        <v>0</v>
      </c>
      <c r="F1117">
        <f t="shared" si="51"/>
        <v>1</v>
      </c>
      <c r="G1117">
        <f>IF(F1117&gt;F1116,G1116+B1117*E1117,B1117*E1117)</f>
        <v>0</v>
      </c>
      <c r="H1117">
        <f t="shared" si="52"/>
        <v>0</v>
      </c>
      <c r="I1117">
        <f t="shared" si="53"/>
        <v>4.0685405000000001</v>
      </c>
    </row>
    <row r="1118" spans="1:9">
      <c r="A1118" s="1">
        <v>40347</v>
      </c>
      <c r="B1118">
        <v>3.97044</v>
      </c>
      <c r="C1118">
        <v>4.6150000000000002</v>
      </c>
      <c r="D1118">
        <f>WEEKDAY(A1118,14)</f>
        <v>2</v>
      </c>
      <c r="E1118">
        <f>VLOOKUP(D1118,L$2:M$8,2,FALSE)</f>
        <v>0</v>
      </c>
      <c r="F1118">
        <f t="shared" si="51"/>
        <v>2</v>
      </c>
      <c r="G1118">
        <f>IF(F1118&gt;F1117,G1117+B1118*E1118,B1118*E1118)</f>
        <v>0</v>
      </c>
      <c r="H1118">
        <f t="shared" si="52"/>
        <v>0</v>
      </c>
      <c r="I1118">
        <f t="shared" si="53"/>
        <v>0</v>
      </c>
    </row>
    <row r="1119" spans="1:9">
      <c r="A1119" s="1">
        <v>40350</v>
      </c>
      <c r="B1119">
        <v>3.9550399999999999</v>
      </c>
      <c r="C1119">
        <v>4.6150000000000002</v>
      </c>
      <c r="D1119">
        <f>WEEKDAY(A1119,14)</f>
        <v>5</v>
      </c>
      <c r="E1119">
        <f>VLOOKUP(D1119,L$2:M$8,2,FALSE)</f>
        <v>0.05</v>
      </c>
      <c r="F1119">
        <f t="shared" si="51"/>
        <v>3</v>
      </c>
      <c r="G1119">
        <f>IF(F1119&gt;F1118,G1118+B1119*E1119,B1119*E1119)</f>
        <v>0.19775200000000001</v>
      </c>
      <c r="H1119">
        <f t="shared" si="52"/>
        <v>0.05</v>
      </c>
      <c r="I1119">
        <f t="shared" si="53"/>
        <v>0</v>
      </c>
    </row>
    <row r="1120" spans="1:9">
      <c r="A1120" s="1">
        <v>40351</v>
      </c>
      <c r="B1120">
        <v>3.8749199999999999</v>
      </c>
      <c r="C1120">
        <v>4.6150000000000002</v>
      </c>
      <c r="D1120">
        <f>WEEKDAY(A1120,14)</f>
        <v>6</v>
      </c>
      <c r="E1120">
        <f>VLOOKUP(D1120,L$2:M$8,2,FALSE)</f>
        <v>0.7</v>
      </c>
      <c r="F1120">
        <f t="shared" si="51"/>
        <v>4</v>
      </c>
      <c r="G1120">
        <f>IF(F1120&gt;F1119,G1119+B1120*E1120,B1120*E1120)</f>
        <v>2.9101959999999996</v>
      </c>
      <c r="H1120">
        <f t="shared" si="52"/>
        <v>0.75</v>
      </c>
      <c r="I1120">
        <f t="shared" si="53"/>
        <v>0</v>
      </c>
    </row>
    <row r="1121" spans="1:9">
      <c r="A1121" s="1">
        <v>40352</v>
      </c>
      <c r="B1121">
        <v>3.8309199999999999</v>
      </c>
      <c r="C1121">
        <v>4.6150000000000002</v>
      </c>
      <c r="D1121">
        <f>WEEKDAY(A1121,14)</f>
        <v>7</v>
      </c>
      <c r="E1121">
        <f>VLOOKUP(D1121,L$2:M$8,2,FALSE)</f>
        <v>0.25</v>
      </c>
      <c r="F1121">
        <f t="shared" si="51"/>
        <v>5</v>
      </c>
      <c r="G1121">
        <f>IF(F1121&gt;F1120,G1120+B1121*E1121,B1121*E1121)</f>
        <v>3.8679259999999998</v>
      </c>
      <c r="H1121">
        <f t="shared" si="52"/>
        <v>1</v>
      </c>
      <c r="I1121">
        <f t="shared" si="53"/>
        <v>0</v>
      </c>
    </row>
    <row r="1122" spans="1:9">
      <c r="A1122" s="1">
        <v>40353</v>
      </c>
      <c r="B1122">
        <v>3.9081399999999999</v>
      </c>
      <c r="C1122">
        <v>4.5049999999999999</v>
      </c>
      <c r="D1122">
        <f>WEEKDAY(A1122,14)</f>
        <v>1</v>
      </c>
      <c r="E1122">
        <f>VLOOKUP(D1122,L$2:M$8,2,FALSE)</f>
        <v>0</v>
      </c>
      <c r="F1122">
        <f t="shared" si="51"/>
        <v>1</v>
      </c>
      <c r="G1122">
        <f>IF(F1122&gt;F1121,G1121+B1122*E1122,B1122*E1122)</f>
        <v>0</v>
      </c>
      <c r="H1122">
        <f t="shared" si="52"/>
        <v>0</v>
      </c>
      <c r="I1122">
        <f t="shared" si="53"/>
        <v>3.8679259999999998</v>
      </c>
    </row>
    <row r="1123" spans="1:9">
      <c r="A1123" s="1">
        <v>40354</v>
      </c>
      <c r="B1123">
        <v>3.8645800000000001</v>
      </c>
      <c r="C1123">
        <v>4.5049999999999999</v>
      </c>
      <c r="D1123">
        <f>WEEKDAY(A1123,14)</f>
        <v>2</v>
      </c>
      <c r="E1123">
        <f>VLOOKUP(D1123,L$2:M$8,2,FALSE)</f>
        <v>0</v>
      </c>
      <c r="F1123">
        <f t="shared" si="51"/>
        <v>2</v>
      </c>
      <c r="G1123">
        <f>IF(F1123&gt;F1122,G1122+B1123*E1123,B1123*E1123)</f>
        <v>0</v>
      </c>
      <c r="H1123">
        <f t="shared" si="52"/>
        <v>0</v>
      </c>
      <c r="I1123">
        <f t="shared" si="53"/>
        <v>0</v>
      </c>
    </row>
    <row r="1124" spans="1:9">
      <c r="A1124" s="1">
        <v>40357</v>
      </c>
      <c r="B1124">
        <v>3.7615699999999999</v>
      </c>
      <c r="C1124">
        <v>4.5049999999999999</v>
      </c>
      <c r="D1124">
        <f>WEEKDAY(A1124,14)</f>
        <v>5</v>
      </c>
      <c r="E1124">
        <f>VLOOKUP(D1124,L$2:M$8,2,FALSE)</f>
        <v>0.05</v>
      </c>
      <c r="F1124">
        <f t="shared" si="51"/>
        <v>3</v>
      </c>
      <c r="G1124">
        <f>IF(F1124&gt;F1123,G1123+B1124*E1124,B1124*E1124)</f>
        <v>0.18807850000000001</v>
      </c>
      <c r="H1124">
        <f t="shared" si="52"/>
        <v>0.05</v>
      </c>
      <c r="I1124">
        <f t="shared" si="53"/>
        <v>0</v>
      </c>
    </row>
    <row r="1125" spans="1:9">
      <c r="A1125" s="1">
        <v>40358</v>
      </c>
      <c r="B1125">
        <v>3.72533</v>
      </c>
      <c r="C1125">
        <v>4.5049999999999999</v>
      </c>
      <c r="D1125">
        <f>WEEKDAY(A1125,14)</f>
        <v>6</v>
      </c>
      <c r="E1125">
        <f>VLOOKUP(D1125,L$2:M$8,2,FALSE)</f>
        <v>0.7</v>
      </c>
      <c r="F1125">
        <f t="shared" si="51"/>
        <v>4</v>
      </c>
      <c r="G1125">
        <f>IF(F1125&gt;F1124,G1124+B1125*E1125,B1125*E1125)</f>
        <v>2.7958094999999998</v>
      </c>
      <c r="H1125">
        <f t="shared" si="52"/>
        <v>0.75</v>
      </c>
      <c r="I1125">
        <f t="shared" si="53"/>
        <v>0</v>
      </c>
    </row>
    <row r="1126" spans="1:9">
      <c r="A1126" s="1">
        <v>40359</v>
      </c>
      <c r="B1126">
        <v>3.7245900000000001</v>
      </c>
      <c r="C1126">
        <v>4.5049999999999999</v>
      </c>
      <c r="D1126">
        <f>WEEKDAY(A1126,14)</f>
        <v>7</v>
      </c>
      <c r="E1126">
        <f>VLOOKUP(D1126,L$2:M$8,2,FALSE)</f>
        <v>0.25</v>
      </c>
      <c r="F1126">
        <f t="shared" si="51"/>
        <v>5</v>
      </c>
      <c r="G1126">
        <f>IF(F1126&gt;F1125,G1125+B1126*E1126,B1126*E1126)</f>
        <v>3.7269569999999996</v>
      </c>
      <c r="H1126">
        <f t="shared" si="52"/>
        <v>1</v>
      </c>
      <c r="I1126">
        <f t="shared" si="53"/>
        <v>0</v>
      </c>
    </row>
    <row r="1127" spans="1:9">
      <c r="A1127" s="1">
        <v>40360</v>
      </c>
      <c r="B1127">
        <v>3.6937899999999999</v>
      </c>
      <c r="C1127">
        <v>4.4950000000000001</v>
      </c>
      <c r="D1127">
        <f>WEEKDAY(A1127,14)</f>
        <v>1</v>
      </c>
      <c r="E1127">
        <f>VLOOKUP(D1127,L$2:M$8,2,FALSE)</f>
        <v>0</v>
      </c>
      <c r="F1127">
        <f t="shared" si="51"/>
        <v>1</v>
      </c>
      <c r="G1127">
        <f>IF(F1127&gt;F1126,G1126+B1127*E1127,B1127*E1127)</f>
        <v>0</v>
      </c>
      <c r="H1127">
        <f t="shared" si="52"/>
        <v>0</v>
      </c>
      <c r="I1127">
        <f t="shared" si="53"/>
        <v>3.7269569999999996</v>
      </c>
    </row>
    <row r="1128" spans="1:9">
      <c r="A1128" s="1">
        <v>40361</v>
      </c>
      <c r="B1128">
        <v>3.7169599999999998</v>
      </c>
      <c r="C1128">
        <v>4.4950000000000001</v>
      </c>
      <c r="D1128">
        <f>WEEKDAY(A1128,14)</f>
        <v>2</v>
      </c>
      <c r="E1128">
        <f>VLOOKUP(D1128,L$2:M$8,2,FALSE)</f>
        <v>0</v>
      </c>
      <c r="F1128">
        <f t="shared" si="51"/>
        <v>2</v>
      </c>
      <c r="G1128">
        <f>IF(F1128&gt;F1127,G1127+B1128*E1128,B1128*E1128)</f>
        <v>0</v>
      </c>
      <c r="H1128">
        <f t="shared" si="52"/>
        <v>0</v>
      </c>
      <c r="I1128">
        <f t="shared" si="53"/>
        <v>0</v>
      </c>
    </row>
    <row r="1129" spans="1:9">
      <c r="A1129" s="1">
        <v>40365</v>
      </c>
      <c r="B1129">
        <v>3.6351300000000002</v>
      </c>
      <c r="C1129">
        <v>4.4950000000000001</v>
      </c>
      <c r="D1129">
        <f>WEEKDAY(A1129,14)</f>
        <v>6</v>
      </c>
      <c r="E1129">
        <f>VLOOKUP(D1129,L$2:M$8,2,FALSE)</f>
        <v>0.7</v>
      </c>
      <c r="F1129">
        <f t="shared" si="51"/>
        <v>3</v>
      </c>
      <c r="G1129">
        <f>IF(F1129&gt;F1128,G1128+B1129*E1129,B1129*E1129)</f>
        <v>2.544591</v>
      </c>
      <c r="H1129">
        <f t="shared" si="52"/>
        <v>0.7</v>
      </c>
      <c r="I1129">
        <f t="shared" si="53"/>
        <v>0</v>
      </c>
    </row>
    <row r="1130" spans="1:9">
      <c r="A1130" s="1">
        <v>40366</v>
      </c>
      <c r="B1130">
        <v>3.6983700000000002</v>
      </c>
      <c r="C1130">
        <v>4.4950000000000001</v>
      </c>
      <c r="D1130">
        <f>WEEKDAY(A1130,14)</f>
        <v>7</v>
      </c>
      <c r="E1130">
        <f>VLOOKUP(D1130,L$2:M$8,2,FALSE)</f>
        <v>0.25</v>
      </c>
      <c r="F1130">
        <f t="shared" si="51"/>
        <v>4</v>
      </c>
      <c r="G1130">
        <f>IF(F1130&gt;F1129,G1129+B1130*E1130,B1130*E1130)</f>
        <v>3.4691835000000002</v>
      </c>
      <c r="H1130">
        <f t="shared" si="52"/>
        <v>0.95</v>
      </c>
      <c r="I1130">
        <f t="shared" si="53"/>
        <v>0</v>
      </c>
    </row>
    <row r="1131" spans="1:9">
      <c r="A1131" s="1">
        <v>40367</v>
      </c>
      <c r="B1131">
        <v>3.7116799999999999</v>
      </c>
      <c r="C1131">
        <v>4.4950000000000001</v>
      </c>
      <c r="D1131">
        <f>WEEKDAY(A1131,14)</f>
        <v>1</v>
      </c>
      <c r="E1131">
        <f>VLOOKUP(D1131,L$2:M$8,2,FALSE)</f>
        <v>0</v>
      </c>
      <c r="F1131">
        <f t="shared" si="51"/>
        <v>1</v>
      </c>
      <c r="G1131">
        <f>IF(F1131&gt;F1130,G1130+B1131*E1131,B1131*E1131)</f>
        <v>0</v>
      </c>
      <c r="H1131">
        <f t="shared" si="52"/>
        <v>0</v>
      </c>
      <c r="I1131">
        <f t="shared" si="53"/>
        <v>3.6517721052631584</v>
      </c>
    </row>
    <row r="1132" spans="1:9">
      <c r="A1132" s="1">
        <v>40368</v>
      </c>
      <c r="B1132">
        <v>3.7157499999999999</v>
      </c>
      <c r="C1132">
        <v>4.4950000000000001</v>
      </c>
      <c r="D1132">
        <f>WEEKDAY(A1132,14)</f>
        <v>2</v>
      </c>
      <c r="E1132">
        <f>VLOOKUP(D1132,L$2:M$8,2,FALSE)</f>
        <v>0</v>
      </c>
      <c r="F1132">
        <f t="shared" si="51"/>
        <v>2</v>
      </c>
      <c r="G1132">
        <f>IF(F1132&gt;F1131,G1131+B1132*E1132,B1132*E1132)</f>
        <v>0</v>
      </c>
      <c r="H1132">
        <f t="shared" si="52"/>
        <v>0</v>
      </c>
      <c r="I1132">
        <f t="shared" si="53"/>
        <v>0</v>
      </c>
    </row>
    <row r="1133" spans="1:9">
      <c r="A1133" s="1">
        <v>40371</v>
      </c>
      <c r="B1133">
        <v>3.7139500000000001</v>
      </c>
      <c r="C1133">
        <v>4.4950000000000001</v>
      </c>
      <c r="D1133">
        <f>WEEKDAY(A1133,14)</f>
        <v>5</v>
      </c>
      <c r="E1133">
        <f>VLOOKUP(D1133,L$2:M$8,2,FALSE)</f>
        <v>0.05</v>
      </c>
      <c r="F1133">
        <f t="shared" si="51"/>
        <v>3</v>
      </c>
      <c r="G1133">
        <f>IF(F1133&gt;F1132,G1132+B1133*E1133,B1133*E1133)</f>
        <v>0.18569750000000002</v>
      </c>
      <c r="H1133">
        <f t="shared" si="52"/>
        <v>0.05</v>
      </c>
      <c r="I1133">
        <f t="shared" si="53"/>
        <v>0</v>
      </c>
    </row>
    <row r="1134" spans="1:9">
      <c r="A1134" s="1">
        <v>40372</v>
      </c>
      <c r="B1134">
        <v>3.7530600000000001</v>
      </c>
      <c r="C1134">
        <v>4.4950000000000001</v>
      </c>
      <c r="D1134">
        <f>WEEKDAY(A1134,14)</f>
        <v>6</v>
      </c>
      <c r="E1134">
        <f>VLOOKUP(D1134,L$2:M$8,2,FALSE)</f>
        <v>0.7</v>
      </c>
      <c r="F1134">
        <f t="shared" si="51"/>
        <v>4</v>
      </c>
      <c r="G1134">
        <f>IF(F1134&gt;F1133,G1133+B1134*E1134,B1134*E1134)</f>
        <v>2.8128394999999999</v>
      </c>
      <c r="H1134">
        <f t="shared" si="52"/>
        <v>0.75</v>
      </c>
      <c r="I1134">
        <f t="shared" si="53"/>
        <v>0</v>
      </c>
    </row>
    <row r="1135" spans="1:9">
      <c r="A1135" s="1">
        <v>40373</v>
      </c>
      <c r="B1135">
        <v>3.7004299999999999</v>
      </c>
      <c r="C1135">
        <v>4.4950000000000001</v>
      </c>
      <c r="D1135">
        <f>WEEKDAY(A1135,14)</f>
        <v>7</v>
      </c>
      <c r="E1135">
        <f>VLOOKUP(D1135,L$2:M$8,2,FALSE)</f>
        <v>0.25</v>
      </c>
      <c r="F1135">
        <f t="shared" si="51"/>
        <v>5</v>
      </c>
      <c r="G1135">
        <f>IF(F1135&gt;F1134,G1134+B1135*E1135,B1135*E1135)</f>
        <v>3.7379470000000001</v>
      </c>
      <c r="H1135">
        <f t="shared" si="52"/>
        <v>1</v>
      </c>
      <c r="I1135">
        <f t="shared" si="53"/>
        <v>0</v>
      </c>
    </row>
    <row r="1136" spans="1:9">
      <c r="A1136" s="1">
        <v>40374</v>
      </c>
      <c r="B1136">
        <v>3.61225</v>
      </c>
      <c r="C1136">
        <v>4.4850000000000003</v>
      </c>
      <c r="D1136">
        <f>WEEKDAY(A1136,14)</f>
        <v>1</v>
      </c>
      <c r="E1136">
        <f>VLOOKUP(D1136,L$2:M$8,2,FALSE)</f>
        <v>0</v>
      </c>
      <c r="F1136">
        <f t="shared" si="51"/>
        <v>1</v>
      </c>
      <c r="G1136">
        <f>IF(F1136&gt;F1135,G1135+B1136*E1136,B1136*E1136)</f>
        <v>0</v>
      </c>
      <c r="H1136">
        <f t="shared" si="52"/>
        <v>0</v>
      </c>
      <c r="I1136">
        <f t="shared" si="53"/>
        <v>3.7379470000000001</v>
      </c>
    </row>
    <row r="1137" spans="1:9">
      <c r="A1137" s="1">
        <v>40375</v>
      </c>
      <c r="B1137">
        <v>3.5977299999999999</v>
      </c>
      <c r="C1137">
        <v>4.4850000000000003</v>
      </c>
      <c r="D1137">
        <f>WEEKDAY(A1137,14)</f>
        <v>2</v>
      </c>
      <c r="E1137">
        <f>VLOOKUP(D1137,L$2:M$8,2,FALSE)</f>
        <v>0</v>
      </c>
      <c r="F1137">
        <f t="shared" si="51"/>
        <v>2</v>
      </c>
      <c r="G1137">
        <f>IF(F1137&gt;F1136,G1136+B1137*E1137,B1137*E1137)</f>
        <v>0</v>
      </c>
      <c r="H1137">
        <f t="shared" si="52"/>
        <v>0</v>
      </c>
      <c r="I1137">
        <f t="shared" si="53"/>
        <v>0</v>
      </c>
    </row>
    <row r="1138" spans="1:9">
      <c r="A1138" s="1">
        <v>40378</v>
      </c>
      <c r="B1138">
        <v>3.65741</v>
      </c>
      <c r="C1138">
        <v>4.4850000000000003</v>
      </c>
      <c r="D1138">
        <f>WEEKDAY(A1138,14)</f>
        <v>5</v>
      </c>
      <c r="E1138">
        <f>VLOOKUP(D1138,L$2:M$8,2,FALSE)</f>
        <v>0.05</v>
      </c>
      <c r="F1138">
        <f t="shared" si="51"/>
        <v>3</v>
      </c>
      <c r="G1138">
        <f>IF(F1138&gt;F1137,G1137+B1138*E1138,B1138*E1138)</f>
        <v>0.18287050000000002</v>
      </c>
      <c r="H1138">
        <f t="shared" si="52"/>
        <v>0.05</v>
      </c>
      <c r="I1138">
        <f t="shared" si="53"/>
        <v>0</v>
      </c>
    </row>
    <row r="1139" spans="1:9">
      <c r="A1139" s="1">
        <v>40379</v>
      </c>
      <c r="B1139">
        <v>3.6359300000000001</v>
      </c>
      <c r="C1139">
        <v>4.4850000000000003</v>
      </c>
      <c r="D1139">
        <f>WEEKDAY(A1139,14)</f>
        <v>6</v>
      </c>
      <c r="E1139">
        <f>VLOOKUP(D1139,L$2:M$8,2,FALSE)</f>
        <v>0.7</v>
      </c>
      <c r="F1139">
        <f t="shared" si="51"/>
        <v>4</v>
      </c>
      <c r="G1139">
        <f>IF(F1139&gt;F1138,G1138+B1139*E1139,B1139*E1139)</f>
        <v>2.7280214999999997</v>
      </c>
      <c r="H1139">
        <f t="shared" si="52"/>
        <v>0.75</v>
      </c>
      <c r="I1139">
        <f t="shared" si="53"/>
        <v>0</v>
      </c>
    </row>
    <row r="1140" spans="1:9">
      <c r="A1140" s="1">
        <v>40380</v>
      </c>
      <c r="B1140">
        <v>3.5678700000000001</v>
      </c>
      <c r="C1140">
        <v>4.4850000000000003</v>
      </c>
      <c r="D1140">
        <f>WEEKDAY(A1140,14)</f>
        <v>7</v>
      </c>
      <c r="E1140">
        <f>VLOOKUP(D1140,L$2:M$8,2,FALSE)</f>
        <v>0.25</v>
      </c>
      <c r="F1140">
        <f t="shared" si="51"/>
        <v>5</v>
      </c>
      <c r="G1140">
        <f>IF(F1140&gt;F1139,G1139+B1140*E1140,B1140*E1140)</f>
        <v>3.6199889999999995</v>
      </c>
      <c r="H1140">
        <f t="shared" si="52"/>
        <v>1</v>
      </c>
      <c r="I1140">
        <f t="shared" si="53"/>
        <v>0</v>
      </c>
    </row>
    <row r="1141" spans="1:9">
      <c r="A1141" s="1">
        <v>40381</v>
      </c>
      <c r="B1141">
        <v>3.5744500000000001</v>
      </c>
      <c r="C1141">
        <v>4.4649999999999999</v>
      </c>
      <c r="D1141">
        <f>WEEKDAY(A1141,14)</f>
        <v>1</v>
      </c>
      <c r="E1141">
        <f>VLOOKUP(D1141,L$2:M$8,2,FALSE)</f>
        <v>0</v>
      </c>
      <c r="F1141">
        <f t="shared" si="51"/>
        <v>1</v>
      </c>
      <c r="G1141">
        <f>IF(F1141&gt;F1140,G1140+B1141*E1141,B1141*E1141)</f>
        <v>0</v>
      </c>
      <c r="H1141">
        <f t="shared" si="52"/>
        <v>0</v>
      </c>
      <c r="I1141">
        <f t="shared" si="53"/>
        <v>3.6199889999999995</v>
      </c>
    </row>
    <row r="1142" spans="1:9">
      <c r="A1142" s="1">
        <v>40382</v>
      </c>
      <c r="B1142">
        <v>3.6186199999999999</v>
      </c>
      <c r="C1142">
        <v>4.4649999999999999</v>
      </c>
      <c r="D1142">
        <f>WEEKDAY(A1142,14)</f>
        <v>2</v>
      </c>
      <c r="E1142">
        <f>VLOOKUP(D1142,L$2:M$8,2,FALSE)</f>
        <v>0</v>
      </c>
      <c r="F1142">
        <f t="shared" si="51"/>
        <v>2</v>
      </c>
      <c r="G1142">
        <f>IF(F1142&gt;F1141,G1141+B1142*E1142,B1142*E1142)</f>
        <v>0</v>
      </c>
      <c r="H1142">
        <f t="shared" si="52"/>
        <v>0</v>
      </c>
      <c r="I1142">
        <f t="shared" si="53"/>
        <v>0</v>
      </c>
    </row>
    <row r="1143" spans="1:9">
      <c r="A1143" s="1">
        <v>40385</v>
      </c>
      <c r="B1143">
        <v>3.6202999999999999</v>
      </c>
      <c r="C1143">
        <v>4.4649999999999999</v>
      </c>
      <c r="D1143">
        <f>WEEKDAY(A1143,14)</f>
        <v>5</v>
      </c>
      <c r="E1143">
        <f>VLOOKUP(D1143,L$2:M$8,2,FALSE)</f>
        <v>0.05</v>
      </c>
      <c r="F1143">
        <f t="shared" si="51"/>
        <v>3</v>
      </c>
      <c r="G1143">
        <f>IF(F1143&gt;F1142,G1142+B1143*E1143,B1143*E1143)</f>
        <v>0.18101500000000001</v>
      </c>
      <c r="H1143">
        <f t="shared" si="52"/>
        <v>0.05</v>
      </c>
      <c r="I1143">
        <f t="shared" si="53"/>
        <v>0</v>
      </c>
    </row>
    <row r="1144" spans="1:9">
      <c r="A1144" s="1">
        <v>40386</v>
      </c>
      <c r="B1144">
        <v>3.62</v>
      </c>
      <c r="C1144">
        <v>4.4649999999999999</v>
      </c>
      <c r="D1144">
        <f>WEEKDAY(A1144,14)</f>
        <v>6</v>
      </c>
      <c r="E1144">
        <f>VLOOKUP(D1144,L$2:M$8,2,FALSE)</f>
        <v>0.7</v>
      </c>
      <c r="F1144">
        <f t="shared" si="51"/>
        <v>4</v>
      </c>
      <c r="G1144">
        <f>IF(F1144&gt;F1143,G1143+B1144*E1144,B1144*E1144)</f>
        <v>2.7150149999999997</v>
      </c>
      <c r="H1144">
        <f t="shared" si="52"/>
        <v>0.75</v>
      </c>
      <c r="I1144">
        <f t="shared" si="53"/>
        <v>0</v>
      </c>
    </row>
    <row r="1145" spans="1:9">
      <c r="A1145" s="1">
        <v>40387</v>
      </c>
      <c r="B1145">
        <v>3.57124</v>
      </c>
      <c r="C1145">
        <v>4.4649999999999999</v>
      </c>
      <c r="D1145">
        <f>WEEKDAY(A1145,14)</f>
        <v>7</v>
      </c>
      <c r="E1145">
        <f>VLOOKUP(D1145,L$2:M$8,2,FALSE)</f>
        <v>0.25</v>
      </c>
      <c r="F1145">
        <f t="shared" si="51"/>
        <v>5</v>
      </c>
      <c r="G1145">
        <f>IF(F1145&gt;F1144,G1144+B1145*E1145,B1145*E1145)</f>
        <v>3.6078249999999996</v>
      </c>
      <c r="H1145">
        <f t="shared" si="52"/>
        <v>1</v>
      </c>
      <c r="I1145">
        <f t="shared" si="53"/>
        <v>0</v>
      </c>
    </row>
    <row r="1146" spans="1:9">
      <c r="A1146" s="1">
        <v>40388</v>
      </c>
      <c r="B1146">
        <v>3.5563099999999999</v>
      </c>
      <c r="C1146">
        <v>4.415</v>
      </c>
      <c r="D1146">
        <f>WEEKDAY(A1146,14)</f>
        <v>1</v>
      </c>
      <c r="E1146">
        <f>VLOOKUP(D1146,L$2:M$8,2,FALSE)</f>
        <v>0</v>
      </c>
      <c r="F1146">
        <f t="shared" si="51"/>
        <v>1</v>
      </c>
      <c r="G1146">
        <f>IF(F1146&gt;F1145,G1145+B1146*E1146,B1146*E1146)</f>
        <v>0</v>
      </c>
      <c r="H1146">
        <f t="shared" si="52"/>
        <v>0</v>
      </c>
      <c r="I1146">
        <f t="shared" si="53"/>
        <v>3.6078249999999996</v>
      </c>
    </row>
    <row r="1147" spans="1:9">
      <c r="A1147" s="1">
        <v>40389</v>
      </c>
      <c r="B1147">
        <v>3.48603</v>
      </c>
      <c r="C1147">
        <v>4.415</v>
      </c>
      <c r="D1147">
        <f>WEEKDAY(A1147,14)</f>
        <v>2</v>
      </c>
      <c r="E1147">
        <f>VLOOKUP(D1147,L$2:M$8,2,FALSE)</f>
        <v>0</v>
      </c>
      <c r="F1147">
        <f t="shared" si="51"/>
        <v>2</v>
      </c>
      <c r="G1147">
        <f>IF(F1147&gt;F1146,G1146+B1147*E1147,B1147*E1147)</f>
        <v>0</v>
      </c>
      <c r="H1147">
        <f t="shared" si="52"/>
        <v>0</v>
      </c>
      <c r="I1147">
        <f t="shared" si="53"/>
        <v>0</v>
      </c>
    </row>
    <row r="1148" spans="1:9">
      <c r="A1148" s="1">
        <v>40392</v>
      </c>
      <c r="B1148">
        <v>3.5727000000000002</v>
      </c>
      <c r="C1148">
        <v>4.415</v>
      </c>
      <c r="D1148">
        <f>WEEKDAY(A1148,14)</f>
        <v>5</v>
      </c>
      <c r="E1148">
        <f>VLOOKUP(D1148,L$2:M$8,2,FALSE)</f>
        <v>0.05</v>
      </c>
      <c r="F1148">
        <f t="shared" si="51"/>
        <v>3</v>
      </c>
      <c r="G1148">
        <f>IF(F1148&gt;F1147,G1147+B1148*E1148,B1148*E1148)</f>
        <v>0.17863500000000002</v>
      </c>
      <c r="H1148">
        <f t="shared" si="52"/>
        <v>0.05</v>
      </c>
      <c r="I1148">
        <f t="shared" si="53"/>
        <v>0</v>
      </c>
    </row>
    <row r="1149" spans="1:9">
      <c r="A1149" s="1">
        <v>40393</v>
      </c>
      <c r="B1149">
        <v>3.5228600000000001</v>
      </c>
      <c r="C1149">
        <v>4.415</v>
      </c>
      <c r="D1149">
        <f>WEEKDAY(A1149,14)</f>
        <v>6</v>
      </c>
      <c r="E1149">
        <f>VLOOKUP(D1149,L$2:M$8,2,FALSE)</f>
        <v>0.7</v>
      </c>
      <c r="F1149">
        <f t="shared" si="51"/>
        <v>4</v>
      </c>
      <c r="G1149">
        <f>IF(F1149&gt;F1148,G1148+B1149*E1149,B1149*E1149)</f>
        <v>2.6446369999999999</v>
      </c>
      <c r="H1149">
        <f t="shared" si="52"/>
        <v>0.75</v>
      </c>
      <c r="I1149">
        <f t="shared" si="53"/>
        <v>0</v>
      </c>
    </row>
    <row r="1150" spans="1:9">
      <c r="A1150" s="1">
        <v>40394</v>
      </c>
      <c r="B1150">
        <v>3.5817000000000001</v>
      </c>
      <c r="C1150">
        <v>4.415</v>
      </c>
      <c r="D1150">
        <f>WEEKDAY(A1150,14)</f>
        <v>7</v>
      </c>
      <c r="E1150">
        <f>VLOOKUP(D1150,L$2:M$8,2,FALSE)</f>
        <v>0.25</v>
      </c>
      <c r="F1150">
        <f t="shared" si="51"/>
        <v>5</v>
      </c>
      <c r="G1150">
        <f>IF(F1150&gt;F1149,G1149+B1150*E1150,B1150*E1150)</f>
        <v>3.5400619999999998</v>
      </c>
      <c r="H1150">
        <f t="shared" si="52"/>
        <v>1</v>
      </c>
      <c r="I1150">
        <f t="shared" si="53"/>
        <v>0</v>
      </c>
    </row>
    <row r="1151" spans="1:9">
      <c r="A1151" s="1">
        <v>40395</v>
      </c>
      <c r="B1151">
        <v>3.5533700000000001</v>
      </c>
      <c r="C1151">
        <v>4.3650000000000002</v>
      </c>
      <c r="D1151">
        <f>WEEKDAY(A1151,14)</f>
        <v>1</v>
      </c>
      <c r="E1151">
        <f>VLOOKUP(D1151,L$2:M$8,2,FALSE)</f>
        <v>0</v>
      </c>
      <c r="F1151">
        <f t="shared" si="51"/>
        <v>1</v>
      </c>
      <c r="G1151">
        <f>IF(F1151&gt;F1150,G1150+B1151*E1151,B1151*E1151)</f>
        <v>0</v>
      </c>
      <c r="H1151">
        <f t="shared" si="52"/>
        <v>0</v>
      </c>
      <c r="I1151">
        <f t="shared" si="53"/>
        <v>3.5400619999999998</v>
      </c>
    </row>
    <row r="1152" spans="1:9">
      <c r="A1152" s="1">
        <v>40396</v>
      </c>
      <c r="B1152">
        <v>3.48719</v>
      </c>
      <c r="C1152">
        <v>4.3650000000000002</v>
      </c>
      <c r="D1152">
        <f>WEEKDAY(A1152,14)</f>
        <v>2</v>
      </c>
      <c r="E1152">
        <f>VLOOKUP(D1152,L$2:M$8,2,FALSE)</f>
        <v>0</v>
      </c>
      <c r="F1152">
        <f t="shared" si="51"/>
        <v>2</v>
      </c>
      <c r="G1152">
        <f>IF(F1152&gt;F1151,G1151+B1152*E1152,B1152*E1152)</f>
        <v>0</v>
      </c>
      <c r="H1152">
        <f t="shared" si="52"/>
        <v>0</v>
      </c>
      <c r="I1152">
        <f t="shared" si="53"/>
        <v>0</v>
      </c>
    </row>
    <row r="1153" spans="1:9">
      <c r="A1153" s="1">
        <v>40399</v>
      </c>
      <c r="B1153">
        <v>3.4885299999999999</v>
      </c>
      <c r="C1153">
        <v>4.3650000000000002</v>
      </c>
      <c r="D1153">
        <f>WEEKDAY(A1153,14)</f>
        <v>5</v>
      </c>
      <c r="E1153">
        <f>VLOOKUP(D1153,L$2:M$8,2,FALSE)</f>
        <v>0.05</v>
      </c>
      <c r="F1153">
        <f t="shared" si="51"/>
        <v>3</v>
      </c>
      <c r="G1153">
        <f>IF(F1153&gt;F1152,G1152+B1153*E1153,B1153*E1153)</f>
        <v>0.17442650000000001</v>
      </c>
      <c r="H1153">
        <f t="shared" si="52"/>
        <v>0.05</v>
      </c>
      <c r="I1153">
        <f t="shared" si="53"/>
        <v>0</v>
      </c>
    </row>
    <row r="1154" spans="1:9">
      <c r="A1154" s="1">
        <v>40400</v>
      </c>
      <c r="B1154">
        <v>3.44746</v>
      </c>
      <c r="C1154">
        <v>4.3650000000000002</v>
      </c>
      <c r="D1154">
        <f>WEEKDAY(A1154,14)</f>
        <v>6</v>
      </c>
      <c r="E1154">
        <f>VLOOKUP(D1154,L$2:M$8,2,FALSE)</f>
        <v>0.7</v>
      </c>
      <c r="F1154">
        <f t="shared" si="51"/>
        <v>4</v>
      </c>
      <c r="G1154">
        <f>IF(F1154&gt;F1153,G1153+B1154*E1154,B1154*E1154)</f>
        <v>2.5876484999999998</v>
      </c>
      <c r="H1154">
        <f t="shared" si="52"/>
        <v>0.75</v>
      </c>
      <c r="I1154">
        <f t="shared" si="53"/>
        <v>0</v>
      </c>
    </row>
    <row r="1155" spans="1:9">
      <c r="A1155" s="1">
        <v>40401</v>
      </c>
      <c r="B1155">
        <v>3.3409900000000001</v>
      </c>
      <c r="C1155">
        <v>4.3650000000000002</v>
      </c>
      <c r="D1155">
        <f>WEEKDAY(A1155,14)</f>
        <v>7</v>
      </c>
      <c r="E1155">
        <f>VLOOKUP(D1155,L$2:M$8,2,FALSE)</f>
        <v>0.25</v>
      </c>
      <c r="F1155">
        <f t="shared" ref="F1155:F1218" si="54">IF(AND(D1155&gt;D1154,F1154&lt;6),F1154+1,1)</f>
        <v>5</v>
      </c>
      <c r="G1155">
        <f>IF(F1155&gt;F1154,G1154+B1155*E1155,B1155*E1155)</f>
        <v>3.4228959999999997</v>
      </c>
      <c r="H1155">
        <f t="shared" si="52"/>
        <v>1</v>
      </c>
      <c r="I1155">
        <f t="shared" si="53"/>
        <v>0</v>
      </c>
    </row>
    <row r="1156" spans="1:9">
      <c r="A1156" s="1">
        <v>40402</v>
      </c>
      <c r="B1156">
        <v>3.4474800000000001</v>
      </c>
      <c r="C1156">
        <v>4.3449999999999998</v>
      </c>
      <c r="D1156">
        <f>WEEKDAY(A1156,14)</f>
        <v>1</v>
      </c>
      <c r="E1156">
        <f>VLOOKUP(D1156,L$2:M$8,2,FALSE)</f>
        <v>0</v>
      </c>
      <c r="F1156">
        <f t="shared" si="54"/>
        <v>1</v>
      </c>
      <c r="G1156">
        <f>IF(F1156&gt;F1155,G1155+B1156*E1156,B1156*E1156)</f>
        <v>0</v>
      </c>
      <c r="H1156">
        <f t="shared" ref="H1156:H1219" si="55">IF(AND(F1156&lt;6,F1156&gt;F1155),E1156+H1155,E1156)</f>
        <v>0</v>
      </c>
      <c r="I1156">
        <f t="shared" ref="I1156:I1219" si="56">IF(F1155&gt;F1156,G1155/H1155,0)</f>
        <v>3.4228959999999997</v>
      </c>
    </row>
    <row r="1157" spans="1:9">
      <c r="A1157" s="1">
        <v>40403</v>
      </c>
      <c r="B1157">
        <v>3.3766099999999999</v>
      </c>
      <c r="C1157">
        <v>4.3449999999999998</v>
      </c>
      <c r="D1157">
        <f>WEEKDAY(A1157,14)</f>
        <v>2</v>
      </c>
      <c r="E1157">
        <f>VLOOKUP(D1157,L$2:M$8,2,FALSE)</f>
        <v>0</v>
      </c>
      <c r="F1157">
        <f t="shared" si="54"/>
        <v>2</v>
      </c>
      <c r="G1157">
        <f>IF(F1157&gt;F1156,G1156+B1157*E1157,B1157*E1157)</f>
        <v>0</v>
      </c>
      <c r="H1157">
        <f t="shared" si="55"/>
        <v>0</v>
      </c>
      <c r="I1157">
        <f t="shared" si="56"/>
        <v>0</v>
      </c>
    </row>
    <row r="1158" spans="1:9">
      <c r="A1158" s="1">
        <v>40406</v>
      </c>
      <c r="B1158">
        <v>3.3086700000000002</v>
      </c>
      <c r="C1158">
        <v>4.3449999999999998</v>
      </c>
      <c r="D1158">
        <f>WEEKDAY(A1158,14)</f>
        <v>5</v>
      </c>
      <c r="E1158">
        <f>VLOOKUP(D1158,L$2:M$8,2,FALSE)</f>
        <v>0.05</v>
      </c>
      <c r="F1158">
        <f t="shared" si="54"/>
        <v>3</v>
      </c>
      <c r="G1158">
        <f>IF(F1158&gt;F1157,G1157+B1158*E1158,B1158*E1158)</f>
        <v>0.16543350000000001</v>
      </c>
      <c r="H1158">
        <f t="shared" si="55"/>
        <v>0.05</v>
      </c>
      <c r="I1158">
        <f t="shared" si="56"/>
        <v>0</v>
      </c>
    </row>
    <row r="1159" spans="1:9">
      <c r="A1159" s="1">
        <v>40407</v>
      </c>
      <c r="B1159">
        <v>3.4014099999999998</v>
      </c>
      <c r="C1159">
        <v>4.3449999999999998</v>
      </c>
      <c r="D1159">
        <f>WEEKDAY(A1159,14)</f>
        <v>6</v>
      </c>
      <c r="E1159">
        <f>VLOOKUP(D1159,L$2:M$8,2,FALSE)</f>
        <v>0.7</v>
      </c>
      <c r="F1159">
        <f t="shared" si="54"/>
        <v>4</v>
      </c>
      <c r="G1159">
        <f>IF(F1159&gt;F1158,G1158+B1159*E1159,B1159*E1159)</f>
        <v>2.5464205</v>
      </c>
      <c r="H1159">
        <f t="shared" si="55"/>
        <v>0.75</v>
      </c>
      <c r="I1159">
        <f t="shared" si="56"/>
        <v>0</v>
      </c>
    </row>
    <row r="1160" spans="1:9">
      <c r="A1160" s="1">
        <v>40408</v>
      </c>
      <c r="B1160">
        <v>3.4498700000000002</v>
      </c>
      <c r="C1160">
        <v>4.3449999999999998</v>
      </c>
      <c r="D1160">
        <f>WEEKDAY(A1160,14)</f>
        <v>7</v>
      </c>
      <c r="E1160">
        <f>VLOOKUP(D1160,L$2:M$8,2,FALSE)</f>
        <v>0.25</v>
      </c>
      <c r="F1160">
        <f t="shared" si="54"/>
        <v>5</v>
      </c>
      <c r="G1160">
        <f>IF(F1160&gt;F1159,G1159+B1160*E1160,B1160*E1160)</f>
        <v>3.4088880000000001</v>
      </c>
      <c r="H1160">
        <f t="shared" si="55"/>
        <v>1</v>
      </c>
      <c r="I1160">
        <f t="shared" si="56"/>
        <v>0</v>
      </c>
    </row>
    <row r="1161" spans="1:9">
      <c r="A1161" s="1">
        <v>40409</v>
      </c>
      <c r="B1161">
        <v>3.3088799999999998</v>
      </c>
      <c r="C1161">
        <v>4.2850000000000001</v>
      </c>
      <c r="D1161">
        <f>WEEKDAY(A1161,14)</f>
        <v>1</v>
      </c>
      <c r="E1161">
        <f>VLOOKUP(D1161,L$2:M$8,2,FALSE)</f>
        <v>0</v>
      </c>
      <c r="F1161">
        <f t="shared" si="54"/>
        <v>1</v>
      </c>
      <c r="G1161">
        <f>IF(F1161&gt;F1160,G1160+B1161*E1161,B1161*E1161)</f>
        <v>0</v>
      </c>
      <c r="H1161">
        <f t="shared" si="55"/>
        <v>0</v>
      </c>
      <c r="I1161">
        <f t="shared" si="56"/>
        <v>3.4088880000000001</v>
      </c>
    </row>
    <row r="1162" spans="1:9">
      <c r="A1162" s="1">
        <v>40410</v>
      </c>
      <c r="B1162">
        <v>3.4228100000000001</v>
      </c>
      <c r="C1162">
        <v>4.2850000000000001</v>
      </c>
      <c r="D1162">
        <f>WEEKDAY(A1162,14)</f>
        <v>2</v>
      </c>
      <c r="E1162">
        <f>VLOOKUP(D1162,L$2:M$8,2,FALSE)</f>
        <v>0</v>
      </c>
      <c r="F1162">
        <f t="shared" si="54"/>
        <v>2</v>
      </c>
      <c r="G1162">
        <f>IF(F1162&gt;F1161,G1161+B1162*E1162,B1162*E1162)</f>
        <v>0</v>
      </c>
      <c r="H1162">
        <f t="shared" si="55"/>
        <v>0</v>
      </c>
      <c r="I1162">
        <f t="shared" si="56"/>
        <v>0</v>
      </c>
    </row>
    <row r="1163" spans="1:9">
      <c r="A1163" s="1">
        <v>40413</v>
      </c>
      <c r="B1163">
        <v>3.4239899999999999</v>
      </c>
      <c r="C1163">
        <v>4.2850000000000001</v>
      </c>
      <c r="D1163">
        <f>WEEKDAY(A1163,14)</f>
        <v>5</v>
      </c>
      <c r="E1163">
        <f>VLOOKUP(D1163,L$2:M$8,2,FALSE)</f>
        <v>0.05</v>
      </c>
      <c r="F1163">
        <f t="shared" si="54"/>
        <v>3</v>
      </c>
      <c r="G1163">
        <f>IF(F1163&gt;F1162,G1162+B1163*E1163,B1163*E1163)</f>
        <v>0.1711995</v>
      </c>
      <c r="H1163">
        <f t="shared" si="55"/>
        <v>0.05</v>
      </c>
      <c r="I1163">
        <f t="shared" si="56"/>
        <v>0</v>
      </c>
    </row>
    <row r="1164" spans="1:9">
      <c r="A1164" s="1">
        <v>40414</v>
      </c>
      <c r="B1164">
        <v>3.3561000000000001</v>
      </c>
      <c r="C1164">
        <v>4.2850000000000001</v>
      </c>
      <c r="D1164">
        <f>WEEKDAY(A1164,14)</f>
        <v>6</v>
      </c>
      <c r="E1164">
        <f>VLOOKUP(D1164,L$2:M$8,2,FALSE)</f>
        <v>0.7</v>
      </c>
      <c r="F1164">
        <f t="shared" si="54"/>
        <v>4</v>
      </c>
      <c r="G1164">
        <f>IF(F1164&gt;F1163,G1163+B1164*E1164,B1164*E1164)</f>
        <v>2.5204694999999999</v>
      </c>
      <c r="H1164">
        <f t="shared" si="55"/>
        <v>0.75</v>
      </c>
      <c r="I1164">
        <f t="shared" si="56"/>
        <v>0</v>
      </c>
    </row>
    <row r="1165" spans="1:9">
      <c r="A1165" s="1">
        <v>40415</v>
      </c>
      <c r="B1165">
        <v>3.3686799999999999</v>
      </c>
      <c r="C1165">
        <v>4.2850000000000001</v>
      </c>
      <c r="D1165">
        <f>WEEKDAY(A1165,14)</f>
        <v>7</v>
      </c>
      <c r="E1165">
        <f>VLOOKUP(D1165,L$2:M$8,2,FALSE)</f>
        <v>0.25</v>
      </c>
      <c r="F1165">
        <f t="shared" si="54"/>
        <v>5</v>
      </c>
      <c r="G1165">
        <f>IF(F1165&gt;F1164,G1164+B1165*E1165,B1165*E1165)</f>
        <v>3.3626394999999998</v>
      </c>
      <c r="H1165">
        <f t="shared" si="55"/>
        <v>1</v>
      </c>
      <c r="I1165">
        <f t="shared" si="56"/>
        <v>0</v>
      </c>
    </row>
    <row r="1166" spans="1:9">
      <c r="A1166" s="1">
        <v>40416</v>
      </c>
      <c r="B1166">
        <v>3.3029600000000001</v>
      </c>
      <c r="C1166">
        <v>4.2450000000000001</v>
      </c>
      <c r="D1166">
        <f>WEEKDAY(A1166,14)</f>
        <v>1</v>
      </c>
      <c r="E1166">
        <f>VLOOKUP(D1166,L$2:M$8,2,FALSE)</f>
        <v>0</v>
      </c>
      <c r="F1166">
        <f t="shared" si="54"/>
        <v>1</v>
      </c>
      <c r="G1166">
        <f>IF(F1166&gt;F1165,G1165+B1166*E1166,B1166*E1166)</f>
        <v>0</v>
      </c>
      <c r="H1166">
        <f t="shared" si="55"/>
        <v>0</v>
      </c>
      <c r="I1166">
        <f t="shared" si="56"/>
        <v>3.3626394999999998</v>
      </c>
    </row>
    <row r="1167" spans="1:9">
      <c r="A1167" s="1">
        <v>40417</v>
      </c>
      <c r="B1167">
        <v>3.4705499999999998</v>
      </c>
      <c r="C1167">
        <v>4.2450000000000001</v>
      </c>
      <c r="D1167">
        <f>WEEKDAY(A1167,14)</f>
        <v>2</v>
      </c>
      <c r="E1167">
        <f>VLOOKUP(D1167,L$2:M$8,2,FALSE)</f>
        <v>0</v>
      </c>
      <c r="F1167">
        <f t="shared" si="54"/>
        <v>2</v>
      </c>
      <c r="G1167">
        <f>IF(F1167&gt;F1166,G1166+B1167*E1167,B1167*E1167)</f>
        <v>0</v>
      </c>
      <c r="H1167">
        <f t="shared" si="55"/>
        <v>0</v>
      </c>
      <c r="I1167">
        <f t="shared" si="56"/>
        <v>0</v>
      </c>
    </row>
    <row r="1168" spans="1:9">
      <c r="A1168" s="1">
        <v>40420</v>
      </c>
      <c r="B1168">
        <v>3.3366899999999999</v>
      </c>
      <c r="C1168">
        <v>4.2450000000000001</v>
      </c>
      <c r="D1168">
        <f>WEEKDAY(A1168,14)</f>
        <v>5</v>
      </c>
      <c r="E1168">
        <f>VLOOKUP(D1168,L$2:M$8,2,FALSE)</f>
        <v>0.05</v>
      </c>
      <c r="F1168">
        <f t="shared" si="54"/>
        <v>3</v>
      </c>
      <c r="G1168">
        <f>IF(F1168&gt;F1167,G1167+B1168*E1168,B1168*E1168)</f>
        <v>0.1668345</v>
      </c>
      <c r="H1168">
        <f t="shared" si="55"/>
        <v>0.05</v>
      </c>
      <c r="I1168">
        <f t="shared" si="56"/>
        <v>0</v>
      </c>
    </row>
    <row r="1169" spans="1:9">
      <c r="A1169" s="1">
        <v>40421</v>
      </c>
      <c r="B1169">
        <v>3.1910799999999999</v>
      </c>
      <c r="C1169">
        <v>4.2450000000000001</v>
      </c>
      <c r="D1169">
        <f>WEEKDAY(A1169,14)</f>
        <v>6</v>
      </c>
      <c r="E1169">
        <f>VLOOKUP(D1169,L$2:M$8,2,FALSE)</f>
        <v>0.7</v>
      </c>
      <c r="F1169">
        <f t="shared" si="54"/>
        <v>4</v>
      </c>
      <c r="G1169">
        <f>IF(F1169&gt;F1168,G1168+B1169*E1169,B1169*E1169)</f>
        <v>2.4005904999999998</v>
      </c>
      <c r="H1169">
        <f t="shared" si="55"/>
        <v>0.75</v>
      </c>
      <c r="I1169">
        <f t="shared" si="56"/>
        <v>0</v>
      </c>
    </row>
    <row r="1170" spans="1:9">
      <c r="A1170" s="1">
        <v>40422</v>
      </c>
      <c r="B1170">
        <v>3.3082600000000002</v>
      </c>
      <c r="C1170">
        <v>4.2450000000000001</v>
      </c>
      <c r="D1170">
        <f>WEEKDAY(A1170,14)</f>
        <v>7</v>
      </c>
      <c r="E1170">
        <f>VLOOKUP(D1170,L$2:M$8,2,FALSE)</f>
        <v>0.25</v>
      </c>
      <c r="F1170">
        <f t="shared" si="54"/>
        <v>5</v>
      </c>
      <c r="G1170">
        <f>IF(F1170&gt;F1169,G1169+B1170*E1170,B1170*E1170)</f>
        <v>3.2276555</v>
      </c>
      <c r="H1170">
        <f t="shared" si="55"/>
        <v>1</v>
      </c>
      <c r="I1170">
        <f t="shared" si="56"/>
        <v>0</v>
      </c>
    </row>
    <row r="1171" spans="1:9">
      <c r="A1171" s="1">
        <v>40423</v>
      </c>
      <c r="B1171">
        <v>3.37636</v>
      </c>
      <c r="C1171">
        <v>4.2750000000000004</v>
      </c>
      <c r="D1171">
        <f>WEEKDAY(A1171,14)</f>
        <v>1</v>
      </c>
      <c r="E1171">
        <f>VLOOKUP(D1171,L$2:M$8,2,FALSE)</f>
        <v>0</v>
      </c>
      <c r="F1171">
        <f t="shared" si="54"/>
        <v>1</v>
      </c>
      <c r="G1171">
        <f>IF(F1171&gt;F1170,G1170+B1171*E1171,B1171*E1171)</f>
        <v>0</v>
      </c>
      <c r="H1171">
        <f t="shared" si="55"/>
        <v>0</v>
      </c>
      <c r="I1171">
        <f t="shared" si="56"/>
        <v>3.2276555</v>
      </c>
    </row>
    <row r="1172" spans="1:9">
      <c r="A1172" s="1">
        <v>40424</v>
      </c>
      <c r="B1172">
        <v>3.4823300000000001</v>
      </c>
      <c r="C1172">
        <v>4.2750000000000004</v>
      </c>
      <c r="D1172">
        <f>WEEKDAY(A1172,14)</f>
        <v>2</v>
      </c>
      <c r="E1172">
        <f>VLOOKUP(D1172,L$2:M$8,2,FALSE)</f>
        <v>0</v>
      </c>
      <c r="F1172">
        <f t="shared" si="54"/>
        <v>2</v>
      </c>
      <c r="G1172">
        <f>IF(F1172&gt;F1171,G1171+B1172*E1172,B1172*E1172)</f>
        <v>0</v>
      </c>
      <c r="H1172">
        <f t="shared" si="55"/>
        <v>0</v>
      </c>
      <c r="I1172">
        <f t="shared" si="56"/>
        <v>0</v>
      </c>
    </row>
    <row r="1173" spans="1:9">
      <c r="A1173" s="1">
        <v>40430</v>
      </c>
      <c r="B1173">
        <v>3.2742300000000002</v>
      </c>
      <c r="C1173">
        <v>4.2949999999999999</v>
      </c>
      <c r="D1173">
        <f>WEEKDAY(A1173,14)</f>
        <v>1</v>
      </c>
      <c r="E1173">
        <f>VLOOKUP(D1173,L$2:M$8,2,FALSE)</f>
        <v>0</v>
      </c>
      <c r="F1173">
        <f t="shared" si="54"/>
        <v>1</v>
      </c>
      <c r="G1173">
        <f>IF(F1173&gt;F1172,G1172+B1173*E1173,B1173*E1173)</f>
        <v>0</v>
      </c>
      <c r="H1173">
        <f t="shared" si="55"/>
        <v>0</v>
      </c>
      <c r="I1173" t="e">
        <f t="shared" si="56"/>
        <v>#DIV/0!</v>
      </c>
    </row>
    <row r="1174" spans="1:9">
      <c r="A1174" s="1">
        <v>40431</v>
      </c>
      <c r="B1174">
        <v>3.5824199999999999</v>
      </c>
      <c r="C1174">
        <v>4.2949999999999999</v>
      </c>
      <c r="D1174">
        <f>WEEKDAY(A1174,14)</f>
        <v>2</v>
      </c>
      <c r="E1174">
        <f>VLOOKUP(D1174,L$2:M$8,2,FALSE)</f>
        <v>0</v>
      </c>
      <c r="F1174">
        <f t="shared" si="54"/>
        <v>2</v>
      </c>
      <c r="G1174">
        <f>IF(F1174&gt;F1173,G1173+B1174*E1174,B1174*E1174)</f>
        <v>0</v>
      </c>
      <c r="H1174">
        <f t="shared" si="55"/>
        <v>0</v>
      </c>
      <c r="I1174">
        <f t="shared" si="56"/>
        <v>0</v>
      </c>
    </row>
    <row r="1175" spans="1:9">
      <c r="A1175" s="1">
        <v>40434</v>
      </c>
      <c r="B1175">
        <v>3.4826600000000001</v>
      </c>
      <c r="C1175">
        <v>4.2949999999999999</v>
      </c>
      <c r="D1175">
        <f>WEEKDAY(A1175,14)</f>
        <v>5</v>
      </c>
      <c r="E1175">
        <f>VLOOKUP(D1175,L$2:M$8,2,FALSE)</f>
        <v>0.05</v>
      </c>
      <c r="F1175">
        <f t="shared" si="54"/>
        <v>3</v>
      </c>
      <c r="G1175">
        <f>IF(F1175&gt;F1174,G1174+B1175*E1175,B1175*E1175)</f>
        <v>0.17413300000000001</v>
      </c>
      <c r="H1175">
        <f t="shared" si="55"/>
        <v>0.05</v>
      </c>
      <c r="I1175">
        <f t="shared" si="56"/>
        <v>0</v>
      </c>
    </row>
    <row r="1176" spans="1:9">
      <c r="A1176" s="1">
        <v>40435</v>
      </c>
      <c r="B1176">
        <v>3.4240400000000002</v>
      </c>
      <c r="C1176">
        <v>4.2949999999999999</v>
      </c>
      <c r="D1176">
        <f>WEEKDAY(A1176,14)</f>
        <v>6</v>
      </c>
      <c r="E1176">
        <f>VLOOKUP(D1176,L$2:M$8,2,FALSE)</f>
        <v>0.7</v>
      </c>
      <c r="F1176">
        <f t="shared" si="54"/>
        <v>4</v>
      </c>
      <c r="G1176">
        <f>IF(F1176&gt;F1175,G1175+B1176*E1176,B1176*E1176)</f>
        <v>2.5709610000000001</v>
      </c>
      <c r="H1176">
        <f t="shared" si="55"/>
        <v>0.75</v>
      </c>
      <c r="I1176">
        <f t="shared" si="56"/>
        <v>0</v>
      </c>
    </row>
    <row r="1177" spans="1:9">
      <c r="A1177" s="1">
        <v>40436</v>
      </c>
      <c r="B1177">
        <v>3.4999899999999999</v>
      </c>
      <c r="C1177">
        <v>4.2949999999999999</v>
      </c>
      <c r="D1177">
        <f>WEEKDAY(A1177,14)</f>
        <v>7</v>
      </c>
      <c r="E1177">
        <f>VLOOKUP(D1177,L$2:M$8,2,FALSE)</f>
        <v>0.25</v>
      </c>
      <c r="F1177">
        <f t="shared" si="54"/>
        <v>5</v>
      </c>
      <c r="G1177">
        <f>IF(F1177&gt;F1176,G1176+B1177*E1177,B1177*E1177)</f>
        <v>3.4459585000000001</v>
      </c>
      <c r="H1177">
        <f t="shared" si="55"/>
        <v>1</v>
      </c>
      <c r="I1177">
        <f t="shared" si="56"/>
        <v>0</v>
      </c>
    </row>
    <row r="1178" spans="1:9">
      <c r="A1178" s="1">
        <v>40437</v>
      </c>
      <c r="B1178">
        <v>3.5452599999999999</v>
      </c>
      <c r="C1178">
        <v>4.2949999999999999</v>
      </c>
      <c r="D1178">
        <f>WEEKDAY(A1178,14)</f>
        <v>1</v>
      </c>
      <c r="E1178">
        <f>VLOOKUP(D1178,L$2:M$8,2,FALSE)</f>
        <v>0</v>
      </c>
      <c r="F1178">
        <f t="shared" si="54"/>
        <v>1</v>
      </c>
      <c r="G1178">
        <f>IF(F1178&gt;F1177,G1177+B1178*E1178,B1178*E1178)</f>
        <v>0</v>
      </c>
      <c r="H1178">
        <f t="shared" si="55"/>
        <v>0</v>
      </c>
      <c r="I1178">
        <f t="shared" si="56"/>
        <v>3.4459585000000001</v>
      </c>
    </row>
    <row r="1179" spans="1:9">
      <c r="A1179" s="1">
        <v>40438</v>
      </c>
      <c r="B1179">
        <v>3.5812200000000001</v>
      </c>
      <c r="C1179">
        <v>4.2949999999999999</v>
      </c>
      <c r="D1179">
        <f>WEEKDAY(A1179,14)</f>
        <v>2</v>
      </c>
      <c r="E1179">
        <f>VLOOKUP(D1179,L$2:M$8,2,FALSE)</f>
        <v>0</v>
      </c>
      <c r="F1179">
        <f t="shared" si="54"/>
        <v>2</v>
      </c>
      <c r="G1179">
        <f>IF(F1179&gt;F1178,G1178+B1179*E1179,B1179*E1179)</f>
        <v>0</v>
      </c>
      <c r="H1179">
        <f t="shared" si="55"/>
        <v>0</v>
      </c>
      <c r="I1179">
        <f t="shared" si="56"/>
        <v>0</v>
      </c>
    </row>
    <row r="1180" spans="1:9">
      <c r="A1180" s="1">
        <v>40441</v>
      </c>
      <c r="B1180">
        <v>3.5072899999999998</v>
      </c>
      <c r="C1180">
        <v>4.2949999999999999</v>
      </c>
      <c r="D1180">
        <f>WEEKDAY(A1180,14)</f>
        <v>5</v>
      </c>
      <c r="E1180">
        <f>VLOOKUP(D1180,L$2:M$8,2,FALSE)</f>
        <v>0.05</v>
      </c>
      <c r="F1180">
        <f t="shared" si="54"/>
        <v>3</v>
      </c>
      <c r="G1180">
        <f>IF(F1180&gt;F1179,G1179+B1180*E1180,B1180*E1180)</f>
        <v>0.17536450000000001</v>
      </c>
      <c r="H1180">
        <f t="shared" si="55"/>
        <v>0.05</v>
      </c>
      <c r="I1180">
        <f t="shared" si="56"/>
        <v>0</v>
      </c>
    </row>
    <row r="1181" spans="1:9">
      <c r="A1181" s="1">
        <v>40442</v>
      </c>
      <c r="B1181">
        <v>3.3816899999999999</v>
      </c>
      <c r="C1181">
        <v>4.2949999999999999</v>
      </c>
      <c r="D1181">
        <f>WEEKDAY(A1181,14)</f>
        <v>6</v>
      </c>
      <c r="E1181">
        <f>VLOOKUP(D1181,L$2:M$8,2,FALSE)</f>
        <v>0.7</v>
      </c>
      <c r="F1181">
        <f t="shared" si="54"/>
        <v>4</v>
      </c>
      <c r="G1181">
        <f>IF(F1181&gt;F1180,G1180+B1181*E1181,B1181*E1181)</f>
        <v>2.5425475</v>
      </c>
      <c r="H1181">
        <f t="shared" si="55"/>
        <v>0.75</v>
      </c>
      <c r="I1181">
        <f t="shared" si="56"/>
        <v>0</v>
      </c>
    </row>
    <row r="1182" spans="1:9">
      <c r="A1182" s="1">
        <v>40443</v>
      </c>
      <c r="B1182">
        <v>3.3486199999999999</v>
      </c>
      <c r="C1182">
        <v>4.2949999999999999</v>
      </c>
      <c r="D1182">
        <f>WEEKDAY(A1182,14)</f>
        <v>7</v>
      </c>
      <c r="E1182">
        <f>VLOOKUP(D1182,L$2:M$8,2,FALSE)</f>
        <v>0.25</v>
      </c>
      <c r="F1182">
        <f t="shared" si="54"/>
        <v>5</v>
      </c>
      <c r="G1182">
        <f>IF(F1182&gt;F1181,G1181+B1182*E1182,B1182*E1182)</f>
        <v>3.3797025000000001</v>
      </c>
      <c r="H1182">
        <f t="shared" si="55"/>
        <v>1</v>
      </c>
      <c r="I1182">
        <f t="shared" si="56"/>
        <v>0</v>
      </c>
    </row>
    <row r="1183" spans="1:9">
      <c r="A1183" s="1">
        <v>40444</v>
      </c>
      <c r="B1183">
        <v>3.3812600000000002</v>
      </c>
      <c r="C1183">
        <v>4.2699999999999996</v>
      </c>
      <c r="D1183">
        <f>WEEKDAY(A1183,14)</f>
        <v>1</v>
      </c>
      <c r="E1183">
        <f>VLOOKUP(D1183,L$2:M$8,2,FALSE)</f>
        <v>0</v>
      </c>
      <c r="F1183">
        <f t="shared" si="54"/>
        <v>1</v>
      </c>
      <c r="G1183">
        <f>IF(F1183&gt;F1182,G1182+B1183*E1183,B1183*E1183)</f>
        <v>0</v>
      </c>
      <c r="H1183">
        <f t="shared" si="55"/>
        <v>0</v>
      </c>
      <c r="I1183">
        <f t="shared" si="56"/>
        <v>3.3797025000000001</v>
      </c>
    </row>
    <row r="1184" spans="1:9">
      <c r="A1184" s="1">
        <v>40445</v>
      </c>
      <c r="B1184">
        <v>3.4477899999999999</v>
      </c>
      <c r="C1184">
        <v>4.2699999999999996</v>
      </c>
      <c r="D1184">
        <f>WEEKDAY(A1184,14)</f>
        <v>2</v>
      </c>
      <c r="E1184">
        <f>VLOOKUP(D1184,L$2:M$8,2,FALSE)</f>
        <v>0</v>
      </c>
      <c r="F1184">
        <f t="shared" si="54"/>
        <v>2</v>
      </c>
      <c r="G1184">
        <f>IF(F1184&gt;F1183,G1183+B1184*E1184,B1184*E1184)</f>
        <v>0</v>
      </c>
      <c r="H1184">
        <f t="shared" si="55"/>
        <v>0</v>
      </c>
      <c r="I1184">
        <f t="shared" si="56"/>
        <v>0</v>
      </c>
    </row>
    <row r="1185" spans="1:9">
      <c r="A1185" s="1">
        <v>40448</v>
      </c>
      <c r="B1185">
        <v>3.3545500000000001</v>
      </c>
      <c r="C1185">
        <v>4.2699999999999996</v>
      </c>
      <c r="D1185">
        <f>WEEKDAY(A1185,14)</f>
        <v>5</v>
      </c>
      <c r="E1185">
        <f>VLOOKUP(D1185,L$2:M$8,2,FALSE)</f>
        <v>0.05</v>
      </c>
      <c r="F1185">
        <f t="shared" si="54"/>
        <v>3</v>
      </c>
      <c r="G1185">
        <f>IF(F1185&gt;F1184,G1184+B1185*E1185,B1185*E1185)</f>
        <v>0.16772750000000003</v>
      </c>
      <c r="H1185">
        <f t="shared" si="55"/>
        <v>0.05</v>
      </c>
      <c r="I1185">
        <f t="shared" si="56"/>
        <v>0</v>
      </c>
    </row>
    <row r="1186" spans="1:9">
      <c r="A1186" s="1">
        <v>40449</v>
      </c>
      <c r="B1186">
        <v>3.3126600000000002</v>
      </c>
      <c r="C1186">
        <v>4.2699999999999996</v>
      </c>
      <c r="D1186">
        <f>WEEKDAY(A1186,14)</f>
        <v>6</v>
      </c>
      <c r="E1186">
        <f>VLOOKUP(D1186,L$2:M$8,2,FALSE)</f>
        <v>0.7</v>
      </c>
      <c r="F1186">
        <f t="shared" si="54"/>
        <v>4</v>
      </c>
      <c r="G1186">
        <f>IF(F1186&gt;F1185,G1185+B1186*E1186,B1186*E1186)</f>
        <v>2.4865895</v>
      </c>
      <c r="H1186">
        <f t="shared" si="55"/>
        <v>0.75</v>
      </c>
      <c r="I1186">
        <f t="shared" si="56"/>
        <v>0</v>
      </c>
    </row>
    <row r="1187" spans="1:9">
      <c r="A1187" s="1">
        <v>40450</v>
      </c>
      <c r="B1187">
        <v>3.3780600000000001</v>
      </c>
      <c r="C1187">
        <v>4.2699999999999996</v>
      </c>
      <c r="D1187">
        <f>WEEKDAY(A1187,14)</f>
        <v>7</v>
      </c>
      <c r="E1187">
        <f>VLOOKUP(D1187,L$2:M$8,2,FALSE)</f>
        <v>0.25</v>
      </c>
      <c r="F1187">
        <f t="shared" si="54"/>
        <v>5</v>
      </c>
      <c r="G1187">
        <f>IF(F1187&gt;F1186,G1186+B1187*E1187,B1187*E1187)</f>
        <v>3.3311044999999999</v>
      </c>
      <c r="H1187">
        <f t="shared" si="55"/>
        <v>1</v>
      </c>
      <c r="I1187">
        <f t="shared" si="56"/>
        <v>0</v>
      </c>
    </row>
    <row r="1188" spans="1:9">
      <c r="A1188" s="1">
        <v>40451</v>
      </c>
      <c r="B1188">
        <v>3.38375</v>
      </c>
      <c r="C1188">
        <v>4.22</v>
      </c>
      <c r="D1188">
        <f>WEEKDAY(A1188,14)</f>
        <v>1</v>
      </c>
      <c r="E1188">
        <f>VLOOKUP(D1188,L$2:M$8,2,FALSE)</f>
        <v>0</v>
      </c>
      <c r="F1188">
        <f t="shared" si="54"/>
        <v>1</v>
      </c>
      <c r="G1188">
        <f>IF(F1188&gt;F1187,G1187+B1188*E1188,B1188*E1188)</f>
        <v>0</v>
      </c>
      <c r="H1188">
        <f t="shared" si="55"/>
        <v>0</v>
      </c>
      <c r="I1188">
        <f t="shared" si="56"/>
        <v>3.3311044999999999</v>
      </c>
    </row>
    <row r="1189" spans="1:9">
      <c r="A1189" s="1">
        <v>40452</v>
      </c>
      <c r="B1189">
        <v>3.3887100000000001</v>
      </c>
      <c r="C1189">
        <v>4.22</v>
      </c>
      <c r="D1189">
        <f>WEEKDAY(A1189,14)</f>
        <v>2</v>
      </c>
      <c r="E1189">
        <f>VLOOKUP(D1189,L$2:M$8,2,FALSE)</f>
        <v>0</v>
      </c>
      <c r="F1189">
        <f t="shared" si="54"/>
        <v>2</v>
      </c>
      <c r="G1189">
        <f>IF(F1189&gt;F1188,G1188+B1189*E1189,B1189*E1189)</f>
        <v>0</v>
      </c>
      <c r="H1189">
        <f t="shared" si="55"/>
        <v>0</v>
      </c>
      <c r="I1189">
        <f t="shared" si="56"/>
        <v>0</v>
      </c>
    </row>
    <row r="1190" spans="1:9">
      <c r="A1190" s="1">
        <v>40455</v>
      </c>
      <c r="B1190">
        <v>3.3355700000000001</v>
      </c>
      <c r="C1190">
        <v>4.22</v>
      </c>
      <c r="D1190">
        <f>WEEKDAY(A1190,14)</f>
        <v>5</v>
      </c>
      <c r="E1190">
        <f>VLOOKUP(D1190,L$2:M$8,2,FALSE)</f>
        <v>0.05</v>
      </c>
      <c r="F1190">
        <f t="shared" si="54"/>
        <v>3</v>
      </c>
      <c r="G1190">
        <f>IF(F1190&gt;F1189,G1189+B1190*E1190,B1190*E1190)</f>
        <v>0.16677850000000002</v>
      </c>
      <c r="H1190">
        <f t="shared" si="55"/>
        <v>0.05</v>
      </c>
      <c r="I1190">
        <f t="shared" si="56"/>
        <v>0</v>
      </c>
    </row>
    <row r="1191" spans="1:9">
      <c r="A1191" s="1">
        <v>40456</v>
      </c>
      <c r="B1191">
        <v>3.3365900000000002</v>
      </c>
      <c r="C1191">
        <v>4.22</v>
      </c>
      <c r="D1191">
        <f>WEEKDAY(A1191,14)</f>
        <v>6</v>
      </c>
      <c r="E1191">
        <f>VLOOKUP(D1191,L$2:M$8,2,FALSE)</f>
        <v>0.7</v>
      </c>
      <c r="F1191">
        <f t="shared" si="54"/>
        <v>4</v>
      </c>
      <c r="G1191">
        <f>IF(F1191&gt;F1190,G1190+B1191*E1191,B1191*E1191)</f>
        <v>2.5023914999999999</v>
      </c>
      <c r="H1191">
        <f t="shared" si="55"/>
        <v>0.75</v>
      </c>
      <c r="I1191">
        <f t="shared" si="56"/>
        <v>0</v>
      </c>
    </row>
    <row r="1192" spans="1:9">
      <c r="A1192" s="1">
        <v>40457</v>
      </c>
      <c r="B1192">
        <v>3.2627899999999999</v>
      </c>
      <c r="C1192">
        <v>4.22</v>
      </c>
      <c r="D1192">
        <f>WEEKDAY(A1192,14)</f>
        <v>7</v>
      </c>
      <c r="E1192">
        <f>VLOOKUP(D1192,L$2:M$8,2,FALSE)</f>
        <v>0.25</v>
      </c>
      <c r="F1192">
        <f t="shared" si="54"/>
        <v>5</v>
      </c>
      <c r="G1192">
        <f>IF(F1192&gt;F1191,G1191+B1192*E1192,B1192*E1192)</f>
        <v>3.3180889999999996</v>
      </c>
      <c r="H1192">
        <f t="shared" si="55"/>
        <v>1</v>
      </c>
      <c r="I1192">
        <f t="shared" si="56"/>
        <v>0</v>
      </c>
    </row>
    <row r="1193" spans="1:9">
      <c r="A1193" s="1">
        <v>40458</v>
      </c>
      <c r="B1193">
        <v>3.2236500000000001</v>
      </c>
      <c r="C1193">
        <v>4.1399999999999997</v>
      </c>
      <c r="D1193">
        <f>WEEKDAY(A1193,14)</f>
        <v>1</v>
      </c>
      <c r="E1193">
        <f>VLOOKUP(D1193,L$2:M$8,2,FALSE)</f>
        <v>0</v>
      </c>
      <c r="F1193">
        <f t="shared" si="54"/>
        <v>1</v>
      </c>
      <c r="G1193">
        <f>IF(F1193&gt;F1192,G1192+B1193*E1193,B1193*E1193)</f>
        <v>0</v>
      </c>
      <c r="H1193">
        <f t="shared" si="55"/>
        <v>0</v>
      </c>
      <c r="I1193">
        <f t="shared" si="56"/>
        <v>3.3180889999999996</v>
      </c>
    </row>
    <row r="1194" spans="1:9">
      <c r="A1194" s="1">
        <v>40459</v>
      </c>
      <c r="B1194">
        <v>3.2304599999999999</v>
      </c>
      <c r="C1194">
        <v>4.1399999999999997</v>
      </c>
      <c r="D1194">
        <f>WEEKDAY(A1194,14)</f>
        <v>2</v>
      </c>
      <c r="E1194">
        <f>VLOOKUP(D1194,L$2:M$8,2,FALSE)</f>
        <v>0</v>
      </c>
      <c r="F1194">
        <f t="shared" si="54"/>
        <v>2</v>
      </c>
      <c r="G1194">
        <f>IF(F1194&gt;F1193,G1193+B1194*E1194,B1194*E1194)</f>
        <v>0</v>
      </c>
      <c r="H1194">
        <f t="shared" si="55"/>
        <v>0</v>
      </c>
      <c r="I1194">
        <f t="shared" si="56"/>
        <v>0</v>
      </c>
    </row>
    <row r="1195" spans="1:9">
      <c r="A1195" s="1">
        <v>40463</v>
      </c>
      <c r="B1195">
        <v>3.2856800000000002</v>
      </c>
      <c r="C1195">
        <v>4.1399999999999997</v>
      </c>
      <c r="D1195">
        <f>WEEKDAY(A1195,14)</f>
        <v>6</v>
      </c>
      <c r="E1195">
        <f>VLOOKUP(D1195,L$2:M$8,2,FALSE)</f>
        <v>0.7</v>
      </c>
      <c r="F1195">
        <f t="shared" si="54"/>
        <v>3</v>
      </c>
      <c r="G1195">
        <f>IF(F1195&gt;F1194,G1194+B1195*E1195,B1195*E1195)</f>
        <v>2.299976</v>
      </c>
      <c r="H1195">
        <f t="shared" si="55"/>
        <v>0.7</v>
      </c>
      <c r="I1195">
        <f t="shared" si="56"/>
        <v>0</v>
      </c>
    </row>
    <row r="1196" spans="1:9">
      <c r="A1196" s="1">
        <v>40464</v>
      </c>
      <c r="B1196">
        <v>3.26187</v>
      </c>
      <c r="C1196">
        <v>4.1399999999999997</v>
      </c>
      <c r="D1196">
        <f>WEEKDAY(A1196,14)</f>
        <v>7</v>
      </c>
      <c r="E1196">
        <f>VLOOKUP(D1196,L$2:M$8,2,FALSE)</f>
        <v>0.25</v>
      </c>
      <c r="F1196">
        <f t="shared" si="54"/>
        <v>4</v>
      </c>
      <c r="G1196">
        <f>IF(F1196&gt;F1195,G1195+B1196*E1196,B1196*E1196)</f>
        <v>3.1154435</v>
      </c>
      <c r="H1196">
        <f t="shared" si="55"/>
        <v>0.95</v>
      </c>
      <c r="I1196">
        <f t="shared" si="56"/>
        <v>0</v>
      </c>
    </row>
    <row r="1197" spans="1:9">
      <c r="A1197" s="1">
        <v>40465</v>
      </c>
      <c r="B1197">
        <v>3.2849200000000001</v>
      </c>
      <c r="C1197">
        <v>4.16</v>
      </c>
      <c r="D1197">
        <f>WEEKDAY(A1197,14)</f>
        <v>1</v>
      </c>
      <c r="E1197">
        <f>VLOOKUP(D1197,L$2:M$8,2,FALSE)</f>
        <v>0</v>
      </c>
      <c r="F1197">
        <f t="shared" si="54"/>
        <v>1</v>
      </c>
      <c r="G1197">
        <f>IF(F1197&gt;F1196,G1196+B1197*E1197,B1197*E1197)</f>
        <v>0</v>
      </c>
      <c r="H1197">
        <f t="shared" si="55"/>
        <v>0</v>
      </c>
      <c r="I1197">
        <f t="shared" si="56"/>
        <v>3.279414210526316</v>
      </c>
    </row>
    <row r="1198" spans="1:9">
      <c r="A1198" s="1">
        <v>40466</v>
      </c>
      <c r="B1198">
        <v>3.3753700000000002</v>
      </c>
      <c r="C1198">
        <v>4.16</v>
      </c>
      <c r="D1198">
        <f>WEEKDAY(A1198,14)</f>
        <v>2</v>
      </c>
      <c r="E1198">
        <f>VLOOKUP(D1198,L$2:M$8,2,FALSE)</f>
        <v>0</v>
      </c>
      <c r="F1198">
        <f t="shared" si="54"/>
        <v>2</v>
      </c>
      <c r="G1198">
        <f>IF(F1198&gt;F1197,G1197+B1198*E1198,B1198*E1198)</f>
        <v>0</v>
      </c>
      <c r="H1198">
        <f t="shared" si="55"/>
        <v>0</v>
      </c>
      <c r="I1198">
        <f t="shared" si="56"/>
        <v>0</v>
      </c>
    </row>
    <row r="1199" spans="1:9">
      <c r="A1199" s="1">
        <v>40469</v>
      </c>
      <c r="B1199">
        <v>3.2999399999999999</v>
      </c>
      <c r="C1199">
        <v>4.16</v>
      </c>
      <c r="D1199">
        <f>WEEKDAY(A1199,14)</f>
        <v>5</v>
      </c>
      <c r="E1199">
        <f>VLOOKUP(D1199,L$2:M$8,2,FALSE)</f>
        <v>0.05</v>
      </c>
      <c r="F1199">
        <f t="shared" si="54"/>
        <v>3</v>
      </c>
      <c r="G1199">
        <f>IF(F1199&gt;F1198,G1198+B1199*E1199,B1199*E1199)</f>
        <v>0.164997</v>
      </c>
      <c r="H1199">
        <f t="shared" si="55"/>
        <v>0.05</v>
      </c>
      <c r="I1199">
        <f t="shared" si="56"/>
        <v>0</v>
      </c>
    </row>
    <row r="1200" spans="1:9">
      <c r="A1200" s="1">
        <v>40470</v>
      </c>
      <c r="B1200">
        <v>3.26986</v>
      </c>
      <c r="C1200">
        <v>4.16</v>
      </c>
      <c r="D1200">
        <f>WEEKDAY(A1200,14)</f>
        <v>6</v>
      </c>
      <c r="E1200">
        <f>VLOOKUP(D1200,L$2:M$8,2,FALSE)</f>
        <v>0.7</v>
      </c>
      <c r="F1200">
        <f t="shared" si="54"/>
        <v>4</v>
      </c>
      <c r="G1200">
        <f>IF(F1200&gt;F1199,G1199+B1200*E1200,B1200*E1200)</f>
        <v>2.4538989999999998</v>
      </c>
      <c r="H1200">
        <f t="shared" si="55"/>
        <v>0.75</v>
      </c>
      <c r="I1200">
        <f t="shared" si="56"/>
        <v>0</v>
      </c>
    </row>
    <row r="1201" spans="1:9">
      <c r="A1201" s="1">
        <v>40471</v>
      </c>
      <c r="B1201">
        <v>3.25515</v>
      </c>
      <c r="C1201">
        <v>4.16</v>
      </c>
      <c r="D1201">
        <f>WEEKDAY(A1201,14)</f>
        <v>7</v>
      </c>
      <c r="E1201">
        <f>VLOOKUP(D1201,L$2:M$8,2,FALSE)</f>
        <v>0.25</v>
      </c>
      <c r="F1201">
        <f t="shared" si="54"/>
        <v>5</v>
      </c>
      <c r="G1201">
        <f>IF(F1201&gt;F1200,G1200+B1201*E1201,B1201*E1201)</f>
        <v>3.2676864999999999</v>
      </c>
      <c r="H1201">
        <f t="shared" si="55"/>
        <v>1</v>
      </c>
      <c r="I1201">
        <f t="shared" si="56"/>
        <v>0</v>
      </c>
    </row>
    <row r="1202" spans="1:9">
      <c r="A1202" s="1">
        <v>40472</v>
      </c>
      <c r="B1202">
        <v>3.29243</v>
      </c>
      <c r="C1202">
        <v>4.18</v>
      </c>
      <c r="D1202">
        <f>WEEKDAY(A1202,14)</f>
        <v>1</v>
      </c>
      <c r="E1202">
        <f>VLOOKUP(D1202,L$2:M$8,2,FALSE)</f>
        <v>0</v>
      </c>
      <c r="F1202">
        <f t="shared" si="54"/>
        <v>1</v>
      </c>
      <c r="G1202">
        <f>IF(F1202&gt;F1201,G1201+B1202*E1202,B1202*E1202)</f>
        <v>0</v>
      </c>
      <c r="H1202">
        <f t="shared" si="55"/>
        <v>0</v>
      </c>
      <c r="I1202">
        <f t="shared" si="56"/>
        <v>3.2676864999999999</v>
      </c>
    </row>
    <row r="1203" spans="1:9">
      <c r="A1203" s="1">
        <v>40473</v>
      </c>
      <c r="B1203">
        <v>3.3180800000000001</v>
      </c>
      <c r="C1203">
        <v>4.18</v>
      </c>
      <c r="D1203">
        <f>WEEKDAY(A1203,14)</f>
        <v>2</v>
      </c>
      <c r="E1203">
        <f>VLOOKUP(D1203,L$2:M$8,2,FALSE)</f>
        <v>0</v>
      </c>
      <c r="F1203">
        <f t="shared" si="54"/>
        <v>2</v>
      </c>
      <c r="G1203">
        <f>IF(F1203&gt;F1202,G1202+B1203*E1203,B1203*E1203)</f>
        <v>0</v>
      </c>
      <c r="H1203">
        <f t="shared" si="55"/>
        <v>0</v>
      </c>
      <c r="I1203">
        <f t="shared" si="56"/>
        <v>0</v>
      </c>
    </row>
    <row r="1204" spans="1:9">
      <c r="A1204" s="1">
        <v>40476</v>
      </c>
      <c r="B1204">
        <v>3.37385</v>
      </c>
      <c r="C1204">
        <v>4.18</v>
      </c>
      <c r="D1204">
        <f>WEEKDAY(A1204,14)</f>
        <v>5</v>
      </c>
      <c r="E1204">
        <f>VLOOKUP(D1204,L$2:M$8,2,FALSE)</f>
        <v>0.05</v>
      </c>
      <c r="F1204">
        <f t="shared" si="54"/>
        <v>3</v>
      </c>
      <c r="G1204">
        <f>IF(F1204&gt;F1203,G1203+B1204*E1204,B1204*E1204)</f>
        <v>0.16869250000000002</v>
      </c>
      <c r="H1204">
        <f t="shared" si="55"/>
        <v>0.05</v>
      </c>
      <c r="I1204">
        <f t="shared" si="56"/>
        <v>0</v>
      </c>
    </row>
    <row r="1205" spans="1:9">
      <c r="A1205" s="1">
        <v>40477</v>
      </c>
      <c r="B1205">
        <v>3.4470200000000002</v>
      </c>
      <c r="C1205">
        <v>4.18</v>
      </c>
      <c r="D1205">
        <f>WEEKDAY(A1205,14)</f>
        <v>6</v>
      </c>
      <c r="E1205">
        <f>VLOOKUP(D1205,L$2:M$8,2,FALSE)</f>
        <v>0.7</v>
      </c>
      <c r="F1205">
        <f t="shared" si="54"/>
        <v>4</v>
      </c>
      <c r="G1205">
        <f>IF(F1205&gt;F1204,G1204+B1205*E1205,B1205*E1205)</f>
        <v>2.5816064999999999</v>
      </c>
      <c r="H1205">
        <f t="shared" si="55"/>
        <v>0.75</v>
      </c>
      <c r="I1205">
        <f t="shared" si="56"/>
        <v>0</v>
      </c>
    </row>
    <row r="1206" spans="1:9">
      <c r="A1206" s="1">
        <v>40478</v>
      </c>
      <c r="B1206">
        <v>3.4972799999999999</v>
      </c>
      <c r="C1206">
        <v>4.18</v>
      </c>
      <c r="D1206">
        <f>WEEKDAY(A1206,14)</f>
        <v>7</v>
      </c>
      <c r="E1206">
        <f>VLOOKUP(D1206,L$2:M$8,2,FALSE)</f>
        <v>0.25</v>
      </c>
      <c r="F1206">
        <f t="shared" si="54"/>
        <v>5</v>
      </c>
      <c r="G1206">
        <f>IF(F1206&gt;F1205,G1205+B1206*E1206,B1206*E1206)</f>
        <v>3.4559264999999999</v>
      </c>
      <c r="H1206">
        <f t="shared" si="55"/>
        <v>1</v>
      </c>
      <c r="I1206">
        <f t="shared" si="56"/>
        <v>0</v>
      </c>
    </row>
    <row r="1207" spans="1:9">
      <c r="A1207" s="1">
        <v>40479</v>
      </c>
      <c r="B1207">
        <v>3.4349599999999998</v>
      </c>
      <c r="C1207">
        <v>4.1900000000000004</v>
      </c>
      <c r="D1207">
        <f>WEEKDAY(A1207,14)</f>
        <v>1</v>
      </c>
      <c r="E1207">
        <f>VLOOKUP(D1207,L$2:M$8,2,FALSE)</f>
        <v>0</v>
      </c>
      <c r="F1207">
        <f t="shared" si="54"/>
        <v>1</v>
      </c>
      <c r="G1207">
        <f>IF(F1207&gt;F1206,G1206+B1207*E1207,B1207*E1207)</f>
        <v>0</v>
      </c>
      <c r="H1207">
        <f t="shared" si="55"/>
        <v>0</v>
      </c>
      <c r="I1207">
        <f t="shared" si="56"/>
        <v>3.4559264999999999</v>
      </c>
    </row>
    <row r="1208" spans="1:9">
      <c r="A1208" s="1">
        <v>40480</v>
      </c>
      <c r="B1208">
        <v>3.39784</v>
      </c>
      <c r="C1208">
        <v>4.1900000000000004</v>
      </c>
      <c r="D1208">
        <f>WEEKDAY(A1208,14)</f>
        <v>2</v>
      </c>
      <c r="E1208">
        <f>VLOOKUP(D1208,L$2:M$8,2,FALSE)</f>
        <v>0</v>
      </c>
      <c r="F1208">
        <f t="shared" si="54"/>
        <v>2</v>
      </c>
      <c r="G1208">
        <f>IF(F1208&gt;F1207,G1207+B1208*E1208,B1208*E1208)</f>
        <v>0</v>
      </c>
      <c r="H1208">
        <f t="shared" si="55"/>
        <v>0</v>
      </c>
      <c r="I1208">
        <f t="shared" si="56"/>
        <v>0</v>
      </c>
    </row>
    <row r="1209" spans="1:9">
      <c r="A1209" s="1">
        <v>40483</v>
      </c>
      <c r="B1209">
        <v>3.4437799999999998</v>
      </c>
      <c r="C1209">
        <v>4.1900000000000004</v>
      </c>
      <c r="D1209">
        <f>WEEKDAY(A1209,14)</f>
        <v>5</v>
      </c>
      <c r="E1209">
        <f>VLOOKUP(D1209,L$2:M$8,2,FALSE)</f>
        <v>0.05</v>
      </c>
      <c r="F1209">
        <f t="shared" si="54"/>
        <v>3</v>
      </c>
      <c r="G1209">
        <f>IF(F1209&gt;F1208,G1208+B1209*E1209,B1209*E1209)</f>
        <v>0.17218900000000001</v>
      </c>
      <c r="H1209">
        <f t="shared" si="55"/>
        <v>0.05</v>
      </c>
      <c r="I1209">
        <f t="shared" si="56"/>
        <v>0</v>
      </c>
    </row>
    <row r="1210" spans="1:9">
      <c r="A1210" s="1">
        <v>40484</v>
      </c>
      <c r="B1210">
        <v>3.3942299999999999</v>
      </c>
      <c r="C1210">
        <v>4.1900000000000004</v>
      </c>
      <c r="D1210">
        <f>WEEKDAY(A1210,14)</f>
        <v>6</v>
      </c>
      <c r="E1210">
        <f>VLOOKUP(D1210,L$2:M$8,2,FALSE)</f>
        <v>0.7</v>
      </c>
      <c r="F1210">
        <f t="shared" si="54"/>
        <v>4</v>
      </c>
      <c r="G1210">
        <f>IF(F1210&gt;F1209,G1209+B1210*E1210,B1210*E1210)</f>
        <v>2.5481499999999997</v>
      </c>
      <c r="H1210">
        <f t="shared" si="55"/>
        <v>0.75</v>
      </c>
      <c r="I1210">
        <f t="shared" si="56"/>
        <v>0</v>
      </c>
    </row>
    <row r="1211" spans="1:9">
      <c r="A1211" s="1">
        <v>40485</v>
      </c>
      <c r="B1211">
        <v>3.3788800000000001</v>
      </c>
      <c r="C1211">
        <v>4.1900000000000004</v>
      </c>
      <c r="D1211">
        <f>WEEKDAY(A1211,14)</f>
        <v>7</v>
      </c>
      <c r="E1211">
        <f>VLOOKUP(D1211,L$2:M$8,2,FALSE)</f>
        <v>0.25</v>
      </c>
      <c r="F1211">
        <f t="shared" si="54"/>
        <v>5</v>
      </c>
      <c r="G1211">
        <f>IF(F1211&gt;F1210,G1210+B1211*E1211,B1211*E1211)</f>
        <v>3.3928699999999998</v>
      </c>
      <c r="H1211">
        <f t="shared" si="55"/>
        <v>1</v>
      </c>
      <c r="I1211">
        <f t="shared" si="56"/>
        <v>0</v>
      </c>
    </row>
    <row r="1212" spans="1:9">
      <c r="A1212" s="1">
        <v>40486</v>
      </c>
      <c r="B1212">
        <v>3.2932800000000002</v>
      </c>
      <c r="C1212">
        <v>4.12</v>
      </c>
      <c r="D1212">
        <f>WEEKDAY(A1212,14)</f>
        <v>1</v>
      </c>
      <c r="E1212">
        <f>VLOOKUP(D1212,L$2:M$8,2,FALSE)</f>
        <v>0</v>
      </c>
      <c r="F1212">
        <f t="shared" si="54"/>
        <v>1</v>
      </c>
      <c r="G1212">
        <f>IF(F1212&gt;F1211,G1211+B1212*E1212,B1212*E1212)</f>
        <v>0</v>
      </c>
      <c r="H1212">
        <f t="shared" si="55"/>
        <v>0</v>
      </c>
      <c r="I1212">
        <f t="shared" si="56"/>
        <v>3.3928699999999998</v>
      </c>
    </row>
    <row r="1213" spans="1:9">
      <c r="A1213" s="1">
        <v>40487</v>
      </c>
      <c r="B1213">
        <v>3.3644799999999999</v>
      </c>
      <c r="C1213">
        <v>4.12</v>
      </c>
      <c r="D1213">
        <f>WEEKDAY(A1213,14)</f>
        <v>2</v>
      </c>
      <c r="E1213">
        <f>VLOOKUP(D1213,L$2:M$8,2,FALSE)</f>
        <v>0</v>
      </c>
      <c r="F1213">
        <f t="shared" si="54"/>
        <v>2</v>
      </c>
      <c r="G1213">
        <f>IF(F1213&gt;F1212,G1212+B1213*E1213,B1213*E1213)</f>
        <v>0</v>
      </c>
      <c r="H1213">
        <f t="shared" si="55"/>
        <v>0</v>
      </c>
      <c r="I1213">
        <f t="shared" si="56"/>
        <v>0</v>
      </c>
    </row>
    <row r="1214" spans="1:9">
      <c r="A1214" s="1">
        <v>40490</v>
      </c>
      <c r="B1214">
        <v>3.4019300000000001</v>
      </c>
      <c r="C1214">
        <v>4.12</v>
      </c>
      <c r="D1214">
        <f>WEEKDAY(A1214,14)</f>
        <v>5</v>
      </c>
      <c r="E1214">
        <f>VLOOKUP(D1214,L$2:M$8,2,FALSE)</f>
        <v>0.05</v>
      </c>
      <c r="F1214">
        <f t="shared" si="54"/>
        <v>3</v>
      </c>
      <c r="G1214">
        <f>IF(F1214&gt;F1213,G1213+B1214*E1214,B1214*E1214)</f>
        <v>0.17009650000000001</v>
      </c>
      <c r="H1214">
        <f t="shared" si="55"/>
        <v>0.05</v>
      </c>
      <c r="I1214">
        <f t="shared" si="56"/>
        <v>0</v>
      </c>
    </row>
    <row r="1215" spans="1:9">
      <c r="A1215" s="1">
        <v>40491</v>
      </c>
      <c r="B1215">
        <v>3.5005099999999998</v>
      </c>
      <c r="C1215">
        <v>4.12</v>
      </c>
      <c r="D1215">
        <f>WEEKDAY(A1215,14)</f>
        <v>6</v>
      </c>
      <c r="E1215">
        <f>VLOOKUP(D1215,L$2:M$8,2,FALSE)</f>
        <v>0.7</v>
      </c>
      <c r="F1215">
        <f t="shared" si="54"/>
        <v>4</v>
      </c>
      <c r="G1215">
        <f>IF(F1215&gt;F1214,G1214+B1215*E1215,B1215*E1215)</f>
        <v>2.6204535</v>
      </c>
      <c r="H1215">
        <f t="shared" si="55"/>
        <v>0.75</v>
      </c>
      <c r="I1215">
        <f t="shared" si="56"/>
        <v>0</v>
      </c>
    </row>
    <row r="1216" spans="1:9">
      <c r="A1216" s="1">
        <v>40492</v>
      </c>
      <c r="B1216">
        <v>3.48752</v>
      </c>
      <c r="C1216">
        <v>4.12</v>
      </c>
      <c r="D1216">
        <f>WEEKDAY(A1216,14)</f>
        <v>7</v>
      </c>
      <c r="E1216">
        <f>VLOOKUP(D1216,L$2:M$8,2,FALSE)</f>
        <v>0.25</v>
      </c>
      <c r="F1216">
        <f t="shared" si="54"/>
        <v>5</v>
      </c>
      <c r="G1216">
        <f>IF(F1216&gt;F1215,G1215+B1216*E1216,B1216*E1216)</f>
        <v>3.4923335</v>
      </c>
      <c r="H1216">
        <f t="shared" si="55"/>
        <v>1</v>
      </c>
      <c r="I1216">
        <f t="shared" si="56"/>
        <v>0</v>
      </c>
    </row>
    <row r="1217" spans="1:9">
      <c r="A1217" s="1">
        <v>40494</v>
      </c>
      <c r="B1217">
        <v>3.6084700000000001</v>
      </c>
      <c r="C1217">
        <v>4.3650000000000002</v>
      </c>
      <c r="D1217">
        <f>WEEKDAY(A1217,14)</f>
        <v>2</v>
      </c>
      <c r="E1217">
        <f>VLOOKUP(D1217,L$2:M$8,2,FALSE)</f>
        <v>0</v>
      </c>
      <c r="F1217">
        <f t="shared" si="54"/>
        <v>1</v>
      </c>
      <c r="G1217">
        <f>IF(F1217&gt;F1216,G1216+B1217*E1217,B1217*E1217)</f>
        <v>0</v>
      </c>
      <c r="H1217">
        <f t="shared" si="55"/>
        <v>0</v>
      </c>
      <c r="I1217">
        <f t="shared" si="56"/>
        <v>3.4923335</v>
      </c>
    </row>
    <row r="1218" spans="1:9">
      <c r="A1218" s="1">
        <v>40497</v>
      </c>
      <c r="B1218">
        <v>3.73584</v>
      </c>
      <c r="C1218">
        <v>4.3650000000000002</v>
      </c>
      <c r="D1218">
        <f>WEEKDAY(A1218,14)</f>
        <v>5</v>
      </c>
      <c r="E1218">
        <f>VLOOKUP(D1218,L$2:M$8,2,FALSE)</f>
        <v>0.05</v>
      </c>
      <c r="F1218">
        <f t="shared" si="54"/>
        <v>2</v>
      </c>
      <c r="G1218">
        <f>IF(F1218&gt;F1217,G1217+B1218*E1218,B1218*E1218)</f>
        <v>0.18679200000000001</v>
      </c>
      <c r="H1218">
        <f t="shared" si="55"/>
        <v>0.05</v>
      </c>
      <c r="I1218">
        <f t="shared" si="56"/>
        <v>0</v>
      </c>
    </row>
    <row r="1219" spans="1:9">
      <c r="A1219" s="1">
        <v>40498</v>
      </c>
      <c r="B1219">
        <v>3.7216800000000001</v>
      </c>
      <c r="C1219">
        <v>4.3650000000000002</v>
      </c>
      <c r="D1219">
        <f>WEEKDAY(A1219,14)</f>
        <v>6</v>
      </c>
      <c r="E1219">
        <f>VLOOKUP(D1219,L$2:M$8,2,FALSE)</f>
        <v>0.7</v>
      </c>
      <c r="F1219">
        <f t="shared" ref="F1219:F1282" si="57">IF(AND(D1219&gt;D1218,F1218&lt;6),F1218+1,1)</f>
        <v>3</v>
      </c>
      <c r="G1219">
        <f>IF(F1219&gt;F1218,G1218+B1219*E1219,B1219*E1219)</f>
        <v>2.7919679999999998</v>
      </c>
      <c r="H1219">
        <f t="shared" si="55"/>
        <v>0.75</v>
      </c>
      <c r="I1219">
        <f t="shared" si="56"/>
        <v>0</v>
      </c>
    </row>
    <row r="1220" spans="1:9">
      <c r="A1220" s="1">
        <v>40499</v>
      </c>
      <c r="B1220">
        <v>3.71929</v>
      </c>
      <c r="C1220">
        <v>4.3499999999999996</v>
      </c>
      <c r="D1220">
        <f>WEEKDAY(A1220,14)</f>
        <v>7</v>
      </c>
      <c r="E1220">
        <f>VLOOKUP(D1220,L$2:M$8,2,FALSE)</f>
        <v>0.25</v>
      </c>
      <c r="F1220">
        <f t="shared" si="57"/>
        <v>4</v>
      </c>
      <c r="G1220">
        <f>IF(F1220&gt;F1219,G1219+B1220*E1220,B1220*E1220)</f>
        <v>3.7217905</v>
      </c>
      <c r="H1220">
        <f t="shared" ref="H1220:H1283" si="58">IF(AND(F1220&lt;6,F1220&gt;F1219),E1220+H1219,E1220)</f>
        <v>1</v>
      </c>
      <c r="I1220">
        <f t="shared" ref="I1220:I1283" si="59">IF(F1219&gt;F1220,G1219/H1219,0)</f>
        <v>0</v>
      </c>
    </row>
    <row r="1221" spans="1:9">
      <c r="A1221" s="1">
        <v>40500</v>
      </c>
      <c r="B1221">
        <v>3.75041</v>
      </c>
      <c r="C1221">
        <v>4.3650000000000002</v>
      </c>
      <c r="D1221">
        <f>WEEKDAY(A1221,14)</f>
        <v>1</v>
      </c>
      <c r="E1221">
        <f>VLOOKUP(D1221,L$2:M$8,2,FALSE)</f>
        <v>0</v>
      </c>
      <c r="F1221">
        <f t="shared" si="57"/>
        <v>1</v>
      </c>
      <c r="G1221">
        <f>IF(F1221&gt;F1220,G1220+B1221*E1221,B1221*E1221)</f>
        <v>0</v>
      </c>
      <c r="H1221">
        <f t="shared" si="58"/>
        <v>0</v>
      </c>
      <c r="I1221">
        <f t="shared" si="59"/>
        <v>3.7217905</v>
      </c>
    </row>
    <row r="1222" spans="1:9">
      <c r="A1222" s="1">
        <v>40501</v>
      </c>
      <c r="B1222">
        <v>3.7656999999999998</v>
      </c>
      <c r="C1222">
        <v>4.3499999999999996</v>
      </c>
      <c r="D1222">
        <f>WEEKDAY(A1222,14)</f>
        <v>2</v>
      </c>
      <c r="E1222">
        <f>VLOOKUP(D1222,L$2:M$8,2,FALSE)</f>
        <v>0</v>
      </c>
      <c r="F1222">
        <f t="shared" si="57"/>
        <v>2</v>
      </c>
      <c r="G1222">
        <f>IF(F1222&gt;F1221,G1221+B1222*E1222,B1222*E1222)</f>
        <v>0</v>
      </c>
      <c r="H1222">
        <f t="shared" si="58"/>
        <v>0</v>
      </c>
      <c r="I1222">
        <f t="shared" si="59"/>
        <v>0</v>
      </c>
    </row>
    <row r="1223" spans="1:9">
      <c r="A1223" s="1">
        <v>40504</v>
      </c>
      <c r="B1223">
        <v>3.7276099999999999</v>
      </c>
      <c r="C1223">
        <v>4.3499999999999996</v>
      </c>
      <c r="D1223">
        <f>WEEKDAY(A1223,14)</f>
        <v>5</v>
      </c>
      <c r="E1223">
        <f>VLOOKUP(D1223,L$2:M$8,2,FALSE)</f>
        <v>0.05</v>
      </c>
      <c r="F1223">
        <f t="shared" si="57"/>
        <v>3</v>
      </c>
      <c r="G1223">
        <f>IF(F1223&gt;F1222,G1222+B1223*E1223,B1223*E1223)</f>
        <v>0.1863805</v>
      </c>
      <c r="H1223">
        <f t="shared" si="58"/>
        <v>0.05</v>
      </c>
      <c r="I1223">
        <f t="shared" si="59"/>
        <v>0</v>
      </c>
    </row>
    <row r="1224" spans="1:9">
      <c r="A1224" s="1">
        <v>40505</v>
      </c>
      <c r="B1224">
        <v>3.7018499999999999</v>
      </c>
      <c r="C1224">
        <v>4.3499999999999996</v>
      </c>
      <c r="D1224">
        <f>WEEKDAY(A1224,14)</f>
        <v>6</v>
      </c>
      <c r="E1224">
        <f>VLOOKUP(D1224,L$2:M$8,2,FALSE)</f>
        <v>0.7</v>
      </c>
      <c r="F1224">
        <f t="shared" si="57"/>
        <v>4</v>
      </c>
      <c r="G1224">
        <f>IF(F1224&gt;F1223,G1223+B1224*E1224,B1224*E1224)</f>
        <v>2.7776754999999995</v>
      </c>
      <c r="H1224">
        <f t="shared" si="58"/>
        <v>0.75</v>
      </c>
      <c r="I1224">
        <f t="shared" si="59"/>
        <v>0</v>
      </c>
    </row>
    <row r="1225" spans="1:9">
      <c r="A1225" s="1">
        <v>40506</v>
      </c>
      <c r="B1225">
        <v>3.85371</v>
      </c>
      <c r="C1225">
        <v>4.3499999999999996</v>
      </c>
      <c r="D1225">
        <f>WEEKDAY(A1225,14)</f>
        <v>7</v>
      </c>
      <c r="E1225">
        <f>VLOOKUP(D1225,L$2:M$8,2,FALSE)</f>
        <v>0.25</v>
      </c>
      <c r="F1225">
        <f t="shared" si="57"/>
        <v>5</v>
      </c>
      <c r="G1225">
        <f>IF(F1225&gt;F1224,G1224+B1225*E1225,B1225*E1225)</f>
        <v>3.7411029999999994</v>
      </c>
      <c r="H1225">
        <f t="shared" si="58"/>
        <v>1</v>
      </c>
      <c r="I1225">
        <f t="shared" si="59"/>
        <v>0</v>
      </c>
    </row>
    <row r="1226" spans="1:9">
      <c r="A1226" s="1">
        <v>40508</v>
      </c>
      <c r="B1226">
        <v>3.82273</v>
      </c>
      <c r="C1226">
        <v>4.41</v>
      </c>
      <c r="D1226">
        <f>WEEKDAY(A1226,14)</f>
        <v>2</v>
      </c>
      <c r="E1226">
        <f>VLOOKUP(D1226,L$2:M$8,2,FALSE)</f>
        <v>0</v>
      </c>
      <c r="F1226">
        <f t="shared" si="57"/>
        <v>1</v>
      </c>
      <c r="G1226">
        <f>IF(F1226&gt;F1225,G1225+B1226*E1226,B1226*E1226)</f>
        <v>0</v>
      </c>
      <c r="H1226">
        <f t="shared" si="58"/>
        <v>0</v>
      </c>
      <c r="I1226">
        <f t="shared" si="59"/>
        <v>3.7411029999999994</v>
      </c>
    </row>
    <row r="1227" spans="1:9">
      <c r="A1227" s="1">
        <v>40511</v>
      </c>
      <c r="B1227">
        <v>3.7704499999999999</v>
      </c>
      <c r="C1227">
        <v>4.41</v>
      </c>
      <c r="D1227">
        <f>WEEKDAY(A1227,14)</f>
        <v>5</v>
      </c>
      <c r="E1227">
        <f>VLOOKUP(D1227,L$2:M$8,2,FALSE)</f>
        <v>0.05</v>
      </c>
      <c r="F1227">
        <f t="shared" si="57"/>
        <v>2</v>
      </c>
      <c r="G1227">
        <f>IF(F1227&gt;F1226,G1226+B1227*E1227,B1227*E1227)</f>
        <v>0.18852250000000001</v>
      </c>
      <c r="H1227">
        <f t="shared" si="58"/>
        <v>0.05</v>
      </c>
      <c r="I1227">
        <f t="shared" si="59"/>
        <v>0</v>
      </c>
    </row>
    <row r="1228" spans="1:9">
      <c r="A1228" s="1">
        <v>40512</v>
      </c>
      <c r="B1228">
        <v>3.7797200000000002</v>
      </c>
      <c r="C1228">
        <v>4.41</v>
      </c>
      <c r="D1228">
        <f>WEEKDAY(A1228,14)</f>
        <v>6</v>
      </c>
      <c r="E1228">
        <f>VLOOKUP(D1228,L$2:M$8,2,FALSE)</f>
        <v>0.7</v>
      </c>
      <c r="F1228">
        <f t="shared" si="57"/>
        <v>3</v>
      </c>
      <c r="G1228">
        <f>IF(F1228&gt;F1227,G1227+B1228*E1228,B1228*E1228)</f>
        <v>2.8343265</v>
      </c>
      <c r="H1228">
        <f t="shared" si="58"/>
        <v>0.75</v>
      </c>
      <c r="I1228">
        <f t="shared" si="59"/>
        <v>0</v>
      </c>
    </row>
    <row r="1229" spans="1:9">
      <c r="A1229" s="1">
        <v>40513</v>
      </c>
      <c r="B1229">
        <v>3.9343699999999999</v>
      </c>
      <c r="C1229">
        <v>4.41</v>
      </c>
      <c r="D1229">
        <f>WEEKDAY(A1229,14)</f>
        <v>7</v>
      </c>
      <c r="E1229">
        <f>VLOOKUP(D1229,L$2:M$8,2,FALSE)</f>
        <v>0.25</v>
      </c>
      <c r="F1229">
        <f t="shared" si="57"/>
        <v>4</v>
      </c>
      <c r="G1229">
        <f>IF(F1229&gt;F1228,G1228+B1229*E1229,B1229*E1229)</f>
        <v>3.8179189999999998</v>
      </c>
      <c r="H1229">
        <f t="shared" si="58"/>
        <v>1</v>
      </c>
      <c r="I1229">
        <f t="shared" si="59"/>
        <v>0</v>
      </c>
    </row>
    <row r="1230" spans="1:9">
      <c r="A1230" s="1">
        <v>40514</v>
      </c>
      <c r="B1230">
        <v>3.9594</v>
      </c>
      <c r="C1230">
        <v>4.5350000000000001</v>
      </c>
      <c r="D1230">
        <f>WEEKDAY(A1230,14)</f>
        <v>1</v>
      </c>
      <c r="E1230">
        <f>VLOOKUP(D1230,L$2:M$8,2,FALSE)</f>
        <v>0</v>
      </c>
      <c r="F1230">
        <f t="shared" si="57"/>
        <v>1</v>
      </c>
      <c r="G1230">
        <f>IF(F1230&gt;F1229,G1229+B1230*E1230,B1230*E1230)</f>
        <v>0</v>
      </c>
      <c r="H1230">
        <f t="shared" si="58"/>
        <v>0</v>
      </c>
      <c r="I1230">
        <f t="shared" si="59"/>
        <v>3.8179189999999998</v>
      </c>
    </row>
    <row r="1231" spans="1:9">
      <c r="A1231" s="1">
        <v>40515</v>
      </c>
      <c r="B1231">
        <v>3.9445700000000001</v>
      </c>
      <c r="C1231">
        <v>4.5350000000000001</v>
      </c>
      <c r="D1231">
        <f>WEEKDAY(A1231,14)</f>
        <v>2</v>
      </c>
      <c r="E1231">
        <f>VLOOKUP(D1231,L$2:M$8,2,FALSE)</f>
        <v>0</v>
      </c>
      <c r="F1231">
        <f t="shared" si="57"/>
        <v>2</v>
      </c>
      <c r="G1231">
        <f>IF(F1231&gt;F1230,G1230+B1231*E1231,B1231*E1231)</f>
        <v>0</v>
      </c>
      <c r="H1231">
        <f t="shared" si="58"/>
        <v>0</v>
      </c>
      <c r="I1231">
        <f t="shared" si="59"/>
        <v>0</v>
      </c>
    </row>
    <row r="1232" spans="1:9">
      <c r="A1232" s="1">
        <v>40518</v>
      </c>
      <c r="B1232">
        <v>3.8510300000000002</v>
      </c>
      <c r="C1232">
        <v>4.5350000000000001</v>
      </c>
      <c r="D1232">
        <f>WEEKDAY(A1232,14)</f>
        <v>5</v>
      </c>
      <c r="E1232">
        <f>VLOOKUP(D1232,L$2:M$8,2,FALSE)</f>
        <v>0.05</v>
      </c>
      <c r="F1232">
        <f t="shared" si="57"/>
        <v>3</v>
      </c>
      <c r="G1232">
        <f>IF(F1232&gt;F1231,G1231+B1232*E1232,B1232*E1232)</f>
        <v>0.19255150000000001</v>
      </c>
      <c r="H1232">
        <f t="shared" si="58"/>
        <v>0.05</v>
      </c>
      <c r="I1232">
        <f t="shared" si="59"/>
        <v>0</v>
      </c>
    </row>
    <row r="1233" spans="1:9">
      <c r="A1233" s="1">
        <v>40519</v>
      </c>
      <c r="B1233">
        <v>4.0550699999999997</v>
      </c>
      <c r="C1233">
        <v>4.5350000000000001</v>
      </c>
      <c r="D1233">
        <f>WEEKDAY(A1233,14)</f>
        <v>6</v>
      </c>
      <c r="E1233">
        <f>VLOOKUP(D1233,L$2:M$8,2,FALSE)</f>
        <v>0.7</v>
      </c>
      <c r="F1233">
        <f t="shared" si="57"/>
        <v>4</v>
      </c>
      <c r="G1233">
        <f>IF(F1233&gt;F1232,G1232+B1233*E1233,B1233*E1233)</f>
        <v>3.0311004999999995</v>
      </c>
      <c r="H1233">
        <f t="shared" si="58"/>
        <v>0.75</v>
      </c>
      <c r="I1233">
        <f t="shared" si="59"/>
        <v>0</v>
      </c>
    </row>
    <row r="1234" spans="1:9">
      <c r="A1234" s="1">
        <v>40520</v>
      </c>
      <c r="B1234">
        <v>4.1053899999999999</v>
      </c>
      <c r="C1234">
        <v>4.5350000000000001</v>
      </c>
      <c r="D1234">
        <f>WEEKDAY(A1234,14)</f>
        <v>7</v>
      </c>
      <c r="E1234">
        <f>VLOOKUP(D1234,L$2:M$8,2,FALSE)</f>
        <v>0.25</v>
      </c>
      <c r="F1234">
        <f t="shared" si="57"/>
        <v>5</v>
      </c>
      <c r="G1234">
        <f>IF(F1234&gt;F1233,G1233+B1234*E1234,B1234*E1234)</f>
        <v>4.0574479999999991</v>
      </c>
      <c r="H1234">
        <f t="shared" si="58"/>
        <v>1</v>
      </c>
      <c r="I1234">
        <f t="shared" si="59"/>
        <v>0</v>
      </c>
    </row>
    <row r="1235" spans="1:9">
      <c r="A1235" s="1">
        <v>40521</v>
      </c>
      <c r="B1235">
        <v>4.0560700000000001</v>
      </c>
      <c r="C1235">
        <v>4.7549999999999999</v>
      </c>
      <c r="D1235">
        <f>WEEKDAY(A1235,14)</f>
        <v>1</v>
      </c>
      <c r="E1235">
        <f>VLOOKUP(D1235,L$2:M$8,2,FALSE)</f>
        <v>0</v>
      </c>
      <c r="F1235">
        <f t="shared" si="57"/>
        <v>1</v>
      </c>
      <c r="G1235">
        <f>IF(F1235&gt;F1234,G1234+B1235*E1235,B1235*E1235)</f>
        <v>0</v>
      </c>
      <c r="H1235">
        <f t="shared" si="58"/>
        <v>0</v>
      </c>
      <c r="I1235">
        <f t="shared" si="59"/>
        <v>4.0574479999999991</v>
      </c>
    </row>
    <row r="1236" spans="1:9">
      <c r="A1236" s="1">
        <v>40522</v>
      </c>
      <c r="B1236">
        <v>4.1283599999999998</v>
      </c>
      <c r="C1236">
        <v>4.7549999999999999</v>
      </c>
      <c r="D1236">
        <f>WEEKDAY(A1236,14)</f>
        <v>2</v>
      </c>
      <c r="E1236">
        <f>VLOOKUP(D1236,L$2:M$8,2,FALSE)</f>
        <v>0</v>
      </c>
      <c r="F1236">
        <f t="shared" si="57"/>
        <v>2</v>
      </c>
      <c r="G1236">
        <f>IF(F1236&gt;F1235,G1235+B1236*E1236,B1236*E1236)</f>
        <v>0</v>
      </c>
      <c r="H1236">
        <f t="shared" si="58"/>
        <v>0</v>
      </c>
      <c r="I1236">
        <f t="shared" si="59"/>
        <v>0</v>
      </c>
    </row>
    <row r="1237" spans="1:9">
      <c r="A1237" s="1">
        <v>40525</v>
      </c>
      <c r="B1237">
        <v>4.1089700000000002</v>
      </c>
      <c r="C1237">
        <v>4.7549999999999999</v>
      </c>
      <c r="D1237">
        <f>WEEKDAY(A1237,14)</f>
        <v>5</v>
      </c>
      <c r="E1237">
        <f>VLOOKUP(D1237,L$2:M$8,2,FALSE)</f>
        <v>0.05</v>
      </c>
      <c r="F1237">
        <f t="shared" si="57"/>
        <v>3</v>
      </c>
      <c r="G1237">
        <f>IF(F1237&gt;F1236,G1236+B1237*E1237,B1237*E1237)</f>
        <v>0.20544850000000003</v>
      </c>
      <c r="H1237">
        <f t="shared" si="58"/>
        <v>0.05</v>
      </c>
      <c r="I1237">
        <f t="shared" si="59"/>
        <v>0</v>
      </c>
    </row>
    <row r="1238" spans="1:9">
      <c r="A1238" s="1">
        <v>40526</v>
      </c>
      <c r="B1238">
        <v>4.2874800000000004</v>
      </c>
      <c r="C1238">
        <v>4.7549999999999999</v>
      </c>
      <c r="D1238">
        <f>WEEKDAY(A1238,14)</f>
        <v>6</v>
      </c>
      <c r="E1238">
        <f>VLOOKUP(D1238,L$2:M$8,2,FALSE)</f>
        <v>0.7</v>
      </c>
      <c r="F1238">
        <f t="shared" si="57"/>
        <v>4</v>
      </c>
      <c r="G1238">
        <f>IF(F1238&gt;F1237,G1237+B1238*E1238,B1238*E1238)</f>
        <v>3.2066845000000002</v>
      </c>
      <c r="H1238">
        <f t="shared" si="58"/>
        <v>0.75</v>
      </c>
      <c r="I1238">
        <f t="shared" si="59"/>
        <v>0</v>
      </c>
    </row>
    <row r="1239" spans="1:9">
      <c r="A1239" s="1">
        <v>40527</v>
      </c>
      <c r="B1239">
        <v>4.3841200000000002</v>
      </c>
      <c r="C1239">
        <v>4.7549999999999999</v>
      </c>
      <c r="D1239">
        <f>WEEKDAY(A1239,14)</f>
        <v>7</v>
      </c>
      <c r="E1239">
        <f>VLOOKUP(D1239,L$2:M$8,2,FALSE)</f>
        <v>0.25</v>
      </c>
      <c r="F1239">
        <f t="shared" si="57"/>
        <v>5</v>
      </c>
      <c r="G1239">
        <f>IF(F1239&gt;F1238,G1238+B1239*E1239,B1239*E1239)</f>
        <v>4.3027145000000004</v>
      </c>
      <c r="H1239">
        <f t="shared" si="58"/>
        <v>1</v>
      </c>
      <c r="I1239">
        <f t="shared" si="59"/>
        <v>0</v>
      </c>
    </row>
    <row r="1240" spans="1:9">
      <c r="A1240" s="1">
        <v>40528</v>
      </c>
      <c r="B1240">
        <v>4.3563900000000002</v>
      </c>
      <c r="C1240">
        <v>4.7350000000000003</v>
      </c>
      <c r="D1240">
        <f>WEEKDAY(A1240,14)</f>
        <v>1</v>
      </c>
      <c r="E1240">
        <f>VLOOKUP(D1240,L$2:M$8,2,FALSE)</f>
        <v>0</v>
      </c>
      <c r="F1240">
        <f t="shared" si="57"/>
        <v>1</v>
      </c>
      <c r="G1240">
        <f>IF(F1240&gt;F1239,G1239+B1240*E1240,B1240*E1240)</f>
        <v>0</v>
      </c>
      <c r="H1240">
        <f t="shared" si="58"/>
        <v>0</v>
      </c>
      <c r="I1240">
        <f t="shared" si="59"/>
        <v>4.3027145000000004</v>
      </c>
    </row>
    <row r="1241" spans="1:9">
      <c r="A1241" s="1">
        <v>40529</v>
      </c>
      <c r="B1241">
        <v>4.1670199999999999</v>
      </c>
      <c r="C1241">
        <v>4.7350000000000003</v>
      </c>
      <c r="D1241">
        <f>WEEKDAY(A1241,14)</f>
        <v>2</v>
      </c>
      <c r="E1241">
        <f>VLOOKUP(D1241,L$2:M$8,2,FALSE)</f>
        <v>0</v>
      </c>
      <c r="F1241">
        <f t="shared" si="57"/>
        <v>2</v>
      </c>
      <c r="G1241">
        <f>IF(F1241&gt;F1240,G1240+B1241*E1241,B1241*E1241)</f>
        <v>0</v>
      </c>
      <c r="H1241">
        <f t="shared" si="58"/>
        <v>0</v>
      </c>
      <c r="I1241">
        <f t="shared" si="59"/>
        <v>0</v>
      </c>
    </row>
    <row r="1242" spans="1:9">
      <c r="A1242" s="1">
        <v>40532</v>
      </c>
      <c r="B1242">
        <v>4.2106199999999996</v>
      </c>
      <c r="C1242">
        <v>4.7350000000000003</v>
      </c>
      <c r="D1242">
        <f>WEEKDAY(A1242,14)</f>
        <v>5</v>
      </c>
      <c r="E1242">
        <f>VLOOKUP(D1242,L$2:M$8,2,FALSE)</f>
        <v>0.05</v>
      </c>
      <c r="F1242">
        <f t="shared" si="57"/>
        <v>3</v>
      </c>
      <c r="G1242">
        <f>IF(F1242&gt;F1241,G1241+B1242*E1242,B1242*E1242)</f>
        <v>0.210531</v>
      </c>
      <c r="H1242">
        <f t="shared" si="58"/>
        <v>0.05</v>
      </c>
      <c r="I1242">
        <f t="shared" si="59"/>
        <v>0</v>
      </c>
    </row>
    <row r="1243" spans="1:9">
      <c r="A1243" s="1">
        <v>40533</v>
      </c>
      <c r="B1243">
        <v>4.1747800000000002</v>
      </c>
      <c r="C1243">
        <v>4.7350000000000003</v>
      </c>
      <c r="D1243">
        <f>WEEKDAY(A1243,14)</f>
        <v>6</v>
      </c>
      <c r="E1243">
        <f>VLOOKUP(D1243,L$2:M$8,2,FALSE)</f>
        <v>0.7</v>
      </c>
      <c r="F1243">
        <f t="shared" si="57"/>
        <v>4</v>
      </c>
      <c r="G1243">
        <f>IF(F1243&gt;F1242,G1242+B1243*E1243,B1243*E1243)</f>
        <v>3.1328770000000001</v>
      </c>
      <c r="H1243">
        <f t="shared" si="58"/>
        <v>0.75</v>
      </c>
      <c r="I1243">
        <f t="shared" si="59"/>
        <v>0</v>
      </c>
    </row>
    <row r="1244" spans="1:9">
      <c r="A1244" s="1">
        <v>40534</v>
      </c>
      <c r="B1244">
        <v>4.1784999999999997</v>
      </c>
      <c r="C1244">
        <v>4.7350000000000003</v>
      </c>
      <c r="D1244">
        <f>WEEKDAY(A1244,14)</f>
        <v>7</v>
      </c>
      <c r="E1244">
        <f>VLOOKUP(D1244,L$2:M$8,2,FALSE)</f>
        <v>0.25</v>
      </c>
      <c r="F1244">
        <f t="shared" si="57"/>
        <v>5</v>
      </c>
      <c r="G1244">
        <f>IF(F1244&gt;F1243,G1243+B1244*E1244,B1244*E1244)</f>
        <v>4.1775020000000005</v>
      </c>
      <c r="H1244">
        <f t="shared" si="58"/>
        <v>1</v>
      </c>
      <c r="I1244">
        <f t="shared" si="59"/>
        <v>0</v>
      </c>
    </row>
    <row r="1245" spans="1:9">
      <c r="A1245" s="1">
        <v>40535</v>
      </c>
      <c r="B1245">
        <v>4.2265100000000002</v>
      </c>
      <c r="C1245">
        <v>4.8099999999999996</v>
      </c>
      <c r="D1245">
        <f>WEEKDAY(A1245,14)</f>
        <v>1</v>
      </c>
      <c r="E1245">
        <f>VLOOKUP(D1245,L$2:M$8,2,FALSE)</f>
        <v>0</v>
      </c>
      <c r="F1245">
        <f t="shared" si="57"/>
        <v>1</v>
      </c>
      <c r="G1245">
        <f>IF(F1245&gt;F1244,G1244+B1245*E1245,B1245*E1245)</f>
        <v>0</v>
      </c>
      <c r="H1245">
        <f t="shared" si="58"/>
        <v>0</v>
      </c>
      <c r="I1245">
        <f t="shared" si="59"/>
        <v>4.1775020000000005</v>
      </c>
    </row>
    <row r="1246" spans="1:9">
      <c r="A1246" s="1">
        <v>40539</v>
      </c>
      <c r="B1246">
        <v>4.2128399999999999</v>
      </c>
      <c r="C1246">
        <v>4.8099999999999996</v>
      </c>
      <c r="D1246">
        <f>WEEKDAY(A1246,14)</f>
        <v>5</v>
      </c>
      <c r="E1246">
        <f>VLOOKUP(D1246,L$2:M$8,2,FALSE)</f>
        <v>0.05</v>
      </c>
      <c r="F1246">
        <f t="shared" si="57"/>
        <v>2</v>
      </c>
      <c r="G1246">
        <f>IF(F1246&gt;F1245,G1245+B1246*E1246,B1246*E1246)</f>
        <v>0.210642</v>
      </c>
      <c r="H1246">
        <f t="shared" si="58"/>
        <v>0.05</v>
      </c>
      <c r="I1246">
        <f t="shared" si="59"/>
        <v>0</v>
      </c>
    </row>
    <row r="1247" spans="1:9">
      <c r="A1247" s="1">
        <v>40540</v>
      </c>
      <c r="B1247">
        <v>4.3267800000000003</v>
      </c>
      <c r="C1247">
        <v>4.8099999999999996</v>
      </c>
      <c r="D1247">
        <f>WEEKDAY(A1247,14)</f>
        <v>6</v>
      </c>
      <c r="E1247">
        <f>VLOOKUP(D1247,L$2:M$8,2,FALSE)</f>
        <v>0.7</v>
      </c>
      <c r="F1247">
        <f t="shared" si="57"/>
        <v>3</v>
      </c>
      <c r="G1247">
        <f>IF(F1247&gt;F1246,G1246+B1247*E1247,B1247*E1247)</f>
        <v>3.2393879999999999</v>
      </c>
      <c r="H1247">
        <f t="shared" si="58"/>
        <v>0.75</v>
      </c>
      <c r="I1247">
        <f t="shared" si="59"/>
        <v>0</v>
      </c>
    </row>
    <row r="1248" spans="1:9">
      <c r="A1248" s="1">
        <v>40541</v>
      </c>
      <c r="B1248">
        <v>4.1711999999999998</v>
      </c>
      <c r="C1248">
        <v>4.8099999999999996</v>
      </c>
      <c r="D1248">
        <f>WEEKDAY(A1248,14)</f>
        <v>7</v>
      </c>
      <c r="E1248">
        <f>VLOOKUP(D1248,L$2:M$8,2,FALSE)</f>
        <v>0.25</v>
      </c>
      <c r="F1248">
        <f t="shared" si="57"/>
        <v>4</v>
      </c>
      <c r="G1248">
        <f>IF(F1248&gt;F1247,G1247+B1248*E1248,B1248*E1248)</f>
        <v>4.2821879999999997</v>
      </c>
      <c r="H1248">
        <f t="shared" si="58"/>
        <v>1</v>
      </c>
      <c r="I1248">
        <f t="shared" si="59"/>
        <v>0</v>
      </c>
    </row>
    <row r="1249" spans="1:9">
      <c r="A1249" s="1">
        <v>40542</v>
      </c>
      <c r="B1249">
        <v>4.1887800000000004</v>
      </c>
      <c r="C1249">
        <v>4.72</v>
      </c>
      <c r="D1249">
        <f>WEEKDAY(A1249,14)</f>
        <v>1</v>
      </c>
      <c r="E1249">
        <f>VLOOKUP(D1249,L$2:M$8,2,FALSE)</f>
        <v>0</v>
      </c>
      <c r="F1249">
        <f t="shared" si="57"/>
        <v>1</v>
      </c>
      <c r="G1249">
        <f>IF(F1249&gt;F1248,G1248+B1249*E1249,B1249*E1249)</f>
        <v>0</v>
      </c>
      <c r="H1249">
        <f t="shared" si="58"/>
        <v>0</v>
      </c>
      <c r="I1249">
        <f t="shared" si="59"/>
        <v>4.2821879999999997</v>
      </c>
    </row>
    <row r="1250" spans="1:9">
      <c r="A1250" s="1">
        <v>40543</v>
      </c>
      <c r="B1250">
        <v>4.1057699999999997</v>
      </c>
      <c r="C1250">
        <v>4.72</v>
      </c>
      <c r="D1250">
        <f>WEEKDAY(A1250,14)</f>
        <v>2</v>
      </c>
      <c r="E1250">
        <f>VLOOKUP(D1250,L$2:M$8,2,FALSE)</f>
        <v>0</v>
      </c>
      <c r="F1250">
        <f t="shared" si="57"/>
        <v>2</v>
      </c>
      <c r="G1250">
        <f>IF(F1250&gt;F1249,G1249+B1250*E1250,B1250*E1250)</f>
        <v>0</v>
      </c>
      <c r="H1250">
        <f t="shared" si="58"/>
        <v>0</v>
      </c>
      <c r="I1250">
        <f t="shared" si="59"/>
        <v>0</v>
      </c>
    </row>
    <row r="1251" spans="1:9">
      <c r="A1251" s="1">
        <v>40546</v>
      </c>
      <c r="B1251">
        <v>4.11937</v>
      </c>
      <c r="C1251">
        <v>4.72</v>
      </c>
      <c r="D1251">
        <f>WEEKDAY(A1251,14)</f>
        <v>5</v>
      </c>
      <c r="E1251">
        <f>VLOOKUP(D1251,L$2:M$8,2,FALSE)</f>
        <v>0.05</v>
      </c>
      <c r="F1251">
        <f t="shared" si="57"/>
        <v>3</v>
      </c>
      <c r="G1251">
        <f>IF(F1251&gt;F1250,G1250+B1251*E1251,B1251*E1251)</f>
        <v>0.2059685</v>
      </c>
      <c r="H1251">
        <f t="shared" si="58"/>
        <v>0.05</v>
      </c>
      <c r="I1251">
        <f t="shared" si="59"/>
        <v>0</v>
      </c>
    </row>
    <row r="1252" spans="1:9">
      <c r="A1252" s="1">
        <v>40547</v>
      </c>
      <c r="B1252">
        <v>4.1123000000000003</v>
      </c>
      <c r="C1252">
        <v>4.72</v>
      </c>
      <c r="D1252">
        <f>WEEKDAY(A1252,14)</f>
        <v>6</v>
      </c>
      <c r="E1252">
        <f>VLOOKUP(D1252,L$2:M$8,2,FALSE)</f>
        <v>0.7</v>
      </c>
      <c r="F1252">
        <f t="shared" si="57"/>
        <v>4</v>
      </c>
      <c r="G1252">
        <f>IF(F1252&gt;F1251,G1251+B1252*E1252,B1252*E1252)</f>
        <v>3.0845785000000001</v>
      </c>
      <c r="H1252">
        <f t="shared" si="58"/>
        <v>0.75</v>
      </c>
      <c r="I1252">
        <f t="shared" si="59"/>
        <v>0</v>
      </c>
    </row>
    <row r="1253" spans="1:9">
      <c r="A1253" s="1">
        <v>40548</v>
      </c>
      <c r="B1253">
        <v>4.2469400000000004</v>
      </c>
      <c r="C1253">
        <v>4.72</v>
      </c>
      <c r="D1253">
        <f>WEEKDAY(A1253,14)</f>
        <v>7</v>
      </c>
      <c r="E1253">
        <f>VLOOKUP(D1253,L$2:M$8,2,FALSE)</f>
        <v>0.25</v>
      </c>
      <c r="F1253">
        <f t="shared" si="57"/>
        <v>5</v>
      </c>
      <c r="G1253">
        <f>IF(F1253&gt;F1252,G1252+B1253*E1253,B1253*E1253)</f>
        <v>4.1463134999999998</v>
      </c>
      <c r="H1253">
        <f t="shared" si="58"/>
        <v>1</v>
      </c>
      <c r="I1253">
        <f t="shared" si="59"/>
        <v>0</v>
      </c>
    </row>
    <row r="1254" spans="1:9">
      <c r="A1254" s="1">
        <v>40549</v>
      </c>
      <c r="B1254">
        <v>4.2000799999999998</v>
      </c>
      <c r="C1254">
        <v>4.66</v>
      </c>
      <c r="D1254">
        <f>WEEKDAY(A1254,14)</f>
        <v>1</v>
      </c>
      <c r="E1254">
        <f>VLOOKUP(D1254,L$2:M$8,2,FALSE)</f>
        <v>0</v>
      </c>
      <c r="F1254">
        <f t="shared" si="57"/>
        <v>1</v>
      </c>
      <c r="G1254">
        <f>IF(F1254&gt;F1253,G1253+B1254*E1254,B1254*E1254)</f>
        <v>0</v>
      </c>
      <c r="H1254">
        <f t="shared" si="58"/>
        <v>0</v>
      </c>
      <c r="I1254">
        <f t="shared" si="59"/>
        <v>4.1463134999999998</v>
      </c>
    </row>
    <row r="1255" spans="1:9">
      <c r="A1255" s="1">
        <v>40550</v>
      </c>
      <c r="B1255">
        <v>4.1021099999999997</v>
      </c>
      <c r="C1255">
        <v>4.66</v>
      </c>
      <c r="D1255">
        <f>WEEKDAY(A1255,14)</f>
        <v>2</v>
      </c>
      <c r="E1255">
        <f>VLOOKUP(D1255,L$2:M$8,2,FALSE)</f>
        <v>0</v>
      </c>
      <c r="F1255">
        <f t="shared" si="57"/>
        <v>2</v>
      </c>
      <c r="G1255">
        <f>IF(F1255&gt;F1254,G1254+B1255*E1255,B1255*E1255)</f>
        <v>0</v>
      </c>
      <c r="H1255">
        <f t="shared" si="58"/>
        <v>0</v>
      </c>
      <c r="I1255">
        <f t="shared" si="59"/>
        <v>0</v>
      </c>
    </row>
    <row r="1256" spans="1:9">
      <c r="A1256" s="1">
        <v>40553</v>
      </c>
      <c r="B1256">
        <v>4.0762999999999998</v>
      </c>
      <c r="C1256">
        <v>4.66</v>
      </c>
      <c r="D1256">
        <f>WEEKDAY(A1256,14)</f>
        <v>5</v>
      </c>
      <c r="E1256">
        <f>VLOOKUP(D1256,L$2:M$8,2,FALSE)</f>
        <v>0.05</v>
      </c>
      <c r="F1256">
        <f t="shared" si="57"/>
        <v>3</v>
      </c>
      <c r="G1256">
        <f>IF(F1256&gt;F1255,G1255+B1256*E1256,B1256*E1256)</f>
        <v>0.203815</v>
      </c>
      <c r="H1256">
        <f t="shared" si="58"/>
        <v>0.05</v>
      </c>
      <c r="I1256">
        <f t="shared" si="59"/>
        <v>0</v>
      </c>
    </row>
    <row r="1257" spans="1:9">
      <c r="A1257" s="1">
        <v>40554</v>
      </c>
      <c r="B1257">
        <v>4.1304600000000002</v>
      </c>
      <c r="C1257">
        <v>4.66</v>
      </c>
      <c r="D1257">
        <f>WEEKDAY(A1257,14)</f>
        <v>6</v>
      </c>
      <c r="E1257">
        <f>VLOOKUP(D1257,L$2:M$8,2,FALSE)</f>
        <v>0.7</v>
      </c>
      <c r="F1257">
        <f t="shared" si="57"/>
        <v>4</v>
      </c>
      <c r="G1257">
        <f>IF(F1257&gt;F1256,G1256+B1257*E1257,B1257*E1257)</f>
        <v>3.0951370000000002</v>
      </c>
      <c r="H1257">
        <f t="shared" si="58"/>
        <v>0.75</v>
      </c>
      <c r="I1257">
        <f t="shared" si="59"/>
        <v>0</v>
      </c>
    </row>
    <row r="1258" spans="1:9">
      <c r="A1258" s="1">
        <v>40555</v>
      </c>
      <c r="B1258">
        <v>4.1275500000000003</v>
      </c>
      <c r="C1258">
        <v>4.66</v>
      </c>
      <c r="D1258">
        <f>WEEKDAY(A1258,14)</f>
        <v>7</v>
      </c>
      <c r="E1258">
        <f>VLOOKUP(D1258,L$2:M$8,2,FALSE)</f>
        <v>0.25</v>
      </c>
      <c r="F1258">
        <f t="shared" si="57"/>
        <v>5</v>
      </c>
      <c r="G1258">
        <f>IF(F1258&gt;F1257,G1257+B1258*E1258,B1258*E1258)</f>
        <v>4.1270245000000001</v>
      </c>
      <c r="H1258">
        <f t="shared" si="58"/>
        <v>1</v>
      </c>
      <c r="I1258">
        <f t="shared" si="59"/>
        <v>0</v>
      </c>
    </row>
    <row r="1259" spans="1:9">
      <c r="A1259" s="1">
        <v>40556</v>
      </c>
      <c r="B1259">
        <v>4.0727700000000002</v>
      </c>
      <c r="C1259">
        <v>4.6900000000000004</v>
      </c>
      <c r="D1259">
        <f>WEEKDAY(A1259,14)</f>
        <v>1</v>
      </c>
      <c r="E1259">
        <f>VLOOKUP(D1259,L$2:M$8,2,FALSE)</f>
        <v>0</v>
      </c>
      <c r="F1259">
        <f t="shared" si="57"/>
        <v>1</v>
      </c>
      <c r="G1259">
        <f>IF(F1259&gt;F1258,G1258+B1259*E1259,B1259*E1259)</f>
        <v>0</v>
      </c>
      <c r="H1259">
        <f t="shared" si="58"/>
        <v>0</v>
      </c>
      <c r="I1259">
        <f t="shared" si="59"/>
        <v>4.1270245000000001</v>
      </c>
    </row>
    <row r="1260" spans="1:9">
      <c r="A1260" s="1">
        <v>40557</v>
      </c>
      <c r="B1260">
        <v>4.0858499999999998</v>
      </c>
      <c r="C1260">
        <v>4.6900000000000004</v>
      </c>
      <c r="D1260">
        <f>WEEKDAY(A1260,14)</f>
        <v>2</v>
      </c>
      <c r="E1260">
        <f>VLOOKUP(D1260,L$2:M$8,2,FALSE)</f>
        <v>0</v>
      </c>
      <c r="F1260">
        <f t="shared" si="57"/>
        <v>2</v>
      </c>
      <c r="G1260">
        <f>IF(F1260&gt;F1259,G1259+B1260*E1260,B1260*E1260)</f>
        <v>0</v>
      </c>
      <c r="H1260">
        <f t="shared" si="58"/>
        <v>0</v>
      </c>
      <c r="I1260">
        <f t="shared" si="59"/>
        <v>0</v>
      </c>
    </row>
    <row r="1261" spans="1:9">
      <c r="A1261" s="1">
        <v>40561</v>
      </c>
      <c r="B1261">
        <v>4.1412399999999998</v>
      </c>
      <c r="C1261">
        <v>4.6900000000000004</v>
      </c>
      <c r="D1261">
        <f>WEEKDAY(A1261,14)</f>
        <v>6</v>
      </c>
      <c r="E1261">
        <f>VLOOKUP(D1261,L$2:M$8,2,FALSE)</f>
        <v>0.7</v>
      </c>
      <c r="F1261">
        <f t="shared" si="57"/>
        <v>3</v>
      </c>
      <c r="G1261">
        <f>IF(F1261&gt;F1260,G1260+B1261*E1261,B1261*E1261)</f>
        <v>2.8988679999999998</v>
      </c>
      <c r="H1261">
        <f t="shared" si="58"/>
        <v>0.7</v>
      </c>
      <c r="I1261">
        <f t="shared" si="59"/>
        <v>0</v>
      </c>
    </row>
    <row r="1262" spans="1:9">
      <c r="A1262" s="1">
        <v>40562</v>
      </c>
      <c r="B1262">
        <v>4.1151200000000001</v>
      </c>
      <c r="C1262">
        <v>4.6900000000000004</v>
      </c>
      <c r="D1262">
        <f>WEEKDAY(A1262,14)</f>
        <v>7</v>
      </c>
      <c r="E1262">
        <f>VLOOKUP(D1262,L$2:M$8,2,FALSE)</f>
        <v>0.25</v>
      </c>
      <c r="F1262">
        <f t="shared" si="57"/>
        <v>4</v>
      </c>
      <c r="G1262">
        <f>IF(F1262&gt;F1261,G1261+B1262*E1262,B1262*E1262)</f>
        <v>3.9276479999999996</v>
      </c>
      <c r="H1262">
        <f t="shared" si="58"/>
        <v>0.95</v>
      </c>
      <c r="I1262">
        <f t="shared" si="59"/>
        <v>0</v>
      </c>
    </row>
    <row r="1263" spans="1:9">
      <c r="A1263" s="1">
        <v>40563</v>
      </c>
      <c r="B1263">
        <v>4.2162300000000004</v>
      </c>
      <c r="C1263">
        <v>4.7249999999999996</v>
      </c>
      <c r="D1263">
        <f>WEEKDAY(A1263,14)</f>
        <v>1</v>
      </c>
      <c r="E1263">
        <f>VLOOKUP(D1263,L$2:M$8,2,FALSE)</f>
        <v>0</v>
      </c>
      <c r="F1263">
        <f t="shared" si="57"/>
        <v>1</v>
      </c>
      <c r="G1263">
        <f>IF(F1263&gt;F1262,G1262+B1263*E1263,B1263*E1263)</f>
        <v>0</v>
      </c>
      <c r="H1263">
        <f t="shared" si="58"/>
        <v>0</v>
      </c>
      <c r="I1263">
        <f t="shared" si="59"/>
        <v>4.1343663157894737</v>
      </c>
    </row>
    <row r="1264" spans="1:9">
      <c r="A1264" s="1">
        <v>40564</v>
      </c>
      <c r="B1264">
        <v>4.1821099999999998</v>
      </c>
      <c r="C1264">
        <v>4.7249999999999996</v>
      </c>
      <c r="D1264">
        <f>WEEKDAY(A1264,14)</f>
        <v>2</v>
      </c>
      <c r="E1264">
        <f>VLOOKUP(D1264,L$2:M$8,2,FALSE)</f>
        <v>0</v>
      </c>
      <c r="F1264">
        <f t="shared" si="57"/>
        <v>2</v>
      </c>
      <c r="G1264">
        <f>IF(F1264&gt;F1263,G1263+B1264*E1264,B1264*E1264)</f>
        <v>0</v>
      </c>
      <c r="H1264">
        <f t="shared" si="58"/>
        <v>0</v>
      </c>
      <c r="I1264">
        <f t="shared" si="59"/>
        <v>0</v>
      </c>
    </row>
    <row r="1265" spans="1:9">
      <c r="A1265" s="1">
        <v>40567</v>
      </c>
      <c r="B1265">
        <v>4.19564</v>
      </c>
      <c r="C1265">
        <v>4.7249999999999996</v>
      </c>
      <c r="D1265">
        <f>WEEKDAY(A1265,14)</f>
        <v>5</v>
      </c>
      <c r="E1265">
        <f>VLOOKUP(D1265,L$2:M$8,2,FALSE)</f>
        <v>0.05</v>
      </c>
      <c r="F1265">
        <f t="shared" si="57"/>
        <v>3</v>
      </c>
      <c r="G1265">
        <f>IF(F1265&gt;F1264,G1264+B1265*E1265,B1265*E1265)</f>
        <v>0.20978200000000002</v>
      </c>
      <c r="H1265">
        <f t="shared" si="58"/>
        <v>0.05</v>
      </c>
      <c r="I1265">
        <f t="shared" si="59"/>
        <v>0</v>
      </c>
    </row>
    <row r="1266" spans="1:9">
      <c r="A1266" s="1">
        <v>40568</v>
      </c>
      <c r="B1266">
        <v>4.1485000000000003</v>
      </c>
      <c r="C1266">
        <v>4.7249999999999996</v>
      </c>
      <c r="D1266">
        <f>WEEKDAY(A1266,14)</f>
        <v>6</v>
      </c>
      <c r="E1266">
        <f>VLOOKUP(D1266,L$2:M$8,2,FALSE)</f>
        <v>0.7</v>
      </c>
      <c r="F1266">
        <f t="shared" si="57"/>
        <v>4</v>
      </c>
      <c r="G1266">
        <f>IF(F1266&gt;F1265,G1265+B1266*E1266,B1266*E1266)</f>
        <v>3.1137320000000002</v>
      </c>
      <c r="H1266">
        <f t="shared" si="58"/>
        <v>0.75</v>
      </c>
      <c r="I1266">
        <f t="shared" si="59"/>
        <v>0</v>
      </c>
    </row>
    <row r="1267" spans="1:9">
      <c r="A1267" s="1">
        <v>40569</v>
      </c>
      <c r="B1267">
        <v>4.2301799999999998</v>
      </c>
      <c r="C1267">
        <v>4.7249999999999996</v>
      </c>
      <c r="D1267">
        <f>WEEKDAY(A1267,14)</f>
        <v>7</v>
      </c>
      <c r="E1267">
        <f>VLOOKUP(D1267,L$2:M$8,2,FALSE)</f>
        <v>0.25</v>
      </c>
      <c r="F1267">
        <f t="shared" si="57"/>
        <v>5</v>
      </c>
      <c r="G1267">
        <f>IF(F1267&gt;F1266,G1266+B1267*E1267,B1267*E1267)</f>
        <v>4.1712769999999999</v>
      </c>
      <c r="H1267">
        <f t="shared" si="58"/>
        <v>1</v>
      </c>
      <c r="I1267">
        <f t="shared" si="59"/>
        <v>0</v>
      </c>
    </row>
    <row r="1268" spans="1:9">
      <c r="A1268" s="1">
        <v>40570</v>
      </c>
      <c r="B1268">
        <v>4.1787700000000001</v>
      </c>
      <c r="C1268">
        <v>4.76</v>
      </c>
      <c r="D1268">
        <f>WEEKDAY(A1268,14)</f>
        <v>1</v>
      </c>
      <c r="E1268">
        <f>VLOOKUP(D1268,L$2:M$8,2,FALSE)</f>
        <v>0</v>
      </c>
      <c r="F1268">
        <f t="shared" si="57"/>
        <v>1</v>
      </c>
      <c r="G1268">
        <f>IF(F1268&gt;F1267,G1267+B1268*E1268,B1268*E1268)</f>
        <v>0</v>
      </c>
      <c r="H1268">
        <f t="shared" si="58"/>
        <v>0</v>
      </c>
      <c r="I1268">
        <f t="shared" si="59"/>
        <v>4.1712769999999999</v>
      </c>
    </row>
    <row r="1269" spans="1:9">
      <c r="A1269" s="1">
        <v>40571</v>
      </c>
      <c r="B1269">
        <v>4.1486400000000003</v>
      </c>
      <c r="C1269">
        <v>4.76</v>
      </c>
      <c r="D1269">
        <f>WEEKDAY(A1269,14)</f>
        <v>2</v>
      </c>
      <c r="E1269">
        <f>VLOOKUP(D1269,L$2:M$8,2,FALSE)</f>
        <v>0</v>
      </c>
      <c r="F1269">
        <f t="shared" si="57"/>
        <v>2</v>
      </c>
      <c r="G1269">
        <f>IF(F1269&gt;F1268,G1268+B1269*E1269,B1269*E1269)</f>
        <v>0</v>
      </c>
      <c r="H1269">
        <f t="shared" si="58"/>
        <v>0</v>
      </c>
      <c r="I1269">
        <f t="shared" si="59"/>
        <v>0</v>
      </c>
    </row>
    <row r="1270" spans="1:9">
      <c r="A1270" s="1">
        <v>40574</v>
      </c>
      <c r="B1270">
        <v>4.17347</v>
      </c>
      <c r="C1270">
        <v>4.76</v>
      </c>
      <c r="D1270">
        <f>WEEKDAY(A1270,14)</f>
        <v>5</v>
      </c>
      <c r="E1270">
        <f>VLOOKUP(D1270,L$2:M$8,2,FALSE)</f>
        <v>0.05</v>
      </c>
      <c r="F1270">
        <f t="shared" si="57"/>
        <v>3</v>
      </c>
      <c r="G1270">
        <f>IF(F1270&gt;F1269,G1269+B1270*E1270,B1270*E1270)</f>
        <v>0.20867350000000001</v>
      </c>
      <c r="H1270">
        <f t="shared" si="58"/>
        <v>0.05</v>
      </c>
      <c r="I1270">
        <f t="shared" si="59"/>
        <v>0</v>
      </c>
    </row>
    <row r="1271" spans="1:9">
      <c r="A1271" s="1">
        <v>40575</v>
      </c>
      <c r="B1271">
        <v>4.2330199999999998</v>
      </c>
      <c r="C1271">
        <v>4.76</v>
      </c>
      <c r="D1271">
        <f>WEEKDAY(A1271,14)</f>
        <v>6</v>
      </c>
      <c r="E1271">
        <f>VLOOKUP(D1271,L$2:M$8,2,FALSE)</f>
        <v>0.7</v>
      </c>
      <c r="F1271">
        <f t="shared" si="57"/>
        <v>4</v>
      </c>
      <c r="G1271">
        <f>IF(F1271&gt;F1270,G1270+B1271*E1271,B1271*E1271)</f>
        <v>3.1717874999999998</v>
      </c>
      <c r="H1271">
        <f t="shared" si="58"/>
        <v>0.75</v>
      </c>
      <c r="I1271">
        <f t="shared" si="59"/>
        <v>0</v>
      </c>
    </row>
    <row r="1272" spans="1:9">
      <c r="A1272" s="1">
        <v>40576</v>
      </c>
      <c r="B1272">
        <v>4.2836999999999996</v>
      </c>
      <c r="C1272">
        <v>4.76</v>
      </c>
      <c r="D1272">
        <f>WEEKDAY(A1272,14)</f>
        <v>7</v>
      </c>
      <c r="E1272">
        <f>VLOOKUP(D1272,L$2:M$8,2,FALSE)</f>
        <v>0.25</v>
      </c>
      <c r="F1272">
        <f t="shared" si="57"/>
        <v>5</v>
      </c>
      <c r="G1272">
        <f>IF(F1272&gt;F1271,G1271+B1272*E1272,B1272*E1272)</f>
        <v>4.2427124999999997</v>
      </c>
      <c r="H1272">
        <f t="shared" si="58"/>
        <v>1</v>
      </c>
      <c r="I1272">
        <f t="shared" si="59"/>
        <v>0</v>
      </c>
    </row>
    <row r="1273" spans="1:9">
      <c r="A1273" s="1">
        <v>40577</v>
      </c>
      <c r="B1273">
        <v>4.3267499999999997</v>
      </c>
      <c r="C1273">
        <v>4.9749999999999996</v>
      </c>
      <c r="D1273">
        <f>WEEKDAY(A1273,14)</f>
        <v>1</v>
      </c>
      <c r="E1273">
        <f>VLOOKUP(D1273,L$2:M$8,2,FALSE)</f>
        <v>0</v>
      </c>
      <c r="F1273">
        <f t="shared" si="57"/>
        <v>1</v>
      </c>
      <c r="G1273">
        <f>IF(F1273&gt;F1272,G1272+B1273*E1273,B1273*E1273)</f>
        <v>0</v>
      </c>
      <c r="H1273">
        <f t="shared" si="58"/>
        <v>0</v>
      </c>
      <c r="I1273">
        <f t="shared" si="59"/>
        <v>4.2427124999999997</v>
      </c>
    </row>
    <row r="1274" spans="1:9">
      <c r="A1274" s="1">
        <v>40578</v>
      </c>
      <c r="B1274">
        <v>4.3946899999999998</v>
      </c>
      <c r="C1274">
        <v>4.9749999999999996</v>
      </c>
      <c r="D1274">
        <f>WEEKDAY(A1274,14)</f>
        <v>2</v>
      </c>
      <c r="E1274">
        <f>VLOOKUP(D1274,L$2:M$8,2,FALSE)</f>
        <v>0</v>
      </c>
      <c r="F1274">
        <f t="shared" si="57"/>
        <v>2</v>
      </c>
      <c r="G1274">
        <f>IF(F1274&gt;F1273,G1273+B1274*E1274,B1274*E1274)</f>
        <v>0</v>
      </c>
      <c r="H1274">
        <f t="shared" si="58"/>
        <v>0</v>
      </c>
      <c r="I1274">
        <f t="shared" si="59"/>
        <v>0</v>
      </c>
    </row>
    <row r="1275" spans="1:9">
      <c r="A1275" s="1">
        <v>40581</v>
      </c>
      <c r="B1275">
        <v>4.4120200000000001</v>
      </c>
      <c r="C1275">
        <v>4.9749999999999996</v>
      </c>
      <c r="D1275">
        <f>WEEKDAY(A1275,14)</f>
        <v>5</v>
      </c>
      <c r="E1275">
        <f>VLOOKUP(D1275,L$2:M$8,2,FALSE)</f>
        <v>0.05</v>
      </c>
      <c r="F1275">
        <f t="shared" si="57"/>
        <v>3</v>
      </c>
      <c r="G1275">
        <f>IF(F1275&gt;F1274,G1274+B1275*E1275,B1275*E1275)</f>
        <v>0.22060100000000002</v>
      </c>
      <c r="H1275">
        <f t="shared" si="58"/>
        <v>0.05</v>
      </c>
      <c r="I1275">
        <f t="shared" si="59"/>
        <v>0</v>
      </c>
    </row>
    <row r="1276" spans="1:9">
      <c r="A1276" s="1">
        <v>40582</v>
      </c>
      <c r="B1276">
        <v>4.4871299999999996</v>
      </c>
      <c r="C1276">
        <v>4.9749999999999996</v>
      </c>
      <c r="D1276">
        <f>WEEKDAY(A1276,14)</f>
        <v>6</v>
      </c>
      <c r="E1276">
        <f>VLOOKUP(D1276,L$2:M$8,2,FALSE)</f>
        <v>0.7</v>
      </c>
      <c r="F1276">
        <f t="shared" si="57"/>
        <v>4</v>
      </c>
      <c r="G1276">
        <f>IF(F1276&gt;F1275,G1275+B1276*E1276,B1276*E1276)</f>
        <v>3.3615919999999995</v>
      </c>
      <c r="H1276">
        <f t="shared" si="58"/>
        <v>0.75</v>
      </c>
      <c r="I1276">
        <f t="shared" si="59"/>
        <v>0</v>
      </c>
    </row>
    <row r="1277" spans="1:9">
      <c r="A1277" s="1">
        <v>40583</v>
      </c>
      <c r="B1277">
        <v>4.4529399999999999</v>
      </c>
      <c r="C1277">
        <v>4.9749999999999996</v>
      </c>
      <c r="D1277">
        <f>WEEKDAY(A1277,14)</f>
        <v>7</v>
      </c>
      <c r="E1277">
        <f>VLOOKUP(D1277,L$2:M$8,2,FALSE)</f>
        <v>0.25</v>
      </c>
      <c r="F1277">
        <f t="shared" si="57"/>
        <v>5</v>
      </c>
      <c r="G1277">
        <f>IF(F1277&gt;F1276,G1276+B1277*E1277,B1277*E1277)</f>
        <v>4.4748269999999994</v>
      </c>
      <c r="H1277">
        <f t="shared" si="58"/>
        <v>1</v>
      </c>
      <c r="I1277">
        <f t="shared" si="59"/>
        <v>0</v>
      </c>
    </row>
    <row r="1278" spans="1:9">
      <c r="A1278" s="1">
        <v>40584</v>
      </c>
      <c r="B1278">
        <v>4.5012499999999998</v>
      </c>
      <c r="C1278">
        <v>4.9249999999999998</v>
      </c>
      <c r="D1278">
        <f>WEEKDAY(A1278,14)</f>
        <v>1</v>
      </c>
      <c r="E1278">
        <f>VLOOKUP(D1278,L$2:M$8,2,FALSE)</f>
        <v>0</v>
      </c>
      <c r="F1278">
        <f t="shared" si="57"/>
        <v>1</v>
      </c>
      <c r="G1278">
        <f>IF(F1278&gt;F1277,G1277+B1278*E1278,B1278*E1278)</f>
        <v>0</v>
      </c>
      <c r="H1278">
        <f t="shared" si="58"/>
        <v>0</v>
      </c>
      <c r="I1278">
        <f t="shared" si="59"/>
        <v>4.4748269999999994</v>
      </c>
    </row>
    <row r="1279" spans="1:9">
      <c r="A1279" s="1">
        <v>40585</v>
      </c>
      <c r="B1279">
        <v>4.43431</v>
      </c>
      <c r="C1279">
        <v>4.9249999999999998</v>
      </c>
      <c r="D1279">
        <f>WEEKDAY(A1279,14)</f>
        <v>2</v>
      </c>
      <c r="E1279">
        <f>VLOOKUP(D1279,L$2:M$8,2,FALSE)</f>
        <v>0</v>
      </c>
      <c r="F1279">
        <f t="shared" si="57"/>
        <v>2</v>
      </c>
      <c r="G1279">
        <f>IF(F1279&gt;F1278,G1278+B1279*E1279,B1279*E1279)</f>
        <v>0</v>
      </c>
      <c r="H1279">
        <f t="shared" si="58"/>
        <v>0</v>
      </c>
      <c r="I1279">
        <f t="shared" si="59"/>
        <v>0</v>
      </c>
    </row>
    <row r="1280" spans="1:9">
      <c r="A1280" s="1">
        <v>40588</v>
      </c>
      <c r="B1280">
        <v>4.3931500000000003</v>
      </c>
      <c r="C1280">
        <v>4.9249999999999998</v>
      </c>
      <c r="D1280">
        <f>WEEKDAY(A1280,14)</f>
        <v>5</v>
      </c>
      <c r="E1280">
        <f>VLOOKUP(D1280,L$2:M$8,2,FALSE)</f>
        <v>0.05</v>
      </c>
      <c r="F1280">
        <f t="shared" si="57"/>
        <v>3</v>
      </c>
      <c r="G1280">
        <f>IF(F1280&gt;F1279,G1279+B1280*E1280,B1280*E1280)</f>
        <v>0.21965750000000003</v>
      </c>
      <c r="H1280">
        <f t="shared" si="58"/>
        <v>0.05</v>
      </c>
      <c r="I1280">
        <f t="shared" si="59"/>
        <v>0</v>
      </c>
    </row>
    <row r="1281" spans="1:9">
      <c r="A1281" s="1">
        <v>40589</v>
      </c>
      <c r="B1281">
        <v>4.3851100000000001</v>
      </c>
      <c r="C1281">
        <v>4.9249999999999998</v>
      </c>
      <c r="D1281">
        <f>WEEKDAY(A1281,14)</f>
        <v>6</v>
      </c>
      <c r="E1281">
        <f>VLOOKUP(D1281,L$2:M$8,2,FALSE)</f>
        <v>0.7</v>
      </c>
      <c r="F1281">
        <f t="shared" si="57"/>
        <v>4</v>
      </c>
      <c r="G1281">
        <f>IF(F1281&gt;F1280,G1280+B1281*E1281,B1281*E1281)</f>
        <v>3.2892344999999996</v>
      </c>
      <c r="H1281">
        <f t="shared" si="58"/>
        <v>0.75</v>
      </c>
      <c r="I1281">
        <f t="shared" si="59"/>
        <v>0</v>
      </c>
    </row>
    <row r="1282" spans="1:9">
      <c r="A1282" s="1">
        <v>40590</v>
      </c>
      <c r="B1282">
        <v>4.3989599999999998</v>
      </c>
      <c r="C1282">
        <v>4.9249999999999998</v>
      </c>
      <c r="D1282">
        <f>WEEKDAY(A1282,14)</f>
        <v>7</v>
      </c>
      <c r="E1282">
        <f>VLOOKUP(D1282,L$2:M$8,2,FALSE)</f>
        <v>0.25</v>
      </c>
      <c r="F1282">
        <f t="shared" si="57"/>
        <v>5</v>
      </c>
      <c r="G1282">
        <f>IF(F1282&gt;F1281,G1281+B1282*E1282,B1282*E1282)</f>
        <v>4.3889744999999998</v>
      </c>
      <c r="H1282">
        <f t="shared" si="58"/>
        <v>1</v>
      </c>
      <c r="I1282">
        <f t="shared" si="59"/>
        <v>0</v>
      </c>
    </row>
    <row r="1283" spans="1:9">
      <c r="A1283" s="1">
        <v>40591</v>
      </c>
      <c r="B1283">
        <v>4.3504399999999999</v>
      </c>
      <c r="C1283">
        <v>4.8499999999999996</v>
      </c>
      <c r="D1283">
        <f>WEEKDAY(A1283,14)</f>
        <v>1</v>
      </c>
      <c r="E1283">
        <f>VLOOKUP(D1283,L$2:M$8,2,FALSE)</f>
        <v>0</v>
      </c>
      <c r="F1283">
        <f t="shared" ref="F1283:F1346" si="60">IF(AND(D1283&gt;D1282,F1282&lt;6),F1282+1,1)</f>
        <v>1</v>
      </c>
      <c r="G1283">
        <f>IF(F1283&gt;F1282,G1282+B1283*E1283,B1283*E1283)</f>
        <v>0</v>
      </c>
      <c r="H1283">
        <f t="shared" si="58"/>
        <v>0</v>
      </c>
      <c r="I1283">
        <f t="shared" si="59"/>
        <v>4.3889744999999998</v>
      </c>
    </row>
    <row r="1284" spans="1:9">
      <c r="A1284" s="1">
        <v>40592</v>
      </c>
      <c r="B1284">
        <v>4.36639</v>
      </c>
      <c r="C1284">
        <v>4.8499999999999996</v>
      </c>
      <c r="D1284">
        <f>WEEKDAY(A1284,14)</f>
        <v>2</v>
      </c>
      <c r="E1284">
        <f>VLOOKUP(D1284,L$2:M$8,2,FALSE)</f>
        <v>0</v>
      </c>
      <c r="F1284">
        <f t="shared" si="60"/>
        <v>2</v>
      </c>
      <c r="G1284">
        <f>IF(F1284&gt;F1283,G1283+B1284*E1284,B1284*E1284)</f>
        <v>0</v>
      </c>
      <c r="H1284">
        <f t="shared" ref="H1284:H1347" si="61">IF(AND(F1284&lt;6,F1284&gt;F1283),E1284+H1283,E1284)</f>
        <v>0</v>
      </c>
      <c r="I1284">
        <f t="shared" ref="I1284:I1347" si="62">IF(F1283&gt;F1284,G1283/H1283,0)</f>
        <v>0</v>
      </c>
    </row>
    <row r="1285" spans="1:9">
      <c r="A1285" s="1">
        <v>40596</v>
      </c>
      <c r="B1285">
        <v>4.2999799999999997</v>
      </c>
      <c r="C1285">
        <v>4.8499999999999996</v>
      </c>
      <c r="D1285">
        <f>WEEKDAY(A1285,14)</f>
        <v>6</v>
      </c>
      <c r="E1285">
        <f>VLOOKUP(D1285,L$2:M$8,2,FALSE)</f>
        <v>0.7</v>
      </c>
      <c r="F1285">
        <f t="shared" si="60"/>
        <v>3</v>
      </c>
      <c r="G1285">
        <f>IF(F1285&gt;F1284,G1284+B1285*E1285,B1285*E1285)</f>
        <v>3.0099859999999996</v>
      </c>
      <c r="H1285">
        <f t="shared" si="61"/>
        <v>0.7</v>
      </c>
      <c r="I1285">
        <f t="shared" si="62"/>
        <v>0</v>
      </c>
    </row>
    <row r="1286" spans="1:9">
      <c r="A1286" s="1">
        <v>40597</v>
      </c>
      <c r="B1286">
        <v>4.3068600000000004</v>
      </c>
      <c r="C1286">
        <v>4.8499999999999996</v>
      </c>
      <c r="D1286">
        <f>WEEKDAY(A1286,14)</f>
        <v>7</v>
      </c>
      <c r="E1286">
        <f>VLOOKUP(D1286,L$2:M$8,2,FALSE)</f>
        <v>0.25</v>
      </c>
      <c r="F1286">
        <f t="shared" si="60"/>
        <v>4</v>
      </c>
      <c r="G1286">
        <f>IF(F1286&gt;F1285,G1285+B1286*E1286,B1286*E1286)</f>
        <v>4.0867009999999997</v>
      </c>
      <c r="H1286">
        <f t="shared" si="61"/>
        <v>0.95</v>
      </c>
      <c r="I1286">
        <f t="shared" si="62"/>
        <v>0</v>
      </c>
    </row>
    <row r="1287" spans="1:9">
      <c r="A1287" s="1">
        <v>40598</v>
      </c>
      <c r="B1287">
        <v>4.2636200000000004</v>
      </c>
      <c r="C1287">
        <v>4.7949999999999999</v>
      </c>
      <c r="D1287">
        <f>WEEKDAY(A1287,14)</f>
        <v>1</v>
      </c>
      <c r="E1287">
        <f>VLOOKUP(D1287,L$2:M$8,2,FALSE)</f>
        <v>0</v>
      </c>
      <c r="F1287">
        <f t="shared" si="60"/>
        <v>1</v>
      </c>
      <c r="G1287">
        <f>IF(F1287&gt;F1286,G1286+B1287*E1287,B1287*E1287)</f>
        <v>0</v>
      </c>
      <c r="H1287">
        <f t="shared" si="61"/>
        <v>0</v>
      </c>
      <c r="I1287">
        <f t="shared" si="62"/>
        <v>4.3017905263157896</v>
      </c>
    </row>
    <row r="1288" spans="1:9">
      <c r="A1288" s="1">
        <v>40599</v>
      </c>
      <c r="B1288">
        <v>4.2496700000000001</v>
      </c>
      <c r="C1288">
        <v>4.7949999999999999</v>
      </c>
      <c r="D1288">
        <f>WEEKDAY(A1288,14)</f>
        <v>2</v>
      </c>
      <c r="E1288">
        <f>VLOOKUP(D1288,L$2:M$8,2,FALSE)</f>
        <v>0</v>
      </c>
      <c r="F1288">
        <f t="shared" si="60"/>
        <v>2</v>
      </c>
      <c r="G1288">
        <f>IF(F1288&gt;F1287,G1287+B1288*E1288,B1288*E1288)</f>
        <v>0</v>
      </c>
      <c r="H1288">
        <f t="shared" si="61"/>
        <v>0</v>
      </c>
      <c r="I1288">
        <f t="shared" si="62"/>
        <v>0</v>
      </c>
    </row>
    <row r="1289" spans="1:9">
      <c r="A1289" s="1">
        <v>40602</v>
      </c>
      <c r="B1289">
        <v>4.2308300000000001</v>
      </c>
      <c r="C1289">
        <v>4.7949999999999999</v>
      </c>
      <c r="D1289">
        <f>WEEKDAY(A1289,14)</f>
        <v>5</v>
      </c>
      <c r="E1289">
        <f>VLOOKUP(D1289,L$2:M$8,2,FALSE)</f>
        <v>0.05</v>
      </c>
      <c r="F1289">
        <f t="shared" si="60"/>
        <v>3</v>
      </c>
      <c r="G1289">
        <f>IF(F1289&gt;F1288,G1288+B1289*E1289,B1289*E1289)</f>
        <v>0.21154150000000002</v>
      </c>
      <c r="H1289">
        <f t="shared" si="61"/>
        <v>0.05</v>
      </c>
      <c r="I1289">
        <f t="shared" si="62"/>
        <v>0</v>
      </c>
    </row>
    <row r="1290" spans="1:9">
      <c r="A1290" s="1">
        <v>40603</v>
      </c>
      <c r="B1290">
        <v>4.2366900000000003</v>
      </c>
      <c r="C1290">
        <v>4.7949999999999999</v>
      </c>
      <c r="D1290">
        <f>WEEKDAY(A1290,14)</f>
        <v>6</v>
      </c>
      <c r="E1290">
        <f>VLOOKUP(D1290,L$2:M$8,2,FALSE)</f>
        <v>0.7</v>
      </c>
      <c r="F1290">
        <f t="shared" si="60"/>
        <v>4</v>
      </c>
      <c r="G1290">
        <f>IF(F1290&gt;F1289,G1289+B1290*E1290,B1290*E1290)</f>
        <v>3.1772244999999999</v>
      </c>
      <c r="H1290">
        <f t="shared" si="61"/>
        <v>0.75</v>
      </c>
      <c r="I1290">
        <f t="shared" si="62"/>
        <v>0</v>
      </c>
    </row>
    <row r="1291" spans="1:9">
      <c r="A1291" s="1">
        <v>40604</v>
      </c>
      <c r="B1291">
        <v>4.2791499999999996</v>
      </c>
      <c r="C1291">
        <v>4.7949999999999999</v>
      </c>
      <c r="D1291">
        <f>WEEKDAY(A1291,14)</f>
        <v>7</v>
      </c>
      <c r="E1291">
        <f>VLOOKUP(D1291,L$2:M$8,2,FALSE)</f>
        <v>0.25</v>
      </c>
      <c r="F1291">
        <f t="shared" si="60"/>
        <v>5</v>
      </c>
      <c r="G1291">
        <f>IF(F1291&gt;F1290,G1290+B1291*E1291,B1291*E1291)</f>
        <v>4.2470119999999998</v>
      </c>
      <c r="H1291">
        <f t="shared" si="61"/>
        <v>1</v>
      </c>
      <c r="I1291">
        <f t="shared" si="62"/>
        <v>0</v>
      </c>
    </row>
    <row r="1292" spans="1:9">
      <c r="A1292" s="1">
        <v>40605</v>
      </c>
      <c r="B1292">
        <v>4.3559000000000001</v>
      </c>
      <c r="C1292">
        <v>4.8049999999999997</v>
      </c>
      <c r="D1292">
        <f>WEEKDAY(A1292,14)</f>
        <v>1</v>
      </c>
      <c r="E1292">
        <f>VLOOKUP(D1292,L$2:M$8,2,FALSE)</f>
        <v>0</v>
      </c>
      <c r="F1292">
        <f t="shared" si="60"/>
        <v>1</v>
      </c>
      <c r="G1292">
        <f>IF(F1292&gt;F1291,G1291+B1292*E1292,B1292*E1292)</f>
        <v>0</v>
      </c>
      <c r="H1292">
        <f t="shared" si="61"/>
        <v>0</v>
      </c>
      <c r="I1292">
        <f t="shared" si="62"/>
        <v>4.2470119999999998</v>
      </c>
    </row>
    <row r="1293" spans="1:9">
      <c r="A1293" s="1">
        <v>40606</v>
      </c>
      <c r="B1293">
        <v>4.2658199999999997</v>
      </c>
      <c r="C1293">
        <v>4.8049999999999997</v>
      </c>
      <c r="D1293">
        <f>WEEKDAY(A1293,14)</f>
        <v>2</v>
      </c>
      <c r="E1293">
        <f>VLOOKUP(D1293,L$2:M$8,2,FALSE)</f>
        <v>0</v>
      </c>
      <c r="F1293">
        <f t="shared" si="60"/>
        <v>2</v>
      </c>
      <c r="G1293">
        <f>IF(F1293&gt;F1292,G1292+B1293*E1293,B1293*E1293)</f>
        <v>0</v>
      </c>
      <c r="H1293">
        <f t="shared" si="61"/>
        <v>0</v>
      </c>
      <c r="I1293">
        <f t="shared" si="62"/>
        <v>0</v>
      </c>
    </row>
    <row r="1294" spans="1:9">
      <c r="A1294" s="1">
        <v>40609</v>
      </c>
      <c r="B1294">
        <v>4.2757300000000003</v>
      </c>
      <c r="C1294">
        <v>4.8049999999999997</v>
      </c>
      <c r="D1294">
        <f>WEEKDAY(A1294,14)</f>
        <v>5</v>
      </c>
      <c r="E1294">
        <f>VLOOKUP(D1294,L$2:M$8,2,FALSE)</f>
        <v>0.05</v>
      </c>
      <c r="F1294">
        <f t="shared" si="60"/>
        <v>3</v>
      </c>
      <c r="G1294">
        <f>IF(F1294&gt;F1293,G1293+B1294*E1294,B1294*E1294)</f>
        <v>0.21378650000000002</v>
      </c>
      <c r="H1294">
        <f t="shared" si="61"/>
        <v>0.05</v>
      </c>
      <c r="I1294">
        <f t="shared" si="62"/>
        <v>0</v>
      </c>
    </row>
    <row r="1295" spans="1:9">
      <c r="A1295" s="1">
        <v>40610</v>
      </c>
      <c r="B1295">
        <v>4.3121099999999997</v>
      </c>
      <c r="C1295">
        <v>4.8049999999999997</v>
      </c>
      <c r="D1295">
        <f>WEEKDAY(A1295,14)</f>
        <v>6</v>
      </c>
      <c r="E1295">
        <f>VLOOKUP(D1295,L$2:M$8,2,FALSE)</f>
        <v>0.7</v>
      </c>
      <c r="F1295">
        <f t="shared" si="60"/>
        <v>4</v>
      </c>
      <c r="G1295">
        <f>IF(F1295&gt;F1294,G1294+B1295*E1295,B1295*E1295)</f>
        <v>3.2322634999999993</v>
      </c>
      <c r="H1295">
        <f t="shared" si="61"/>
        <v>0.75</v>
      </c>
      <c r="I1295">
        <f t="shared" si="62"/>
        <v>0</v>
      </c>
    </row>
    <row r="1296" spans="1:9">
      <c r="A1296" s="1">
        <v>40611</v>
      </c>
      <c r="B1296">
        <v>4.2484400000000004</v>
      </c>
      <c r="C1296">
        <v>4.8049999999999997</v>
      </c>
      <c r="D1296">
        <f>WEEKDAY(A1296,14)</f>
        <v>7</v>
      </c>
      <c r="E1296">
        <f>VLOOKUP(D1296,L$2:M$8,2,FALSE)</f>
        <v>0.25</v>
      </c>
      <c r="F1296">
        <f t="shared" si="60"/>
        <v>5</v>
      </c>
      <c r="G1296">
        <f>IF(F1296&gt;F1295,G1295+B1296*E1296,B1296*E1296)</f>
        <v>4.294373499999999</v>
      </c>
      <c r="H1296">
        <f t="shared" si="61"/>
        <v>1</v>
      </c>
      <c r="I1296">
        <f t="shared" si="62"/>
        <v>0</v>
      </c>
    </row>
    <row r="1297" spans="1:9">
      <c r="A1297" s="1">
        <v>40612</v>
      </c>
      <c r="B1297">
        <v>4.19841</v>
      </c>
      <c r="C1297">
        <v>4.6849999999999996</v>
      </c>
      <c r="D1297">
        <f>WEEKDAY(A1297,14)</f>
        <v>1</v>
      </c>
      <c r="E1297">
        <f>VLOOKUP(D1297,L$2:M$8,2,FALSE)</f>
        <v>0</v>
      </c>
      <c r="F1297">
        <f t="shared" si="60"/>
        <v>1</v>
      </c>
      <c r="G1297">
        <f>IF(F1297&gt;F1296,G1296+B1297*E1297,B1297*E1297)</f>
        <v>0</v>
      </c>
      <c r="H1297">
        <f t="shared" si="61"/>
        <v>0</v>
      </c>
      <c r="I1297">
        <f t="shared" si="62"/>
        <v>4.294373499999999</v>
      </c>
    </row>
    <row r="1298" spans="1:9">
      <c r="A1298" s="1">
        <v>40613</v>
      </c>
      <c r="B1298">
        <v>4.2139899999999999</v>
      </c>
      <c r="C1298">
        <v>4.6849999999999996</v>
      </c>
      <c r="D1298">
        <f>WEEKDAY(A1298,14)</f>
        <v>2</v>
      </c>
      <c r="E1298">
        <f>VLOOKUP(D1298,L$2:M$8,2,FALSE)</f>
        <v>0</v>
      </c>
      <c r="F1298">
        <f t="shared" si="60"/>
        <v>2</v>
      </c>
      <c r="G1298">
        <f>IF(F1298&gt;F1297,G1297+B1298*E1298,B1298*E1298)</f>
        <v>0</v>
      </c>
      <c r="H1298">
        <f t="shared" si="61"/>
        <v>0</v>
      </c>
      <c r="I1298">
        <f t="shared" si="62"/>
        <v>0</v>
      </c>
    </row>
    <row r="1299" spans="1:9">
      <c r="A1299" s="1">
        <v>40616</v>
      </c>
      <c r="B1299">
        <v>4.1795299999999997</v>
      </c>
      <c r="C1299">
        <v>4.6849999999999996</v>
      </c>
      <c r="D1299">
        <f>WEEKDAY(A1299,14)</f>
        <v>5</v>
      </c>
      <c r="E1299">
        <f>VLOOKUP(D1299,L$2:M$8,2,FALSE)</f>
        <v>0.05</v>
      </c>
      <c r="F1299">
        <f t="shared" si="60"/>
        <v>3</v>
      </c>
      <c r="G1299">
        <f>IF(F1299&gt;F1298,G1298+B1299*E1299,B1299*E1299)</f>
        <v>0.20897650000000001</v>
      </c>
      <c r="H1299">
        <f t="shared" si="61"/>
        <v>0.05</v>
      </c>
      <c r="I1299">
        <f t="shared" si="62"/>
        <v>0</v>
      </c>
    </row>
    <row r="1300" spans="1:9">
      <c r="A1300" s="1">
        <v>40617</v>
      </c>
      <c r="B1300">
        <v>4.1729700000000003</v>
      </c>
      <c r="C1300">
        <v>4.6849999999999996</v>
      </c>
      <c r="D1300">
        <f>WEEKDAY(A1300,14)</f>
        <v>6</v>
      </c>
      <c r="E1300">
        <f>VLOOKUP(D1300,L$2:M$8,2,FALSE)</f>
        <v>0.7</v>
      </c>
      <c r="F1300">
        <f t="shared" si="60"/>
        <v>4</v>
      </c>
      <c r="G1300">
        <f>IF(F1300&gt;F1299,G1299+B1300*E1300,B1300*E1300)</f>
        <v>3.1300555000000001</v>
      </c>
      <c r="H1300">
        <f t="shared" si="61"/>
        <v>0.75</v>
      </c>
      <c r="I1300">
        <f t="shared" si="62"/>
        <v>0</v>
      </c>
    </row>
    <row r="1301" spans="1:9">
      <c r="A1301" s="1">
        <v>40618</v>
      </c>
      <c r="B1301">
        <v>4.08162</v>
      </c>
      <c r="C1301">
        <v>4.6849999999999996</v>
      </c>
      <c r="D1301">
        <f>WEEKDAY(A1301,14)</f>
        <v>7</v>
      </c>
      <c r="E1301">
        <f>VLOOKUP(D1301,L$2:M$8,2,FALSE)</f>
        <v>0.25</v>
      </c>
      <c r="F1301">
        <f t="shared" si="60"/>
        <v>5</v>
      </c>
      <c r="G1301">
        <f>IF(F1301&gt;F1300,G1300+B1301*E1301,B1301*E1301)</f>
        <v>4.1504605000000003</v>
      </c>
      <c r="H1301">
        <f t="shared" si="61"/>
        <v>1</v>
      </c>
      <c r="I1301">
        <f t="shared" si="62"/>
        <v>0</v>
      </c>
    </row>
    <row r="1302" spans="1:9">
      <c r="A1302" s="1">
        <v>40619</v>
      </c>
      <c r="B1302">
        <v>4.10724</v>
      </c>
      <c r="C1302">
        <v>4.7350000000000003</v>
      </c>
      <c r="D1302">
        <f>WEEKDAY(A1302,14)</f>
        <v>1</v>
      </c>
      <c r="E1302">
        <f>VLOOKUP(D1302,L$2:M$8,2,FALSE)</f>
        <v>0</v>
      </c>
      <c r="F1302">
        <f t="shared" si="60"/>
        <v>1</v>
      </c>
      <c r="G1302">
        <f>IF(F1302&gt;F1301,G1301+B1302*E1302,B1302*E1302)</f>
        <v>0</v>
      </c>
      <c r="H1302">
        <f t="shared" si="61"/>
        <v>0</v>
      </c>
      <c r="I1302">
        <f t="shared" si="62"/>
        <v>4.1504605000000003</v>
      </c>
    </row>
    <row r="1303" spans="1:9">
      <c r="A1303" s="1">
        <v>40620</v>
      </c>
      <c r="B1303">
        <v>4.1111800000000001</v>
      </c>
      <c r="C1303">
        <v>4.7350000000000003</v>
      </c>
      <c r="D1303">
        <f>WEEKDAY(A1303,14)</f>
        <v>2</v>
      </c>
      <c r="E1303">
        <f>VLOOKUP(D1303,L$2:M$8,2,FALSE)</f>
        <v>0</v>
      </c>
      <c r="F1303">
        <f t="shared" si="60"/>
        <v>2</v>
      </c>
      <c r="G1303">
        <f>IF(F1303&gt;F1302,G1302+B1303*E1303,B1303*E1303)</f>
        <v>0</v>
      </c>
      <c r="H1303">
        <f t="shared" si="61"/>
        <v>0</v>
      </c>
      <c r="I1303">
        <f t="shared" si="62"/>
        <v>0</v>
      </c>
    </row>
    <row r="1304" spans="1:9">
      <c r="A1304" s="1">
        <v>40623</v>
      </c>
      <c r="B1304">
        <v>4.1633800000000001</v>
      </c>
      <c r="C1304">
        <v>4.7350000000000003</v>
      </c>
      <c r="D1304">
        <f>WEEKDAY(A1304,14)</f>
        <v>5</v>
      </c>
      <c r="E1304">
        <f>VLOOKUP(D1304,L$2:M$8,2,FALSE)</f>
        <v>0.05</v>
      </c>
      <c r="F1304">
        <f t="shared" si="60"/>
        <v>3</v>
      </c>
      <c r="G1304">
        <f>IF(F1304&gt;F1303,G1303+B1304*E1304,B1304*E1304)</f>
        <v>0.20816900000000002</v>
      </c>
      <c r="H1304">
        <f t="shared" si="61"/>
        <v>0.05</v>
      </c>
      <c r="I1304">
        <f t="shared" si="62"/>
        <v>0</v>
      </c>
    </row>
    <row r="1305" spans="1:9">
      <c r="A1305" s="1">
        <v>40624</v>
      </c>
      <c r="B1305">
        <v>4.1893599999999998</v>
      </c>
      <c r="C1305">
        <v>4.7350000000000003</v>
      </c>
      <c r="D1305">
        <f>WEEKDAY(A1305,14)</f>
        <v>6</v>
      </c>
      <c r="E1305">
        <f>VLOOKUP(D1305,L$2:M$8,2,FALSE)</f>
        <v>0.7</v>
      </c>
      <c r="F1305">
        <f t="shared" si="60"/>
        <v>4</v>
      </c>
      <c r="G1305">
        <f>IF(F1305&gt;F1304,G1304+B1305*E1305,B1305*E1305)</f>
        <v>3.1407209999999997</v>
      </c>
      <c r="H1305">
        <f t="shared" si="61"/>
        <v>0.75</v>
      </c>
      <c r="I1305">
        <f t="shared" si="62"/>
        <v>0</v>
      </c>
    </row>
    <row r="1306" spans="1:9">
      <c r="A1306" s="1">
        <v>40625</v>
      </c>
      <c r="B1306">
        <v>4.2092700000000001</v>
      </c>
      <c r="C1306">
        <v>4.7350000000000003</v>
      </c>
      <c r="D1306">
        <f>WEEKDAY(A1306,14)</f>
        <v>7</v>
      </c>
      <c r="E1306">
        <f>VLOOKUP(D1306,L$2:M$8,2,FALSE)</f>
        <v>0.25</v>
      </c>
      <c r="F1306">
        <f t="shared" si="60"/>
        <v>5</v>
      </c>
      <c r="G1306">
        <f>IF(F1306&gt;F1305,G1305+B1306*E1306,B1306*E1306)</f>
        <v>4.1930385000000001</v>
      </c>
      <c r="H1306">
        <f t="shared" si="61"/>
        <v>1</v>
      </c>
      <c r="I1306">
        <f t="shared" si="62"/>
        <v>0</v>
      </c>
    </row>
    <row r="1307" spans="1:9">
      <c r="A1307" s="1">
        <v>40626</v>
      </c>
      <c r="B1307">
        <v>4.2285399999999997</v>
      </c>
      <c r="C1307">
        <v>4.7850000000000001</v>
      </c>
      <c r="D1307">
        <f>WEEKDAY(A1307,14)</f>
        <v>1</v>
      </c>
      <c r="E1307">
        <f>VLOOKUP(D1307,L$2:M$8,2,FALSE)</f>
        <v>0</v>
      </c>
      <c r="F1307">
        <f t="shared" si="60"/>
        <v>1</v>
      </c>
      <c r="G1307">
        <f>IF(F1307&gt;F1306,G1306+B1307*E1307,B1307*E1307)</f>
        <v>0</v>
      </c>
      <c r="H1307">
        <f t="shared" si="61"/>
        <v>0</v>
      </c>
      <c r="I1307">
        <f t="shared" si="62"/>
        <v>4.1930385000000001</v>
      </c>
    </row>
    <row r="1308" spans="1:9">
      <c r="A1308" s="1">
        <v>40627</v>
      </c>
      <c r="B1308">
        <v>4.2607900000000001</v>
      </c>
      <c r="C1308">
        <v>4.7850000000000001</v>
      </c>
      <c r="D1308">
        <f>WEEKDAY(A1308,14)</f>
        <v>2</v>
      </c>
      <c r="E1308">
        <f>VLOOKUP(D1308,L$2:M$8,2,FALSE)</f>
        <v>0</v>
      </c>
      <c r="F1308">
        <f t="shared" si="60"/>
        <v>2</v>
      </c>
      <c r="G1308">
        <f>IF(F1308&gt;F1307,G1307+B1308*E1308,B1308*E1308)</f>
        <v>0</v>
      </c>
      <c r="H1308">
        <f t="shared" si="61"/>
        <v>0</v>
      </c>
      <c r="I1308">
        <f t="shared" si="62"/>
        <v>0</v>
      </c>
    </row>
    <row r="1309" spans="1:9">
      <c r="A1309" s="1">
        <v>40630</v>
      </c>
      <c r="B1309">
        <v>4.2630999999999997</v>
      </c>
      <c r="C1309">
        <v>4.7850000000000001</v>
      </c>
      <c r="D1309">
        <f>WEEKDAY(A1309,14)</f>
        <v>5</v>
      </c>
      <c r="E1309">
        <f>VLOOKUP(D1309,L$2:M$8,2,FALSE)</f>
        <v>0.05</v>
      </c>
      <c r="F1309">
        <f t="shared" si="60"/>
        <v>3</v>
      </c>
      <c r="G1309">
        <f>IF(F1309&gt;F1308,G1308+B1309*E1309,B1309*E1309)</f>
        <v>0.21315499999999998</v>
      </c>
      <c r="H1309">
        <f t="shared" si="61"/>
        <v>0.05</v>
      </c>
      <c r="I1309">
        <f t="shared" si="62"/>
        <v>0</v>
      </c>
    </row>
    <row r="1310" spans="1:9">
      <c r="A1310" s="1">
        <v>40631</v>
      </c>
      <c r="B1310">
        <v>4.3031600000000001</v>
      </c>
      <c r="C1310">
        <v>4.7850000000000001</v>
      </c>
      <c r="D1310">
        <f>WEEKDAY(A1310,14)</f>
        <v>6</v>
      </c>
      <c r="E1310">
        <f>VLOOKUP(D1310,L$2:M$8,2,FALSE)</f>
        <v>0.7</v>
      </c>
      <c r="F1310">
        <f t="shared" si="60"/>
        <v>4</v>
      </c>
      <c r="G1310">
        <f>IF(F1310&gt;F1309,G1309+B1310*E1310,B1310*E1310)</f>
        <v>3.2253669999999999</v>
      </c>
      <c r="H1310">
        <f t="shared" si="61"/>
        <v>0.75</v>
      </c>
      <c r="I1310">
        <f t="shared" si="62"/>
        <v>0</v>
      </c>
    </row>
    <row r="1311" spans="1:9">
      <c r="A1311" s="1">
        <v>40632</v>
      </c>
      <c r="B1311">
        <v>4.2688300000000003</v>
      </c>
      <c r="C1311">
        <v>4.7850000000000001</v>
      </c>
      <c r="D1311">
        <f>WEEKDAY(A1311,14)</f>
        <v>7</v>
      </c>
      <c r="E1311">
        <f>VLOOKUP(D1311,L$2:M$8,2,FALSE)</f>
        <v>0.25</v>
      </c>
      <c r="F1311">
        <f t="shared" si="60"/>
        <v>5</v>
      </c>
      <c r="G1311">
        <f>IF(F1311&gt;F1310,G1310+B1311*E1311,B1311*E1311)</f>
        <v>4.2925744999999997</v>
      </c>
      <c r="H1311">
        <f t="shared" si="61"/>
        <v>1</v>
      </c>
      <c r="I1311">
        <f t="shared" si="62"/>
        <v>0</v>
      </c>
    </row>
    <row r="1312" spans="1:9">
      <c r="A1312" s="1">
        <v>40633</v>
      </c>
      <c r="B1312">
        <v>4.2632099999999999</v>
      </c>
      <c r="C1312">
        <v>4.7949999999999999</v>
      </c>
      <c r="D1312">
        <f>WEEKDAY(A1312,14)</f>
        <v>1</v>
      </c>
      <c r="E1312">
        <f>VLOOKUP(D1312,L$2:M$8,2,FALSE)</f>
        <v>0</v>
      </c>
      <c r="F1312">
        <f t="shared" si="60"/>
        <v>1</v>
      </c>
      <c r="G1312">
        <f>IF(F1312&gt;F1311,G1311+B1312*E1312,B1312*E1312)</f>
        <v>0</v>
      </c>
      <c r="H1312">
        <f t="shared" si="61"/>
        <v>0</v>
      </c>
      <c r="I1312">
        <f t="shared" si="62"/>
        <v>4.2925744999999997</v>
      </c>
    </row>
    <row r="1313" spans="1:9">
      <c r="A1313" s="1">
        <v>40634</v>
      </c>
      <c r="B1313">
        <v>4.2725200000000001</v>
      </c>
      <c r="C1313">
        <v>4.7949999999999999</v>
      </c>
      <c r="D1313">
        <f>WEEKDAY(A1313,14)</f>
        <v>2</v>
      </c>
      <c r="E1313">
        <f>VLOOKUP(D1313,L$2:M$8,2,FALSE)</f>
        <v>0</v>
      </c>
      <c r="F1313">
        <f t="shared" si="60"/>
        <v>2</v>
      </c>
      <c r="G1313">
        <f>IF(F1313&gt;F1312,G1312+B1313*E1313,B1313*E1313)</f>
        <v>0</v>
      </c>
      <c r="H1313">
        <f t="shared" si="61"/>
        <v>0</v>
      </c>
      <c r="I1313">
        <f t="shared" si="62"/>
        <v>0</v>
      </c>
    </row>
    <row r="1314" spans="1:9">
      <c r="A1314" s="1">
        <v>40637</v>
      </c>
      <c r="B1314">
        <v>4.2707100000000002</v>
      </c>
      <c r="C1314">
        <v>4.7949999999999999</v>
      </c>
      <c r="D1314">
        <f>WEEKDAY(A1314,14)</f>
        <v>5</v>
      </c>
      <c r="E1314">
        <f>VLOOKUP(D1314,L$2:M$8,2,FALSE)</f>
        <v>0.05</v>
      </c>
      <c r="F1314">
        <f t="shared" si="60"/>
        <v>3</v>
      </c>
      <c r="G1314">
        <f>IF(F1314&gt;F1313,G1313+B1314*E1314,B1314*E1314)</f>
        <v>0.21353550000000002</v>
      </c>
      <c r="H1314">
        <f t="shared" si="61"/>
        <v>0.05</v>
      </c>
      <c r="I1314">
        <f t="shared" si="62"/>
        <v>0</v>
      </c>
    </row>
    <row r="1315" spans="1:9">
      <c r="A1315" s="1">
        <v>40638</v>
      </c>
      <c r="B1315">
        <v>4.3268300000000002</v>
      </c>
      <c r="C1315">
        <v>4.7949999999999999</v>
      </c>
      <c r="D1315">
        <f>WEEKDAY(A1315,14)</f>
        <v>6</v>
      </c>
      <c r="E1315">
        <f>VLOOKUP(D1315,L$2:M$8,2,FALSE)</f>
        <v>0.7</v>
      </c>
      <c r="F1315">
        <f t="shared" si="60"/>
        <v>4</v>
      </c>
      <c r="G1315">
        <f>IF(F1315&gt;F1314,G1314+B1315*E1315,B1315*E1315)</f>
        <v>3.2423164999999998</v>
      </c>
      <c r="H1315">
        <f t="shared" si="61"/>
        <v>0.75</v>
      </c>
      <c r="I1315">
        <f t="shared" si="62"/>
        <v>0</v>
      </c>
    </row>
    <row r="1316" spans="1:9">
      <c r="A1316" s="1">
        <v>40639</v>
      </c>
      <c r="B1316">
        <v>4.3581799999999999</v>
      </c>
      <c r="C1316">
        <v>4.7949999999999999</v>
      </c>
      <c r="D1316">
        <f>WEEKDAY(A1316,14)</f>
        <v>7</v>
      </c>
      <c r="E1316">
        <f>VLOOKUP(D1316,L$2:M$8,2,FALSE)</f>
        <v>0.25</v>
      </c>
      <c r="F1316">
        <f t="shared" si="60"/>
        <v>5</v>
      </c>
      <c r="G1316">
        <f>IF(F1316&gt;F1315,G1315+B1316*E1316,B1316*E1316)</f>
        <v>4.3318614999999996</v>
      </c>
      <c r="H1316">
        <f t="shared" si="61"/>
        <v>1</v>
      </c>
      <c r="I1316">
        <f t="shared" si="62"/>
        <v>0</v>
      </c>
    </row>
    <row r="1317" spans="1:9">
      <c r="A1317" s="1">
        <v>40640</v>
      </c>
      <c r="B1317">
        <v>4.3534199999999998</v>
      </c>
      <c r="C1317">
        <v>4.8099999999999996</v>
      </c>
      <c r="D1317">
        <f>WEEKDAY(A1317,14)</f>
        <v>1</v>
      </c>
      <c r="E1317">
        <f>VLOOKUP(D1317,L$2:M$8,2,FALSE)</f>
        <v>0</v>
      </c>
      <c r="F1317">
        <f t="shared" si="60"/>
        <v>1</v>
      </c>
      <c r="G1317">
        <f>IF(F1317&gt;F1316,G1316+B1317*E1317,B1317*E1317)</f>
        <v>0</v>
      </c>
      <c r="H1317">
        <f t="shared" si="61"/>
        <v>0</v>
      </c>
      <c r="I1317">
        <f t="shared" si="62"/>
        <v>4.3318614999999996</v>
      </c>
    </row>
    <row r="1318" spans="1:9">
      <c r="A1318" s="1">
        <v>40641</v>
      </c>
      <c r="B1318">
        <v>4.3622100000000001</v>
      </c>
      <c r="C1318">
        <v>4.8099999999999996</v>
      </c>
      <c r="D1318">
        <f>WEEKDAY(A1318,14)</f>
        <v>2</v>
      </c>
      <c r="E1318">
        <f>VLOOKUP(D1318,L$2:M$8,2,FALSE)</f>
        <v>0</v>
      </c>
      <c r="F1318">
        <f t="shared" si="60"/>
        <v>2</v>
      </c>
      <c r="G1318">
        <f>IF(F1318&gt;F1317,G1317+B1318*E1318,B1318*E1318)</f>
        <v>0</v>
      </c>
      <c r="H1318">
        <f t="shared" si="61"/>
        <v>0</v>
      </c>
      <c r="I1318">
        <f t="shared" si="62"/>
        <v>0</v>
      </c>
    </row>
    <row r="1319" spans="1:9">
      <c r="A1319" s="1">
        <v>40644</v>
      </c>
      <c r="B1319">
        <v>4.3573300000000001</v>
      </c>
      <c r="C1319">
        <v>4.8099999999999996</v>
      </c>
      <c r="D1319">
        <f>WEEKDAY(A1319,14)</f>
        <v>5</v>
      </c>
      <c r="E1319">
        <f>VLOOKUP(D1319,L$2:M$8,2,FALSE)</f>
        <v>0.05</v>
      </c>
      <c r="F1319">
        <f t="shared" si="60"/>
        <v>3</v>
      </c>
      <c r="G1319">
        <f>IF(F1319&gt;F1318,G1318+B1319*E1319,B1319*E1319)</f>
        <v>0.21786650000000002</v>
      </c>
      <c r="H1319">
        <f t="shared" si="61"/>
        <v>0.05</v>
      </c>
      <c r="I1319">
        <f t="shared" si="62"/>
        <v>0</v>
      </c>
    </row>
    <row r="1320" spans="1:9">
      <c r="A1320" s="1">
        <v>40645</v>
      </c>
      <c r="B1320">
        <v>4.3061199999999999</v>
      </c>
      <c r="C1320">
        <v>4.8099999999999996</v>
      </c>
      <c r="D1320">
        <f>WEEKDAY(A1320,14)</f>
        <v>6</v>
      </c>
      <c r="E1320">
        <f>VLOOKUP(D1320,L$2:M$8,2,FALSE)</f>
        <v>0.7</v>
      </c>
      <c r="F1320">
        <f t="shared" si="60"/>
        <v>4</v>
      </c>
      <c r="G1320">
        <f>IF(F1320&gt;F1319,G1319+B1320*E1320,B1320*E1320)</f>
        <v>3.2321504999999999</v>
      </c>
      <c r="H1320">
        <f t="shared" si="61"/>
        <v>0.75</v>
      </c>
      <c r="I1320">
        <f t="shared" si="62"/>
        <v>0</v>
      </c>
    </row>
    <row r="1321" spans="1:9">
      <c r="A1321" s="1">
        <v>40646</v>
      </c>
      <c r="B1321">
        <v>4.2868700000000004</v>
      </c>
      <c r="C1321">
        <v>4.8099999999999996</v>
      </c>
      <c r="D1321">
        <f>WEEKDAY(A1321,14)</f>
        <v>7</v>
      </c>
      <c r="E1321">
        <f>VLOOKUP(D1321,L$2:M$8,2,FALSE)</f>
        <v>0.25</v>
      </c>
      <c r="F1321">
        <f t="shared" si="60"/>
        <v>5</v>
      </c>
      <c r="G1321">
        <f>IF(F1321&gt;F1320,G1320+B1321*E1321,B1321*E1321)</f>
        <v>4.3038679999999996</v>
      </c>
      <c r="H1321">
        <f t="shared" si="61"/>
        <v>1</v>
      </c>
      <c r="I1321">
        <f t="shared" si="62"/>
        <v>0</v>
      </c>
    </row>
    <row r="1322" spans="1:9">
      <c r="A1322" s="1">
        <v>40647</v>
      </c>
      <c r="B1322">
        <v>4.2935100000000004</v>
      </c>
      <c r="C1322">
        <v>4.7249999999999996</v>
      </c>
      <c r="D1322">
        <f>WEEKDAY(A1322,14)</f>
        <v>1</v>
      </c>
      <c r="E1322">
        <f>VLOOKUP(D1322,L$2:M$8,2,FALSE)</f>
        <v>0</v>
      </c>
      <c r="F1322">
        <f t="shared" si="60"/>
        <v>1</v>
      </c>
      <c r="G1322">
        <f>IF(F1322&gt;F1321,G1321+B1322*E1322,B1322*E1322)</f>
        <v>0</v>
      </c>
      <c r="H1322">
        <f t="shared" si="61"/>
        <v>0</v>
      </c>
      <c r="I1322">
        <f t="shared" si="62"/>
        <v>4.3038679999999996</v>
      </c>
    </row>
    <row r="1323" spans="1:9">
      <c r="A1323" s="1">
        <v>40648</v>
      </c>
      <c r="B1323">
        <v>4.2253499999999997</v>
      </c>
      <c r="C1323">
        <v>4.7249999999999996</v>
      </c>
      <c r="D1323">
        <f>WEEKDAY(A1323,14)</f>
        <v>2</v>
      </c>
      <c r="E1323">
        <f>VLOOKUP(D1323,L$2:M$8,2,FALSE)</f>
        <v>0</v>
      </c>
      <c r="F1323">
        <f t="shared" si="60"/>
        <v>2</v>
      </c>
      <c r="G1323">
        <f>IF(F1323&gt;F1322,G1322+B1323*E1323,B1323*E1323)</f>
        <v>0</v>
      </c>
      <c r="H1323">
        <f t="shared" si="61"/>
        <v>0</v>
      </c>
      <c r="I1323">
        <f t="shared" si="62"/>
        <v>0</v>
      </c>
    </row>
    <row r="1324" spans="1:9">
      <c r="A1324" s="1">
        <v>40651</v>
      </c>
      <c r="B1324">
        <v>4.1920999999999999</v>
      </c>
      <c r="C1324">
        <v>4.7249999999999996</v>
      </c>
      <c r="D1324">
        <f>WEEKDAY(A1324,14)</f>
        <v>5</v>
      </c>
      <c r="E1324">
        <f>VLOOKUP(D1324,L$2:M$8,2,FALSE)</f>
        <v>0.05</v>
      </c>
      <c r="F1324">
        <f t="shared" si="60"/>
        <v>3</v>
      </c>
      <c r="G1324">
        <f>IF(F1324&gt;F1323,G1323+B1324*E1324,B1324*E1324)</f>
        <v>0.20960500000000001</v>
      </c>
      <c r="H1324">
        <f t="shared" si="61"/>
        <v>0.05</v>
      </c>
      <c r="I1324">
        <f t="shared" si="62"/>
        <v>0</v>
      </c>
    </row>
    <row r="1325" spans="1:9">
      <c r="A1325" s="1">
        <v>40652</v>
      </c>
      <c r="B1325">
        <v>4.1805599999999998</v>
      </c>
      <c r="C1325">
        <v>4.7249999999999996</v>
      </c>
      <c r="D1325">
        <f>WEEKDAY(A1325,14)</f>
        <v>6</v>
      </c>
      <c r="E1325">
        <f>VLOOKUP(D1325,L$2:M$8,2,FALSE)</f>
        <v>0.7</v>
      </c>
      <c r="F1325">
        <f t="shared" si="60"/>
        <v>4</v>
      </c>
      <c r="G1325">
        <f>IF(F1325&gt;F1324,G1324+B1325*E1325,B1325*E1325)</f>
        <v>3.1359969999999997</v>
      </c>
      <c r="H1325">
        <f t="shared" si="61"/>
        <v>0.75</v>
      </c>
      <c r="I1325">
        <f t="shared" si="62"/>
        <v>0</v>
      </c>
    </row>
    <row r="1326" spans="1:9">
      <c r="A1326" s="1">
        <v>40653</v>
      </c>
      <c r="B1326">
        <v>4.2102300000000001</v>
      </c>
      <c r="C1326">
        <v>4.7249999999999996</v>
      </c>
      <c r="D1326">
        <f>WEEKDAY(A1326,14)</f>
        <v>7</v>
      </c>
      <c r="E1326">
        <f>VLOOKUP(D1326,L$2:M$8,2,FALSE)</f>
        <v>0.25</v>
      </c>
      <c r="F1326">
        <f t="shared" si="60"/>
        <v>5</v>
      </c>
      <c r="G1326">
        <f>IF(F1326&gt;F1325,G1325+B1326*E1326,B1326*E1326)</f>
        <v>4.1885544999999995</v>
      </c>
      <c r="H1326">
        <f t="shared" si="61"/>
        <v>1</v>
      </c>
      <c r="I1326">
        <f t="shared" si="62"/>
        <v>0</v>
      </c>
    </row>
    <row r="1327" spans="1:9">
      <c r="A1327" s="1">
        <v>40654</v>
      </c>
      <c r="B1327">
        <v>4.2118799999999998</v>
      </c>
      <c r="C1327">
        <v>4.7050000000000001</v>
      </c>
      <c r="D1327">
        <f>WEEKDAY(A1327,14)</f>
        <v>1</v>
      </c>
      <c r="E1327">
        <f>VLOOKUP(D1327,L$2:M$8,2,FALSE)</f>
        <v>0</v>
      </c>
      <c r="F1327">
        <f t="shared" si="60"/>
        <v>1</v>
      </c>
      <c r="G1327">
        <f>IF(F1327&gt;F1326,G1326+B1327*E1327,B1327*E1327)</f>
        <v>0</v>
      </c>
      <c r="H1327">
        <f t="shared" si="61"/>
        <v>0</v>
      </c>
      <c r="I1327">
        <f t="shared" si="62"/>
        <v>4.1885544999999995</v>
      </c>
    </row>
    <row r="1328" spans="1:9">
      <c r="A1328" s="1">
        <v>40658</v>
      </c>
      <c r="B1328">
        <v>4.1798099999999998</v>
      </c>
      <c r="C1328">
        <v>4.7050000000000001</v>
      </c>
      <c r="D1328">
        <f>WEEKDAY(A1328,14)</f>
        <v>5</v>
      </c>
      <c r="E1328">
        <f>VLOOKUP(D1328,L$2:M$8,2,FALSE)</f>
        <v>0.05</v>
      </c>
      <c r="F1328">
        <f t="shared" si="60"/>
        <v>2</v>
      </c>
      <c r="G1328">
        <f>IF(F1328&gt;F1327,G1327+B1328*E1328,B1328*E1328)</f>
        <v>0.2089905</v>
      </c>
      <c r="H1328">
        <f t="shared" si="61"/>
        <v>0.05</v>
      </c>
      <c r="I1328">
        <f t="shared" si="62"/>
        <v>0</v>
      </c>
    </row>
    <row r="1329" spans="1:9">
      <c r="A1329" s="1">
        <v>40659</v>
      </c>
      <c r="B1329">
        <v>4.1488100000000001</v>
      </c>
      <c r="C1329">
        <v>4.7050000000000001</v>
      </c>
      <c r="D1329">
        <f>WEEKDAY(A1329,14)</f>
        <v>6</v>
      </c>
      <c r="E1329">
        <f>VLOOKUP(D1329,L$2:M$8,2,FALSE)</f>
        <v>0.7</v>
      </c>
      <c r="F1329">
        <f t="shared" si="60"/>
        <v>3</v>
      </c>
      <c r="G1329">
        <f>IF(F1329&gt;F1328,G1328+B1329*E1329,B1329*E1329)</f>
        <v>3.1131574999999998</v>
      </c>
      <c r="H1329">
        <f t="shared" si="61"/>
        <v>0.75</v>
      </c>
      <c r="I1329">
        <f t="shared" si="62"/>
        <v>0</v>
      </c>
    </row>
    <row r="1330" spans="1:9">
      <c r="A1330" s="1">
        <v>40660</v>
      </c>
      <c r="B1330">
        <v>4.1737799999999998</v>
      </c>
      <c r="C1330">
        <v>4.7050000000000001</v>
      </c>
      <c r="D1330">
        <f>WEEKDAY(A1330,14)</f>
        <v>7</v>
      </c>
      <c r="E1330">
        <f>VLOOKUP(D1330,L$2:M$8,2,FALSE)</f>
        <v>0.25</v>
      </c>
      <c r="F1330">
        <f t="shared" si="60"/>
        <v>4</v>
      </c>
      <c r="G1330">
        <f>IF(F1330&gt;F1329,G1329+B1330*E1330,B1330*E1330)</f>
        <v>4.1566025</v>
      </c>
      <c r="H1330">
        <f t="shared" si="61"/>
        <v>1</v>
      </c>
      <c r="I1330">
        <f t="shared" si="62"/>
        <v>0</v>
      </c>
    </row>
    <row r="1331" spans="1:9">
      <c r="A1331" s="1">
        <v>40661</v>
      </c>
      <c r="B1331">
        <v>4.10853</v>
      </c>
      <c r="C1331">
        <v>4.6349999999999998</v>
      </c>
      <c r="D1331">
        <f>WEEKDAY(A1331,14)</f>
        <v>1</v>
      </c>
      <c r="E1331">
        <f>VLOOKUP(D1331,L$2:M$8,2,FALSE)</f>
        <v>0</v>
      </c>
      <c r="F1331">
        <f t="shared" si="60"/>
        <v>1</v>
      </c>
      <c r="G1331">
        <f>IF(F1331&gt;F1330,G1330+B1331*E1331,B1331*E1331)</f>
        <v>0</v>
      </c>
      <c r="H1331">
        <f t="shared" si="61"/>
        <v>0</v>
      </c>
      <c r="I1331">
        <f t="shared" si="62"/>
        <v>4.1566025</v>
      </c>
    </row>
    <row r="1332" spans="1:9">
      <c r="A1332" s="1">
        <v>40662</v>
      </c>
      <c r="B1332">
        <v>4.0911400000000002</v>
      </c>
      <c r="C1332">
        <v>4.6349999999999998</v>
      </c>
      <c r="D1332">
        <f>WEEKDAY(A1332,14)</f>
        <v>2</v>
      </c>
      <c r="E1332">
        <f>VLOOKUP(D1332,L$2:M$8,2,FALSE)</f>
        <v>0</v>
      </c>
      <c r="F1332">
        <f t="shared" si="60"/>
        <v>2</v>
      </c>
      <c r="G1332">
        <f>IF(F1332&gt;F1331,G1331+B1332*E1332,B1332*E1332)</f>
        <v>0</v>
      </c>
      <c r="H1332">
        <f t="shared" si="61"/>
        <v>0</v>
      </c>
      <c r="I1332">
        <f t="shared" si="62"/>
        <v>0</v>
      </c>
    </row>
    <row r="1333" spans="1:9">
      <c r="A1333" s="1">
        <v>40665</v>
      </c>
      <c r="B1333">
        <v>4.1017400000000004</v>
      </c>
      <c r="C1333">
        <v>4.6349999999999998</v>
      </c>
      <c r="D1333">
        <f>WEEKDAY(A1333,14)</f>
        <v>5</v>
      </c>
      <c r="E1333">
        <f>VLOOKUP(D1333,L$2:M$8,2,FALSE)</f>
        <v>0.05</v>
      </c>
      <c r="F1333">
        <f t="shared" si="60"/>
        <v>3</v>
      </c>
      <c r="G1333">
        <f>IF(F1333&gt;F1332,G1332+B1333*E1333,B1333*E1333)</f>
        <v>0.20508700000000002</v>
      </c>
      <c r="H1333">
        <f t="shared" si="61"/>
        <v>0.05</v>
      </c>
      <c r="I1333">
        <f t="shared" si="62"/>
        <v>0</v>
      </c>
    </row>
    <row r="1334" spans="1:9">
      <c r="A1334" s="1">
        <v>40666</v>
      </c>
      <c r="B1334">
        <v>4.0711700000000004</v>
      </c>
      <c r="C1334">
        <v>4.6349999999999998</v>
      </c>
      <c r="D1334">
        <f>WEEKDAY(A1334,14)</f>
        <v>6</v>
      </c>
      <c r="E1334">
        <f>VLOOKUP(D1334,L$2:M$8,2,FALSE)</f>
        <v>0.7</v>
      </c>
      <c r="F1334">
        <f t="shared" si="60"/>
        <v>4</v>
      </c>
      <c r="G1334">
        <f>IF(F1334&gt;F1333,G1333+B1334*E1334,B1334*E1334)</f>
        <v>3.0549059999999999</v>
      </c>
      <c r="H1334">
        <f t="shared" si="61"/>
        <v>0.75</v>
      </c>
      <c r="I1334">
        <f t="shared" si="62"/>
        <v>0</v>
      </c>
    </row>
    <row r="1335" spans="1:9">
      <c r="A1335" s="1">
        <v>40667</v>
      </c>
      <c r="B1335">
        <v>4.0402899999999997</v>
      </c>
      <c r="C1335">
        <v>4.6349999999999998</v>
      </c>
      <c r="D1335">
        <f>WEEKDAY(A1335,14)</f>
        <v>7</v>
      </c>
      <c r="E1335">
        <f>VLOOKUP(D1335,L$2:M$8,2,FALSE)</f>
        <v>0.25</v>
      </c>
      <c r="F1335">
        <f t="shared" si="60"/>
        <v>5</v>
      </c>
      <c r="G1335">
        <f>IF(F1335&gt;F1334,G1334+B1335*E1335,B1335*E1335)</f>
        <v>4.0649784999999996</v>
      </c>
      <c r="H1335">
        <f t="shared" si="61"/>
        <v>1</v>
      </c>
      <c r="I1335">
        <f t="shared" si="62"/>
        <v>0</v>
      </c>
    </row>
    <row r="1336" spans="1:9">
      <c r="A1336" s="1">
        <v>40668</v>
      </c>
      <c r="B1336">
        <v>3.9897399999999998</v>
      </c>
      <c r="C1336">
        <v>4.5549999999999997</v>
      </c>
      <c r="D1336">
        <f>WEEKDAY(A1336,14)</f>
        <v>1</v>
      </c>
      <c r="E1336">
        <f>VLOOKUP(D1336,L$2:M$8,2,FALSE)</f>
        <v>0</v>
      </c>
      <c r="F1336">
        <f t="shared" si="60"/>
        <v>1</v>
      </c>
      <c r="G1336">
        <f>IF(F1336&gt;F1335,G1335+B1336*E1336,B1336*E1336)</f>
        <v>0</v>
      </c>
      <c r="H1336">
        <f t="shared" si="61"/>
        <v>0</v>
      </c>
      <c r="I1336">
        <f t="shared" si="62"/>
        <v>4.0649784999999996</v>
      </c>
    </row>
    <row r="1337" spans="1:9">
      <c r="A1337" s="1">
        <v>40669</v>
      </c>
      <c r="B1337">
        <v>3.9810400000000001</v>
      </c>
      <c r="C1337">
        <v>4.5549999999999997</v>
      </c>
      <c r="D1337">
        <f>WEEKDAY(A1337,14)</f>
        <v>2</v>
      </c>
      <c r="E1337">
        <f>VLOOKUP(D1337,L$2:M$8,2,FALSE)</f>
        <v>0</v>
      </c>
      <c r="F1337">
        <f t="shared" si="60"/>
        <v>2</v>
      </c>
      <c r="G1337">
        <f>IF(F1337&gt;F1336,G1336+B1337*E1337,B1337*E1337)</f>
        <v>0</v>
      </c>
      <c r="H1337">
        <f t="shared" si="61"/>
        <v>0</v>
      </c>
      <c r="I1337">
        <f t="shared" si="62"/>
        <v>0</v>
      </c>
    </row>
    <row r="1338" spans="1:9">
      <c r="A1338" s="1">
        <v>40672</v>
      </c>
      <c r="B1338">
        <v>3.9671799999999999</v>
      </c>
      <c r="C1338">
        <v>4.5549999999999997</v>
      </c>
      <c r="D1338">
        <f>WEEKDAY(A1338,14)</f>
        <v>5</v>
      </c>
      <c r="E1338">
        <f>VLOOKUP(D1338,L$2:M$8,2,FALSE)</f>
        <v>0.05</v>
      </c>
      <c r="F1338">
        <f t="shared" si="60"/>
        <v>3</v>
      </c>
      <c r="G1338">
        <f>IF(F1338&gt;F1337,G1337+B1338*E1338,B1338*E1338)</f>
        <v>0.19835900000000001</v>
      </c>
      <c r="H1338">
        <f t="shared" si="61"/>
        <v>0.05</v>
      </c>
      <c r="I1338">
        <f t="shared" si="62"/>
        <v>0</v>
      </c>
    </row>
    <row r="1339" spans="1:9">
      <c r="A1339" s="1">
        <v>40673</v>
      </c>
      <c r="B1339">
        <v>4.0101699999999996</v>
      </c>
      <c r="C1339">
        <v>4.5549999999999997</v>
      </c>
      <c r="D1339">
        <f>WEEKDAY(A1339,14)</f>
        <v>6</v>
      </c>
      <c r="E1339">
        <f>VLOOKUP(D1339,L$2:M$8,2,FALSE)</f>
        <v>0.7</v>
      </c>
      <c r="F1339">
        <f t="shared" si="60"/>
        <v>4</v>
      </c>
      <c r="G1339">
        <f>IF(F1339&gt;F1338,G1338+B1339*E1339,B1339*E1339)</f>
        <v>3.0054779999999996</v>
      </c>
      <c r="H1339">
        <f t="shared" si="61"/>
        <v>0.75</v>
      </c>
      <c r="I1339">
        <f t="shared" si="62"/>
        <v>0</v>
      </c>
    </row>
    <row r="1340" spans="1:9">
      <c r="A1340" s="1">
        <v>40674</v>
      </c>
      <c r="B1340">
        <v>3.98265</v>
      </c>
      <c r="C1340">
        <v>4.5549999999999997</v>
      </c>
      <c r="D1340">
        <f>WEEKDAY(A1340,14)</f>
        <v>7</v>
      </c>
      <c r="E1340">
        <f>VLOOKUP(D1340,L$2:M$8,2,FALSE)</f>
        <v>0.25</v>
      </c>
      <c r="F1340">
        <f t="shared" si="60"/>
        <v>5</v>
      </c>
      <c r="G1340">
        <f>IF(F1340&gt;F1339,G1339+B1340*E1340,B1340*E1340)</f>
        <v>4.0011405</v>
      </c>
      <c r="H1340">
        <f t="shared" si="61"/>
        <v>1</v>
      </c>
      <c r="I1340">
        <f t="shared" si="62"/>
        <v>0</v>
      </c>
    </row>
    <row r="1341" spans="1:9">
      <c r="A1341" s="1">
        <v>40675</v>
      </c>
      <c r="B1341">
        <v>4.0052099999999999</v>
      </c>
      <c r="C1341">
        <v>4.5350000000000001</v>
      </c>
      <c r="D1341">
        <f>WEEKDAY(A1341,14)</f>
        <v>1</v>
      </c>
      <c r="E1341">
        <f>VLOOKUP(D1341,L$2:M$8,2,FALSE)</f>
        <v>0</v>
      </c>
      <c r="F1341">
        <f t="shared" si="60"/>
        <v>1</v>
      </c>
      <c r="G1341">
        <f>IF(F1341&gt;F1340,G1340+B1341*E1341,B1341*E1341)</f>
        <v>0</v>
      </c>
      <c r="H1341">
        <f t="shared" si="61"/>
        <v>0</v>
      </c>
      <c r="I1341">
        <f t="shared" si="62"/>
        <v>4.0011405</v>
      </c>
    </row>
    <row r="1342" spans="1:9">
      <c r="A1342" s="1">
        <v>40676</v>
      </c>
      <c r="B1342">
        <v>3.9886200000000001</v>
      </c>
      <c r="C1342">
        <v>4.5350000000000001</v>
      </c>
      <c r="D1342">
        <f>WEEKDAY(A1342,14)</f>
        <v>2</v>
      </c>
      <c r="E1342">
        <f>VLOOKUP(D1342,L$2:M$8,2,FALSE)</f>
        <v>0</v>
      </c>
      <c r="F1342">
        <f t="shared" si="60"/>
        <v>2</v>
      </c>
      <c r="G1342">
        <f>IF(F1342&gt;F1341,G1341+B1342*E1342,B1342*E1342)</f>
        <v>0</v>
      </c>
      <c r="H1342">
        <f t="shared" si="61"/>
        <v>0</v>
      </c>
      <c r="I1342">
        <f t="shared" si="62"/>
        <v>0</v>
      </c>
    </row>
    <row r="1343" spans="1:9">
      <c r="A1343" s="1">
        <v>40679</v>
      </c>
      <c r="B1343">
        <v>3.9714499999999999</v>
      </c>
      <c r="C1343">
        <v>4.5350000000000001</v>
      </c>
      <c r="D1343">
        <f>WEEKDAY(A1343,14)</f>
        <v>5</v>
      </c>
      <c r="E1343">
        <f>VLOOKUP(D1343,L$2:M$8,2,FALSE)</f>
        <v>0.05</v>
      </c>
      <c r="F1343">
        <f t="shared" si="60"/>
        <v>3</v>
      </c>
      <c r="G1343">
        <f>IF(F1343&gt;F1342,G1342+B1343*E1343,B1343*E1343)</f>
        <v>0.19857250000000001</v>
      </c>
      <c r="H1343">
        <f t="shared" si="61"/>
        <v>0.05</v>
      </c>
      <c r="I1343">
        <f t="shared" si="62"/>
        <v>0</v>
      </c>
    </row>
    <row r="1344" spans="1:9">
      <c r="A1344" s="1">
        <v>40680</v>
      </c>
      <c r="B1344">
        <v>3.9561999999999999</v>
      </c>
      <c r="C1344">
        <v>4.5350000000000001</v>
      </c>
      <c r="D1344">
        <f>WEEKDAY(A1344,14)</f>
        <v>6</v>
      </c>
      <c r="E1344">
        <f>VLOOKUP(D1344,L$2:M$8,2,FALSE)</f>
        <v>0.7</v>
      </c>
      <c r="F1344">
        <f t="shared" si="60"/>
        <v>4</v>
      </c>
      <c r="G1344">
        <f>IF(F1344&gt;F1343,G1343+B1344*E1344,B1344*E1344)</f>
        <v>2.9679124999999997</v>
      </c>
      <c r="H1344">
        <f t="shared" si="61"/>
        <v>0.75</v>
      </c>
      <c r="I1344">
        <f t="shared" si="62"/>
        <v>0</v>
      </c>
    </row>
    <row r="1345" spans="1:9">
      <c r="A1345" s="1">
        <v>40681</v>
      </c>
      <c r="B1345">
        <v>3.99817</v>
      </c>
      <c r="C1345">
        <v>4.5350000000000001</v>
      </c>
      <c r="D1345">
        <f>WEEKDAY(A1345,14)</f>
        <v>7</v>
      </c>
      <c r="E1345">
        <f>VLOOKUP(D1345,L$2:M$8,2,FALSE)</f>
        <v>0.25</v>
      </c>
      <c r="F1345">
        <f t="shared" si="60"/>
        <v>5</v>
      </c>
      <c r="G1345">
        <f>IF(F1345&gt;F1344,G1344+B1345*E1345,B1345*E1345)</f>
        <v>3.9674549999999997</v>
      </c>
      <c r="H1345">
        <f t="shared" si="61"/>
        <v>1</v>
      </c>
      <c r="I1345">
        <f t="shared" si="62"/>
        <v>0</v>
      </c>
    </row>
    <row r="1346" spans="1:9">
      <c r="A1346" s="1">
        <v>40682</v>
      </c>
      <c r="B1346">
        <v>4.0056599999999998</v>
      </c>
      <c r="C1346">
        <v>4.5250000000000004</v>
      </c>
      <c r="D1346">
        <f>WEEKDAY(A1346,14)</f>
        <v>1</v>
      </c>
      <c r="E1346">
        <f>VLOOKUP(D1346,L$2:M$8,2,FALSE)</f>
        <v>0</v>
      </c>
      <c r="F1346">
        <f t="shared" si="60"/>
        <v>1</v>
      </c>
      <c r="G1346">
        <f>IF(F1346&gt;F1345,G1345+B1346*E1346,B1346*E1346)</f>
        <v>0</v>
      </c>
      <c r="H1346">
        <f t="shared" si="61"/>
        <v>0</v>
      </c>
      <c r="I1346">
        <f t="shared" si="62"/>
        <v>3.9674549999999997</v>
      </c>
    </row>
    <row r="1347" spans="1:9">
      <c r="A1347" s="1">
        <v>40683</v>
      </c>
      <c r="B1347">
        <v>3.9928400000000002</v>
      </c>
      <c r="C1347">
        <v>4.5250000000000004</v>
      </c>
      <c r="D1347">
        <f>WEEKDAY(A1347,14)</f>
        <v>2</v>
      </c>
      <c r="E1347">
        <f>VLOOKUP(D1347,L$2:M$8,2,FALSE)</f>
        <v>0</v>
      </c>
      <c r="F1347">
        <f t="shared" ref="F1347:F1410" si="63">IF(AND(D1347&gt;D1346,F1346&lt;6),F1346+1,1)</f>
        <v>2</v>
      </c>
      <c r="G1347">
        <f>IF(F1347&gt;F1346,G1346+B1347*E1347,B1347*E1347)</f>
        <v>0</v>
      </c>
      <c r="H1347">
        <f t="shared" si="61"/>
        <v>0</v>
      </c>
      <c r="I1347">
        <f t="shared" si="62"/>
        <v>0</v>
      </c>
    </row>
    <row r="1348" spans="1:9">
      <c r="A1348" s="1">
        <v>40686</v>
      </c>
      <c r="B1348">
        <v>3.9961500000000001</v>
      </c>
      <c r="C1348">
        <v>4.5250000000000004</v>
      </c>
      <c r="D1348">
        <f>WEEKDAY(A1348,14)</f>
        <v>5</v>
      </c>
      <c r="E1348">
        <f>VLOOKUP(D1348,L$2:M$8,2,FALSE)</f>
        <v>0.05</v>
      </c>
      <c r="F1348">
        <f t="shared" si="63"/>
        <v>3</v>
      </c>
      <c r="G1348">
        <f>IF(F1348&gt;F1347,G1347+B1348*E1348,B1348*E1348)</f>
        <v>0.19980750000000003</v>
      </c>
      <c r="H1348">
        <f t="shared" ref="H1348:H1411" si="64">IF(AND(F1348&lt;6,F1348&gt;F1347),E1348+H1347,E1348)</f>
        <v>0.05</v>
      </c>
      <c r="I1348">
        <f t="shared" ref="I1348:I1411" si="65">IF(F1347&gt;F1348,G1347/H1347,0)</f>
        <v>0</v>
      </c>
    </row>
    <row r="1349" spans="1:9">
      <c r="A1349" s="1">
        <v>40687</v>
      </c>
      <c r="B1349">
        <v>3.9840100000000001</v>
      </c>
      <c r="C1349">
        <v>4.5250000000000004</v>
      </c>
      <c r="D1349">
        <f>WEEKDAY(A1349,14)</f>
        <v>6</v>
      </c>
      <c r="E1349">
        <f>VLOOKUP(D1349,L$2:M$8,2,FALSE)</f>
        <v>0.7</v>
      </c>
      <c r="F1349">
        <f t="shared" si="63"/>
        <v>4</v>
      </c>
      <c r="G1349">
        <f>IF(F1349&gt;F1348,G1348+B1349*E1349,B1349*E1349)</f>
        <v>2.9886144999999997</v>
      </c>
      <c r="H1349">
        <f t="shared" si="64"/>
        <v>0.75</v>
      </c>
      <c r="I1349">
        <f t="shared" si="65"/>
        <v>0</v>
      </c>
    </row>
    <row r="1350" spans="1:9">
      <c r="A1350" s="1">
        <v>40688</v>
      </c>
      <c r="B1350">
        <v>3.98264</v>
      </c>
      <c r="C1350">
        <v>4.5250000000000004</v>
      </c>
      <c r="D1350">
        <f>WEEKDAY(A1350,14)</f>
        <v>7</v>
      </c>
      <c r="E1350">
        <f>VLOOKUP(D1350,L$2:M$8,2,FALSE)</f>
        <v>0.25</v>
      </c>
      <c r="F1350">
        <f t="shared" si="63"/>
        <v>5</v>
      </c>
      <c r="G1350">
        <f>IF(F1350&gt;F1349,G1349+B1350*E1350,B1350*E1350)</f>
        <v>3.9842744999999997</v>
      </c>
      <c r="H1350">
        <f t="shared" si="64"/>
        <v>1</v>
      </c>
      <c r="I1350">
        <f t="shared" si="65"/>
        <v>0</v>
      </c>
    </row>
    <row r="1351" spans="1:9">
      <c r="A1351" s="1">
        <v>40689</v>
      </c>
      <c r="B1351">
        <v>3.9110900000000002</v>
      </c>
      <c r="C1351">
        <v>4.45</v>
      </c>
      <c r="D1351">
        <f>WEEKDAY(A1351,14)</f>
        <v>1</v>
      </c>
      <c r="E1351">
        <f>VLOOKUP(D1351,L$2:M$8,2,FALSE)</f>
        <v>0</v>
      </c>
      <c r="F1351">
        <f t="shared" si="63"/>
        <v>1</v>
      </c>
      <c r="G1351">
        <f>IF(F1351&gt;F1350,G1350+B1351*E1351,B1351*E1351)</f>
        <v>0</v>
      </c>
      <c r="H1351">
        <f t="shared" si="64"/>
        <v>0</v>
      </c>
      <c r="I1351">
        <f t="shared" si="65"/>
        <v>3.9842744999999997</v>
      </c>
    </row>
    <row r="1352" spans="1:9">
      <c r="A1352" s="1">
        <v>40690</v>
      </c>
      <c r="B1352">
        <v>3.9340099999999998</v>
      </c>
      <c r="C1352">
        <v>4.45</v>
      </c>
      <c r="D1352">
        <f>WEEKDAY(A1352,14)</f>
        <v>2</v>
      </c>
      <c r="E1352">
        <f>VLOOKUP(D1352,L$2:M$8,2,FALSE)</f>
        <v>0</v>
      </c>
      <c r="F1352">
        <f t="shared" si="63"/>
        <v>2</v>
      </c>
      <c r="G1352">
        <f>IF(F1352&gt;F1351,G1351+B1352*E1352,B1352*E1352)</f>
        <v>0</v>
      </c>
      <c r="H1352">
        <f t="shared" si="64"/>
        <v>0</v>
      </c>
      <c r="I1352">
        <f t="shared" si="65"/>
        <v>0</v>
      </c>
    </row>
    <row r="1353" spans="1:9">
      <c r="A1353" s="1">
        <v>40694</v>
      </c>
      <c r="B1353">
        <v>3.93235</v>
      </c>
      <c r="C1353">
        <v>4.45</v>
      </c>
      <c r="D1353">
        <f>WEEKDAY(A1353,14)</f>
        <v>6</v>
      </c>
      <c r="E1353">
        <f>VLOOKUP(D1353,L$2:M$8,2,FALSE)</f>
        <v>0.7</v>
      </c>
      <c r="F1353">
        <f t="shared" si="63"/>
        <v>3</v>
      </c>
      <c r="G1353">
        <f>IF(F1353&gt;F1352,G1352+B1353*E1353,B1353*E1353)</f>
        <v>2.7526449999999998</v>
      </c>
      <c r="H1353">
        <f t="shared" si="64"/>
        <v>0.7</v>
      </c>
      <c r="I1353">
        <f t="shared" si="65"/>
        <v>0</v>
      </c>
    </row>
    <row r="1354" spans="1:9">
      <c r="A1354" s="1">
        <v>40695</v>
      </c>
      <c r="B1354">
        <v>3.8634900000000001</v>
      </c>
      <c r="C1354">
        <v>4.45</v>
      </c>
      <c r="D1354">
        <f>WEEKDAY(A1354,14)</f>
        <v>7</v>
      </c>
      <c r="E1354">
        <f>VLOOKUP(D1354,L$2:M$8,2,FALSE)</f>
        <v>0.25</v>
      </c>
      <c r="F1354">
        <f t="shared" si="63"/>
        <v>4</v>
      </c>
      <c r="G1354">
        <f>IF(F1354&gt;F1353,G1353+B1354*E1354,B1354*E1354)</f>
        <v>3.7185174999999999</v>
      </c>
      <c r="H1354">
        <f t="shared" si="64"/>
        <v>0.95</v>
      </c>
      <c r="I1354">
        <f t="shared" si="65"/>
        <v>0</v>
      </c>
    </row>
    <row r="1355" spans="1:9">
      <c r="A1355" s="1">
        <v>40696</v>
      </c>
      <c r="B1355">
        <v>3.9138700000000002</v>
      </c>
      <c r="C1355">
        <v>4.415</v>
      </c>
      <c r="D1355">
        <f>WEEKDAY(A1355,14)</f>
        <v>1</v>
      </c>
      <c r="E1355">
        <f>VLOOKUP(D1355,L$2:M$8,2,FALSE)</f>
        <v>0</v>
      </c>
      <c r="F1355">
        <f t="shared" si="63"/>
        <v>1</v>
      </c>
      <c r="G1355">
        <f>IF(F1355&gt;F1354,G1354+B1355*E1355,B1355*E1355)</f>
        <v>0</v>
      </c>
      <c r="H1355">
        <f t="shared" si="64"/>
        <v>0</v>
      </c>
      <c r="I1355">
        <f t="shared" si="65"/>
        <v>3.9142289473684211</v>
      </c>
    </row>
    <row r="1356" spans="1:9">
      <c r="A1356" s="1">
        <v>40697</v>
      </c>
      <c r="B1356">
        <v>3.8932799999999999</v>
      </c>
      <c r="C1356">
        <v>4.415</v>
      </c>
      <c r="D1356">
        <f>WEEKDAY(A1356,14)</f>
        <v>2</v>
      </c>
      <c r="E1356">
        <f>VLOOKUP(D1356,L$2:M$8,2,FALSE)</f>
        <v>0</v>
      </c>
      <c r="F1356">
        <f t="shared" si="63"/>
        <v>2</v>
      </c>
      <c r="G1356">
        <f>IF(F1356&gt;F1355,G1355+B1356*E1356,B1356*E1356)</f>
        <v>0</v>
      </c>
      <c r="H1356">
        <f t="shared" si="64"/>
        <v>0</v>
      </c>
      <c r="I1356">
        <f t="shared" si="65"/>
        <v>0</v>
      </c>
    </row>
    <row r="1357" spans="1:9">
      <c r="A1357" s="1">
        <v>40700</v>
      </c>
      <c r="B1357">
        <v>3.9007100000000001</v>
      </c>
      <c r="C1357">
        <v>4.415</v>
      </c>
      <c r="D1357">
        <f>WEEKDAY(A1357,14)</f>
        <v>5</v>
      </c>
      <c r="E1357">
        <f>VLOOKUP(D1357,L$2:M$8,2,FALSE)</f>
        <v>0.05</v>
      </c>
      <c r="F1357">
        <f t="shared" si="63"/>
        <v>3</v>
      </c>
      <c r="G1357">
        <f>IF(F1357&gt;F1356,G1356+B1357*E1357,B1357*E1357)</f>
        <v>0.19503550000000003</v>
      </c>
      <c r="H1357">
        <f t="shared" si="64"/>
        <v>0.05</v>
      </c>
      <c r="I1357">
        <f t="shared" si="65"/>
        <v>0</v>
      </c>
    </row>
    <row r="1358" spans="1:9">
      <c r="A1358" s="1">
        <v>40701</v>
      </c>
      <c r="B1358">
        <v>3.89581</v>
      </c>
      <c r="C1358">
        <v>4.415</v>
      </c>
      <c r="D1358">
        <f>WEEKDAY(A1358,14)</f>
        <v>6</v>
      </c>
      <c r="E1358">
        <f>VLOOKUP(D1358,L$2:M$8,2,FALSE)</f>
        <v>0.7</v>
      </c>
      <c r="F1358">
        <f t="shared" si="63"/>
        <v>4</v>
      </c>
      <c r="G1358">
        <f>IF(F1358&gt;F1357,G1357+B1358*E1358,B1358*E1358)</f>
        <v>2.9221024999999998</v>
      </c>
      <c r="H1358">
        <f t="shared" si="64"/>
        <v>0.75</v>
      </c>
      <c r="I1358">
        <f t="shared" si="65"/>
        <v>0</v>
      </c>
    </row>
    <row r="1359" spans="1:9">
      <c r="A1359" s="1">
        <v>40702</v>
      </c>
      <c r="B1359">
        <v>3.8566799999999999</v>
      </c>
      <c r="C1359">
        <v>4.415</v>
      </c>
      <c r="D1359">
        <f>WEEKDAY(A1359,14)</f>
        <v>7</v>
      </c>
      <c r="E1359">
        <f>VLOOKUP(D1359,L$2:M$8,2,FALSE)</f>
        <v>0.25</v>
      </c>
      <c r="F1359">
        <f t="shared" si="63"/>
        <v>5</v>
      </c>
      <c r="G1359">
        <f>IF(F1359&gt;F1358,G1358+B1359*E1359,B1359*E1359)</f>
        <v>3.8862724999999996</v>
      </c>
      <c r="H1359">
        <f t="shared" si="64"/>
        <v>1</v>
      </c>
      <c r="I1359">
        <f t="shared" si="65"/>
        <v>0</v>
      </c>
    </row>
    <row r="1360" spans="1:9">
      <c r="A1360" s="1">
        <v>40703</v>
      </c>
      <c r="B1360">
        <v>3.8960499999999998</v>
      </c>
      <c r="C1360">
        <v>4.4249999999999998</v>
      </c>
      <c r="D1360">
        <f>WEEKDAY(A1360,14)</f>
        <v>1</v>
      </c>
      <c r="E1360">
        <f>VLOOKUP(D1360,L$2:M$8,2,FALSE)</f>
        <v>0</v>
      </c>
      <c r="F1360">
        <f t="shared" si="63"/>
        <v>1</v>
      </c>
      <c r="G1360">
        <f>IF(F1360&gt;F1359,G1359+B1360*E1360,B1360*E1360)</f>
        <v>0</v>
      </c>
      <c r="H1360">
        <f t="shared" si="64"/>
        <v>0</v>
      </c>
      <c r="I1360">
        <f t="shared" si="65"/>
        <v>3.8862724999999996</v>
      </c>
    </row>
    <row r="1361" spans="1:9">
      <c r="A1361" s="1">
        <v>40704</v>
      </c>
      <c r="B1361">
        <v>3.89696</v>
      </c>
      <c r="C1361">
        <v>4.4249999999999998</v>
      </c>
      <c r="D1361">
        <f>WEEKDAY(A1361,14)</f>
        <v>2</v>
      </c>
      <c r="E1361">
        <f>VLOOKUP(D1361,L$2:M$8,2,FALSE)</f>
        <v>0</v>
      </c>
      <c r="F1361">
        <f t="shared" si="63"/>
        <v>2</v>
      </c>
      <c r="G1361">
        <f>IF(F1361&gt;F1360,G1360+B1361*E1361,B1361*E1361)</f>
        <v>0</v>
      </c>
      <c r="H1361">
        <f t="shared" si="64"/>
        <v>0</v>
      </c>
      <c r="I1361">
        <f t="shared" si="65"/>
        <v>0</v>
      </c>
    </row>
    <row r="1362" spans="1:9">
      <c r="A1362" s="1">
        <v>40707</v>
      </c>
      <c r="B1362">
        <v>3.90679</v>
      </c>
      <c r="C1362">
        <v>4.4249999999999998</v>
      </c>
      <c r="D1362">
        <f>WEEKDAY(A1362,14)</f>
        <v>5</v>
      </c>
      <c r="E1362">
        <f>VLOOKUP(D1362,L$2:M$8,2,FALSE)</f>
        <v>0.05</v>
      </c>
      <c r="F1362">
        <f t="shared" si="63"/>
        <v>3</v>
      </c>
      <c r="G1362">
        <f>IF(F1362&gt;F1361,G1361+B1362*E1362,B1362*E1362)</f>
        <v>0.1953395</v>
      </c>
      <c r="H1362">
        <f t="shared" si="64"/>
        <v>0.05</v>
      </c>
      <c r="I1362">
        <f t="shared" si="65"/>
        <v>0</v>
      </c>
    </row>
    <row r="1363" spans="1:9">
      <c r="A1363" s="1">
        <v>40708</v>
      </c>
      <c r="B1363">
        <v>3.9753400000000001</v>
      </c>
      <c r="C1363">
        <v>4.4249999999999998</v>
      </c>
      <c r="D1363">
        <f>WEEKDAY(A1363,14)</f>
        <v>6</v>
      </c>
      <c r="E1363">
        <f>VLOOKUP(D1363,L$2:M$8,2,FALSE)</f>
        <v>0.7</v>
      </c>
      <c r="F1363">
        <f t="shared" si="63"/>
        <v>4</v>
      </c>
      <c r="G1363">
        <f>IF(F1363&gt;F1362,G1362+B1363*E1363,B1363*E1363)</f>
        <v>2.9780774999999995</v>
      </c>
      <c r="H1363">
        <f t="shared" si="64"/>
        <v>0.75</v>
      </c>
      <c r="I1363">
        <f t="shared" si="65"/>
        <v>0</v>
      </c>
    </row>
    <row r="1364" spans="1:9">
      <c r="A1364" s="1">
        <v>40709</v>
      </c>
      <c r="B1364">
        <v>3.9058999999999999</v>
      </c>
      <c r="C1364">
        <v>4.4249999999999998</v>
      </c>
      <c r="D1364">
        <f>WEEKDAY(A1364,14)</f>
        <v>7</v>
      </c>
      <c r="E1364">
        <f>VLOOKUP(D1364,L$2:M$8,2,FALSE)</f>
        <v>0.25</v>
      </c>
      <c r="F1364">
        <f t="shared" si="63"/>
        <v>5</v>
      </c>
      <c r="G1364">
        <f>IF(F1364&gt;F1363,G1363+B1364*E1364,B1364*E1364)</f>
        <v>3.9545524999999992</v>
      </c>
      <c r="H1364">
        <f t="shared" si="64"/>
        <v>1</v>
      </c>
      <c r="I1364">
        <f t="shared" si="65"/>
        <v>0</v>
      </c>
    </row>
    <row r="1365" spans="1:9">
      <c r="A1365" s="1">
        <v>40710</v>
      </c>
      <c r="B1365">
        <v>3.8841600000000001</v>
      </c>
      <c r="C1365">
        <v>4.45</v>
      </c>
      <c r="D1365">
        <f>WEEKDAY(A1365,14)</f>
        <v>1</v>
      </c>
      <c r="E1365">
        <f>VLOOKUP(D1365,L$2:M$8,2,FALSE)</f>
        <v>0</v>
      </c>
      <c r="F1365">
        <f t="shared" si="63"/>
        <v>1</v>
      </c>
      <c r="G1365">
        <f>IF(F1365&gt;F1364,G1364+B1365*E1365,B1365*E1365)</f>
        <v>0</v>
      </c>
      <c r="H1365">
        <f t="shared" si="64"/>
        <v>0</v>
      </c>
      <c r="I1365">
        <f t="shared" si="65"/>
        <v>3.9545524999999992</v>
      </c>
    </row>
    <row r="1366" spans="1:9">
      <c r="A1366" s="1">
        <v>40711</v>
      </c>
      <c r="B1366">
        <v>3.9054700000000002</v>
      </c>
      <c r="C1366">
        <v>4.45</v>
      </c>
      <c r="D1366">
        <f>WEEKDAY(A1366,14)</f>
        <v>2</v>
      </c>
      <c r="E1366">
        <f>VLOOKUP(D1366,L$2:M$8,2,FALSE)</f>
        <v>0</v>
      </c>
      <c r="F1366">
        <f t="shared" si="63"/>
        <v>2</v>
      </c>
      <c r="G1366">
        <f>IF(F1366&gt;F1365,G1365+B1366*E1366,B1366*E1366)</f>
        <v>0</v>
      </c>
      <c r="H1366">
        <f t="shared" si="64"/>
        <v>0</v>
      </c>
      <c r="I1366">
        <f t="shared" si="65"/>
        <v>0</v>
      </c>
    </row>
    <row r="1367" spans="1:9">
      <c r="A1367" s="1">
        <v>40714</v>
      </c>
      <c r="B1367">
        <v>3.92605</v>
      </c>
      <c r="C1367">
        <v>4.45</v>
      </c>
      <c r="D1367">
        <f>WEEKDAY(A1367,14)</f>
        <v>5</v>
      </c>
      <c r="E1367">
        <f>VLOOKUP(D1367,L$2:M$8,2,FALSE)</f>
        <v>0.05</v>
      </c>
      <c r="F1367">
        <f t="shared" si="63"/>
        <v>3</v>
      </c>
      <c r="G1367">
        <f>IF(F1367&gt;F1366,G1366+B1367*E1367,B1367*E1367)</f>
        <v>0.19630250000000002</v>
      </c>
      <c r="H1367">
        <f t="shared" si="64"/>
        <v>0.05</v>
      </c>
      <c r="I1367">
        <f t="shared" si="65"/>
        <v>0</v>
      </c>
    </row>
    <row r="1368" spans="1:9">
      <c r="A1368" s="1">
        <v>40715</v>
      </c>
      <c r="B1368">
        <v>3.9333499999999999</v>
      </c>
      <c r="C1368">
        <v>4.45</v>
      </c>
      <c r="D1368">
        <f>WEEKDAY(A1368,14)</f>
        <v>6</v>
      </c>
      <c r="E1368">
        <f>VLOOKUP(D1368,L$2:M$8,2,FALSE)</f>
        <v>0.7</v>
      </c>
      <c r="F1368">
        <f t="shared" si="63"/>
        <v>4</v>
      </c>
      <c r="G1368">
        <f>IF(F1368&gt;F1367,G1367+B1368*E1368,B1368*E1368)</f>
        <v>2.9496474999999998</v>
      </c>
      <c r="H1368">
        <f t="shared" si="64"/>
        <v>0.75</v>
      </c>
      <c r="I1368">
        <f t="shared" si="65"/>
        <v>0</v>
      </c>
    </row>
    <row r="1369" spans="1:9">
      <c r="A1369" s="1">
        <v>40716</v>
      </c>
      <c r="B1369">
        <v>3.91031</v>
      </c>
      <c r="C1369">
        <v>4.45</v>
      </c>
      <c r="D1369">
        <f>WEEKDAY(A1369,14)</f>
        <v>7</v>
      </c>
      <c r="E1369">
        <f>VLOOKUP(D1369,L$2:M$8,2,FALSE)</f>
        <v>0.25</v>
      </c>
      <c r="F1369">
        <f t="shared" si="63"/>
        <v>5</v>
      </c>
      <c r="G1369">
        <f>IF(F1369&gt;F1368,G1368+B1369*E1369,B1369*E1369)</f>
        <v>3.927225</v>
      </c>
      <c r="H1369">
        <f t="shared" si="64"/>
        <v>1</v>
      </c>
      <c r="I1369">
        <f t="shared" si="65"/>
        <v>0</v>
      </c>
    </row>
    <row r="1370" spans="1:9">
      <c r="A1370" s="1">
        <v>40717</v>
      </c>
      <c r="B1370">
        <v>3.84233</v>
      </c>
      <c r="C1370">
        <v>4.4349999999999996</v>
      </c>
      <c r="D1370">
        <f>WEEKDAY(A1370,14)</f>
        <v>1</v>
      </c>
      <c r="E1370">
        <f>VLOOKUP(D1370,L$2:M$8,2,FALSE)</f>
        <v>0</v>
      </c>
      <c r="F1370">
        <f t="shared" si="63"/>
        <v>1</v>
      </c>
      <c r="G1370">
        <f>IF(F1370&gt;F1369,G1369+B1370*E1370,B1370*E1370)</f>
        <v>0</v>
      </c>
      <c r="H1370">
        <f t="shared" si="64"/>
        <v>0</v>
      </c>
      <c r="I1370">
        <f t="shared" si="65"/>
        <v>3.927225</v>
      </c>
    </row>
    <row r="1371" spans="1:9">
      <c r="A1371" s="1">
        <v>40718</v>
      </c>
      <c r="B1371">
        <v>3.84131</v>
      </c>
      <c r="C1371">
        <v>4.4349999999999996</v>
      </c>
      <c r="D1371">
        <f>WEEKDAY(A1371,14)</f>
        <v>2</v>
      </c>
      <c r="E1371">
        <f>VLOOKUP(D1371,L$2:M$8,2,FALSE)</f>
        <v>0</v>
      </c>
      <c r="F1371">
        <f t="shared" si="63"/>
        <v>2</v>
      </c>
      <c r="G1371">
        <f>IF(F1371&gt;F1370,G1370+B1371*E1371,B1371*E1371)</f>
        <v>0</v>
      </c>
      <c r="H1371">
        <f t="shared" si="64"/>
        <v>0</v>
      </c>
      <c r="I1371">
        <f t="shared" si="65"/>
        <v>0</v>
      </c>
    </row>
    <row r="1372" spans="1:9">
      <c r="A1372" s="1">
        <v>40721</v>
      </c>
      <c r="B1372">
        <v>3.8851499999999999</v>
      </c>
      <c r="C1372">
        <v>4.4349999999999996</v>
      </c>
      <c r="D1372">
        <f>WEEKDAY(A1372,14)</f>
        <v>5</v>
      </c>
      <c r="E1372">
        <f>VLOOKUP(D1372,L$2:M$8,2,FALSE)</f>
        <v>0.05</v>
      </c>
      <c r="F1372">
        <f t="shared" si="63"/>
        <v>3</v>
      </c>
      <c r="G1372">
        <f>IF(F1372&gt;F1371,G1371+B1372*E1372,B1372*E1372)</f>
        <v>0.1942575</v>
      </c>
      <c r="H1372">
        <f t="shared" si="64"/>
        <v>0.05</v>
      </c>
      <c r="I1372">
        <f t="shared" si="65"/>
        <v>0</v>
      </c>
    </row>
    <row r="1373" spans="1:9">
      <c r="A1373" s="1">
        <v>40722</v>
      </c>
      <c r="B1373">
        <v>3.9645899999999998</v>
      </c>
      <c r="C1373">
        <v>4.4349999999999996</v>
      </c>
      <c r="D1373">
        <f>WEEKDAY(A1373,14)</f>
        <v>6</v>
      </c>
      <c r="E1373">
        <f>VLOOKUP(D1373,L$2:M$8,2,FALSE)</f>
        <v>0.7</v>
      </c>
      <c r="F1373">
        <f t="shared" si="63"/>
        <v>4</v>
      </c>
      <c r="G1373">
        <f>IF(F1373&gt;F1372,G1372+B1373*E1373,B1373*E1373)</f>
        <v>2.9694704999999999</v>
      </c>
      <c r="H1373">
        <f t="shared" si="64"/>
        <v>0.75</v>
      </c>
      <c r="I1373">
        <f t="shared" si="65"/>
        <v>0</v>
      </c>
    </row>
    <row r="1374" spans="1:9">
      <c r="A1374" s="1">
        <v>40723</v>
      </c>
      <c r="B1374">
        <v>3.9900699999999998</v>
      </c>
      <c r="C1374">
        <v>4.4349999999999996</v>
      </c>
      <c r="D1374">
        <f>WEEKDAY(A1374,14)</f>
        <v>7</v>
      </c>
      <c r="E1374">
        <f>VLOOKUP(D1374,L$2:M$8,2,FALSE)</f>
        <v>0.25</v>
      </c>
      <c r="F1374">
        <f t="shared" si="63"/>
        <v>5</v>
      </c>
      <c r="G1374">
        <f>IF(F1374&gt;F1373,G1373+B1374*E1374,B1374*E1374)</f>
        <v>3.9669879999999997</v>
      </c>
      <c r="H1374">
        <f t="shared" si="64"/>
        <v>1</v>
      </c>
      <c r="I1374">
        <f t="shared" si="65"/>
        <v>0</v>
      </c>
    </row>
    <row r="1375" spans="1:9">
      <c r="A1375" s="1">
        <v>40724</v>
      </c>
      <c r="B1375">
        <v>4.02102</v>
      </c>
      <c r="C1375">
        <v>4.5250000000000004</v>
      </c>
      <c r="D1375">
        <f>WEEKDAY(A1375,14)</f>
        <v>1</v>
      </c>
      <c r="E1375">
        <f>VLOOKUP(D1375,L$2:M$8,2,FALSE)</f>
        <v>0</v>
      </c>
      <c r="F1375">
        <f t="shared" si="63"/>
        <v>1</v>
      </c>
      <c r="G1375">
        <f>IF(F1375&gt;F1374,G1374+B1375*E1375,B1375*E1375)</f>
        <v>0</v>
      </c>
      <c r="H1375">
        <f t="shared" si="64"/>
        <v>0</v>
      </c>
      <c r="I1375">
        <f t="shared" si="65"/>
        <v>3.9669879999999997</v>
      </c>
    </row>
    <row r="1376" spans="1:9">
      <c r="A1376" s="1">
        <v>40725</v>
      </c>
      <c r="B1376">
        <v>4.0494899999999996</v>
      </c>
      <c r="C1376">
        <v>4.5250000000000004</v>
      </c>
      <c r="D1376">
        <f>WEEKDAY(A1376,14)</f>
        <v>2</v>
      </c>
      <c r="E1376">
        <f>VLOOKUP(D1376,L$2:M$8,2,FALSE)</f>
        <v>0</v>
      </c>
      <c r="F1376">
        <f t="shared" si="63"/>
        <v>2</v>
      </c>
      <c r="G1376">
        <f>IF(F1376&gt;F1375,G1375+B1376*E1376,B1376*E1376)</f>
        <v>0</v>
      </c>
      <c r="H1376">
        <f t="shared" si="64"/>
        <v>0</v>
      </c>
      <c r="I1376">
        <f t="shared" si="65"/>
        <v>0</v>
      </c>
    </row>
    <row r="1377" spans="1:9">
      <c r="A1377" s="1">
        <v>40729</v>
      </c>
      <c r="B1377">
        <v>4.0109300000000001</v>
      </c>
      <c r="C1377">
        <v>4.5250000000000004</v>
      </c>
      <c r="D1377">
        <f>WEEKDAY(A1377,14)</f>
        <v>6</v>
      </c>
      <c r="E1377">
        <f>VLOOKUP(D1377,L$2:M$8,2,FALSE)</f>
        <v>0.7</v>
      </c>
      <c r="F1377">
        <f t="shared" si="63"/>
        <v>3</v>
      </c>
      <c r="G1377">
        <f>IF(F1377&gt;F1376,G1376+B1377*E1377,B1377*E1377)</f>
        <v>2.8076509999999999</v>
      </c>
      <c r="H1377">
        <f t="shared" si="64"/>
        <v>0.7</v>
      </c>
      <c r="I1377">
        <f t="shared" si="65"/>
        <v>0</v>
      </c>
    </row>
    <row r="1378" spans="1:9">
      <c r="A1378" s="1">
        <v>40730</v>
      </c>
      <c r="B1378">
        <v>4.00075</v>
      </c>
      <c r="C1378">
        <v>4.5250000000000004</v>
      </c>
      <c r="D1378">
        <f>WEEKDAY(A1378,14)</f>
        <v>7</v>
      </c>
      <c r="E1378">
        <f>VLOOKUP(D1378,L$2:M$8,2,FALSE)</f>
        <v>0.25</v>
      </c>
      <c r="F1378">
        <f t="shared" si="63"/>
        <v>4</v>
      </c>
      <c r="G1378">
        <f>IF(F1378&gt;F1377,G1377+B1378*E1378,B1378*E1378)</f>
        <v>3.8078384999999999</v>
      </c>
      <c r="H1378">
        <f t="shared" si="64"/>
        <v>0.95</v>
      </c>
      <c r="I1378">
        <f t="shared" si="65"/>
        <v>0</v>
      </c>
    </row>
    <row r="1379" spans="1:9">
      <c r="A1379" s="1">
        <v>40731</v>
      </c>
      <c r="B1379">
        <v>4.0552999999999999</v>
      </c>
      <c r="C1379">
        <v>4.4349999999999996</v>
      </c>
      <c r="D1379">
        <f>WEEKDAY(A1379,14)</f>
        <v>1</v>
      </c>
      <c r="E1379">
        <f>VLOOKUP(D1379,L$2:M$8,2,FALSE)</f>
        <v>0</v>
      </c>
      <c r="F1379">
        <f t="shared" si="63"/>
        <v>1</v>
      </c>
      <c r="G1379">
        <f>IF(F1379&gt;F1378,G1378+B1379*E1379,B1379*E1379)</f>
        <v>0</v>
      </c>
      <c r="H1379">
        <f t="shared" si="64"/>
        <v>0</v>
      </c>
      <c r="I1379">
        <f t="shared" si="65"/>
        <v>4.0082510526315787</v>
      </c>
    </row>
    <row r="1380" spans="1:9">
      <c r="A1380" s="1">
        <v>40732</v>
      </c>
      <c r="B1380">
        <v>3.9560399999999998</v>
      </c>
      <c r="C1380">
        <v>4.4349999999999996</v>
      </c>
      <c r="D1380">
        <f>WEEKDAY(A1380,14)</f>
        <v>2</v>
      </c>
      <c r="E1380">
        <f>VLOOKUP(D1380,L$2:M$8,2,FALSE)</f>
        <v>0</v>
      </c>
      <c r="F1380">
        <f t="shared" si="63"/>
        <v>2</v>
      </c>
      <c r="G1380">
        <f>IF(F1380&gt;F1379,G1379+B1380*E1380,B1380*E1380)</f>
        <v>0</v>
      </c>
      <c r="H1380">
        <f t="shared" si="64"/>
        <v>0</v>
      </c>
      <c r="I1380">
        <f t="shared" si="65"/>
        <v>0</v>
      </c>
    </row>
    <row r="1381" spans="1:9">
      <c r="A1381" s="1">
        <v>40735</v>
      </c>
      <c r="B1381">
        <v>3.91248</v>
      </c>
      <c r="C1381">
        <v>4.4349999999999996</v>
      </c>
      <c r="D1381">
        <f>WEEKDAY(A1381,14)</f>
        <v>5</v>
      </c>
      <c r="E1381">
        <f>VLOOKUP(D1381,L$2:M$8,2,FALSE)</f>
        <v>0.05</v>
      </c>
      <c r="F1381">
        <f t="shared" si="63"/>
        <v>3</v>
      </c>
      <c r="G1381">
        <f>IF(F1381&gt;F1380,G1380+B1381*E1381,B1381*E1381)</f>
        <v>0.19562400000000002</v>
      </c>
      <c r="H1381">
        <f t="shared" si="64"/>
        <v>0.05</v>
      </c>
      <c r="I1381">
        <f t="shared" si="65"/>
        <v>0</v>
      </c>
    </row>
    <row r="1382" spans="1:9">
      <c r="A1382" s="1">
        <v>40736</v>
      </c>
      <c r="B1382">
        <v>3.89941</v>
      </c>
      <c r="C1382">
        <v>4.4349999999999996</v>
      </c>
      <c r="D1382">
        <f>WEEKDAY(A1382,14)</f>
        <v>6</v>
      </c>
      <c r="E1382">
        <f>VLOOKUP(D1382,L$2:M$8,2,FALSE)</f>
        <v>0.7</v>
      </c>
      <c r="F1382">
        <f t="shared" si="63"/>
        <v>4</v>
      </c>
      <c r="G1382">
        <f>IF(F1382&gt;F1381,G1381+B1382*E1382,B1382*E1382)</f>
        <v>2.925211</v>
      </c>
      <c r="H1382">
        <f t="shared" si="64"/>
        <v>0.75</v>
      </c>
      <c r="I1382">
        <f t="shared" si="65"/>
        <v>0</v>
      </c>
    </row>
    <row r="1383" spans="1:9">
      <c r="A1383" s="1">
        <v>40737</v>
      </c>
      <c r="B1383">
        <v>3.8643200000000002</v>
      </c>
      <c r="C1383">
        <v>4.4349999999999996</v>
      </c>
      <c r="D1383">
        <f>WEEKDAY(A1383,14)</f>
        <v>7</v>
      </c>
      <c r="E1383">
        <f>VLOOKUP(D1383,L$2:M$8,2,FALSE)</f>
        <v>0.25</v>
      </c>
      <c r="F1383">
        <f t="shared" si="63"/>
        <v>5</v>
      </c>
      <c r="G1383">
        <f>IF(F1383&gt;F1382,G1382+B1383*E1383,B1383*E1383)</f>
        <v>3.8912909999999998</v>
      </c>
      <c r="H1383">
        <f t="shared" si="64"/>
        <v>1</v>
      </c>
      <c r="I1383">
        <f t="shared" si="65"/>
        <v>0</v>
      </c>
    </row>
    <row r="1384" spans="1:9">
      <c r="A1384" s="1">
        <v>40738</v>
      </c>
      <c r="B1384">
        <v>3.8985400000000001</v>
      </c>
      <c r="C1384">
        <v>4.4450000000000003</v>
      </c>
      <c r="D1384">
        <f>WEEKDAY(A1384,14)</f>
        <v>1</v>
      </c>
      <c r="E1384">
        <f>VLOOKUP(D1384,L$2:M$8,2,FALSE)</f>
        <v>0</v>
      </c>
      <c r="F1384">
        <f t="shared" si="63"/>
        <v>1</v>
      </c>
      <c r="G1384">
        <f>IF(F1384&gt;F1383,G1383+B1384*E1384,B1384*E1384)</f>
        <v>0</v>
      </c>
      <c r="H1384">
        <f t="shared" si="64"/>
        <v>0</v>
      </c>
      <c r="I1384">
        <f t="shared" si="65"/>
        <v>3.8912909999999998</v>
      </c>
    </row>
    <row r="1385" spans="1:9">
      <c r="A1385" s="1">
        <v>40739</v>
      </c>
      <c r="B1385">
        <v>3.88293</v>
      </c>
      <c r="C1385">
        <v>4.4450000000000003</v>
      </c>
      <c r="D1385">
        <f>WEEKDAY(A1385,14)</f>
        <v>2</v>
      </c>
      <c r="E1385">
        <f>VLOOKUP(D1385,L$2:M$8,2,FALSE)</f>
        <v>0</v>
      </c>
      <c r="F1385">
        <f t="shared" si="63"/>
        <v>2</v>
      </c>
      <c r="G1385">
        <f>IF(F1385&gt;F1384,G1384+B1385*E1385,B1385*E1385)</f>
        <v>0</v>
      </c>
      <c r="H1385">
        <f t="shared" si="64"/>
        <v>0</v>
      </c>
      <c r="I1385">
        <f t="shared" si="65"/>
        <v>0</v>
      </c>
    </row>
    <row r="1386" spans="1:9">
      <c r="A1386" s="1">
        <v>40742</v>
      </c>
      <c r="B1386">
        <v>3.91431</v>
      </c>
      <c r="C1386">
        <v>4.4450000000000003</v>
      </c>
      <c r="D1386">
        <f>WEEKDAY(A1386,14)</f>
        <v>5</v>
      </c>
      <c r="E1386">
        <f>VLOOKUP(D1386,L$2:M$8,2,FALSE)</f>
        <v>0.05</v>
      </c>
      <c r="F1386">
        <f t="shared" si="63"/>
        <v>3</v>
      </c>
      <c r="G1386">
        <f>IF(F1386&gt;F1385,G1385+B1386*E1386,B1386*E1386)</f>
        <v>0.19571550000000001</v>
      </c>
      <c r="H1386">
        <f t="shared" si="64"/>
        <v>0.05</v>
      </c>
      <c r="I1386">
        <f t="shared" si="65"/>
        <v>0</v>
      </c>
    </row>
    <row r="1387" spans="1:9">
      <c r="A1387" s="1">
        <v>40743</v>
      </c>
      <c r="B1387">
        <v>3.9028999999999998</v>
      </c>
      <c r="C1387">
        <v>4.4450000000000003</v>
      </c>
      <c r="D1387">
        <f>WEEKDAY(A1387,14)</f>
        <v>6</v>
      </c>
      <c r="E1387">
        <f>VLOOKUP(D1387,L$2:M$8,2,FALSE)</f>
        <v>0.7</v>
      </c>
      <c r="F1387">
        <f t="shared" si="63"/>
        <v>4</v>
      </c>
      <c r="G1387">
        <f>IF(F1387&gt;F1386,G1386+B1387*E1387,B1387*E1387)</f>
        <v>2.9277454999999994</v>
      </c>
      <c r="H1387">
        <f t="shared" si="64"/>
        <v>0.75</v>
      </c>
      <c r="I1387">
        <f t="shared" si="65"/>
        <v>0</v>
      </c>
    </row>
    <row r="1388" spans="1:9">
      <c r="A1388" s="1">
        <v>40744</v>
      </c>
      <c r="B1388">
        <v>3.91472</v>
      </c>
      <c r="C1388">
        <v>4.4450000000000003</v>
      </c>
      <c r="D1388">
        <f>WEEKDAY(A1388,14)</f>
        <v>7</v>
      </c>
      <c r="E1388">
        <f>VLOOKUP(D1388,L$2:M$8,2,FALSE)</f>
        <v>0.25</v>
      </c>
      <c r="F1388">
        <f t="shared" si="63"/>
        <v>5</v>
      </c>
      <c r="G1388">
        <f>IF(F1388&gt;F1387,G1387+B1388*E1388,B1388*E1388)</f>
        <v>3.9064254999999992</v>
      </c>
      <c r="H1388">
        <f t="shared" si="64"/>
        <v>1</v>
      </c>
      <c r="I1388">
        <f t="shared" si="65"/>
        <v>0</v>
      </c>
    </row>
    <row r="1389" spans="1:9">
      <c r="A1389" s="1">
        <v>40745</v>
      </c>
      <c r="B1389">
        <v>3.9504299999999999</v>
      </c>
      <c r="C1389">
        <v>4.5</v>
      </c>
      <c r="D1389">
        <f>WEEKDAY(A1389,14)</f>
        <v>1</v>
      </c>
      <c r="E1389">
        <f>VLOOKUP(D1389,L$2:M$8,2,FALSE)</f>
        <v>0</v>
      </c>
      <c r="F1389">
        <f t="shared" si="63"/>
        <v>1</v>
      </c>
      <c r="G1389">
        <f>IF(F1389&gt;F1388,G1388+B1389*E1389,B1389*E1389)</f>
        <v>0</v>
      </c>
      <c r="H1389">
        <f t="shared" si="64"/>
        <v>0</v>
      </c>
      <c r="I1389">
        <f t="shared" si="65"/>
        <v>3.9064254999999992</v>
      </c>
    </row>
    <row r="1390" spans="1:9">
      <c r="A1390" s="1">
        <v>40746</v>
      </c>
      <c r="B1390">
        <v>3.9256600000000001</v>
      </c>
      <c r="C1390">
        <v>4.5</v>
      </c>
      <c r="D1390">
        <f>WEEKDAY(A1390,14)</f>
        <v>2</v>
      </c>
      <c r="E1390">
        <f>VLOOKUP(D1390,L$2:M$8,2,FALSE)</f>
        <v>0</v>
      </c>
      <c r="F1390">
        <f t="shared" si="63"/>
        <v>2</v>
      </c>
      <c r="G1390">
        <f>IF(F1390&gt;F1389,G1389+B1390*E1390,B1390*E1390)</f>
        <v>0</v>
      </c>
      <c r="H1390">
        <f t="shared" si="64"/>
        <v>0</v>
      </c>
      <c r="I1390">
        <f t="shared" si="65"/>
        <v>0</v>
      </c>
    </row>
    <row r="1391" spans="1:9">
      <c r="A1391" s="1">
        <v>40749</v>
      </c>
      <c r="B1391">
        <v>3.9604699999999999</v>
      </c>
      <c r="C1391">
        <v>4.5</v>
      </c>
      <c r="D1391">
        <f>WEEKDAY(A1391,14)</f>
        <v>5</v>
      </c>
      <c r="E1391">
        <f>VLOOKUP(D1391,L$2:M$8,2,FALSE)</f>
        <v>0.05</v>
      </c>
      <c r="F1391">
        <f t="shared" si="63"/>
        <v>3</v>
      </c>
      <c r="G1391">
        <f>IF(F1391&gt;F1390,G1390+B1391*E1391,B1391*E1391)</f>
        <v>0.19802350000000002</v>
      </c>
      <c r="H1391">
        <f t="shared" si="64"/>
        <v>0.05</v>
      </c>
      <c r="I1391">
        <f t="shared" si="65"/>
        <v>0</v>
      </c>
    </row>
    <row r="1392" spans="1:9">
      <c r="A1392" s="1">
        <v>40750</v>
      </c>
      <c r="B1392">
        <v>3.9318</v>
      </c>
      <c r="C1392">
        <v>4.5</v>
      </c>
      <c r="D1392">
        <f>WEEKDAY(A1392,14)</f>
        <v>6</v>
      </c>
      <c r="E1392">
        <f>VLOOKUP(D1392,L$2:M$8,2,FALSE)</f>
        <v>0.7</v>
      </c>
      <c r="F1392">
        <f t="shared" si="63"/>
        <v>4</v>
      </c>
      <c r="G1392">
        <f>IF(F1392&gt;F1391,G1391+B1392*E1392,B1392*E1392)</f>
        <v>2.9502834999999998</v>
      </c>
      <c r="H1392">
        <f t="shared" si="64"/>
        <v>0.75</v>
      </c>
      <c r="I1392">
        <f t="shared" si="65"/>
        <v>0</v>
      </c>
    </row>
    <row r="1393" spans="1:9">
      <c r="A1393" s="1">
        <v>40751</v>
      </c>
      <c r="B1393">
        <v>3.97403</v>
      </c>
      <c r="C1393">
        <v>4.5</v>
      </c>
      <c r="D1393">
        <f>WEEKDAY(A1393,14)</f>
        <v>7</v>
      </c>
      <c r="E1393">
        <f>VLOOKUP(D1393,L$2:M$8,2,FALSE)</f>
        <v>0.25</v>
      </c>
      <c r="F1393">
        <f t="shared" si="63"/>
        <v>5</v>
      </c>
      <c r="G1393">
        <f>IF(F1393&gt;F1392,G1392+B1393*E1393,B1393*E1393)</f>
        <v>3.943791</v>
      </c>
      <c r="H1393">
        <f t="shared" si="64"/>
        <v>1</v>
      </c>
      <c r="I1393">
        <f t="shared" si="65"/>
        <v>0</v>
      </c>
    </row>
    <row r="1394" spans="1:9">
      <c r="A1394" s="1">
        <v>40752</v>
      </c>
      <c r="B1394">
        <v>3.9324300000000001</v>
      </c>
      <c r="C1394">
        <v>4.34</v>
      </c>
      <c r="D1394">
        <f>WEEKDAY(A1394,14)</f>
        <v>1</v>
      </c>
      <c r="E1394">
        <f>VLOOKUP(D1394,L$2:M$8,2,FALSE)</f>
        <v>0</v>
      </c>
      <c r="F1394">
        <f t="shared" si="63"/>
        <v>1</v>
      </c>
      <c r="G1394">
        <f>IF(F1394&gt;F1393,G1393+B1394*E1394,B1394*E1394)</f>
        <v>0</v>
      </c>
      <c r="H1394">
        <f t="shared" si="64"/>
        <v>0</v>
      </c>
      <c r="I1394">
        <f t="shared" si="65"/>
        <v>3.943791</v>
      </c>
    </row>
    <row r="1395" spans="1:9">
      <c r="A1395" s="1">
        <v>40753</v>
      </c>
      <c r="B1395">
        <v>3.8088199999999999</v>
      </c>
      <c r="C1395">
        <v>4.34</v>
      </c>
      <c r="D1395">
        <f>WEEKDAY(A1395,14)</f>
        <v>2</v>
      </c>
      <c r="E1395">
        <f>VLOOKUP(D1395,L$2:M$8,2,FALSE)</f>
        <v>0</v>
      </c>
      <c r="F1395">
        <f t="shared" si="63"/>
        <v>2</v>
      </c>
      <c r="G1395">
        <f>IF(F1395&gt;F1394,G1394+B1395*E1395,B1395*E1395)</f>
        <v>0</v>
      </c>
      <c r="H1395">
        <f t="shared" si="64"/>
        <v>0</v>
      </c>
      <c r="I1395">
        <f t="shared" si="65"/>
        <v>0</v>
      </c>
    </row>
    <row r="1396" spans="1:9">
      <c r="A1396" s="1">
        <v>40756</v>
      </c>
      <c r="B1396">
        <v>3.7644700000000002</v>
      </c>
      <c r="C1396">
        <v>4.34</v>
      </c>
      <c r="D1396">
        <f>WEEKDAY(A1396,14)</f>
        <v>5</v>
      </c>
      <c r="E1396">
        <f>VLOOKUP(D1396,L$2:M$8,2,FALSE)</f>
        <v>0.05</v>
      </c>
      <c r="F1396">
        <f t="shared" si="63"/>
        <v>3</v>
      </c>
      <c r="G1396">
        <f>IF(F1396&gt;F1395,G1395+B1396*E1396,B1396*E1396)</f>
        <v>0.18822350000000002</v>
      </c>
      <c r="H1396">
        <f t="shared" si="64"/>
        <v>0.05</v>
      </c>
      <c r="I1396">
        <f t="shared" si="65"/>
        <v>0</v>
      </c>
    </row>
    <row r="1397" spans="1:9">
      <c r="A1397" s="1">
        <v>40757</v>
      </c>
      <c r="B1397">
        <v>3.6570900000000002</v>
      </c>
      <c r="C1397">
        <v>4.34</v>
      </c>
      <c r="D1397">
        <f>WEEKDAY(A1397,14)</f>
        <v>6</v>
      </c>
      <c r="E1397">
        <f>VLOOKUP(D1397,L$2:M$8,2,FALSE)</f>
        <v>0.7</v>
      </c>
      <c r="F1397">
        <f t="shared" si="63"/>
        <v>4</v>
      </c>
      <c r="G1397">
        <f>IF(F1397&gt;F1396,G1396+B1397*E1397,B1397*E1397)</f>
        <v>2.7481864999999996</v>
      </c>
      <c r="H1397">
        <f t="shared" si="64"/>
        <v>0.75</v>
      </c>
      <c r="I1397">
        <f t="shared" si="65"/>
        <v>0</v>
      </c>
    </row>
    <row r="1398" spans="1:9">
      <c r="A1398" s="1">
        <v>40758</v>
      </c>
      <c r="B1398">
        <v>3.6149900000000001</v>
      </c>
      <c r="C1398">
        <v>4.34</v>
      </c>
      <c r="D1398">
        <f>WEEKDAY(A1398,14)</f>
        <v>7</v>
      </c>
      <c r="E1398">
        <f>VLOOKUP(D1398,L$2:M$8,2,FALSE)</f>
        <v>0.25</v>
      </c>
      <c r="F1398">
        <f t="shared" si="63"/>
        <v>5</v>
      </c>
      <c r="G1398">
        <f>IF(F1398&gt;F1397,G1397+B1398*E1398,B1398*E1398)</f>
        <v>3.6519339999999998</v>
      </c>
      <c r="H1398">
        <f t="shared" si="64"/>
        <v>1</v>
      </c>
      <c r="I1398">
        <f t="shared" si="65"/>
        <v>0</v>
      </c>
    </row>
    <row r="1399" spans="1:9">
      <c r="A1399" s="1">
        <v>40759</v>
      </c>
      <c r="B1399">
        <v>3.4866000000000001</v>
      </c>
      <c r="C1399">
        <v>4.2450000000000001</v>
      </c>
      <c r="D1399">
        <f>WEEKDAY(A1399,14)</f>
        <v>1</v>
      </c>
      <c r="E1399">
        <f>VLOOKUP(D1399,L$2:M$8,2,FALSE)</f>
        <v>0</v>
      </c>
      <c r="F1399">
        <f t="shared" si="63"/>
        <v>1</v>
      </c>
      <c r="G1399">
        <f>IF(F1399&gt;F1398,G1398+B1399*E1399,B1399*E1399)</f>
        <v>0</v>
      </c>
      <c r="H1399">
        <f t="shared" si="64"/>
        <v>0</v>
      </c>
      <c r="I1399">
        <f t="shared" si="65"/>
        <v>3.6519339999999998</v>
      </c>
    </row>
    <row r="1400" spans="1:9">
      <c r="A1400" s="1">
        <v>40760</v>
      </c>
      <c r="B1400">
        <v>3.6494399999999998</v>
      </c>
      <c r="C1400">
        <v>4.2450000000000001</v>
      </c>
      <c r="D1400">
        <f>WEEKDAY(A1400,14)</f>
        <v>2</v>
      </c>
      <c r="E1400">
        <f>VLOOKUP(D1400,L$2:M$8,2,FALSE)</f>
        <v>0</v>
      </c>
      <c r="F1400">
        <f t="shared" si="63"/>
        <v>2</v>
      </c>
      <c r="G1400">
        <f>IF(F1400&gt;F1399,G1399+B1400*E1400,B1400*E1400)</f>
        <v>0</v>
      </c>
      <c r="H1400">
        <f t="shared" si="64"/>
        <v>0</v>
      </c>
      <c r="I1400">
        <f t="shared" si="65"/>
        <v>0</v>
      </c>
    </row>
    <row r="1401" spans="1:9">
      <c r="A1401" s="1">
        <v>40763</v>
      </c>
      <c r="B1401">
        <v>3.5272999999999999</v>
      </c>
      <c r="C1401">
        <v>4.2450000000000001</v>
      </c>
      <c r="D1401">
        <f>WEEKDAY(A1401,14)</f>
        <v>5</v>
      </c>
      <c r="E1401">
        <f>VLOOKUP(D1401,L$2:M$8,2,FALSE)</f>
        <v>0.05</v>
      </c>
      <c r="F1401">
        <f t="shared" si="63"/>
        <v>3</v>
      </c>
      <c r="G1401">
        <f>IF(F1401&gt;F1400,G1400+B1401*E1401,B1401*E1401)</f>
        <v>0.17636499999999999</v>
      </c>
      <c r="H1401">
        <f t="shared" si="64"/>
        <v>0.05</v>
      </c>
      <c r="I1401">
        <f t="shared" si="65"/>
        <v>0</v>
      </c>
    </row>
    <row r="1402" spans="1:9">
      <c r="A1402" s="1">
        <v>40764</v>
      </c>
      <c r="B1402">
        <v>3.3615200000000001</v>
      </c>
      <c r="C1402">
        <v>4.2450000000000001</v>
      </c>
      <c r="D1402">
        <f>WEEKDAY(A1402,14)</f>
        <v>6</v>
      </c>
      <c r="E1402">
        <f>VLOOKUP(D1402,L$2:M$8,2,FALSE)</f>
        <v>0.7</v>
      </c>
      <c r="F1402">
        <f t="shared" si="63"/>
        <v>4</v>
      </c>
      <c r="G1402">
        <f>IF(F1402&gt;F1401,G1401+B1402*E1402,B1402*E1402)</f>
        <v>2.5294289999999999</v>
      </c>
      <c r="H1402">
        <f t="shared" si="64"/>
        <v>0.75</v>
      </c>
      <c r="I1402">
        <f t="shared" si="65"/>
        <v>0</v>
      </c>
    </row>
    <row r="1403" spans="1:9">
      <c r="A1403" s="1">
        <v>40765</v>
      </c>
      <c r="B1403">
        <v>3.2328100000000002</v>
      </c>
      <c r="C1403">
        <v>4.2450000000000001</v>
      </c>
      <c r="D1403">
        <f>WEEKDAY(A1403,14)</f>
        <v>7</v>
      </c>
      <c r="E1403">
        <f>VLOOKUP(D1403,L$2:M$8,2,FALSE)</f>
        <v>0.25</v>
      </c>
      <c r="F1403">
        <f t="shared" si="63"/>
        <v>5</v>
      </c>
      <c r="G1403">
        <f>IF(F1403&gt;F1402,G1402+B1403*E1403,B1403*E1403)</f>
        <v>3.3376315000000001</v>
      </c>
      <c r="H1403">
        <f t="shared" si="64"/>
        <v>1</v>
      </c>
      <c r="I1403">
        <f t="shared" si="65"/>
        <v>0</v>
      </c>
    </row>
    <row r="1404" spans="1:9">
      <c r="A1404" s="1">
        <v>40766</v>
      </c>
      <c r="B1404">
        <v>3.3763399999999999</v>
      </c>
      <c r="C1404">
        <v>4.0750000000000002</v>
      </c>
      <c r="D1404">
        <f>WEEKDAY(A1404,14)</f>
        <v>1</v>
      </c>
      <c r="E1404">
        <f>VLOOKUP(D1404,L$2:M$8,2,FALSE)</f>
        <v>0</v>
      </c>
      <c r="F1404">
        <f t="shared" si="63"/>
        <v>1</v>
      </c>
      <c r="G1404">
        <f>IF(F1404&gt;F1403,G1403+B1404*E1404,B1404*E1404)</f>
        <v>0</v>
      </c>
      <c r="H1404">
        <f t="shared" si="64"/>
        <v>0</v>
      </c>
      <c r="I1404">
        <f t="shared" si="65"/>
        <v>3.3376315000000001</v>
      </c>
    </row>
    <row r="1405" spans="1:9">
      <c r="A1405" s="1">
        <v>40767</v>
      </c>
      <c r="B1405">
        <v>3.31671</v>
      </c>
      <c r="C1405">
        <v>4.0750000000000002</v>
      </c>
      <c r="D1405">
        <f>WEEKDAY(A1405,14)</f>
        <v>2</v>
      </c>
      <c r="E1405">
        <f>VLOOKUP(D1405,L$2:M$8,2,FALSE)</f>
        <v>0</v>
      </c>
      <c r="F1405">
        <f t="shared" si="63"/>
        <v>2</v>
      </c>
      <c r="G1405">
        <f>IF(F1405&gt;F1404,G1404+B1405*E1405,B1405*E1405)</f>
        <v>0</v>
      </c>
      <c r="H1405">
        <f t="shared" si="64"/>
        <v>0</v>
      </c>
      <c r="I1405">
        <f t="shared" si="65"/>
        <v>0</v>
      </c>
    </row>
    <row r="1406" spans="1:9">
      <c r="A1406" s="1">
        <v>40770</v>
      </c>
      <c r="B1406">
        <v>3.3816199999999998</v>
      </c>
      <c r="C1406">
        <v>4.0750000000000002</v>
      </c>
      <c r="D1406">
        <f>WEEKDAY(A1406,14)</f>
        <v>5</v>
      </c>
      <c r="E1406">
        <f>VLOOKUP(D1406,L$2:M$8,2,FALSE)</f>
        <v>0.05</v>
      </c>
      <c r="F1406">
        <f t="shared" si="63"/>
        <v>3</v>
      </c>
      <c r="G1406">
        <f>IF(F1406&gt;F1405,G1405+B1406*E1406,B1406*E1406)</f>
        <v>0.16908100000000001</v>
      </c>
      <c r="H1406">
        <f t="shared" si="64"/>
        <v>0.05</v>
      </c>
      <c r="I1406">
        <f t="shared" si="65"/>
        <v>0</v>
      </c>
    </row>
    <row r="1407" spans="1:9">
      <c r="A1407" s="1">
        <v>40771</v>
      </c>
      <c r="B1407">
        <v>3.31182</v>
      </c>
      <c r="C1407">
        <v>4.0750000000000002</v>
      </c>
      <c r="D1407">
        <f>WEEKDAY(A1407,14)</f>
        <v>6</v>
      </c>
      <c r="E1407">
        <f>VLOOKUP(D1407,L$2:M$8,2,FALSE)</f>
        <v>0.7</v>
      </c>
      <c r="F1407">
        <f t="shared" si="63"/>
        <v>4</v>
      </c>
      <c r="G1407">
        <f>IF(F1407&gt;F1406,G1406+B1407*E1407,B1407*E1407)</f>
        <v>2.4873549999999995</v>
      </c>
      <c r="H1407">
        <f t="shared" si="64"/>
        <v>0.75</v>
      </c>
      <c r="I1407">
        <f t="shared" si="65"/>
        <v>0</v>
      </c>
    </row>
    <row r="1408" spans="1:9">
      <c r="A1408" s="1">
        <v>40772</v>
      </c>
      <c r="B1408">
        <v>3.2693300000000001</v>
      </c>
      <c r="C1408">
        <v>4.0750000000000002</v>
      </c>
      <c r="D1408">
        <f>WEEKDAY(A1408,14)</f>
        <v>7</v>
      </c>
      <c r="E1408">
        <f>VLOOKUP(D1408,L$2:M$8,2,FALSE)</f>
        <v>0.25</v>
      </c>
      <c r="F1408">
        <f t="shared" si="63"/>
        <v>5</v>
      </c>
      <c r="G1408">
        <f>IF(F1408&gt;F1407,G1407+B1408*E1408,B1408*E1408)</f>
        <v>3.3046874999999996</v>
      </c>
      <c r="H1408">
        <f t="shared" si="64"/>
        <v>1</v>
      </c>
      <c r="I1408">
        <f t="shared" si="65"/>
        <v>0</v>
      </c>
    </row>
    <row r="1409" spans="1:9">
      <c r="A1409" s="1">
        <v>40773</v>
      </c>
      <c r="B1409">
        <v>3.2492399999999999</v>
      </c>
      <c r="C1409">
        <v>4.1449999999999996</v>
      </c>
      <c r="D1409">
        <f>WEEKDAY(A1409,14)</f>
        <v>1</v>
      </c>
      <c r="E1409">
        <f>VLOOKUP(D1409,L$2:M$8,2,FALSE)</f>
        <v>0</v>
      </c>
      <c r="F1409">
        <f t="shared" si="63"/>
        <v>1</v>
      </c>
      <c r="G1409">
        <f>IF(F1409&gt;F1408,G1408+B1409*E1409,B1409*E1409)</f>
        <v>0</v>
      </c>
      <c r="H1409">
        <f t="shared" si="64"/>
        <v>0</v>
      </c>
      <c r="I1409">
        <f t="shared" si="65"/>
        <v>3.3046874999999996</v>
      </c>
    </row>
    <row r="1410" spans="1:9">
      <c r="A1410" s="1">
        <v>40774</v>
      </c>
      <c r="B1410">
        <v>3.2837900000000002</v>
      </c>
      <c r="C1410">
        <v>4.1449999999999996</v>
      </c>
      <c r="D1410">
        <f>WEEKDAY(A1410,14)</f>
        <v>2</v>
      </c>
      <c r="E1410">
        <f>VLOOKUP(D1410,L$2:M$8,2,FALSE)</f>
        <v>0</v>
      </c>
      <c r="F1410">
        <f t="shared" si="63"/>
        <v>2</v>
      </c>
      <c r="G1410">
        <f>IF(F1410&gt;F1409,G1409+B1410*E1410,B1410*E1410)</f>
        <v>0</v>
      </c>
      <c r="H1410">
        <f t="shared" si="64"/>
        <v>0</v>
      </c>
      <c r="I1410">
        <f t="shared" si="65"/>
        <v>0</v>
      </c>
    </row>
    <row r="1411" spans="1:9">
      <c r="A1411" s="1">
        <v>40777</v>
      </c>
      <c r="B1411">
        <v>3.3037899999999998</v>
      </c>
      <c r="C1411">
        <v>4.1449999999999996</v>
      </c>
      <c r="D1411">
        <f>WEEKDAY(A1411,14)</f>
        <v>5</v>
      </c>
      <c r="E1411">
        <f>VLOOKUP(D1411,L$2:M$8,2,FALSE)</f>
        <v>0.05</v>
      </c>
      <c r="F1411">
        <f t="shared" ref="F1411:F1474" si="66">IF(AND(D1411&gt;D1410,F1410&lt;6),F1410+1,1)</f>
        <v>3</v>
      </c>
      <c r="G1411">
        <f>IF(F1411&gt;F1410,G1410+B1411*E1411,B1411*E1411)</f>
        <v>0.16518949999999999</v>
      </c>
      <c r="H1411">
        <f t="shared" si="64"/>
        <v>0.05</v>
      </c>
      <c r="I1411">
        <f t="shared" si="65"/>
        <v>0</v>
      </c>
    </row>
    <row r="1412" spans="1:9">
      <c r="A1412" s="1">
        <v>40778</v>
      </c>
      <c r="B1412">
        <v>3.3649399999999998</v>
      </c>
      <c r="C1412">
        <v>4.1449999999999996</v>
      </c>
      <c r="D1412">
        <f>WEEKDAY(A1412,14)</f>
        <v>6</v>
      </c>
      <c r="E1412">
        <f>VLOOKUP(D1412,L$2:M$8,2,FALSE)</f>
        <v>0.7</v>
      </c>
      <c r="F1412">
        <f t="shared" si="66"/>
        <v>4</v>
      </c>
      <c r="G1412">
        <f>IF(F1412&gt;F1411,G1411+B1412*E1412,B1412*E1412)</f>
        <v>2.5206474999999995</v>
      </c>
      <c r="H1412">
        <f t="shared" ref="H1412:H1475" si="67">IF(AND(F1412&lt;6,F1412&gt;F1411),E1412+H1411,E1412)</f>
        <v>0.75</v>
      </c>
      <c r="I1412">
        <f t="shared" ref="I1412:I1475" si="68">IF(F1411&gt;F1412,G1411/H1411,0)</f>
        <v>0</v>
      </c>
    </row>
    <row r="1413" spans="1:9">
      <c r="A1413" s="1">
        <v>40779</v>
      </c>
      <c r="B1413">
        <v>3.3081700000000001</v>
      </c>
      <c r="C1413">
        <v>4.1449999999999996</v>
      </c>
      <c r="D1413">
        <f>WEEKDAY(A1413,14)</f>
        <v>7</v>
      </c>
      <c r="E1413">
        <f>VLOOKUP(D1413,L$2:M$8,2,FALSE)</f>
        <v>0.25</v>
      </c>
      <c r="F1413">
        <f t="shared" si="66"/>
        <v>5</v>
      </c>
      <c r="G1413">
        <f>IF(F1413&gt;F1412,G1412+B1413*E1413,B1413*E1413)</f>
        <v>3.3476899999999996</v>
      </c>
      <c r="H1413">
        <f t="shared" si="67"/>
        <v>1</v>
      </c>
      <c r="I1413">
        <f t="shared" si="68"/>
        <v>0</v>
      </c>
    </row>
    <row r="1414" spans="1:9">
      <c r="A1414" s="1">
        <v>40780</v>
      </c>
      <c r="B1414">
        <v>3.3921999999999999</v>
      </c>
      <c r="C1414">
        <v>4.1449999999999996</v>
      </c>
      <c r="D1414">
        <f>WEEKDAY(A1414,14)</f>
        <v>1</v>
      </c>
      <c r="E1414">
        <f>VLOOKUP(D1414,L$2:M$8,2,FALSE)</f>
        <v>0</v>
      </c>
      <c r="F1414">
        <f t="shared" si="66"/>
        <v>1</v>
      </c>
      <c r="G1414">
        <f>IF(F1414&gt;F1413,G1413+B1414*E1414,B1414*E1414)</f>
        <v>0</v>
      </c>
      <c r="H1414">
        <f t="shared" si="67"/>
        <v>0</v>
      </c>
      <c r="I1414">
        <f t="shared" si="68"/>
        <v>3.3476899999999996</v>
      </c>
    </row>
    <row r="1415" spans="1:9">
      <c r="A1415" s="1">
        <v>40781</v>
      </c>
      <c r="B1415">
        <v>3.3526899999999999</v>
      </c>
      <c r="C1415">
        <v>4.1449999999999996</v>
      </c>
      <c r="D1415">
        <f>WEEKDAY(A1415,14)</f>
        <v>2</v>
      </c>
      <c r="E1415">
        <f>VLOOKUP(D1415,L$2:M$8,2,FALSE)</f>
        <v>0</v>
      </c>
      <c r="F1415">
        <f t="shared" si="66"/>
        <v>2</v>
      </c>
      <c r="G1415">
        <f>IF(F1415&gt;F1414,G1414+B1415*E1415,B1415*E1415)</f>
        <v>0</v>
      </c>
      <c r="H1415">
        <f t="shared" si="67"/>
        <v>0</v>
      </c>
      <c r="I1415">
        <f t="shared" si="68"/>
        <v>0</v>
      </c>
    </row>
    <row r="1416" spans="1:9">
      <c r="A1416" s="1">
        <v>40784</v>
      </c>
      <c r="B1416">
        <v>3.44007</v>
      </c>
      <c r="C1416">
        <v>4.1449999999999996</v>
      </c>
      <c r="D1416">
        <f>WEEKDAY(A1416,14)</f>
        <v>5</v>
      </c>
      <c r="E1416">
        <f>VLOOKUP(D1416,L$2:M$8,2,FALSE)</f>
        <v>0.05</v>
      </c>
      <c r="F1416">
        <f t="shared" si="66"/>
        <v>3</v>
      </c>
      <c r="G1416">
        <f>IF(F1416&gt;F1415,G1415+B1416*E1416,B1416*E1416)</f>
        <v>0.1720035</v>
      </c>
      <c r="H1416">
        <f t="shared" si="67"/>
        <v>0.05</v>
      </c>
      <c r="I1416">
        <f t="shared" si="68"/>
        <v>0</v>
      </c>
    </row>
    <row r="1417" spans="1:9">
      <c r="A1417" s="1">
        <v>40785</v>
      </c>
      <c r="B1417">
        <v>3.3589000000000002</v>
      </c>
      <c r="C1417">
        <v>4.1449999999999996</v>
      </c>
      <c r="D1417">
        <f>WEEKDAY(A1417,14)</f>
        <v>6</v>
      </c>
      <c r="E1417">
        <f>VLOOKUP(D1417,L$2:M$8,2,FALSE)</f>
        <v>0.7</v>
      </c>
      <c r="F1417">
        <f t="shared" si="66"/>
        <v>4</v>
      </c>
      <c r="G1417">
        <f>IF(F1417&gt;F1416,G1416+B1417*E1417,B1417*E1417)</f>
        <v>2.5232335000000004</v>
      </c>
      <c r="H1417">
        <f t="shared" si="67"/>
        <v>0.75</v>
      </c>
      <c r="I1417">
        <f t="shared" si="68"/>
        <v>0</v>
      </c>
    </row>
    <row r="1418" spans="1:9">
      <c r="A1418" s="1">
        <v>40786</v>
      </c>
      <c r="B1418">
        <v>3.4273899999999999</v>
      </c>
      <c r="C1418">
        <v>4.1449999999999996</v>
      </c>
      <c r="D1418">
        <f>WEEKDAY(A1418,14)</f>
        <v>7</v>
      </c>
      <c r="E1418">
        <f>VLOOKUP(D1418,L$2:M$8,2,FALSE)</f>
        <v>0.25</v>
      </c>
      <c r="F1418">
        <f t="shared" si="66"/>
        <v>5</v>
      </c>
      <c r="G1418">
        <f>IF(F1418&gt;F1417,G1417+B1418*E1418,B1418*E1418)</f>
        <v>3.3800810000000006</v>
      </c>
      <c r="H1418">
        <f t="shared" si="67"/>
        <v>1</v>
      </c>
      <c r="I1418">
        <f t="shared" si="68"/>
        <v>0</v>
      </c>
    </row>
    <row r="1419" spans="1:9">
      <c r="A1419" s="1">
        <v>40787</v>
      </c>
      <c r="B1419">
        <v>3.3636200000000001</v>
      </c>
      <c r="C1419">
        <v>4.0449999999999999</v>
      </c>
      <c r="D1419">
        <f>WEEKDAY(A1419,14)</f>
        <v>1</v>
      </c>
      <c r="E1419">
        <f>VLOOKUP(D1419,L$2:M$8,2,FALSE)</f>
        <v>0</v>
      </c>
      <c r="F1419">
        <f t="shared" si="66"/>
        <v>1</v>
      </c>
      <c r="G1419">
        <f>IF(F1419&gt;F1418,G1418+B1419*E1419,B1419*E1419)</f>
        <v>0</v>
      </c>
      <c r="H1419">
        <f t="shared" si="67"/>
        <v>0</v>
      </c>
      <c r="I1419">
        <f t="shared" si="68"/>
        <v>3.3800810000000006</v>
      </c>
    </row>
    <row r="1420" spans="1:9">
      <c r="A1420" s="1">
        <v>40788</v>
      </c>
      <c r="B1420">
        <v>3.26342</v>
      </c>
      <c r="C1420">
        <v>4.0449999999999999</v>
      </c>
      <c r="D1420">
        <f>WEEKDAY(A1420,14)</f>
        <v>2</v>
      </c>
      <c r="E1420">
        <f>VLOOKUP(D1420,L$2:M$8,2,FALSE)</f>
        <v>0</v>
      </c>
      <c r="F1420">
        <f t="shared" si="66"/>
        <v>2</v>
      </c>
      <c r="G1420">
        <f>IF(F1420&gt;F1419,G1419+B1420*E1420,B1420*E1420)</f>
        <v>0</v>
      </c>
      <c r="H1420">
        <f t="shared" si="67"/>
        <v>0</v>
      </c>
      <c r="I1420">
        <f t="shared" si="68"/>
        <v>0</v>
      </c>
    </row>
    <row r="1421" spans="1:9">
      <c r="A1421" s="1">
        <v>40792</v>
      </c>
      <c r="B1421">
        <v>3.26302</v>
      </c>
      <c r="C1421">
        <v>4.0449999999999999</v>
      </c>
      <c r="D1421">
        <f>WEEKDAY(A1421,14)</f>
        <v>6</v>
      </c>
      <c r="E1421">
        <f>VLOOKUP(D1421,L$2:M$8,2,FALSE)</f>
        <v>0.7</v>
      </c>
      <c r="F1421">
        <f t="shared" si="66"/>
        <v>3</v>
      </c>
      <c r="G1421">
        <f>IF(F1421&gt;F1420,G1420+B1421*E1421,B1421*E1421)</f>
        <v>2.2841139999999998</v>
      </c>
      <c r="H1421">
        <f t="shared" si="67"/>
        <v>0.7</v>
      </c>
      <c r="I1421">
        <f t="shared" si="68"/>
        <v>0</v>
      </c>
    </row>
    <row r="1422" spans="1:9">
      <c r="A1422" s="1">
        <v>40793</v>
      </c>
      <c r="B1422">
        <v>3.3161399999999999</v>
      </c>
      <c r="C1422">
        <v>4.0449999999999999</v>
      </c>
      <c r="D1422">
        <f>WEEKDAY(A1422,14)</f>
        <v>7</v>
      </c>
      <c r="E1422">
        <f>VLOOKUP(D1422,L$2:M$8,2,FALSE)</f>
        <v>0.25</v>
      </c>
      <c r="F1422">
        <f t="shared" si="66"/>
        <v>4</v>
      </c>
      <c r="G1422">
        <f>IF(F1422&gt;F1421,G1421+B1422*E1422,B1422*E1422)</f>
        <v>3.1131489999999999</v>
      </c>
      <c r="H1422">
        <f t="shared" si="67"/>
        <v>0.95</v>
      </c>
      <c r="I1422">
        <f t="shared" si="68"/>
        <v>0</v>
      </c>
    </row>
    <row r="1423" spans="1:9">
      <c r="A1423" s="1">
        <v>40794</v>
      </c>
      <c r="B1423">
        <v>3.28505</v>
      </c>
      <c r="C1423">
        <v>4.0149999999999997</v>
      </c>
      <c r="D1423">
        <f>WEEKDAY(A1423,14)</f>
        <v>1</v>
      </c>
      <c r="E1423">
        <f>VLOOKUP(D1423,L$2:M$8,2,FALSE)</f>
        <v>0</v>
      </c>
      <c r="F1423">
        <f t="shared" si="66"/>
        <v>1</v>
      </c>
      <c r="G1423">
        <f>IF(F1423&gt;F1422,G1422+B1423*E1423,B1423*E1423)</f>
        <v>0</v>
      </c>
      <c r="H1423">
        <f t="shared" si="67"/>
        <v>0</v>
      </c>
      <c r="I1423">
        <f t="shared" si="68"/>
        <v>3.2769989473684213</v>
      </c>
    </row>
    <row r="1424" spans="1:9">
      <c r="A1424" s="1">
        <v>40795</v>
      </c>
      <c r="B1424">
        <v>3.2179199999999999</v>
      </c>
      <c r="C1424">
        <v>4.0149999999999997</v>
      </c>
      <c r="D1424">
        <f>WEEKDAY(A1424,14)</f>
        <v>2</v>
      </c>
      <c r="E1424">
        <f>VLOOKUP(D1424,L$2:M$8,2,FALSE)</f>
        <v>0</v>
      </c>
      <c r="F1424">
        <f t="shared" si="66"/>
        <v>2</v>
      </c>
      <c r="G1424">
        <f>IF(F1424&gt;F1423,G1423+B1424*E1424,B1424*E1424)</f>
        <v>0</v>
      </c>
      <c r="H1424">
        <f t="shared" si="67"/>
        <v>0</v>
      </c>
      <c r="I1424">
        <f t="shared" si="68"/>
        <v>0</v>
      </c>
    </row>
    <row r="1425" spans="1:9">
      <c r="A1425" s="1">
        <v>40798</v>
      </c>
      <c r="B1425">
        <v>3.2660999999999998</v>
      </c>
      <c r="C1425">
        <v>4.0149999999999997</v>
      </c>
      <c r="D1425">
        <f>WEEKDAY(A1425,14)</f>
        <v>5</v>
      </c>
      <c r="E1425">
        <f>VLOOKUP(D1425,L$2:M$8,2,FALSE)</f>
        <v>0.05</v>
      </c>
      <c r="F1425">
        <f t="shared" si="66"/>
        <v>3</v>
      </c>
      <c r="G1425">
        <f>IF(F1425&gt;F1424,G1424+B1425*E1425,B1425*E1425)</f>
        <v>0.16330500000000001</v>
      </c>
      <c r="H1425">
        <f t="shared" si="67"/>
        <v>0.05</v>
      </c>
      <c r="I1425">
        <f t="shared" si="68"/>
        <v>0</v>
      </c>
    </row>
    <row r="1426" spans="1:9">
      <c r="A1426" s="1">
        <v>40799</v>
      </c>
      <c r="B1426">
        <v>3.3011200000000001</v>
      </c>
      <c r="C1426">
        <v>4.0149999999999997</v>
      </c>
      <c r="D1426">
        <f>WEEKDAY(A1426,14)</f>
        <v>6</v>
      </c>
      <c r="E1426">
        <f>VLOOKUP(D1426,L$2:M$8,2,FALSE)</f>
        <v>0.7</v>
      </c>
      <c r="F1426">
        <f t="shared" si="66"/>
        <v>4</v>
      </c>
      <c r="G1426">
        <f>IF(F1426&gt;F1425,G1425+B1426*E1426,B1426*E1426)</f>
        <v>2.4740889999999998</v>
      </c>
      <c r="H1426">
        <f t="shared" si="67"/>
        <v>0.75</v>
      </c>
      <c r="I1426">
        <f t="shared" si="68"/>
        <v>0</v>
      </c>
    </row>
    <row r="1427" spans="1:9">
      <c r="A1427" s="1">
        <v>40800</v>
      </c>
      <c r="B1427">
        <v>3.3005</v>
      </c>
      <c r="C1427">
        <v>4.0149999999999997</v>
      </c>
      <c r="D1427">
        <f>WEEKDAY(A1427,14)</f>
        <v>7</v>
      </c>
      <c r="E1427">
        <f>VLOOKUP(D1427,L$2:M$8,2,FALSE)</f>
        <v>0.25</v>
      </c>
      <c r="F1427">
        <f t="shared" si="66"/>
        <v>5</v>
      </c>
      <c r="G1427">
        <f>IF(F1427&gt;F1426,G1426+B1427*E1427,B1427*E1427)</f>
        <v>3.2992139999999996</v>
      </c>
      <c r="H1427">
        <f t="shared" si="67"/>
        <v>1</v>
      </c>
      <c r="I1427">
        <f t="shared" si="68"/>
        <v>0</v>
      </c>
    </row>
    <row r="1428" spans="1:9">
      <c r="A1428" s="1">
        <v>40801</v>
      </c>
      <c r="B1428">
        <v>3.3472599999999999</v>
      </c>
      <c r="C1428">
        <v>4.0149999999999997</v>
      </c>
      <c r="D1428">
        <f>WEEKDAY(A1428,14)</f>
        <v>1</v>
      </c>
      <c r="E1428">
        <f>VLOOKUP(D1428,L$2:M$8,2,FALSE)</f>
        <v>0</v>
      </c>
      <c r="F1428">
        <f t="shared" si="66"/>
        <v>1</v>
      </c>
      <c r="G1428">
        <f>IF(F1428&gt;F1427,G1427+B1428*E1428,B1428*E1428)</f>
        <v>0</v>
      </c>
      <c r="H1428">
        <f t="shared" si="67"/>
        <v>0</v>
      </c>
      <c r="I1428">
        <f t="shared" si="68"/>
        <v>3.2992139999999996</v>
      </c>
    </row>
    <row r="1429" spans="1:9">
      <c r="A1429" s="1">
        <v>40802</v>
      </c>
      <c r="B1429">
        <v>3.3468900000000001</v>
      </c>
      <c r="C1429">
        <v>4.0149999999999997</v>
      </c>
      <c r="D1429">
        <f>WEEKDAY(A1429,14)</f>
        <v>2</v>
      </c>
      <c r="E1429">
        <f>VLOOKUP(D1429,L$2:M$8,2,FALSE)</f>
        <v>0</v>
      </c>
      <c r="F1429">
        <f t="shared" si="66"/>
        <v>2</v>
      </c>
      <c r="G1429">
        <f>IF(F1429&gt;F1428,G1428+B1429*E1429,B1429*E1429)</f>
        <v>0</v>
      </c>
      <c r="H1429">
        <f t="shared" si="67"/>
        <v>0</v>
      </c>
      <c r="I1429">
        <f t="shared" si="68"/>
        <v>0</v>
      </c>
    </row>
    <row r="1430" spans="1:9">
      <c r="A1430" s="1">
        <v>40805</v>
      </c>
      <c r="B1430">
        <v>3.23814</v>
      </c>
      <c r="C1430">
        <v>4.0149999999999997</v>
      </c>
      <c r="D1430">
        <f>WEEKDAY(A1430,14)</f>
        <v>5</v>
      </c>
      <c r="E1430">
        <f>VLOOKUP(D1430,L$2:M$8,2,FALSE)</f>
        <v>0.05</v>
      </c>
      <c r="F1430">
        <f t="shared" si="66"/>
        <v>3</v>
      </c>
      <c r="G1430">
        <f>IF(F1430&gt;F1429,G1429+B1430*E1430,B1430*E1430)</f>
        <v>0.16190700000000002</v>
      </c>
      <c r="H1430">
        <f t="shared" si="67"/>
        <v>0.05</v>
      </c>
      <c r="I1430">
        <f t="shared" si="68"/>
        <v>0</v>
      </c>
    </row>
    <row r="1431" spans="1:9">
      <c r="A1431" s="1">
        <v>40806</v>
      </c>
      <c r="B1431">
        <v>3.2592599999999998</v>
      </c>
      <c r="C1431">
        <v>4.0149999999999997</v>
      </c>
      <c r="D1431">
        <f>WEEKDAY(A1431,14)</f>
        <v>6</v>
      </c>
      <c r="E1431">
        <f>VLOOKUP(D1431,L$2:M$8,2,FALSE)</f>
        <v>0.7</v>
      </c>
      <c r="F1431">
        <f t="shared" si="66"/>
        <v>4</v>
      </c>
      <c r="G1431">
        <f>IF(F1431&gt;F1430,G1430+B1431*E1431,B1431*E1431)</f>
        <v>2.4433889999999998</v>
      </c>
      <c r="H1431">
        <f t="shared" si="67"/>
        <v>0.75</v>
      </c>
      <c r="I1431">
        <f t="shared" si="68"/>
        <v>0</v>
      </c>
    </row>
    <row r="1432" spans="1:9">
      <c r="A1432" s="1">
        <v>40807</v>
      </c>
      <c r="B1432">
        <v>3.0193400000000001</v>
      </c>
      <c r="C1432">
        <v>4.0149999999999997</v>
      </c>
      <c r="D1432">
        <f>WEEKDAY(A1432,14)</f>
        <v>7</v>
      </c>
      <c r="E1432">
        <f>VLOOKUP(D1432,L$2:M$8,2,FALSE)</f>
        <v>0.25</v>
      </c>
      <c r="F1432">
        <f t="shared" si="66"/>
        <v>5</v>
      </c>
      <c r="G1432">
        <f>IF(F1432&gt;F1431,G1431+B1432*E1432,B1432*E1432)</f>
        <v>3.1982239999999997</v>
      </c>
      <c r="H1432">
        <f t="shared" si="67"/>
        <v>1</v>
      </c>
      <c r="I1432">
        <f t="shared" si="68"/>
        <v>0</v>
      </c>
    </row>
    <row r="1433" spans="1:9">
      <c r="A1433" s="1">
        <v>40808</v>
      </c>
      <c r="B1433">
        <v>2.8513700000000002</v>
      </c>
      <c r="C1433">
        <v>3.9350000000000001</v>
      </c>
      <c r="D1433">
        <f>WEEKDAY(A1433,14)</f>
        <v>1</v>
      </c>
      <c r="E1433">
        <f>VLOOKUP(D1433,L$2:M$8,2,FALSE)</f>
        <v>0</v>
      </c>
      <c r="F1433">
        <f t="shared" si="66"/>
        <v>1</v>
      </c>
      <c r="G1433">
        <f>IF(F1433&gt;F1432,G1432+B1433*E1433,B1433*E1433)</f>
        <v>0</v>
      </c>
      <c r="H1433">
        <f t="shared" si="67"/>
        <v>0</v>
      </c>
      <c r="I1433">
        <f t="shared" si="68"/>
        <v>3.1982239999999997</v>
      </c>
    </row>
    <row r="1434" spans="1:9">
      <c r="A1434" s="1">
        <v>40809</v>
      </c>
      <c r="B1434">
        <v>2.9788000000000001</v>
      </c>
      <c r="C1434">
        <v>3.9350000000000001</v>
      </c>
      <c r="D1434">
        <f>WEEKDAY(A1434,14)</f>
        <v>2</v>
      </c>
      <c r="E1434">
        <f>VLOOKUP(D1434,L$2:M$8,2,FALSE)</f>
        <v>0</v>
      </c>
      <c r="F1434">
        <f t="shared" si="66"/>
        <v>2</v>
      </c>
      <c r="G1434">
        <f>IF(F1434&gt;F1433,G1433+B1434*E1434,B1434*E1434)</f>
        <v>0</v>
      </c>
      <c r="H1434">
        <f t="shared" si="67"/>
        <v>0</v>
      </c>
      <c r="I1434">
        <f t="shared" si="68"/>
        <v>0</v>
      </c>
    </row>
    <row r="1435" spans="1:9">
      <c r="A1435" s="1">
        <v>40812</v>
      </c>
      <c r="B1435">
        <v>3.0707200000000001</v>
      </c>
      <c r="C1435">
        <v>3.9350000000000001</v>
      </c>
      <c r="D1435">
        <f>WEEKDAY(A1435,14)</f>
        <v>5</v>
      </c>
      <c r="E1435">
        <f>VLOOKUP(D1435,L$2:M$8,2,FALSE)</f>
        <v>0.05</v>
      </c>
      <c r="F1435">
        <f t="shared" si="66"/>
        <v>3</v>
      </c>
      <c r="G1435">
        <f>IF(F1435&gt;F1434,G1434+B1435*E1435,B1435*E1435)</f>
        <v>0.15353600000000001</v>
      </c>
      <c r="H1435">
        <f t="shared" si="67"/>
        <v>0.05</v>
      </c>
      <c r="I1435">
        <f t="shared" si="68"/>
        <v>0</v>
      </c>
    </row>
    <row r="1436" spans="1:9">
      <c r="A1436" s="1">
        <v>40813</v>
      </c>
      <c r="B1436">
        <v>3.19163</v>
      </c>
      <c r="C1436">
        <v>3.9350000000000001</v>
      </c>
      <c r="D1436">
        <f>WEEKDAY(A1436,14)</f>
        <v>6</v>
      </c>
      <c r="E1436">
        <f>VLOOKUP(D1436,L$2:M$8,2,FALSE)</f>
        <v>0.7</v>
      </c>
      <c r="F1436">
        <f t="shared" si="66"/>
        <v>4</v>
      </c>
      <c r="G1436">
        <f>IF(F1436&gt;F1435,G1435+B1436*E1436,B1436*E1436)</f>
        <v>2.3876769999999996</v>
      </c>
      <c r="H1436">
        <f t="shared" si="67"/>
        <v>0.75</v>
      </c>
      <c r="I1436">
        <f t="shared" si="68"/>
        <v>0</v>
      </c>
    </row>
    <row r="1437" spans="1:9">
      <c r="A1437" s="1">
        <v>40814</v>
      </c>
      <c r="B1437">
        <v>3.1637300000000002</v>
      </c>
      <c r="C1437">
        <v>3.9350000000000001</v>
      </c>
      <c r="D1437">
        <f>WEEKDAY(A1437,14)</f>
        <v>7</v>
      </c>
      <c r="E1437">
        <f>VLOOKUP(D1437,L$2:M$8,2,FALSE)</f>
        <v>0.25</v>
      </c>
      <c r="F1437">
        <f t="shared" si="66"/>
        <v>5</v>
      </c>
      <c r="G1437">
        <f>IF(F1437&gt;F1436,G1436+B1437*E1437,B1437*E1437)</f>
        <v>3.1786094999999994</v>
      </c>
      <c r="H1437">
        <f t="shared" si="67"/>
        <v>1</v>
      </c>
      <c r="I1437">
        <f t="shared" si="68"/>
        <v>0</v>
      </c>
    </row>
    <row r="1438" spans="1:9">
      <c r="A1438" s="1">
        <v>40815</v>
      </c>
      <c r="B1438">
        <v>3.0810300000000002</v>
      </c>
      <c r="C1438">
        <v>3.89</v>
      </c>
      <c r="D1438">
        <f>WEEKDAY(A1438,14)</f>
        <v>1</v>
      </c>
      <c r="E1438">
        <f>VLOOKUP(D1438,L$2:M$8,2,FALSE)</f>
        <v>0</v>
      </c>
      <c r="F1438">
        <f t="shared" si="66"/>
        <v>1</v>
      </c>
      <c r="G1438">
        <f>IF(F1438&gt;F1437,G1437+B1438*E1438,B1438*E1438)</f>
        <v>0</v>
      </c>
      <c r="H1438">
        <f t="shared" si="67"/>
        <v>0</v>
      </c>
      <c r="I1438">
        <f t="shared" si="68"/>
        <v>3.1786094999999994</v>
      </c>
    </row>
    <row r="1439" spans="1:9">
      <c r="A1439" s="1">
        <v>40816</v>
      </c>
      <c r="B1439">
        <v>3.0385300000000002</v>
      </c>
      <c r="C1439">
        <v>3.89</v>
      </c>
      <c r="D1439">
        <f>WEEKDAY(A1439,14)</f>
        <v>2</v>
      </c>
      <c r="E1439">
        <f>VLOOKUP(D1439,L$2:M$8,2,FALSE)</f>
        <v>0</v>
      </c>
      <c r="F1439">
        <f t="shared" si="66"/>
        <v>2</v>
      </c>
      <c r="G1439">
        <f>IF(F1439&gt;F1438,G1438+B1439*E1439,B1439*E1439)</f>
        <v>0</v>
      </c>
      <c r="H1439">
        <f t="shared" si="67"/>
        <v>0</v>
      </c>
      <c r="I1439">
        <f t="shared" si="68"/>
        <v>0</v>
      </c>
    </row>
    <row r="1440" spans="1:9">
      <c r="A1440" s="1">
        <v>40819</v>
      </c>
      <c r="B1440">
        <v>2.9658199999999999</v>
      </c>
      <c r="C1440">
        <v>3.89</v>
      </c>
      <c r="D1440">
        <f>WEEKDAY(A1440,14)</f>
        <v>5</v>
      </c>
      <c r="E1440">
        <f>VLOOKUP(D1440,L$2:M$8,2,FALSE)</f>
        <v>0.05</v>
      </c>
      <c r="F1440">
        <f t="shared" si="66"/>
        <v>3</v>
      </c>
      <c r="G1440">
        <f>IF(F1440&gt;F1439,G1439+B1440*E1440,B1440*E1440)</f>
        <v>0.14829100000000001</v>
      </c>
      <c r="H1440">
        <f t="shared" si="67"/>
        <v>0.05</v>
      </c>
      <c r="I1440">
        <f t="shared" si="68"/>
        <v>0</v>
      </c>
    </row>
    <row r="1441" spans="1:9">
      <c r="A1441" s="1">
        <v>40820</v>
      </c>
      <c r="B1441">
        <v>3.0428199999999999</v>
      </c>
      <c r="C1441">
        <v>3.89</v>
      </c>
      <c r="D1441">
        <f>WEEKDAY(A1441,14)</f>
        <v>6</v>
      </c>
      <c r="E1441">
        <f>VLOOKUP(D1441,L$2:M$8,2,FALSE)</f>
        <v>0.7</v>
      </c>
      <c r="F1441">
        <f t="shared" si="66"/>
        <v>4</v>
      </c>
      <c r="G1441">
        <f>IF(F1441&gt;F1440,G1440+B1441*E1441,B1441*E1441)</f>
        <v>2.2782649999999998</v>
      </c>
      <c r="H1441">
        <f t="shared" si="67"/>
        <v>0.75</v>
      </c>
      <c r="I1441">
        <f t="shared" si="68"/>
        <v>0</v>
      </c>
    </row>
    <row r="1442" spans="1:9">
      <c r="A1442" s="1">
        <v>40821</v>
      </c>
      <c r="B1442">
        <v>3.1183800000000002</v>
      </c>
      <c r="C1442">
        <v>3.89</v>
      </c>
      <c r="D1442">
        <f>WEEKDAY(A1442,14)</f>
        <v>7</v>
      </c>
      <c r="E1442">
        <f>VLOOKUP(D1442,L$2:M$8,2,FALSE)</f>
        <v>0.25</v>
      </c>
      <c r="F1442">
        <f t="shared" si="66"/>
        <v>5</v>
      </c>
      <c r="G1442">
        <f>IF(F1442&gt;F1441,G1441+B1442*E1442,B1442*E1442)</f>
        <v>3.0578599999999998</v>
      </c>
      <c r="H1442">
        <f t="shared" si="67"/>
        <v>1</v>
      </c>
      <c r="I1442">
        <f t="shared" si="68"/>
        <v>0</v>
      </c>
    </row>
    <row r="1443" spans="1:9">
      <c r="A1443" s="1">
        <v>40822</v>
      </c>
      <c r="B1443">
        <v>3.1859600000000001</v>
      </c>
      <c r="C1443">
        <v>4.07</v>
      </c>
      <c r="D1443">
        <f>WEEKDAY(A1443,14)</f>
        <v>1</v>
      </c>
      <c r="E1443">
        <f>VLOOKUP(D1443,L$2:M$8,2,FALSE)</f>
        <v>0</v>
      </c>
      <c r="F1443">
        <f t="shared" si="66"/>
        <v>1</v>
      </c>
      <c r="G1443">
        <f>IF(F1443&gt;F1442,G1442+B1443*E1443,B1443*E1443)</f>
        <v>0</v>
      </c>
      <c r="H1443">
        <f t="shared" si="67"/>
        <v>0</v>
      </c>
      <c r="I1443">
        <f t="shared" si="68"/>
        <v>3.0578599999999998</v>
      </c>
    </row>
    <row r="1444" spans="1:9">
      <c r="A1444" s="1">
        <v>40823</v>
      </c>
      <c r="B1444">
        <v>3.2827600000000001</v>
      </c>
      <c r="C1444">
        <v>4.07</v>
      </c>
      <c r="D1444">
        <f>WEEKDAY(A1444,14)</f>
        <v>2</v>
      </c>
      <c r="E1444">
        <f>VLOOKUP(D1444,L$2:M$8,2,FALSE)</f>
        <v>0</v>
      </c>
      <c r="F1444">
        <f t="shared" si="66"/>
        <v>2</v>
      </c>
      <c r="G1444">
        <f>IF(F1444&gt;F1443,G1443+B1444*E1444,B1444*E1444)</f>
        <v>0</v>
      </c>
      <c r="H1444">
        <f t="shared" si="67"/>
        <v>0</v>
      </c>
      <c r="I1444">
        <f t="shared" si="68"/>
        <v>0</v>
      </c>
    </row>
    <row r="1445" spans="1:9">
      <c r="A1445" s="1">
        <v>40827</v>
      </c>
      <c r="B1445">
        <v>3.3168000000000002</v>
      </c>
      <c r="C1445">
        <v>4.07</v>
      </c>
      <c r="D1445">
        <f>WEEKDAY(A1445,14)</f>
        <v>6</v>
      </c>
      <c r="E1445">
        <f>VLOOKUP(D1445,L$2:M$8,2,FALSE)</f>
        <v>0.7</v>
      </c>
      <c r="F1445">
        <f t="shared" si="66"/>
        <v>3</v>
      </c>
      <c r="G1445">
        <f>IF(F1445&gt;F1444,G1444+B1445*E1445,B1445*E1445)</f>
        <v>2.3217599999999998</v>
      </c>
      <c r="H1445">
        <f t="shared" si="67"/>
        <v>0.7</v>
      </c>
      <c r="I1445">
        <f t="shared" si="68"/>
        <v>0</v>
      </c>
    </row>
    <row r="1446" spans="1:9">
      <c r="A1446" s="1">
        <v>40828</v>
      </c>
      <c r="B1446">
        <v>3.3378100000000002</v>
      </c>
      <c r="C1446">
        <v>4.07</v>
      </c>
      <c r="D1446">
        <f>WEEKDAY(A1446,14)</f>
        <v>7</v>
      </c>
      <c r="E1446">
        <f>VLOOKUP(D1446,L$2:M$8,2,FALSE)</f>
        <v>0.25</v>
      </c>
      <c r="F1446">
        <f t="shared" si="66"/>
        <v>4</v>
      </c>
      <c r="G1446">
        <f>IF(F1446&gt;F1445,G1445+B1446*E1446,B1446*E1446)</f>
        <v>3.1562124999999996</v>
      </c>
      <c r="H1446">
        <f t="shared" si="67"/>
        <v>0.95</v>
      </c>
      <c r="I1446">
        <f t="shared" si="68"/>
        <v>0</v>
      </c>
    </row>
    <row r="1447" spans="1:9">
      <c r="A1447" s="1">
        <v>40829</v>
      </c>
      <c r="B1447">
        <v>3.3067199999999999</v>
      </c>
      <c r="C1447">
        <v>4.0599999999999996</v>
      </c>
      <c r="D1447">
        <f>WEEKDAY(A1447,14)</f>
        <v>1</v>
      </c>
      <c r="E1447">
        <f>VLOOKUP(D1447,L$2:M$8,2,FALSE)</f>
        <v>0</v>
      </c>
      <c r="F1447">
        <f t="shared" si="66"/>
        <v>1</v>
      </c>
      <c r="G1447">
        <f>IF(F1447&gt;F1446,G1446+B1447*E1447,B1447*E1447)</f>
        <v>0</v>
      </c>
      <c r="H1447">
        <f t="shared" si="67"/>
        <v>0</v>
      </c>
      <c r="I1447">
        <f t="shared" si="68"/>
        <v>3.3223289473684208</v>
      </c>
    </row>
    <row r="1448" spans="1:9">
      <c r="A1448" s="1">
        <v>40830</v>
      </c>
      <c r="B1448">
        <v>3.3644599999999998</v>
      </c>
      <c r="C1448">
        <v>4.0599999999999996</v>
      </c>
      <c r="D1448">
        <f>WEEKDAY(A1448,14)</f>
        <v>2</v>
      </c>
      <c r="E1448">
        <f>VLOOKUP(D1448,L$2:M$8,2,FALSE)</f>
        <v>0</v>
      </c>
      <c r="F1448">
        <f t="shared" si="66"/>
        <v>2</v>
      </c>
      <c r="G1448">
        <f>IF(F1448&gt;F1447,G1447+B1448*E1448,B1448*E1448)</f>
        <v>0</v>
      </c>
      <c r="H1448">
        <f t="shared" si="67"/>
        <v>0</v>
      </c>
      <c r="I1448">
        <f t="shared" si="68"/>
        <v>0</v>
      </c>
    </row>
    <row r="1449" spans="1:9">
      <c r="A1449" s="1">
        <v>40833</v>
      </c>
      <c r="B1449">
        <v>3.2981400000000001</v>
      </c>
      <c r="C1449">
        <v>4.0599999999999996</v>
      </c>
      <c r="D1449">
        <f>WEEKDAY(A1449,14)</f>
        <v>5</v>
      </c>
      <c r="E1449">
        <f>VLOOKUP(D1449,L$2:M$8,2,FALSE)</f>
        <v>0.05</v>
      </c>
      <c r="F1449">
        <f t="shared" si="66"/>
        <v>3</v>
      </c>
      <c r="G1449">
        <f>IF(F1449&gt;F1448,G1448+B1449*E1449,B1449*E1449)</f>
        <v>0.16490700000000003</v>
      </c>
      <c r="H1449">
        <f t="shared" si="67"/>
        <v>0.05</v>
      </c>
      <c r="I1449">
        <f t="shared" si="68"/>
        <v>0</v>
      </c>
    </row>
    <row r="1450" spans="1:9">
      <c r="A1450" s="1">
        <v>40834</v>
      </c>
      <c r="B1450">
        <v>3.2937400000000001</v>
      </c>
      <c r="C1450">
        <v>4.0599999999999996</v>
      </c>
      <c r="D1450">
        <f>WEEKDAY(A1450,14)</f>
        <v>6</v>
      </c>
      <c r="E1450">
        <f>VLOOKUP(D1450,L$2:M$8,2,FALSE)</f>
        <v>0.7</v>
      </c>
      <c r="F1450">
        <f t="shared" si="66"/>
        <v>4</v>
      </c>
      <c r="G1450">
        <f>IF(F1450&gt;F1449,G1449+B1450*E1450,B1450*E1450)</f>
        <v>2.4705249999999999</v>
      </c>
      <c r="H1450">
        <f t="shared" si="67"/>
        <v>0.75</v>
      </c>
      <c r="I1450">
        <f t="shared" si="68"/>
        <v>0</v>
      </c>
    </row>
    <row r="1451" spans="1:9">
      <c r="A1451" s="1">
        <v>40835</v>
      </c>
      <c r="B1451">
        <v>3.3017099999999999</v>
      </c>
      <c r="C1451">
        <v>4.0599999999999996</v>
      </c>
      <c r="D1451">
        <f>WEEKDAY(A1451,14)</f>
        <v>7</v>
      </c>
      <c r="E1451">
        <f>VLOOKUP(D1451,L$2:M$8,2,FALSE)</f>
        <v>0.25</v>
      </c>
      <c r="F1451">
        <f t="shared" si="66"/>
        <v>5</v>
      </c>
      <c r="G1451">
        <f>IF(F1451&gt;F1450,G1450+B1451*E1451,B1451*E1451)</f>
        <v>3.2959524999999998</v>
      </c>
      <c r="H1451">
        <f t="shared" si="67"/>
        <v>1</v>
      </c>
      <c r="I1451">
        <f t="shared" si="68"/>
        <v>0</v>
      </c>
    </row>
    <row r="1452" spans="1:9">
      <c r="A1452" s="1">
        <v>40836</v>
      </c>
      <c r="B1452">
        <v>3.3269899999999999</v>
      </c>
      <c r="C1452">
        <v>4.05</v>
      </c>
      <c r="D1452">
        <f>WEEKDAY(A1452,14)</f>
        <v>1</v>
      </c>
      <c r="E1452">
        <f>VLOOKUP(D1452,L$2:M$8,2,FALSE)</f>
        <v>0</v>
      </c>
      <c r="F1452">
        <f t="shared" si="66"/>
        <v>1</v>
      </c>
      <c r="G1452">
        <f>IF(F1452&gt;F1451,G1451+B1452*E1452,B1452*E1452)</f>
        <v>0</v>
      </c>
      <c r="H1452">
        <f t="shared" si="67"/>
        <v>0</v>
      </c>
      <c r="I1452">
        <f t="shared" si="68"/>
        <v>3.2959524999999998</v>
      </c>
    </row>
    <row r="1453" spans="1:9">
      <c r="A1453" s="1">
        <v>40837</v>
      </c>
      <c r="B1453">
        <v>3.33066</v>
      </c>
      <c r="C1453">
        <v>4.05</v>
      </c>
      <c r="D1453">
        <f>WEEKDAY(A1453,14)</f>
        <v>2</v>
      </c>
      <c r="E1453">
        <f>VLOOKUP(D1453,L$2:M$8,2,FALSE)</f>
        <v>0</v>
      </c>
      <c r="F1453">
        <f t="shared" si="66"/>
        <v>2</v>
      </c>
      <c r="G1453">
        <f>IF(F1453&gt;F1452,G1452+B1453*E1453,B1453*E1453)</f>
        <v>0</v>
      </c>
      <c r="H1453">
        <f t="shared" si="67"/>
        <v>0</v>
      </c>
      <c r="I1453">
        <f t="shared" si="68"/>
        <v>0</v>
      </c>
    </row>
    <row r="1454" spans="1:9">
      <c r="A1454" s="1">
        <v>40840</v>
      </c>
      <c r="B1454">
        <v>3.3635000000000002</v>
      </c>
      <c r="C1454">
        <v>4.05</v>
      </c>
      <c r="D1454">
        <f>WEEKDAY(A1454,14)</f>
        <v>5</v>
      </c>
      <c r="E1454">
        <f>VLOOKUP(D1454,L$2:M$8,2,FALSE)</f>
        <v>0.05</v>
      </c>
      <c r="F1454">
        <f t="shared" si="66"/>
        <v>3</v>
      </c>
      <c r="G1454">
        <f>IF(F1454&gt;F1453,G1453+B1454*E1454,B1454*E1454)</f>
        <v>0.16817500000000002</v>
      </c>
      <c r="H1454">
        <f t="shared" si="67"/>
        <v>0.05</v>
      </c>
      <c r="I1454">
        <f t="shared" si="68"/>
        <v>0</v>
      </c>
    </row>
    <row r="1455" spans="1:9">
      <c r="A1455" s="1">
        <v>40841</v>
      </c>
      <c r="B1455">
        <v>3.2646700000000002</v>
      </c>
      <c r="C1455">
        <v>4.05</v>
      </c>
      <c r="D1455">
        <f>WEEKDAY(A1455,14)</f>
        <v>6</v>
      </c>
      <c r="E1455">
        <f>VLOOKUP(D1455,L$2:M$8,2,FALSE)</f>
        <v>0.7</v>
      </c>
      <c r="F1455">
        <f t="shared" si="66"/>
        <v>4</v>
      </c>
      <c r="G1455">
        <f>IF(F1455&gt;F1454,G1454+B1455*E1455,B1455*E1455)</f>
        <v>2.4534440000000002</v>
      </c>
      <c r="H1455">
        <f t="shared" si="67"/>
        <v>0.75</v>
      </c>
      <c r="I1455">
        <f t="shared" si="68"/>
        <v>0</v>
      </c>
    </row>
    <row r="1456" spans="1:9">
      <c r="A1456" s="1">
        <v>40842</v>
      </c>
      <c r="B1456">
        <v>3.3218000000000001</v>
      </c>
      <c r="C1456">
        <v>4.05</v>
      </c>
      <c r="D1456">
        <f>WEEKDAY(A1456,14)</f>
        <v>7</v>
      </c>
      <c r="E1456">
        <f>VLOOKUP(D1456,L$2:M$8,2,FALSE)</f>
        <v>0.25</v>
      </c>
      <c r="F1456">
        <f t="shared" si="66"/>
        <v>5</v>
      </c>
      <c r="G1456">
        <f>IF(F1456&gt;F1455,G1455+B1456*E1456,B1456*E1456)</f>
        <v>3.2838940000000001</v>
      </c>
      <c r="H1456">
        <f t="shared" si="67"/>
        <v>1</v>
      </c>
      <c r="I1456">
        <f t="shared" si="68"/>
        <v>0</v>
      </c>
    </row>
    <row r="1457" spans="1:9">
      <c r="A1457" s="1">
        <v>40843</v>
      </c>
      <c r="B1457">
        <v>3.4409200000000002</v>
      </c>
      <c r="C1457">
        <v>3.9249999999999998</v>
      </c>
      <c r="D1457">
        <f>WEEKDAY(A1457,14)</f>
        <v>1</v>
      </c>
      <c r="E1457">
        <f>VLOOKUP(D1457,L$2:M$8,2,FALSE)</f>
        <v>0</v>
      </c>
      <c r="F1457">
        <f t="shared" si="66"/>
        <v>1</v>
      </c>
      <c r="G1457">
        <f>IF(F1457&gt;F1456,G1456+B1457*E1457,B1457*E1457)</f>
        <v>0</v>
      </c>
      <c r="H1457">
        <f t="shared" si="67"/>
        <v>0</v>
      </c>
      <c r="I1457">
        <f t="shared" si="68"/>
        <v>3.2838940000000001</v>
      </c>
    </row>
    <row r="1458" spans="1:9">
      <c r="A1458" s="1">
        <v>40844</v>
      </c>
      <c r="B1458">
        <v>3.3602099999999999</v>
      </c>
      <c r="C1458">
        <v>3.9249999999999998</v>
      </c>
      <c r="D1458">
        <f>WEEKDAY(A1458,14)</f>
        <v>2</v>
      </c>
      <c r="E1458">
        <f>VLOOKUP(D1458,L$2:M$8,2,FALSE)</f>
        <v>0</v>
      </c>
      <c r="F1458">
        <f t="shared" si="66"/>
        <v>2</v>
      </c>
      <c r="G1458">
        <f>IF(F1458&gt;F1457,G1457+B1458*E1458,B1458*E1458)</f>
        <v>0</v>
      </c>
      <c r="H1458">
        <f t="shared" si="67"/>
        <v>0</v>
      </c>
      <c r="I1458">
        <f t="shared" si="68"/>
        <v>0</v>
      </c>
    </row>
    <row r="1459" spans="1:9">
      <c r="A1459" s="1">
        <v>40847</v>
      </c>
      <c r="B1459">
        <v>3.2515800000000001</v>
      </c>
      <c r="C1459">
        <v>3.9249999999999998</v>
      </c>
      <c r="D1459">
        <f>WEEKDAY(A1459,14)</f>
        <v>5</v>
      </c>
      <c r="E1459">
        <f>VLOOKUP(D1459,L$2:M$8,2,FALSE)</f>
        <v>0.05</v>
      </c>
      <c r="F1459">
        <f t="shared" si="66"/>
        <v>3</v>
      </c>
      <c r="G1459">
        <f>IF(F1459&gt;F1458,G1458+B1459*E1459,B1459*E1459)</f>
        <v>0.16257900000000003</v>
      </c>
      <c r="H1459">
        <f t="shared" si="67"/>
        <v>0.05</v>
      </c>
      <c r="I1459">
        <f t="shared" si="68"/>
        <v>0</v>
      </c>
    </row>
    <row r="1460" spans="1:9">
      <c r="A1460" s="1">
        <v>40848</v>
      </c>
      <c r="B1460">
        <v>3.1280000000000001</v>
      </c>
      <c r="C1460">
        <v>3.9249999999999998</v>
      </c>
      <c r="D1460">
        <f>WEEKDAY(A1460,14)</f>
        <v>6</v>
      </c>
      <c r="E1460">
        <f>VLOOKUP(D1460,L$2:M$8,2,FALSE)</f>
        <v>0.7</v>
      </c>
      <c r="F1460">
        <f t="shared" si="66"/>
        <v>4</v>
      </c>
      <c r="G1460">
        <f>IF(F1460&gt;F1459,G1459+B1460*E1460,B1460*E1460)</f>
        <v>2.352179</v>
      </c>
      <c r="H1460">
        <f t="shared" si="67"/>
        <v>0.75</v>
      </c>
      <c r="I1460">
        <f t="shared" si="68"/>
        <v>0</v>
      </c>
    </row>
    <row r="1461" spans="1:9">
      <c r="A1461" s="1">
        <v>40849</v>
      </c>
      <c r="B1461">
        <v>3.1403599999999998</v>
      </c>
      <c r="C1461">
        <v>3.9249999999999998</v>
      </c>
      <c r="D1461">
        <f>WEEKDAY(A1461,14)</f>
        <v>7</v>
      </c>
      <c r="E1461">
        <f>VLOOKUP(D1461,L$2:M$8,2,FALSE)</f>
        <v>0.25</v>
      </c>
      <c r="F1461">
        <f t="shared" si="66"/>
        <v>5</v>
      </c>
      <c r="G1461">
        <f>IF(F1461&gt;F1460,G1460+B1461*E1461,B1461*E1461)</f>
        <v>3.1372689999999999</v>
      </c>
      <c r="H1461">
        <f t="shared" si="67"/>
        <v>1</v>
      </c>
      <c r="I1461">
        <f t="shared" si="68"/>
        <v>0</v>
      </c>
    </row>
    <row r="1462" spans="1:9">
      <c r="A1462" s="1">
        <v>40850</v>
      </c>
      <c r="B1462">
        <v>3.1865899999999998</v>
      </c>
      <c r="C1462">
        <v>3.915</v>
      </c>
      <c r="D1462">
        <f>WEEKDAY(A1462,14)</f>
        <v>1</v>
      </c>
      <c r="E1462">
        <f>VLOOKUP(D1462,L$2:M$8,2,FALSE)</f>
        <v>0</v>
      </c>
      <c r="F1462">
        <f t="shared" si="66"/>
        <v>1</v>
      </c>
      <c r="G1462">
        <f>IF(F1462&gt;F1461,G1461+B1462*E1462,B1462*E1462)</f>
        <v>0</v>
      </c>
      <c r="H1462">
        <f t="shared" si="67"/>
        <v>0</v>
      </c>
      <c r="I1462">
        <f t="shared" si="68"/>
        <v>3.1372689999999999</v>
      </c>
    </row>
    <row r="1463" spans="1:9">
      <c r="A1463" s="1">
        <v>40851</v>
      </c>
      <c r="B1463">
        <v>3.1459199999999998</v>
      </c>
      <c r="C1463">
        <v>3.915</v>
      </c>
      <c r="D1463">
        <f>WEEKDAY(A1463,14)</f>
        <v>2</v>
      </c>
      <c r="E1463">
        <f>VLOOKUP(D1463,L$2:M$8,2,FALSE)</f>
        <v>0</v>
      </c>
      <c r="F1463">
        <f t="shared" si="66"/>
        <v>2</v>
      </c>
      <c r="G1463">
        <f>IF(F1463&gt;F1462,G1462+B1463*E1463,B1463*E1463)</f>
        <v>0</v>
      </c>
      <c r="H1463">
        <f t="shared" si="67"/>
        <v>0</v>
      </c>
      <c r="I1463">
        <f t="shared" si="68"/>
        <v>0</v>
      </c>
    </row>
    <row r="1464" spans="1:9">
      <c r="A1464" s="1">
        <v>40854</v>
      </c>
      <c r="B1464">
        <v>3.1153599999999999</v>
      </c>
      <c r="C1464">
        <v>3.915</v>
      </c>
      <c r="D1464">
        <f>WEEKDAY(A1464,14)</f>
        <v>5</v>
      </c>
      <c r="E1464">
        <f>VLOOKUP(D1464,L$2:M$8,2,FALSE)</f>
        <v>0.05</v>
      </c>
      <c r="F1464">
        <f t="shared" si="66"/>
        <v>3</v>
      </c>
      <c r="G1464">
        <f>IF(F1464&gt;F1463,G1463+B1464*E1464,B1464*E1464)</f>
        <v>0.15576800000000002</v>
      </c>
      <c r="H1464">
        <f t="shared" si="67"/>
        <v>0.05</v>
      </c>
      <c r="I1464">
        <f t="shared" si="68"/>
        <v>0</v>
      </c>
    </row>
    <row r="1465" spans="1:9">
      <c r="A1465" s="1">
        <v>40855</v>
      </c>
      <c r="B1465">
        <v>3.1915300000000002</v>
      </c>
      <c r="C1465">
        <v>3.915</v>
      </c>
      <c r="D1465">
        <f>WEEKDAY(A1465,14)</f>
        <v>6</v>
      </c>
      <c r="E1465">
        <f>VLOOKUP(D1465,L$2:M$8,2,FALSE)</f>
        <v>0.7</v>
      </c>
      <c r="F1465">
        <f t="shared" si="66"/>
        <v>4</v>
      </c>
      <c r="G1465">
        <f>IF(F1465&gt;F1464,G1464+B1465*E1465,B1465*E1465)</f>
        <v>2.3898390000000003</v>
      </c>
      <c r="H1465">
        <f t="shared" si="67"/>
        <v>0.75</v>
      </c>
      <c r="I1465">
        <f t="shared" si="68"/>
        <v>0</v>
      </c>
    </row>
    <row r="1466" spans="1:9">
      <c r="A1466" s="1">
        <v>40856</v>
      </c>
      <c r="B1466">
        <v>3.1408299999999998</v>
      </c>
      <c r="C1466">
        <v>3.915</v>
      </c>
      <c r="D1466">
        <f>WEEKDAY(A1466,14)</f>
        <v>7</v>
      </c>
      <c r="E1466">
        <f>VLOOKUP(D1466,L$2:M$8,2,FALSE)</f>
        <v>0.25</v>
      </c>
      <c r="F1466">
        <f t="shared" si="66"/>
        <v>5</v>
      </c>
      <c r="G1466">
        <f>IF(F1466&gt;F1465,G1465+B1466*E1466,B1466*E1466)</f>
        <v>3.1750465000000001</v>
      </c>
      <c r="H1466">
        <f t="shared" si="67"/>
        <v>1</v>
      </c>
      <c r="I1466">
        <f t="shared" si="68"/>
        <v>0</v>
      </c>
    </row>
    <row r="1467" spans="1:9">
      <c r="A1467" s="1">
        <v>40857</v>
      </c>
      <c r="B1467">
        <v>3.1968299999999998</v>
      </c>
      <c r="C1467">
        <v>3.9249999999999998</v>
      </c>
      <c r="D1467">
        <f>WEEKDAY(A1467,14)</f>
        <v>1</v>
      </c>
      <c r="E1467">
        <f>VLOOKUP(D1467,L$2:M$8,2,FALSE)</f>
        <v>0</v>
      </c>
      <c r="F1467">
        <f t="shared" si="66"/>
        <v>1</v>
      </c>
      <c r="G1467">
        <f>IF(F1467&gt;F1466,G1466+B1467*E1467,B1467*E1467)</f>
        <v>0</v>
      </c>
      <c r="H1467">
        <f t="shared" si="67"/>
        <v>0</v>
      </c>
      <c r="I1467">
        <f t="shared" si="68"/>
        <v>3.1750465000000001</v>
      </c>
    </row>
    <row r="1468" spans="1:9">
      <c r="A1468" s="1">
        <v>40861</v>
      </c>
      <c r="B1468">
        <v>3.1932800000000001</v>
      </c>
      <c r="C1468">
        <v>3.9249999999999998</v>
      </c>
      <c r="D1468">
        <f>WEEKDAY(A1468,14)</f>
        <v>5</v>
      </c>
      <c r="E1468">
        <f>VLOOKUP(D1468,L$2:M$8,2,FALSE)</f>
        <v>0.05</v>
      </c>
      <c r="F1468">
        <f t="shared" si="66"/>
        <v>2</v>
      </c>
      <c r="G1468">
        <f>IF(F1468&gt;F1467,G1467+B1468*E1468,B1468*E1468)</f>
        <v>0.15966400000000003</v>
      </c>
      <c r="H1468">
        <f t="shared" si="67"/>
        <v>0.05</v>
      </c>
      <c r="I1468">
        <f t="shared" si="68"/>
        <v>0</v>
      </c>
    </row>
    <row r="1469" spans="1:9">
      <c r="A1469" s="1">
        <v>40862</v>
      </c>
      <c r="B1469">
        <v>3.2192400000000001</v>
      </c>
      <c r="C1469">
        <v>3.9249999999999998</v>
      </c>
      <c r="D1469">
        <f>WEEKDAY(A1469,14)</f>
        <v>6</v>
      </c>
      <c r="E1469">
        <f>VLOOKUP(D1469,L$2:M$8,2,FALSE)</f>
        <v>0.7</v>
      </c>
      <c r="F1469">
        <f t="shared" si="66"/>
        <v>3</v>
      </c>
      <c r="G1469">
        <f>IF(F1469&gt;F1468,G1468+B1469*E1469,B1469*E1469)</f>
        <v>2.4131320000000001</v>
      </c>
      <c r="H1469">
        <f t="shared" si="67"/>
        <v>0.75</v>
      </c>
      <c r="I1469">
        <f t="shared" si="68"/>
        <v>0</v>
      </c>
    </row>
    <row r="1470" spans="1:9">
      <c r="A1470" s="1">
        <v>40863</v>
      </c>
      <c r="B1470">
        <v>3.2014399999999998</v>
      </c>
      <c r="C1470">
        <v>3.9049999999999998</v>
      </c>
      <c r="D1470">
        <f>WEEKDAY(A1470,14)</f>
        <v>7</v>
      </c>
      <c r="E1470">
        <f>VLOOKUP(D1470,L$2:M$8,2,FALSE)</f>
        <v>0.25</v>
      </c>
      <c r="F1470">
        <f t="shared" si="66"/>
        <v>4</v>
      </c>
      <c r="G1470">
        <f>IF(F1470&gt;F1469,G1469+B1470*E1470,B1470*E1470)</f>
        <v>3.213492</v>
      </c>
      <c r="H1470">
        <f t="shared" si="67"/>
        <v>1</v>
      </c>
      <c r="I1470">
        <f t="shared" si="68"/>
        <v>0</v>
      </c>
    </row>
    <row r="1471" spans="1:9">
      <c r="A1471" s="1">
        <v>40864</v>
      </c>
      <c r="B1471">
        <v>3.1637</v>
      </c>
      <c r="C1471">
        <v>3.9049999999999998</v>
      </c>
      <c r="D1471">
        <f>WEEKDAY(A1471,14)</f>
        <v>1</v>
      </c>
      <c r="E1471">
        <f>VLOOKUP(D1471,L$2:M$8,2,FALSE)</f>
        <v>0</v>
      </c>
      <c r="F1471">
        <f t="shared" si="66"/>
        <v>1</v>
      </c>
      <c r="G1471">
        <f>IF(F1471&gt;F1470,G1470+B1471*E1471,B1471*E1471)</f>
        <v>0</v>
      </c>
      <c r="H1471">
        <f t="shared" si="67"/>
        <v>0</v>
      </c>
      <c r="I1471">
        <f t="shared" si="68"/>
        <v>3.213492</v>
      </c>
    </row>
    <row r="1472" spans="1:9">
      <c r="A1472" s="1">
        <v>40865</v>
      </c>
      <c r="B1472">
        <v>3.2133400000000001</v>
      </c>
      <c r="C1472">
        <v>3.9049999999999998</v>
      </c>
      <c r="D1472">
        <f>WEEKDAY(A1472,14)</f>
        <v>2</v>
      </c>
      <c r="E1472">
        <f>VLOOKUP(D1472,L$2:M$8,2,FALSE)</f>
        <v>0</v>
      </c>
      <c r="F1472">
        <f t="shared" si="66"/>
        <v>2</v>
      </c>
      <c r="G1472">
        <f>IF(F1472&gt;F1471,G1471+B1472*E1472,B1472*E1472)</f>
        <v>0</v>
      </c>
      <c r="H1472">
        <f t="shared" si="67"/>
        <v>0</v>
      </c>
      <c r="I1472">
        <f t="shared" si="68"/>
        <v>0</v>
      </c>
    </row>
    <row r="1473" spans="1:9">
      <c r="A1473" s="1">
        <v>40868</v>
      </c>
      <c r="B1473">
        <v>3.1766800000000002</v>
      </c>
      <c r="C1473">
        <v>3.9049999999999998</v>
      </c>
      <c r="D1473">
        <f>WEEKDAY(A1473,14)</f>
        <v>5</v>
      </c>
      <c r="E1473">
        <f>VLOOKUP(D1473,L$2:M$8,2,FALSE)</f>
        <v>0.05</v>
      </c>
      <c r="F1473">
        <f t="shared" si="66"/>
        <v>3</v>
      </c>
      <c r="G1473">
        <f>IF(F1473&gt;F1472,G1472+B1473*E1473,B1473*E1473)</f>
        <v>0.15883400000000003</v>
      </c>
      <c r="H1473">
        <f t="shared" si="67"/>
        <v>0.05</v>
      </c>
      <c r="I1473">
        <f t="shared" si="68"/>
        <v>0</v>
      </c>
    </row>
    <row r="1474" spans="1:9">
      <c r="A1474" s="1">
        <v>40869</v>
      </c>
      <c r="B1474">
        <v>3.1441699999999999</v>
      </c>
      <c r="C1474">
        <v>3.9049999999999998</v>
      </c>
      <c r="D1474">
        <f>WEEKDAY(A1474,14)</f>
        <v>6</v>
      </c>
      <c r="E1474">
        <f>VLOOKUP(D1474,L$2:M$8,2,FALSE)</f>
        <v>0.7</v>
      </c>
      <c r="F1474">
        <f t="shared" si="66"/>
        <v>4</v>
      </c>
      <c r="G1474">
        <f>IF(F1474&gt;F1473,G1473+B1474*E1474,B1474*E1474)</f>
        <v>2.359753</v>
      </c>
      <c r="H1474">
        <f t="shared" si="67"/>
        <v>0.75</v>
      </c>
      <c r="I1474">
        <f t="shared" si="68"/>
        <v>0</v>
      </c>
    </row>
    <row r="1475" spans="1:9">
      <c r="A1475" s="1">
        <v>40870</v>
      </c>
      <c r="B1475">
        <v>3.1451699999999998</v>
      </c>
      <c r="C1475">
        <v>3.9049999999999998</v>
      </c>
      <c r="D1475">
        <f>WEEKDAY(A1475,14)</f>
        <v>7</v>
      </c>
      <c r="E1475">
        <f>VLOOKUP(D1475,L$2:M$8,2,FALSE)</f>
        <v>0.25</v>
      </c>
      <c r="F1475">
        <f t="shared" ref="F1475:F1538" si="69">IF(AND(D1475&gt;D1474,F1474&lt;6),F1474+1,1)</f>
        <v>5</v>
      </c>
      <c r="G1475">
        <f>IF(F1475&gt;F1474,G1474+B1475*E1475,B1475*E1475)</f>
        <v>3.1460455000000001</v>
      </c>
      <c r="H1475">
        <f t="shared" si="67"/>
        <v>1</v>
      </c>
      <c r="I1475">
        <f t="shared" si="68"/>
        <v>0</v>
      </c>
    </row>
    <row r="1476" spans="1:9">
      <c r="A1476" s="1">
        <v>40872</v>
      </c>
      <c r="B1476">
        <v>3.2226300000000001</v>
      </c>
      <c r="C1476">
        <v>3.9249999999999998</v>
      </c>
      <c r="D1476">
        <f>WEEKDAY(A1476,14)</f>
        <v>2</v>
      </c>
      <c r="E1476">
        <f>VLOOKUP(D1476,L$2:M$8,2,FALSE)</f>
        <v>0</v>
      </c>
      <c r="F1476">
        <f t="shared" si="69"/>
        <v>1</v>
      </c>
      <c r="G1476">
        <f>IF(F1476&gt;F1475,G1475+B1476*E1476,B1476*E1476)</f>
        <v>0</v>
      </c>
      <c r="H1476">
        <f t="shared" ref="H1476:H1539" si="70">IF(AND(F1476&lt;6,F1476&gt;F1475),E1476+H1475,E1476)</f>
        <v>0</v>
      </c>
      <c r="I1476">
        <f t="shared" ref="I1476:I1539" si="71">IF(F1475&gt;F1476,G1475/H1475,0)</f>
        <v>3.1460455000000001</v>
      </c>
    </row>
    <row r="1477" spans="1:9">
      <c r="A1477" s="1">
        <v>40875</v>
      </c>
      <c r="B1477">
        <v>3.1879</v>
      </c>
      <c r="C1477">
        <v>3.9249999999999998</v>
      </c>
      <c r="D1477">
        <f>WEEKDAY(A1477,14)</f>
        <v>5</v>
      </c>
      <c r="E1477">
        <f>VLOOKUP(D1477,L$2:M$8,2,FALSE)</f>
        <v>0.05</v>
      </c>
      <c r="F1477">
        <f t="shared" si="69"/>
        <v>2</v>
      </c>
      <c r="G1477">
        <f>IF(F1477&gt;F1476,G1476+B1477*E1477,B1477*E1477)</f>
        <v>0.15939500000000001</v>
      </c>
      <c r="H1477">
        <f t="shared" si="70"/>
        <v>0.05</v>
      </c>
      <c r="I1477">
        <f t="shared" si="71"/>
        <v>0</v>
      </c>
    </row>
    <row r="1478" spans="1:9">
      <c r="A1478" s="1">
        <v>40876</v>
      </c>
      <c r="B1478">
        <v>3.18161</v>
      </c>
      <c r="C1478">
        <v>3.9249999999999998</v>
      </c>
      <c r="D1478">
        <f>WEEKDAY(A1478,14)</f>
        <v>6</v>
      </c>
      <c r="E1478">
        <f>VLOOKUP(D1478,L$2:M$8,2,FALSE)</f>
        <v>0.7</v>
      </c>
      <c r="F1478">
        <f t="shared" si="69"/>
        <v>3</v>
      </c>
      <c r="G1478">
        <f>IF(F1478&gt;F1477,G1477+B1478*E1478,B1478*E1478)</f>
        <v>2.3865219999999998</v>
      </c>
      <c r="H1478">
        <f t="shared" si="70"/>
        <v>0.75</v>
      </c>
      <c r="I1478">
        <f t="shared" si="71"/>
        <v>0</v>
      </c>
    </row>
    <row r="1479" spans="1:9">
      <c r="A1479" s="1">
        <v>40877</v>
      </c>
      <c r="B1479">
        <v>3.1770200000000002</v>
      </c>
      <c r="C1479">
        <v>3.9249999999999998</v>
      </c>
      <c r="D1479">
        <f>WEEKDAY(A1479,14)</f>
        <v>7</v>
      </c>
      <c r="E1479">
        <f>VLOOKUP(D1479,L$2:M$8,2,FALSE)</f>
        <v>0.25</v>
      </c>
      <c r="F1479">
        <f t="shared" si="69"/>
        <v>4</v>
      </c>
      <c r="G1479">
        <f>IF(F1479&gt;F1478,G1478+B1479*E1479,B1479*E1479)</f>
        <v>3.180777</v>
      </c>
      <c r="H1479">
        <f t="shared" si="70"/>
        <v>1</v>
      </c>
      <c r="I1479">
        <f t="shared" si="71"/>
        <v>0</v>
      </c>
    </row>
    <row r="1480" spans="1:9">
      <c r="A1480" s="1">
        <v>40878</v>
      </c>
      <c r="B1480">
        <v>3.2092100000000001</v>
      </c>
      <c r="C1480">
        <v>3.915</v>
      </c>
      <c r="D1480">
        <f>WEEKDAY(A1480,14)</f>
        <v>1</v>
      </c>
      <c r="E1480">
        <f>VLOOKUP(D1480,L$2:M$8,2,FALSE)</f>
        <v>0</v>
      </c>
      <c r="F1480">
        <f t="shared" si="69"/>
        <v>1</v>
      </c>
      <c r="G1480">
        <f>IF(F1480&gt;F1479,G1479+B1480*E1480,B1480*E1480)</f>
        <v>0</v>
      </c>
      <c r="H1480">
        <f t="shared" si="70"/>
        <v>0</v>
      </c>
      <c r="I1480">
        <f t="shared" si="71"/>
        <v>3.180777</v>
      </c>
    </row>
    <row r="1481" spans="1:9">
      <c r="A1481" s="1">
        <v>40879</v>
      </c>
      <c r="B1481">
        <v>3.1429299999999998</v>
      </c>
      <c r="C1481">
        <v>3.915</v>
      </c>
      <c r="D1481">
        <f>WEEKDAY(A1481,14)</f>
        <v>2</v>
      </c>
      <c r="E1481">
        <f>VLOOKUP(D1481,L$2:M$8,2,FALSE)</f>
        <v>0</v>
      </c>
      <c r="F1481">
        <f t="shared" si="69"/>
        <v>2</v>
      </c>
      <c r="G1481">
        <f>IF(F1481&gt;F1480,G1480+B1481*E1481,B1481*E1481)</f>
        <v>0</v>
      </c>
      <c r="H1481">
        <f t="shared" si="70"/>
        <v>0</v>
      </c>
      <c r="I1481">
        <f t="shared" si="71"/>
        <v>0</v>
      </c>
    </row>
    <row r="1482" spans="1:9">
      <c r="A1482" s="1">
        <v>40882</v>
      </c>
      <c r="B1482">
        <v>3.1564899999999998</v>
      </c>
      <c r="C1482">
        <v>3.915</v>
      </c>
      <c r="D1482">
        <f>WEEKDAY(A1482,14)</f>
        <v>5</v>
      </c>
      <c r="E1482">
        <f>VLOOKUP(D1482,L$2:M$8,2,FALSE)</f>
        <v>0.05</v>
      </c>
      <c r="F1482">
        <f t="shared" si="69"/>
        <v>3</v>
      </c>
      <c r="G1482">
        <f>IF(F1482&gt;F1481,G1481+B1482*E1482,B1482*E1482)</f>
        <v>0.15782450000000001</v>
      </c>
      <c r="H1482">
        <f t="shared" si="70"/>
        <v>0.05</v>
      </c>
      <c r="I1482">
        <f t="shared" si="71"/>
        <v>0</v>
      </c>
    </row>
    <row r="1483" spans="1:9">
      <c r="A1483" s="1">
        <v>40883</v>
      </c>
      <c r="B1483">
        <v>3.1701899999999998</v>
      </c>
      <c r="C1483">
        <v>3.915</v>
      </c>
      <c r="D1483">
        <f>WEEKDAY(A1483,14)</f>
        <v>6</v>
      </c>
      <c r="E1483">
        <f>VLOOKUP(D1483,L$2:M$8,2,FALSE)</f>
        <v>0.7</v>
      </c>
      <c r="F1483">
        <f t="shared" si="69"/>
        <v>4</v>
      </c>
      <c r="G1483">
        <f>IF(F1483&gt;F1482,G1482+B1483*E1483,B1483*E1483)</f>
        <v>2.3769574999999996</v>
      </c>
      <c r="H1483">
        <f t="shared" si="70"/>
        <v>0.75</v>
      </c>
      <c r="I1483">
        <f t="shared" si="71"/>
        <v>0</v>
      </c>
    </row>
    <row r="1484" spans="1:9">
      <c r="A1484" s="1">
        <v>40884</v>
      </c>
      <c r="B1484">
        <v>3.0901200000000002</v>
      </c>
      <c r="C1484">
        <v>3.915</v>
      </c>
      <c r="D1484">
        <f>WEEKDAY(A1484,14)</f>
        <v>7</v>
      </c>
      <c r="E1484">
        <f>VLOOKUP(D1484,L$2:M$8,2,FALSE)</f>
        <v>0.25</v>
      </c>
      <c r="F1484">
        <f t="shared" si="69"/>
        <v>5</v>
      </c>
      <c r="G1484">
        <f>IF(F1484&gt;F1483,G1483+B1484*E1484,B1484*E1484)</f>
        <v>3.1494874999999998</v>
      </c>
      <c r="H1484">
        <f t="shared" si="70"/>
        <v>1</v>
      </c>
      <c r="I1484">
        <f t="shared" si="71"/>
        <v>0</v>
      </c>
    </row>
    <row r="1485" spans="1:9">
      <c r="A1485" s="1">
        <v>40885</v>
      </c>
      <c r="B1485">
        <v>3.0582099999999999</v>
      </c>
      <c r="C1485">
        <v>3.89</v>
      </c>
      <c r="D1485">
        <f>WEEKDAY(A1485,14)</f>
        <v>1</v>
      </c>
      <c r="E1485">
        <f>VLOOKUP(D1485,L$2:M$8,2,FALSE)</f>
        <v>0</v>
      </c>
      <c r="F1485">
        <f t="shared" si="69"/>
        <v>1</v>
      </c>
      <c r="G1485">
        <f>IF(F1485&gt;F1484,G1484+B1485*E1485,B1485*E1485)</f>
        <v>0</v>
      </c>
      <c r="H1485">
        <f t="shared" si="70"/>
        <v>0</v>
      </c>
      <c r="I1485">
        <f t="shared" si="71"/>
        <v>3.1494874999999998</v>
      </c>
    </row>
    <row r="1486" spans="1:9">
      <c r="A1486" s="1">
        <v>40886</v>
      </c>
      <c r="B1486">
        <v>3.1366900000000002</v>
      </c>
      <c r="C1486">
        <v>3.89</v>
      </c>
      <c r="D1486">
        <f>WEEKDAY(A1486,14)</f>
        <v>2</v>
      </c>
      <c r="E1486">
        <f>VLOOKUP(D1486,L$2:M$8,2,FALSE)</f>
        <v>0</v>
      </c>
      <c r="F1486">
        <f t="shared" si="69"/>
        <v>2</v>
      </c>
      <c r="G1486">
        <f>IF(F1486&gt;F1485,G1485+B1486*E1486,B1486*E1486)</f>
        <v>0</v>
      </c>
      <c r="H1486">
        <f t="shared" si="70"/>
        <v>0</v>
      </c>
      <c r="I1486">
        <f t="shared" si="71"/>
        <v>0</v>
      </c>
    </row>
    <row r="1487" spans="1:9">
      <c r="A1487" s="1">
        <v>40889</v>
      </c>
      <c r="B1487">
        <v>3.12819</v>
      </c>
      <c r="C1487">
        <v>3.89</v>
      </c>
      <c r="D1487">
        <f>WEEKDAY(A1487,14)</f>
        <v>5</v>
      </c>
      <c r="E1487">
        <f>VLOOKUP(D1487,L$2:M$8,2,FALSE)</f>
        <v>0.05</v>
      </c>
      <c r="F1487">
        <f t="shared" si="69"/>
        <v>3</v>
      </c>
      <c r="G1487">
        <f>IF(F1487&gt;F1486,G1486+B1487*E1487,B1487*E1487)</f>
        <v>0.15640950000000001</v>
      </c>
      <c r="H1487">
        <f t="shared" si="70"/>
        <v>0.05</v>
      </c>
      <c r="I1487">
        <f t="shared" si="71"/>
        <v>0</v>
      </c>
    </row>
    <row r="1488" spans="1:9">
      <c r="A1488" s="1">
        <v>40890</v>
      </c>
      <c r="B1488">
        <v>3.0836000000000001</v>
      </c>
      <c r="C1488">
        <v>3.89</v>
      </c>
      <c r="D1488">
        <f>WEEKDAY(A1488,14)</f>
        <v>6</v>
      </c>
      <c r="E1488">
        <f>VLOOKUP(D1488,L$2:M$8,2,FALSE)</f>
        <v>0.7</v>
      </c>
      <c r="F1488">
        <f t="shared" si="69"/>
        <v>4</v>
      </c>
      <c r="G1488">
        <f>IF(F1488&gt;F1487,G1487+B1488*E1488,B1488*E1488)</f>
        <v>2.3149294999999999</v>
      </c>
      <c r="H1488">
        <f t="shared" si="70"/>
        <v>0.75</v>
      </c>
      <c r="I1488">
        <f t="shared" si="71"/>
        <v>0</v>
      </c>
    </row>
    <row r="1489" spans="1:9">
      <c r="A1489" s="1">
        <v>40891</v>
      </c>
      <c r="B1489">
        <v>3.0099</v>
      </c>
      <c r="C1489">
        <v>3.89</v>
      </c>
      <c r="D1489">
        <f>WEEKDAY(A1489,14)</f>
        <v>7</v>
      </c>
      <c r="E1489">
        <f>VLOOKUP(D1489,L$2:M$8,2,FALSE)</f>
        <v>0.25</v>
      </c>
      <c r="F1489">
        <f t="shared" si="69"/>
        <v>5</v>
      </c>
      <c r="G1489">
        <f>IF(F1489&gt;F1488,G1488+B1489*E1489,B1489*E1489)</f>
        <v>3.0674044999999999</v>
      </c>
      <c r="H1489">
        <f t="shared" si="70"/>
        <v>1</v>
      </c>
      <c r="I1489">
        <f t="shared" si="71"/>
        <v>0</v>
      </c>
    </row>
    <row r="1490" spans="1:9">
      <c r="A1490" s="1">
        <v>40892</v>
      </c>
      <c r="B1490">
        <v>3.05125</v>
      </c>
      <c r="C1490">
        <v>3.835</v>
      </c>
      <c r="D1490">
        <f>WEEKDAY(A1490,14)</f>
        <v>1</v>
      </c>
      <c r="E1490">
        <f>VLOOKUP(D1490,L$2:M$8,2,FALSE)</f>
        <v>0</v>
      </c>
      <c r="F1490">
        <f t="shared" si="69"/>
        <v>1</v>
      </c>
      <c r="G1490">
        <f>IF(F1490&gt;F1489,G1489+B1490*E1490,B1490*E1490)</f>
        <v>0</v>
      </c>
      <c r="H1490">
        <f t="shared" si="70"/>
        <v>0</v>
      </c>
      <c r="I1490">
        <f t="shared" si="71"/>
        <v>3.0674044999999999</v>
      </c>
    </row>
    <row r="1491" spans="1:9">
      <c r="A1491" s="1">
        <v>40893</v>
      </c>
      <c r="B1491">
        <v>3.0010400000000002</v>
      </c>
      <c r="C1491">
        <v>3.835</v>
      </c>
      <c r="D1491">
        <f>WEEKDAY(A1491,14)</f>
        <v>2</v>
      </c>
      <c r="E1491">
        <f>VLOOKUP(D1491,L$2:M$8,2,FALSE)</f>
        <v>0</v>
      </c>
      <c r="F1491">
        <f t="shared" si="69"/>
        <v>2</v>
      </c>
      <c r="G1491">
        <f>IF(F1491&gt;F1490,G1490+B1491*E1491,B1491*E1491)</f>
        <v>0</v>
      </c>
      <c r="H1491">
        <f t="shared" si="70"/>
        <v>0</v>
      </c>
      <c r="I1491">
        <f t="shared" si="71"/>
        <v>0</v>
      </c>
    </row>
    <row r="1492" spans="1:9">
      <c r="A1492" s="1">
        <v>40896</v>
      </c>
      <c r="B1492">
        <v>2.9894500000000002</v>
      </c>
      <c r="C1492">
        <v>3.835</v>
      </c>
      <c r="D1492">
        <f>WEEKDAY(A1492,14)</f>
        <v>5</v>
      </c>
      <c r="E1492">
        <f>VLOOKUP(D1492,L$2:M$8,2,FALSE)</f>
        <v>0.05</v>
      </c>
      <c r="F1492">
        <f t="shared" si="69"/>
        <v>3</v>
      </c>
      <c r="G1492">
        <f>IF(F1492&gt;F1491,G1491+B1492*E1492,B1492*E1492)</f>
        <v>0.14947250000000001</v>
      </c>
      <c r="H1492">
        <f t="shared" si="70"/>
        <v>0.05</v>
      </c>
      <c r="I1492">
        <f t="shared" si="71"/>
        <v>0</v>
      </c>
    </row>
    <row r="1493" spans="1:9">
      <c r="A1493" s="1">
        <v>40897</v>
      </c>
      <c r="B1493">
        <v>3.0682700000000001</v>
      </c>
      <c r="C1493">
        <v>3.835</v>
      </c>
      <c r="D1493">
        <f>WEEKDAY(A1493,14)</f>
        <v>6</v>
      </c>
      <c r="E1493">
        <f>VLOOKUP(D1493,L$2:M$8,2,FALSE)</f>
        <v>0.7</v>
      </c>
      <c r="F1493">
        <f t="shared" si="69"/>
        <v>4</v>
      </c>
      <c r="G1493">
        <f>IF(F1493&gt;F1492,G1492+B1493*E1493,B1493*E1493)</f>
        <v>2.2972614999999998</v>
      </c>
      <c r="H1493">
        <f t="shared" si="70"/>
        <v>0.75</v>
      </c>
      <c r="I1493">
        <f t="shared" si="71"/>
        <v>0</v>
      </c>
    </row>
    <row r="1494" spans="1:9">
      <c r="A1494" s="1">
        <v>40898</v>
      </c>
      <c r="B1494">
        <v>3.1062099999999999</v>
      </c>
      <c r="C1494">
        <v>3.835</v>
      </c>
      <c r="D1494">
        <f>WEEKDAY(A1494,14)</f>
        <v>7</v>
      </c>
      <c r="E1494">
        <f>VLOOKUP(D1494,L$2:M$8,2,FALSE)</f>
        <v>0.25</v>
      </c>
      <c r="F1494">
        <f t="shared" si="69"/>
        <v>5</v>
      </c>
      <c r="G1494">
        <f>IF(F1494&gt;F1493,G1493+B1494*E1494,B1494*E1494)</f>
        <v>3.0738139999999996</v>
      </c>
      <c r="H1494">
        <f t="shared" si="70"/>
        <v>1</v>
      </c>
      <c r="I1494">
        <f t="shared" si="71"/>
        <v>0</v>
      </c>
    </row>
    <row r="1495" spans="1:9">
      <c r="A1495" s="1">
        <v>40899</v>
      </c>
      <c r="B1495">
        <v>3.0957300000000001</v>
      </c>
      <c r="C1495">
        <v>3.875</v>
      </c>
      <c r="D1495">
        <f>WEEKDAY(A1495,14)</f>
        <v>1</v>
      </c>
      <c r="E1495">
        <f>VLOOKUP(D1495,L$2:M$8,2,FALSE)</f>
        <v>0</v>
      </c>
      <c r="F1495">
        <f t="shared" si="69"/>
        <v>1</v>
      </c>
      <c r="G1495">
        <f>IF(F1495&gt;F1494,G1494+B1495*E1495,B1495*E1495)</f>
        <v>0</v>
      </c>
      <c r="H1495">
        <f t="shared" si="70"/>
        <v>0</v>
      </c>
      <c r="I1495">
        <f t="shared" si="71"/>
        <v>3.0738139999999996</v>
      </c>
    </row>
    <row r="1496" spans="1:9">
      <c r="A1496" s="1">
        <v>40900</v>
      </c>
      <c r="B1496">
        <v>3.1705000000000001</v>
      </c>
      <c r="C1496">
        <v>3.875</v>
      </c>
      <c r="D1496">
        <f>WEEKDAY(A1496,14)</f>
        <v>2</v>
      </c>
      <c r="E1496">
        <f>VLOOKUP(D1496,L$2:M$8,2,FALSE)</f>
        <v>0</v>
      </c>
      <c r="F1496">
        <f t="shared" si="69"/>
        <v>2</v>
      </c>
      <c r="G1496">
        <f>IF(F1496&gt;F1495,G1495+B1496*E1496,B1496*E1496)</f>
        <v>0</v>
      </c>
      <c r="H1496">
        <f t="shared" si="70"/>
        <v>0</v>
      </c>
      <c r="I1496">
        <f t="shared" si="71"/>
        <v>0</v>
      </c>
    </row>
    <row r="1497" spans="1:9">
      <c r="A1497" s="1">
        <v>40904</v>
      </c>
      <c r="B1497">
        <v>3.1525400000000001</v>
      </c>
      <c r="C1497">
        <v>3.875</v>
      </c>
      <c r="D1497">
        <f>WEEKDAY(A1497,14)</f>
        <v>6</v>
      </c>
      <c r="E1497">
        <f>VLOOKUP(D1497,L$2:M$8,2,FALSE)</f>
        <v>0.7</v>
      </c>
      <c r="F1497">
        <f t="shared" si="69"/>
        <v>3</v>
      </c>
      <c r="G1497">
        <f>IF(F1497&gt;F1496,G1496+B1497*E1497,B1497*E1497)</f>
        <v>2.2067779999999999</v>
      </c>
      <c r="H1497">
        <f t="shared" si="70"/>
        <v>0.7</v>
      </c>
      <c r="I1497">
        <f t="shared" si="71"/>
        <v>0</v>
      </c>
    </row>
    <row r="1498" spans="1:9">
      <c r="A1498" s="1">
        <v>40905</v>
      </c>
      <c r="B1498">
        <v>3.0482399999999998</v>
      </c>
      <c r="C1498">
        <v>3.875</v>
      </c>
      <c r="D1498">
        <f>WEEKDAY(A1498,14)</f>
        <v>7</v>
      </c>
      <c r="E1498">
        <f>VLOOKUP(D1498,L$2:M$8,2,FALSE)</f>
        <v>0.25</v>
      </c>
      <c r="F1498">
        <f t="shared" si="69"/>
        <v>4</v>
      </c>
      <c r="G1498">
        <f>IF(F1498&gt;F1497,G1497+B1498*E1498,B1498*E1498)</f>
        <v>2.9688379999999999</v>
      </c>
      <c r="H1498">
        <f t="shared" si="70"/>
        <v>0.95</v>
      </c>
      <c r="I1498">
        <f t="shared" si="71"/>
        <v>0</v>
      </c>
    </row>
    <row r="1499" spans="1:9">
      <c r="A1499" s="1">
        <v>40906</v>
      </c>
      <c r="B1499">
        <v>3.02888</v>
      </c>
      <c r="C1499">
        <v>3.86</v>
      </c>
      <c r="D1499">
        <f>WEEKDAY(A1499,14)</f>
        <v>1</v>
      </c>
      <c r="E1499">
        <f>VLOOKUP(D1499,L$2:M$8,2,FALSE)</f>
        <v>0</v>
      </c>
      <c r="F1499">
        <f t="shared" si="69"/>
        <v>1</v>
      </c>
      <c r="G1499">
        <f>IF(F1499&gt;F1498,G1498+B1499*E1499,B1499*E1499)</f>
        <v>0</v>
      </c>
      <c r="H1499">
        <f t="shared" si="70"/>
        <v>0</v>
      </c>
      <c r="I1499">
        <f t="shared" si="71"/>
        <v>3.1250926315789473</v>
      </c>
    </row>
    <row r="1500" spans="1:9">
      <c r="A1500" s="1">
        <v>40907</v>
      </c>
      <c r="B1500">
        <v>3.0169000000000001</v>
      </c>
      <c r="C1500">
        <v>3.86</v>
      </c>
      <c r="D1500">
        <f>WEEKDAY(A1500,14)</f>
        <v>2</v>
      </c>
      <c r="E1500">
        <f>VLOOKUP(D1500,L$2:M$8,2,FALSE)</f>
        <v>0</v>
      </c>
      <c r="F1500">
        <f t="shared" si="69"/>
        <v>2</v>
      </c>
      <c r="G1500">
        <f>IF(F1500&gt;F1499,G1499+B1500*E1500,B1500*E1500)</f>
        <v>0</v>
      </c>
      <c r="H1500">
        <f t="shared" si="70"/>
        <v>0</v>
      </c>
      <c r="I1500">
        <f t="shared" si="71"/>
        <v>0</v>
      </c>
    </row>
    <row r="1501" spans="1:9">
      <c r="A1501" s="1">
        <v>40911</v>
      </c>
      <c r="B1501">
        <v>2.99221</v>
      </c>
      <c r="C1501">
        <v>3.86</v>
      </c>
      <c r="D1501">
        <f>WEEKDAY(A1501,14)</f>
        <v>6</v>
      </c>
      <c r="E1501">
        <f>VLOOKUP(D1501,L$2:M$8,2,FALSE)</f>
        <v>0.7</v>
      </c>
      <c r="F1501">
        <f t="shared" si="69"/>
        <v>3</v>
      </c>
      <c r="G1501">
        <f>IF(F1501&gt;F1500,G1500+B1501*E1501,B1501*E1501)</f>
        <v>2.0945469999999999</v>
      </c>
      <c r="H1501">
        <f t="shared" si="70"/>
        <v>0.7</v>
      </c>
      <c r="I1501">
        <f t="shared" si="71"/>
        <v>0</v>
      </c>
    </row>
    <row r="1502" spans="1:9">
      <c r="A1502" s="1">
        <v>40912</v>
      </c>
      <c r="B1502">
        <v>2.9956999999999998</v>
      </c>
      <c r="C1502">
        <v>3.86</v>
      </c>
      <c r="D1502">
        <f>WEEKDAY(A1502,14)</f>
        <v>7</v>
      </c>
      <c r="E1502">
        <f>VLOOKUP(D1502,L$2:M$8,2,FALSE)</f>
        <v>0.25</v>
      </c>
      <c r="F1502">
        <f t="shared" si="69"/>
        <v>4</v>
      </c>
      <c r="G1502">
        <f>IF(F1502&gt;F1501,G1501+B1502*E1502,B1502*E1502)</f>
        <v>2.8434719999999998</v>
      </c>
      <c r="H1502">
        <f t="shared" si="70"/>
        <v>0.95</v>
      </c>
      <c r="I1502">
        <f t="shared" si="71"/>
        <v>0</v>
      </c>
    </row>
    <row r="1503" spans="1:9">
      <c r="A1503" s="1">
        <v>40913</v>
      </c>
      <c r="B1503">
        <v>2.91011</v>
      </c>
      <c r="C1503">
        <v>3.8149999999999999</v>
      </c>
      <c r="D1503">
        <f>WEEKDAY(A1503,14)</f>
        <v>1</v>
      </c>
      <c r="E1503">
        <f>VLOOKUP(D1503,L$2:M$8,2,FALSE)</f>
        <v>0</v>
      </c>
      <c r="F1503">
        <f t="shared" si="69"/>
        <v>1</v>
      </c>
      <c r="G1503">
        <f>IF(F1503&gt;F1502,G1502+B1503*E1503,B1503*E1503)</f>
        <v>0</v>
      </c>
      <c r="H1503">
        <f t="shared" si="70"/>
        <v>0</v>
      </c>
      <c r="I1503">
        <f t="shared" si="71"/>
        <v>2.9931284210526314</v>
      </c>
    </row>
    <row r="1504" spans="1:9">
      <c r="A1504" s="1">
        <v>40914</v>
      </c>
      <c r="B1504">
        <v>2.85738</v>
      </c>
      <c r="C1504">
        <v>3.8149999999999999</v>
      </c>
      <c r="D1504">
        <f>WEEKDAY(A1504,14)</f>
        <v>2</v>
      </c>
      <c r="E1504">
        <f>VLOOKUP(D1504,L$2:M$8,2,FALSE)</f>
        <v>0</v>
      </c>
      <c r="F1504">
        <f t="shared" si="69"/>
        <v>2</v>
      </c>
      <c r="G1504">
        <f>IF(F1504&gt;F1503,G1503+B1504*E1504,B1504*E1504)</f>
        <v>0</v>
      </c>
      <c r="H1504">
        <f t="shared" si="70"/>
        <v>0</v>
      </c>
      <c r="I1504">
        <f t="shared" si="71"/>
        <v>0</v>
      </c>
    </row>
    <row r="1505" spans="1:9">
      <c r="A1505" s="1">
        <v>40917</v>
      </c>
      <c r="B1505">
        <v>2.8757199999999998</v>
      </c>
      <c r="C1505">
        <v>3.8149999999999999</v>
      </c>
      <c r="D1505">
        <f>WEEKDAY(A1505,14)</f>
        <v>5</v>
      </c>
      <c r="E1505">
        <f>VLOOKUP(D1505,L$2:M$8,2,FALSE)</f>
        <v>0.05</v>
      </c>
      <c r="F1505">
        <f t="shared" si="69"/>
        <v>3</v>
      </c>
      <c r="G1505">
        <f>IF(F1505&gt;F1504,G1504+B1505*E1505,B1505*E1505)</f>
        <v>0.143786</v>
      </c>
      <c r="H1505">
        <f t="shared" si="70"/>
        <v>0.05</v>
      </c>
      <c r="I1505">
        <f t="shared" si="71"/>
        <v>0</v>
      </c>
    </row>
    <row r="1506" spans="1:9">
      <c r="A1506" s="1">
        <v>40918</v>
      </c>
      <c r="B1506">
        <v>2.9177900000000001</v>
      </c>
      <c r="C1506">
        <v>3.8149999999999999</v>
      </c>
      <c r="D1506">
        <f>WEEKDAY(A1506,14)</f>
        <v>6</v>
      </c>
      <c r="E1506">
        <f>VLOOKUP(D1506,L$2:M$8,2,FALSE)</f>
        <v>0.7</v>
      </c>
      <c r="F1506">
        <f t="shared" si="69"/>
        <v>4</v>
      </c>
      <c r="G1506">
        <f>IF(F1506&gt;F1505,G1505+B1506*E1506,B1506*E1506)</f>
        <v>2.186239</v>
      </c>
      <c r="H1506">
        <f t="shared" si="70"/>
        <v>0.75</v>
      </c>
      <c r="I1506">
        <f t="shared" si="71"/>
        <v>0</v>
      </c>
    </row>
    <row r="1507" spans="1:9">
      <c r="A1507" s="1">
        <v>40919</v>
      </c>
      <c r="B1507">
        <v>2.8837700000000002</v>
      </c>
      <c r="C1507">
        <v>3.8149999999999999</v>
      </c>
      <c r="D1507">
        <f>WEEKDAY(A1507,14)</f>
        <v>7</v>
      </c>
      <c r="E1507">
        <f>VLOOKUP(D1507,L$2:M$8,2,FALSE)</f>
        <v>0.25</v>
      </c>
      <c r="F1507">
        <f t="shared" si="69"/>
        <v>5</v>
      </c>
      <c r="G1507">
        <f>IF(F1507&gt;F1506,G1506+B1507*E1507,B1507*E1507)</f>
        <v>2.9071815000000001</v>
      </c>
      <c r="H1507">
        <f t="shared" si="70"/>
        <v>1</v>
      </c>
      <c r="I1507">
        <f t="shared" si="71"/>
        <v>0</v>
      </c>
    </row>
    <row r="1508" spans="1:9">
      <c r="A1508" s="1">
        <v>40920</v>
      </c>
      <c r="B1508">
        <v>2.8523399999999999</v>
      </c>
      <c r="C1508">
        <v>3.83</v>
      </c>
      <c r="D1508">
        <f>WEEKDAY(A1508,14)</f>
        <v>1</v>
      </c>
      <c r="E1508">
        <f>VLOOKUP(D1508,L$2:M$8,2,FALSE)</f>
        <v>0</v>
      </c>
      <c r="F1508">
        <f t="shared" si="69"/>
        <v>1</v>
      </c>
      <c r="G1508">
        <f>IF(F1508&gt;F1507,G1507+B1508*E1508,B1508*E1508)</f>
        <v>0</v>
      </c>
      <c r="H1508">
        <f t="shared" si="70"/>
        <v>0</v>
      </c>
      <c r="I1508">
        <f t="shared" si="71"/>
        <v>2.9071815000000001</v>
      </c>
    </row>
    <row r="1509" spans="1:9">
      <c r="A1509" s="1">
        <v>40921</v>
      </c>
      <c r="B1509">
        <v>2.8163100000000001</v>
      </c>
      <c r="C1509">
        <v>3.83</v>
      </c>
      <c r="D1509">
        <f>WEEKDAY(A1509,14)</f>
        <v>2</v>
      </c>
      <c r="E1509">
        <f>VLOOKUP(D1509,L$2:M$8,2,FALSE)</f>
        <v>0</v>
      </c>
      <c r="F1509">
        <f t="shared" si="69"/>
        <v>2</v>
      </c>
      <c r="G1509">
        <f>IF(F1509&gt;F1508,G1508+B1509*E1509,B1509*E1509)</f>
        <v>0</v>
      </c>
      <c r="H1509">
        <f t="shared" si="70"/>
        <v>0</v>
      </c>
      <c r="I1509">
        <f t="shared" si="71"/>
        <v>0</v>
      </c>
    </row>
    <row r="1510" spans="1:9">
      <c r="A1510" s="1">
        <v>40925</v>
      </c>
      <c r="B1510">
        <v>2.8626399999999999</v>
      </c>
      <c r="C1510">
        <v>3.83</v>
      </c>
      <c r="D1510">
        <f>WEEKDAY(A1510,14)</f>
        <v>6</v>
      </c>
      <c r="E1510">
        <f>VLOOKUP(D1510,L$2:M$8,2,FALSE)</f>
        <v>0.7</v>
      </c>
      <c r="F1510">
        <f t="shared" si="69"/>
        <v>3</v>
      </c>
      <c r="G1510">
        <f>IF(F1510&gt;F1509,G1509+B1510*E1510,B1510*E1510)</f>
        <v>2.0038479999999996</v>
      </c>
      <c r="H1510">
        <f t="shared" si="70"/>
        <v>0.7</v>
      </c>
      <c r="I1510">
        <f t="shared" si="71"/>
        <v>0</v>
      </c>
    </row>
    <row r="1511" spans="1:9">
      <c r="A1511" s="1">
        <v>40926</v>
      </c>
      <c r="B1511">
        <v>2.9029500000000001</v>
      </c>
      <c r="C1511">
        <v>3.83</v>
      </c>
      <c r="D1511">
        <f>WEEKDAY(A1511,14)</f>
        <v>7</v>
      </c>
      <c r="E1511">
        <f>VLOOKUP(D1511,L$2:M$8,2,FALSE)</f>
        <v>0.25</v>
      </c>
      <c r="F1511">
        <f t="shared" si="69"/>
        <v>4</v>
      </c>
      <c r="G1511">
        <f>IF(F1511&gt;F1510,G1510+B1511*E1511,B1511*E1511)</f>
        <v>2.7295854999999998</v>
      </c>
      <c r="H1511">
        <f t="shared" si="70"/>
        <v>0.95</v>
      </c>
      <c r="I1511">
        <f t="shared" si="71"/>
        <v>0</v>
      </c>
    </row>
    <row r="1512" spans="1:9">
      <c r="A1512" s="1">
        <v>40927</v>
      </c>
      <c r="B1512">
        <v>2.9647700000000001</v>
      </c>
      <c r="C1512">
        <v>3.9049999999999998</v>
      </c>
      <c r="D1512">
        <f>WEEKDAY(A1512,14)</f>
        <v>1</v>
      </c>
      <c r="E1512">
        <f>VLOOKUP(D1512,L$2:M$8,2,FALSE)</f>
        <v>0</v>
      </c>
      <c r="F1512">
        <f t="shared" si="69"/>
        <v>1</v>
      </c>
      <c r="G1512">
        <f>IF(F1512&gt;F1511,G1511+B1512*E1512,B1512*E1512)</f>
        <v>0</v>
      </c>
      <c r="H1512">
        <f t="shared" si="70"/>
        <v>0</v>
      </c>
      <c r="I1512">
        <f t="shared" si="71"/>
        <v>2.8732478947368421</v>
      </c>
    </row>
    <row r="1513" spans="1:9">
      <c r="A1513" s="1">
        <v>40928</v>
      </c>
      <c r="B1513">
        <v>2.9761099999999998</v>
      </c>
      <c r="C1513">
        <v>3.9049999999999998</v>
      </c>
      <c r="D1513">
        <f>WEEKDAY(A1513,14)</f>
        <v>2</v>
      </c>
      <c r="E1513">
        <f>VLOOKUP(D1513,L$2:M$8,2,FALSE)</f>
        <v>0</v>
      </c>
      <c r="F1513">
        <f t="shared" si="69"/>
        <v>2</v>
      </c>
      <c r="G1513">
        <f>IF(F1513&gt;F1512,G1512+B1513*E1513,B1513*E1513)</f>
        <v>0</v>
      </c>
      <c r="H1513">
        <f t="shared" si="70"/>
        <v>0</v>
      </c>
      <c r="I1513">
        <f t="shared" si="71"/>
        <v>0</v>
      </c>
    </row>
    <row r="1514" spans="1:9">
      <c r="A1514" s="1">
        <v>40931</v>
      </c>
      <c r="B1514">
        <v>2.9725600000000001</v>
      </c>
      <c r="C1514">
        <v>3.9049999999999998</v>
      </c>
      <c r="D1514">
        <f>WEEKDAY(A1514,14)</f>
        <v>5</v>
      </c>
      <c r="E1514">
        <f>VLOOKUP(D1514,L$2:M$8,2,FALSE)</f>
        <v>0.05</v>
      </c>
      <c r="F1514">
        <f t="shared" si="69"/>
        <v>3</v>
      </c>
      <c r="G1514">
        <f>IF(F1514&gt;F1513,G1513+B1514*E1514,B1514*E1514)</f>
        <v>0.14862800000000001</v>
      </c>
      <c r="H1514">
        <f t="shared" si="70"/>
        <v>0.05</v>
      </c>
      <c r="I1514">
        <f t="shared" si="71"/>
        <v>0</v>
      </c>
    </row>
    <row r="1515" spans="1:9">
      <c r="A1515" s="1">
        <v>40932</v>
      </c>
      <c r="B1515">
        <v>2.9598800000000001</v>
      </c>
      <c r="C1515">
        <v>3.9049999999999998</v>
      </c>
      <c r="D1515">
        <f>WEEKDAY(A1515,14)</f>
        <v>6</v>
      </c>
      <c r="E1515">
        <f>VLOOKUP(D1515,L$2:M$8,2,FALSE)</f>
        <v>0.7</v>
      </c>
      <c r="F1515">
        <f t="shared" si="69"/>
        <v>4</v>
      </c>
      <c r="G1515">
        <f>IF(F1515&gt;F1514,G1514+B1515*E1515,B1515*E1515)</f>
        <v>2.2205439999999999</v>
      </c>
      <c r="H1515">
        <f t="shared" si="70"/>
        <v>0.75</v>
      </c>
      <c r="I1515">
        <f t="shared" si="71"/>
        <v>0</v>
      </c>
    </row>
    <row r="1516" spans="1:9">
      <c r="A1516" s="1">
        <v>40933</v>
      </c>
      <c r="B1516">
        <v>2.90516</v>
      </c>
      <c r="C1516">
        <v>3.9049999999999998</v>
      </c>
      <c r="D1516">
        <f>WEEKDAY(A1516,14)</f>
        <v>7</v>
      </c>
      <c r="E1516">
        <f>VLOOKUP(D1516,L$2:M$8,2,FALSE)</f>
        <v>0.25</v>
      </c>
      <c r="F1516">
        <f t="shared" si="69"/>
        <v>5</v>
      </c>
      <c r="G1516">
        <f>IF(F1516&gt;F1515,G1515+B1516*E1516,B1516*E1516)</f>
        <v>2.946834</v>
      </c>
      <c r="H1516">
        <f t="shared" si="70"/>
        <v>1</v>
      </c>
      <c r="I1516">
        <f t="shared" si="71"/>
        <v>0</v>
      </c>
    </row>
    <row r="1517" spans="1:9">
      <c r="A1517" s="1">
        <v>40934</v>
      </c>
      <c r="B1517">
        <v>2.8435800000000002</v>
      </c>
      <c r="C1517">
        <v>3.82</v>
      </c>
      <c r="D1517">
        <f>WEEKDAY(A1517,14)</f>
        <v>1</v>
      </c>
      <c r="E1517">
        <f>VLOOKUP(D1517,L$2:M$8,2,FALSE)</f>
        <v>0</v>
      </c>
      <c r="F1517">
        <f t="shared" si="69"/>
        <v>1</v>
      </c>
      <c r="G1517">
        <f>IF(F1517&gt;F1516,G1516+B1517*E1517,B1517*E1517)</f>
        <v>0</v>
      </c>
      <c r="H1517">
        <f t="shared" si="70"/>
        <v>0</v>
      </c>
      <c r="I1517">
        <f t="shared" si="71"/>
        <v>2.946834</v>
      </c>
    </row>
    <row r="1518" spans="1:9">
      <c r="A1518" s="1">
        <v>40935</v>
      </c>
      <c r="B1518">
        <v>2.8082400000000001</v>
      </c>
      <c r="C1518">
        <v>3.82</v>
      </c>
      <c r="D1518">
        <f>WEEKDAY(A1518,14)</f>
        <v>2</v>
      </c>
      <c r="E1518">
        <f>VLOOKUP(D1518,L$2:M$8,2,FALSE)</f>
        <v>0</v>
      </c>
      <c r="F1518">
        <f t="shared" si="69"/>
        <v>2</v>
      </c>
      <c r="G1518">
        <f>IF(F1518&gt;F1517,G1517+B1518*E1518,B1518*E1518)</f>
        <v>0</v>
      </c>
      <c r="H1518">
        <f t="shared" si="70"/>
        <v>0</v>
      </c>
      <c r="I1518">
        <f t="shared" si="71"/>
        <v>0</v>
      </c>
    </row>
    <row r="1519" spans="1:9">
      <c r="A1519" s="1">
        <v>40938</v>
      </c>
      <c r="B1519">
        <v>2.8089499999999998</v>
      </c>
      <c r="C1519">
        <v>3.82</v>
      </c>
      <c r="D1519">
        <f>WEEKDAY(A1519,14)</f>
        <v>5</v>
      </c>
      <c r="E1519">
        <f>VLOOKUP(D1519,L$2:M$8,2,FALSE)</f>
        <v>0.05</v>
      </c>
      <c r="F1519">
        <f t="shared" si="69"/>
        <v>3</v>
      </c>
      <c r="G1519">
        <f>IF(F1519&gt;F1518,G1518+B1519*E1519,B1519*E1519)</f>
        <v>0.1404475</v>
      </c>
      <c r="H1519">
        <f t="shared" si="70"/>
        <v>0.05</v>
      </c>
      <c r="I1519">
        <f t="shared" si="71"/>
        <v>0</v>
      </c>
    </row>
    <row r="1520" spans="1:9">
      <c r="A1520" s="1">
        <v>40939</v>
      </c>
      <c r="B1520">
        <v>2.7763</v>
      </c>
      <c r="C1520">
        <v>3.82</v>
      </c>
      <c r="D1520">
        <f>WEEKDAY(A1520,14)</f>
        <v>6</v>
      </c>
      <c r="E1520">
        <f>VLOOKUP(D1520,L$2:M$8,2,FALSE)</f>
        <v>0.7</v>
      </c>
      <c r="F1520">
        <f t="shared" si="69"/>
        <v>4</v>
      </c>
      <c r="G1520">
        <f>IF(F1520&gt;F1519,G1519+B1520*E1520,B1520*E1520)</f>
        <v>2.0838574999999997</v>
      </c>
      <c r="H1520">
        <f t="shared" si="70"/>
        <v>0.75</v>
      </c>
      <c r="I1520">
        <f t="shared" si="71"/>
        <v>0</v>
      </c>
    </row>
    <row r="1521" spans="1:9">
      <c r="A1521" s="1">
        <v>40940</v>
      </c>
      <c r="B1521">
        <v>2.7729400000000002</v>
      </c>
      <c r="C1521">
        <v>3.82</v>
      </c>
      <c r="D1521">
        <f>WEEKDAY(A1521,14)</f>
        <v>7</v>
      </c>
      <c r="E1521">
        <f>VLOOKUP(D1521,L$2:M$8,2,FALSE)</f>
        <v>0.25</v>
      </c>
      <c r="F1521">
        <f t="shared" si="69"/>
        <v>5</v>
      </c>
      <c r="G1521">
        <f>IF(F1521&gt;F1520,G1520+B1521*E1521,B1521*E1521)</f>
        <v>2.7770924999999997</v>
      </c>
      <c r="H1521">
        <f t="shared" si="70"/>
        <v>1</v>
      </c>
      <c r="I1521">
        <f t="shared" si="71"/>
        <v>0</v>
      </c>
    </row>
    <row r="1522" spans="1:9">
      <c r="A1522" s="1">
        <v>40941</v>
      </c>
      <c r="B1522">
        <v>2.7164000000000001</v>
      </c>
      <c r="C1522">
        <v>3.82</v>
      </c>
      <c r="D1522">
        <f>WEEKDAY(A1522,14)</f>
        <v>1</v>
      </c>
      <c r="E1522">
        <f>VLOOKUP(D1522,L$2:M$8,2,FALSE)</f>
        <v>0</v>
      </c>
      <c r="F1522">
        <f t="shared" si="69"/>
        <v>1</v>
      </c>
      <c r="G1522">
        <f>IF(F1522&gt;F1521,G1521+B1522*E1522,B1522*E1522)</f>
        <v>0</v>
      </c>
      <c r="H1522">
        <f t="shared" si="70"/>
        <v>0</v>
      </c>
      <c r="I1522">
        <f t="shared" si="71"/>
        <v>2.7770924999999997</v>
      </c>
    </row>
    <row r="1523" spans="1:9">
      <c r="A1523" s="1">
        <v>40942</v>
      </c>
      <c r="B1523">
        <v>2.8101400000000001</v>
      </c>
      <c r="C1523">
        <v>3.82</v>
      </c>
      <c r="D1523">
        <f>WEEKDAY(A1523,14)</f>
        <v>2</v>
      </c>
      <c r="E1523">
        <f>VLOOKUP(D1523,L$2:M$8,2,FALSE)</f>
        <v>0</v>
      </c>
      <c r="F1523">
        <f t="shared" si="69"/>
        <v>2</v>
      </c>
      <c r="G1523">
        <f>IF(F1523&gt;F1522,G1522+B1523*E1523,B1523*E1523)</f>
        <v>0</v>
      </c>
      <c r="H1523">
        <f t="shared" si="70"/>
        <v>0</v>
      </c>
      <c r="I1523">
        <f t="shared" si="71"/>
        <v>0</v>
      </c>
    </row>
    <row r="1524" spans="1:9">
      <c r="A1524" s="1">
        <v>40945</v>
      </c>
      <c r="B1524">
        <v>2.7613300000000001</v>
      </c>
      <c r="C1524">
        <v>3.82</v>
      </c>
      <c r="D1524">
        <f>WEEKDAY(A1524,14)</f>
        <v>5</v>
      </c>
      <c r="E1524">
        <f>VLOOKUP(D1524,L$2:M$8,2,FALSE)</f>
        <v>0.05</v>
      </c>
      <c r="F1524">
        <f t="shared" si="69"/>
        <v>3</v>
      </c>
      <c r="G1524">
        <f>IF(F1524&gt;F1523,G1523+B1524*E1524,B1524*E1524)</f>
        <v>0.13806650000000001</v>
      </c>
      <c r="H1524">
        <f t="shared" si="70"/>
        <v>0.05</v>
      </c>
      <c r="I1524">
        <f t="shared" si="71"/>
        <v>0</v>
      </c>
    </row>
    <row r="1525" spans="1:9">
      <c r="A1525" s="1">
        <v>40946</v>
      </c>
      <c r="B1525">
        <v>2.7946</v>
      </c>
      <c r="C1525">
        <v>3.82</v>
      </c>
      <c r="D1525">
        <f>WEEKDAY(A1525,14)</f>
        <v>6</v>
      </c>
      <c r="E1525">
        <f>VLOOKUP(D1525,L$2:M$8,2,FALSE)</f>
        <v>0.7</v>
      </c>
      <c r="F1525">
        <f t="shared" si="69"/>
        <v>4</v>
      </c>
      <c r="G1525">
        <f>IF(F1525&gt;F1524,G1524+B1525*E1525,B1525*E1525)</f>
        <v>2.0942864999999999</v>
      </c>
      <c r="H1525">
        <f t="shared" si="70"/>
        <v>0.75</v>
      </c>
      <c r="I1525">
        <f t="shared" si="71"/>
        <v>0</v>
      </c>
    </row>
    <row r="1526" spans="1:9">
      <c r="A1526" s="1">
        <v>40947</v>
      </c>
      <c r="B1526">
        <v>2.7670300000000001</v>
      </c>
      <c r="C1526">
        <v>3.82</v>
      </c>
      <c r="D1526">
        <f>WEEKDAY(A1526,14)</f>
        <v>7</v>
      </c>
      <c r="E1526">
        <f>VLOOKUP(D1526,L$2:M$8,2,FALSE)</f>
        <v>0.25</v>
      </c>
      <c r="F1526">
        <f t="shared" si="69"/>
        <v>5</v>
      </c>
      <c r="G1526">
        <f>IF(F1526&gt;F1525,G1525+B1526*E1526,B1526*E1526)</f>
        <v>2.786044</v>
      </c>
      <c r="H1526">
        <f t="shared" si="70"/>
        <v>1</v>
      </c>
      <c r="I1526">
        <f t="shared" si="71"/>
        <v>0</v>
      </c>
    </row>
    <row r="1527" spans="1:9">
      <c r="A1527" s="1">
        <v>40948</v>
      </c>
      <c r="B1527">
        <v>2.84585</v>
      </c>
      <c r="C1527">
        <v>3.82</v>
      </c>
      <c r="D1527">
        <f>WEEKDAY(A1527,14)</f>
        <v>1</v>
      </c>
      <c r="E1527">
        <f>VLOOKUP(D1527,L$2:M$8,2,FALSE)</f>
        <v>0</v>
      </c>
      <c r="F1527">
        <f t="shared" si="69"/>
        <v>1</v>
      </c>
      <c r="G1527">
        <f>IF(F1527&gt;F1526,G1526+B1527*E1527,B1527*E1527)</f>
        <v>0</v>
      </c>
      <c r="H1527">
        <f t="shared" si="70"/>
        <v>0</v>
      </c>
      <c r="I1527">
        <f t="shared" si="71"/>
        <v>2.786044</v>
      </c>
    </row>
    <row r="1528" spans="1:9">
      <c r="A1528" s="1">
        <v>40949</v>
      </c>
      <c r="B1528">
        <v>2.8097500000000002</v>
      </c>
      <c r="C1528">
        <v>3.82</v>
      </c>
      <c r="D1528">
        <f>WEEKDAY(A1528,14)</f>
        <v>2</v>
      </c>
      <c r="E1528">
        <f>VLOOKUP(D1528,L$2:M$8,2,FALSE)</f>
        <v>0</v>
      </c>
      <c r="F1528">
        <f t="shared" si="69"/>
        <v>2</v>
      </c>
      <c r="G1528">
        <f>IF(F1528&gt;F1527,G1527+B1528*E1528,B1528*E1528)</f>
        <v>0</v>
      </c>
      <c r="H1528">
        <f t="shared" si="70"/>
        <v>0</v>
      </c>
      <c r="I1528">
        <f t="shared" si="71"/>
        <v>0</v>
      </c>
    </row>
    <row r="1529" spans="1:9">
      <c r="A1529" s="1">
        <v>40952</v>
      </c>
      <c r="B1529">
        <v>2.8174899999999998</v>
      </c>
      <c r="C1529">
        <v>3.82</v>
      </c>
      <c r="D1529">
        <f>WEEKDAY(A1529,14)</f>
        <v>5</v>
      </c>
      <c r="E1529">
        <f>VLOOKUP(D1529,L$2:M$8,2,FALSE)</f>
        <v>0.05</v>
      </c>
      <c r="F1529">
        <f t="shared" si="69"/>
        <v>3</v>
      </c>
      <c r="G1529">
        <f>IF(F1529&gt;F1528,G1528+B1529*E1529,B1529*E1529)</f>
        <v>0.14087449999999999</v>
      </c>
      <c r="H1529">
        <f t="shared" si="70"/>
        <v>0.05</v>
      </c>
      <c r="I1529">
        <f t="shared" si="71"/>
        <v>0</v>
      </c>
    </row>
    <row r="1530" spans="1:9">
      <c r="A1530" s="1">
        <v>40953</v>
      </c>
      <c r="B1530">
        <v>2.76681</v>
      </c>
      <c r="C1530">
        <v>3.82</v>
      </c>
      <c r="D1530">
        <f>WEEKDAY(A1530,14)</f>
        <v>6</v>
      </c>
      <c r="E1530">
        <f>VLOOKUP(D1530,L$2:M$8,2,FALSE)</f>
        <v>0.7</v>
      </c>
      <c r="F1530">
        <f t="shared" si="69"/>
        <v>4</v>
      </c>
      <c r="G1530">
        <f>IF(F1530&gt;F1529,G1529+B1530*E1530,B1530*E1530)</f>
        <v>2.0776414999999999</v>
      </c>
      <c r="H1530">
        <f t="shared" si="70"/>
        <v>0.75</v>
      </c>
      <c r="I1530">
        <f t="shared" si="71"/>
        <v>0</v>
      </c>
    </row>
    <row r="1531" spans="1:9">
      <c r="A1531" s="1">
        <v>40954</v>
      </c>
      <c r="B1531">
        <v>2.7822100000000001</v>
      </c>
      <c r="C1531">
        <v>3.82</v>
      </c>
      <c r="D1531">
        <f>WEEKDAY(A1531,14)</f>
        <v>7</v>
      </c>
      <c r="E1531">
        <f>VLOOKUP(D1531,L$2:M$8,2,FALSE)</f>
        <v>0.25</v>
      </c>
      <c r="F1531">
        <f t="shared" si="69"/>
        <v>5</v>
      </c>
      <c r="G1531">
        <f>IF(F1531&gt;F1530,G1530+B1531*E1531,B1531*E1531)</f>
        <v>2.7731940000000002</v>
      </c>
      <c r="H1531">
        <f t="shared" si="70"/>
        <v>1</v>
      </c>
      <c r="I1531">
        <f t="shared" si="71"/>
        <v>0</v>
      </c>
    </row>
    <row r="1532" spans="1:9">
      <c r="A1532" s="1">
        <v>40955</v>
      </c>
      <c r="B1532">
        <v>2.8316699999999999</v>
      </c>
      <c r="C1532">
        <v>3.9</v>
      </c>
      <c r="D1532">
        <f>WEEKDAY(A1532,14)</f>
        <v>1</v>
      </c>
      <c r="E1532">
        <f>VLOOKUP(D1532,L$2:M$8,2,FALSE)</f>
        <v>0</v>
      </c>
      <c r="F1532">
        <f t="shared" si="69"/>
        <v>1</v>
      </c>
      <c r="G1532">
        <f>IF(F1532&gt;F1531,G1531+B1532*E1532,B1532*E1532)</f>
        <v>0</v>
      </c>
      <c r="H1532">
        <f t="shared" si="70"/>
        <v>0</v>
      </c>
      <c r="I1532">
        <f t="shared" si="71"/>
        <v>2.7731940000000002</v>
      </c>
    </row>
    <row r="1533" spans="1:9">
      <c r="A1533" s="1">
        <v>40956</v>
      </c>
      <c r="B1533">
        <v>2.86836</v>
      </c>
      <c r="C1533">
        <v>3.9</v>
      </c>
      <c r="D1533">
        <f>WEEKDAY(A1533,14)</f>
        <v>2</v>
      </c>
      <c r="E1533">
        <f>VLOOKUP(D1533,L$2:M$8,2,FALSE)</f>
        <v>0</v>
      </c>
      <c r="F1533">
        <f t="shared" si="69"/>
        <v>2</v>
      </c>
      <c r="G1533">
        <f>IF(F1533&gt;F1532,G1532+B1533*E1533,B1533*E1533)</f>
        <v>0</v>
      </c>
      <c r="H1533">
        <f t="shared" si="70"/>
        <v>0</v>
      </c>
      <c r="I1533">
        <f t="shared" si="71"/>
        <v>0</v>
      </c>
    </row>
    <row r="1534" spans="1:9">
      <c r="A1534" s="1">
        <v>40960</v>
      </c>
      <c r="B1534">
        <v>2.9231600000000002</v>
      </c>
      <c r="C1534">
        <v>3.9</v>
      </c>
      <c r="D1534">
        <f>WEEKDAY(A1534,14)</f>
        <v>6</v>
      </c>
      <c r="E1534">
        <f>VLOOKUP(D1534,L$2:M$8,2,FALSE)</f>
        <v>0.7</v>
      </c>
      <c r="F1534">
        <f t="shared" si="69"/>
        <v>3</v>
      </c>
      <c r="G1534">
        <f>IF(F1534&gt;F1533,G1533+B1534*E1534,B1534*E1534)</f>
        <v>2.0462120000000001</v>
      </c>
      <c r="H1534">
        <f t="shared" si="70"/>
        <v>0.7</v>
      </c>
      <c r="I1534">
        <f t="shared" si="71"/>
        <v>0</v>
      </c>
    </row>
    <row r="1535" spans="1:9">
      <c r="A1535" s="1">
        <v>40961</v>
      </c>
      <c r="B1535">
        <v>2.8731300000000002</v>
      </c>
      <c r="C1535">
        <v>3.9</v>
      </c>
      <c r="D1535">
        <f>WEEKDAY(A1535,14)</f>
        <v>7</v>
      </c>
      <c r="E1535">
        <f>VLOOKUP(D1535,L$2:M$8,2,FALSE)</f>
        <v>0.25</v>
      </c>
      <c r="F1535">
        <f t="shared" si="69"/>
        <v>4</v>
      </c>
      <c r="G1535">
        <f>IF(F1535&gt;F1534,G1534+B1535*E1535,B1535*E1535)</f>
        <v>2.7644945000000001</v>
      </c>
      <c r="H1535">
        <f t="shared" si="70"/>
        <v>0.95</v>
      </c>
      <c r="I1535">
        <f t="shared" si="71"/>
        <v>0</v>
      </c>
    </row>
    <row r="1536" spans="1:9">
      <c r="A1536" s="1">
        <v>40962</v>
      </c>
      <c r="B1536">
        <v>2.8348300000000002</v>
      </c>
      <c r="C1536">
        <v>3.85</v>
      </c>
      <c r="D1536">
        <f>WEEKDAY(A1536,14)</f>
        <v>1</v>
      </c>
      <c r="E1536">
        <f>VLOOKUP(D1536,L$2:M$8,2,FALSE)</f>
        <v>0</v>
      </c>
      <c r="F1536">
        <f t="shared" si="69"/>
        <v>1</v>
      </c>
      <c r="G1536">
        <f>IF(F1536&gt;F1535,G1535+B1536*E1536,B1536*E1536)</f>
        <v>0</v>
      </c>
      <c r="H1536">
        <f t="shared" si="70"/>
        <v>0</v>
      </c>
      <c r="I1536">
        <f t="shared" si="71"/>
        <v>2.9099942105263161</v>
      </c>
    </row>
    <row r="1537" spans="1:9">
      <c r="A1537" s="1">
        <v>40963</v>
      </c>
      <c r="B1537">
        <v>2.8468499999999999</v>
      </c>
      <c r="C1537">
        <v>3.85</v>
      </c>
      <c r="D1537">
        <f>WEEKDAY(A1537,14)</f>
        <v>2</v>
      </c>
      <c r="E1537">
        <f>VLOOKUP(D1537,L$2:M$8,2,FALSE)</f>
        <v>0</v>
      </c>
      <c r="F1537">
        <f t="shared" si="69"/>
        <v>2</v>
      </c>
      <c r="G1537">
        <f>IF(F1537&gt;F1536,G1536+B1537*E1537,B1537*E1537)</f>
        <v>0</v>
      </c>
      <c r="H1537">
        <f t="shared" si="70"/>
        <v>0</v>
      </c>
      <c r="I1537">
        <f t="shared" si="71"/>
        <v>0</v>
      </c>
    </row>
    <row r="1538" spans="1:9">
      <c r="A1538" s="1">
        <v>40966</v>
      </c>
      <c r="B1538">
        <v>2.8205399999999998</v>
      </c>
      <c r="C1538">
        <v>3.85</v>
      </c>
      <c r="D1538">
        <f>WEEKDAY(A1538,14)</f>
        <v>5</v>
      </c>
      <c r="E1538">
        <f>VLOOKUP(D1538,L$2:M$8,2,FALSE)</f>
        <v>0.05</v>
      </c>
      <c r="F1538">
        <f t="shared" si="69"/>
        <v>3</v>
      </c>
      <c r="G1538">
        <f>IF(F1538&gt;F1537,G1537+B1538*E1538,B1538*E1538)</f>
        <v>0.14102699999999999</v>
      </c>
      <c r="H1538">
        <f t="shared" si="70"/>
        <v>0.05</v>
      </c>
      <c r="I1538">
        <f t="shared" si="71"/>
        <v>0</v>
      </c>
    </row>
    <row r="1539" spans="1:9">
      <c r="A1539" s="1">
        <v>40967</v>
      </c>
      <c r="B1539">
        <v>2.8102</v>
      </c>
      <c r="C1539">
        <v>3.85</v>
      </c>
      <c r="D1539">
        <f>WEEKDAY(A1539,14)</f>
        <v>6</v>
      </c>
      <c r="E1539">
        <f>VLOOKUP(D1539,L$2:M$8,2,FALSE)</f>
        <v>0.7</v>
      </c>
      <c r="F1539">
        <f t="shared" ref="F1539:F1602" si="72">IF(AND(D1539&gt;D1538,F1538&lt;6),F1538+1,1)</f>
        <v>4</v>
      </c>
      <c r="G1539">
        <f>IF(F1539&gt;F1538,G1538+B1539*E1539,B1539*E1539)</f>
        <v>2.1081669999999999</v>
      </c>
      <c r="H1539">
        <f t="shared" si="70"/>
        <v>0.75</v>
      </c>
      <c r="I1539">
        <f t="shared" si="71"/>
        <v>0</v>
      </c>
    </row>
    <row r="1540" spans="1:9">
      <c r="A1540" s="1">
        <v>40968</v>
      </c>
      <c r="B1540">
        <v>2.8817300000000001</v>
      </c>
      <c r="C1540">
        <v>3.85</v>
      </c>
      <c r="D1540">
        <f>WEEKDAY(A1540,14)</f>
        <v>7</v>
      </c>
      <c r="E1540">
        <f>VLOOKUP(D1540,L$2:M$8,2,FALSE)</f>
        <v>0.25</v>
      </c>
      <c r="F1540">
        <f t="shared" si="72"/>
        <v>5</v>
      </c>
      <c r="G1540">
        <f>IF(F1540&gt;F1539,G1539+B1540*E1540,B1540*E1540)</f>
        <v>2.8285995000000002</v>
      </c>
      <c r="H1540">
        <f t="shared" ref="H1540:H1603" si="73">IF(AND(F1540&lt;6,F1540&gt;F1539),E1540+H1539,E1540)</f>
        <v>1</v>
      </c>
      <c r="I1540">
        <f t="shared" ref="I1540:I1603" si="74">IF(F1539&gt;F1540,G1539/H1539,0)</f>
        <v>0</v>
      </c>
    </row>
    <row r="1541" spans="1:9">
      <c r="A1541" s="1">
        <v>40969</v>
      </c>
      <c r="B1541">
        <v>2.9287200000000002</v>
      </c>
      <c r="C1541">
        <v>3.83</v>
      </c>
      <c r="D1541">
        <f>WEEKDAY(A1541,14)</f>
        <v>1</v>
      </c>
      <c r="E1541">
        <f>VLOOKUP(D1541,L$2:M$8,2,FALSE)</f>
        <v>0</v>
      </c>
      <c r="F1541">
        <f t="shared" si="72"/>
        <v>1</v>
      </c>
      <c r="G1541">
        <f>IF(F1541&gt;F1540,G1540+B1541*E1541,B1541*E1541)</f>
        <v>0</v>
      </c>
      <c r="H1541">
        <f t="shared" si="73"/>
        <v>0</v>
      </c>
      <c r="I1541">
        <f t="shared" si="74"/>
        <v>2.8285995000000002</v>
      </c>
    </row>
    <row r="1542" spans="1:9">
      <c r="A1542" s="1">
        <v>40970</v>
      </c>
      <c r="B1542">
        <v>2.8908</v>
      </c>
      <c r="C1542">
        <v>3.83</v>
      </c>
      <c r="D1542">
        <f>WEEKDAY(A1542,14)</f>
        <v>2</v>
      </c>
      <c r="E1542">
        <f>VLOOKUP(D1542,L$2:M$8,2,FALSE)</f>
        <v>0</v>
      </c>
      <c r="F1542">
        <f t="shared" si="72"/>
        <v>2</v>
      </c>
      <c r="G1542">
        <f>IF(F1542&gt;F1541,G1541+B1542*E1542,B1542*E1542)</f>
        <v>0</v>
      </c>
      <c r="H1542">
        <f t="shared" si="73"/>
        <v>0</v>
      </c>
      <c r="I1542">
        <f t="shared" si="74"/>
        <v>0</v>
      </c>
    </row>
    <row r="1543" spans="1:9">
      <c r="A1543" s="1">
        <v>40973</v>
      </c>
      <c r="B1543">
        <v>2.9007700000000001</v>
      </c>
      <c r="C1543">
        <v>3.83</v>
      </c>
      <c r="D1543">
        <f>WEEKDAY(A1543,14)</f>
        <v>5</v>
      </c>
      <c r="E1543">
        <f>VLOOKUP(D1543,L$2:M$8,2,FALSE)</f>
        <v>0.05</v>
      </c>
      <c r="F1543">
        <f t="shared" si="72"/>
        <v>3</v>
      </c>
      <c r="G1543">
        <f>IF(F1543&gt;F1542,G1542+B1543*E1543,B1543*E1543)</f>
        <v>0.14503850000000001</v>
      </c>
      <c r="H1543">
        <f t="shared" si="73"/>
        <v>0.05</v>
      </c>
      <c r="I1543">
        <f t="shared" si="74"/>
        <v>0</v>
      </c>
    </row>
    <row r="1544" spans="1:9">
      <c r="A1544" s="1">
        <v>40974</v>
      </c>
      <c r="B1544">
        <v>2.8650600000000002</v>
      </c>
      <c r="C1544">
        <v>3.83</v>
      </c>
      <c r="D1544">
        <f>WEEKDAY(A1544,14)</f>
        <v>6</v>
      </c>
      <c r="E1544">
        <f>VLOOKUP(D1544,L$2:M$8,2,FALSE)</f>
        <v>0.7</v>
      </c>
      <c r="F1544">
        <f t="shared" si="72"/>
        <v>4</v>
      </c>
      <c r="G1544">
        <f>IF(F1544&gt;F1543,G1543+B1544*E1544,B1544*E1544)</f>
        <v>2.1505805000000002</v>
      </c>
      <c r="H1544">
        <f t="shared" si="73"/>
        <v>0.75</v>
      </c>
      <c r="I1544">
        <f t="shared" si="74"/>
        <v>0</v>
      </c>
    </row>
    <row r="1545" spans="1:9">
      <c r="A1545" s="1">
        <v>40975</v>
      </c>
      <c r="B1545">
        <v>2.8996200000000001</v>
      </c>
      <c r="C1545">
        <v>3.83</v>
      </c>
      <c r="D1545">
        <f>WEEKDAY(A1545,14)</f>
        <v>7</v>
      </c>
      <c r="E1545">
        <f>VLOOKUP(D1545,L$2:M$8,2,FALSE)</f>
        <v>0.25</v>
      </c>
      <c r="F1545">
        <f t="shared" si="72"/>
        <v>5</v>
      </c>
      <c r="G1545">
        <f>IF(F1545&gt;F1544,G1544+B1545*E1545,B1545*E1545)</f>
        <v>2.8754855000000004</v>
      </c>
      <c r="H1545">
        <f t="shared" si="73"/>
        <v>1</v>
      </c>
      <c r="I1545">
        <f t="shared" si="74"/>
        <v>0</v>
      </c>
    </row>
    <row r="1546" spans="1:9">
      <c r="A1546" s="1">
        <v>40976</v>
      </c>
      <c r="B1546">
        <v>2.93364</v>
      </c>
      <c r="C1546">
        <v>3.87</v>
      </c>
      <c r="D1546">
        <f>WEEKDAY(A1546,14)</f>
        <v>1</v>
      </c>
      <c r="E1546">
        <f>VLOOKUP(D1546,L$2:M$8,2,FALSE)</f>
        <v>0</v>
      </c>
      <c r="F1546">
        <f t="shared" si="72"/>
        <v>1</v>
      </c>
      <c r="G1546">
        <f>IF(F1546&gt;F1545,G1545+B1546*E1546,B1546*E1546)</f>
        <v>0</v>
      </c>
      <c r="H1546">
        <f t="shared" si="73"/>
        <v>0</v>
      </c>
      <c r="I1546">
        <f t="shared" si="74"/>
        <v>2.8754855000000004</v>
      </c>
    </row>
    <row r="1547" spans="1:9">
      <c r="A1547" s="1">
        <v>40977</v>
      </c>
      <c r="B1547">
        <v>2.9219499999999998</v>
      </c>
      <c r="C1547">
        <v>3.87</v>
      </c>
      <c r="D1547">
        <f>WEEKDAY(A1547,14)</f>
        <v>2</v>
      </c>
      <c r="E1547">
        <f>VLOOKUP(D1547,L$2:M$8,2,FALSE)</f>
        <v>0</v>
      </c>
      <c r="F1547">
        <f t="shared" si="72"/>
        <v>2</v>
      </c>
      <c r="G1547">
        <f>IF(F1547&gt;F1546,G1546+B1547*E1547,B1547*E1547)</f>
        <v>0</v>
      </c>
      <c r="H1547">
        <f t="shared" si="73"/>
        <v>0</v>
      </c>
      <c r="I1547">
        <f t="shared" si="74"/>
        <v>0</v>
      </c>
    </row>
    <row r="1548" spans="1:9">
      <c r="A1548" s="1">
        <v>40980</v>
      </c>
      <c r="B1548">
        <v>2.9162400000000002</v>
      </c>
      <c r="C1548">
        <v>3.87</v>
      </c>
      <c r="D1548">
        <f>WEEKDAY(A1548,14)</f>
        <v>5</v>
      </c>
      <c r="E1548">
        <f>VLOOKUP(D1548,L$2:M$8,2,FALSE)</f>
        <v>0.05</v>
      </c>
      <c r="F1548">
        <f t="shared" si="72"/>
        <v>3</v>
      </c>
      <c r="G1548">
        <f>IF(F1548&gt;F1547,G1547+B1548*E1548,B1548*E1548)</f>
        <v>0.14581200000000002</v>
      </c>
      <c r="H1548">
        <f t="shared" si="73"/>
        <v>0.05</v>
      </c>
      <c r="I1548">
        <f t="shared" si="74"/>
        <v>0</v>
      </c>
    </row>
    <row r="1549" spans="1:9">
      <c r="A1549" s="1">
        <v>40981</v>
      </c>
      <c r="B1549">
        <v>2.9914000000000001</v>
      </c>
      <c r="C1549">
        <v>3.87</v>
      </c>
      <c r="D1549">
        <f>WEEKDAY(A1549,14)</f>
        <v>6</v>
      </c>
      <c r="E1549">
        <f>VLOOKUP(D1549,L$2:M$8,2,FALSE)</f>
        <v>0.7</v>
      </c>
      <c r="F1549">
        <f t="shared" si="72"/>
        <v>4</v>
      </c>
      <c r="G1549">
        <f>IF(F1549&gt;F1548,G1548+B1549*E1549,B1549*E1549)</f>
        <v>2.2397919999999996</v>
      </c>
      <c r="H1549">
        <f t="shared" si="73"/>
        <v>0.75</v>
      </c>
      <c r="I1549">
        <f t="shared" si="74"/>
        <v>0</v>
      </c>
    </row>
    <row r="1550" spans="1:9">
      <c r="A1550" s="1">
        <v>40982</v>
      </c>
      <c r="B1550">
        <v>3.1695899999999999</v>
      </c>
      <c r="C1550">
        <v>3.87</v>
      </c>
      <c r="D1550">
        <f>WEEKDAY(A1550,14)</f>
        <v>7</v>
      </c>
      <c r="E1550">
        <f>VLOOKUP(D1550,L$2:M$8,2,FALSE)</f>
        <v>0.25</v>
      </c>
      <c r="F1550">
        <f t="shared" si="72"/>
        <v>5</v>
      </c>
      <c r="G1550">
        <f>IF(F1550&gt;F1549,G1549+B1550*E1550,B1550*E1550)</f>
        <v>3.0321894999999994</v>
      </c>
      <c r="H1550">
        <f t="shared" si="73"/>
        <v>1</v>
      </c>
      <c r="I1550">
        <f t="shared" si="74"/>
        <v>0</v>
      </c>
    </row>
    <row r="1551" spans="1:9">
      <c r="A1551" s="1">
        <v>40983</v>
      </c>
      <c r="B1551">
        <v>3.15896</v>
      </c>
      <c r="C1551">
        <v>4.03</v>
      </c>
      <c r="D1551">
        <f>WEEKDAY(A1551,14)</f>
        <v>1</v>
      </c>
      <c r="E1551">
        <f>VLOOKUP(D1551,L$2:M$8,2,FALSE)</f>
        <v>0</v>
      </c>
      <c r="F1551">
        <f t="shared" si="72"/>
        <v>1</v>
      </c>
      <c r="G1551">
        <f>IF(F1551&gt;F1550,G1550+B1551*E1551,B1551*E1551)</f>
        <v>0</v>
      </c>
      <c r="H1551">
        <f t="shared" si="73"/>
        <v>0</v>
      </c>
      <c r="I1551">
        <f t="shared" si="74"/>
        <v>3.0321894999999994</v>
      </c>
    </row>
    <row r="1552" spans="1:9">
      <c r="A1552" s="1">
        <v>40984</v>
      </c>
      <c r="B1552">
        <v>3.1309499999999999</v>
      </c>
      <c r="C1552">
        <v>4.03</v>
      </c>
      <c r="D1552">
        <f>WEEKDAY(A1552,14)</f>
        <v>2</v>
      </c>
      <c r="E1552">
        <f>VLOOKUP(D1552,L$2:M$8,2,FALSE)</f>
        <v>0</v>
      </c>
      <c r="F1552">
        <f t="shared" si="72"/>
        <v>2</v>
      </c>
      <c r="G1552">
        <f>IF(F1552&gt;F1551,G1551+B1552*E1552,B1552*E1552)</f>
        <v>0</v>
      </c>
      <c r="H1552">
        <f t="shared" si="73"/>
        <v>0</v>
      </c>
      <c r="I1552">
        <f t="shared" si="74"/>
        <v>0</v>
      </c>
    </row>
    <row r="1553" spans="1:9">
      <c r="A1553" s="1">
        <v>40987</v>
      </c>
      <c r="B1553">
        <v>3.23638</v>
      </c>
      <c r="C1553">
        <v>4.03</v>
      </c>
      <c r="D1553">
        <f>WEEKDAY(A1553,14)</f>
        <v>5</v>
      </c>
      <c r="E1553">
        <f>VLOOKUP(D1553,L$2:M$8,2,FALSE)</f>
        <v>0.05</v>
      </c>
      <c r="F1553">
        <f t="shared" si="72"/>
        <v>3</v>
      </c>
      <c r="G1553">
        <f>IF(F1553&gt;F1552,G1552+B1553*E1553,B1553*E1553)</f>
        <v>0.16181900000000002</v>
      </c>
      <c r="H1553">
        <f t="shared" si="73"/>
        <v>0.05</v>
      </c>
      <c r="I1553">
        <f t="shared" si="74"/>
        <v>0</v>
      </c>
    </row>
    <row r="1554" spans="1:9">
      <c r="A1554" s="1">
        <v>40988</v>
      </c>
      <c r="B1554">
        <v>3.2414399999999999</v>
      </c>
      <c r="C1554">
        <v>4.03</v>
      </c>
      <c r="D1554">
        <f>WEEKDAY(A1554,14)</f>
        <v>6</v>
      </c>
      <c r="E1554">
        <f>VLOOKUP(D1554,L$2:M$8,2,FALSE)</f>
        <v>0.7</v>
      </c>
      <c r="F1554">
        <f t="shared" si="72"/>
        <v>4</v>
      </c>
      <c r="G1554">
        <f>IF(F1554&gt;F1553,G1553+B1554*E1554,B1554*E1554)</f>
        <v>2.4308269999999998</v>
      </c>
      <c r="H1554">
        <f t="shared" si="73"/>
        <v>0.75</v>
      </c>
      <c r="I1554">
        <f t="shared" si="74"/>
        <v>0</v>
      </c>
    </row>
    <row r="1555" spans="1:9">
      <c r="A1555" s="1">
        <v>40989</v>
      </c>
      <c r="B1555">
        <v>3.1573199999999999</v>
      </c>
      <c r="C1555">
        <v>4.03</v>
      </c>
      <c r="D1555">
        <f>WEEKDAY(A1555,14)</f>
        <v>7</v>
      </c>
      <c r="E1555">
        <f>VLOOKUP(D1555,L$2:M$8,2,FALSE)</f>
        <v>0.25</v>
      </c>
      <c r="F1555">
        <f t="shared" si="72"/>
        <v>5</v>
      </c>
      <c r="G1555">
        <f>IF(F1555&gt;F1554,G1554+B1555*E1555,B1555*E1555)</f>
        <v>3.2201569999999999</v>
      </c>
      <c r="H1555">
        <f t="shared" si="73"/>
        <v>1</v>
      </c>
      <c r="I1555">
        <f t="shared" si="74"/>
        <v>0</v>
      </c>
    </row>
    <row r="1556" spans="1:9">
      <c r="A1556" s="1">
        <v>40990</v>
      </c>
      <c r="B1556">
        <v>3.1570800000000001</v>
      </c>
      <c r="C1556">
        <v>3.915</v>
      </c>
      <c r="D1556">
        <f>WEEKDAY(A1556,14)</f>
        <v>1</v>
      </c>
      <c r="E1556">
        <f>VLOOKUP(D1556,L$2:M$8,2,FALSE)</f>
        <v>0</v>
      </c>
      <c r="F1556">
        <f t="shared" si="72"/>
        <v>1</v>
      </c>
      <c r="G1556">
        <f>IF(F1556&gt;F1555,G1555+B1556*E1556,B1556*E1556)</f>
        <v>0</v>
      </c>
      <c r="H1556">
        <f t="shared" si="73"/>
        <v>0</v>
      </c>
      <c r="I1556">
        <f t="shared" si="74"/>
        <v>3.2201569999999999</v>
      </c>
    </row>
    <row r="1557" spans="1:9">
      <c r="A1557" s="1">
        <v>40991</v>
      </c>
      <c r="B1557">
        <v>3.13245</v>
      </c>
      <c r="C1557">
        <v>3.915</v>
      </c>
      <c r="D1557">
        <f>WEEKDAY(A1557,14)</f>
        <v>2</v>
      </c>
      <c r="E1557">
        <f>VLOOKUP(D1557,L$2:M$8,2,FALSE)</f>
        <v>0</v>
      </c>
      <c r="F1557">
        <f t="shared" si="72"/>
        <v>2</v>
      </c>
      <c r="G1557">
        <f>IF(F1557&gt;F1556,G1556+B1557*E1557,B1557*E1557)</f>
        <v>0</v>
      </c>
      <c r="H1557">
        <f t="shared" si="73"/>
        <v>0</v>
      </c>
      <c r="I1557">
        <f t="shared" si="74"/>
        <v>0</v>
      </c>
    </row>
    <row r="1558" spans="1:9">
      <c r="A1558" s="1">
        <v>40994</v>
      </c>
      <c r="B1558">
        <v>3.1182799999999999</v>
      </c>
      <c r="C1558">
        <v>3.915</v>
      </c>
      <c r="D1558">
        <f>WEEKDAY(A1558,14)</f>
        <v>5</v>
      </c>
      <c r="E1558">
        <f>VLOOKUP(D1558,L$2:M$8,2,FALSE)</f>
        <v>0.05</v>
      </c>
      <c r="F1558">
        <f t="shared" si="72"/>
        <v>3</v>
      </c>
      <c r="G1558">
        <f>IF(F1558&gt;F1557,G1557+B1558*E1558,B1558*E1558)</f>
        <v>0.155914</v>
      </c>
      <c r="H1558">
        <f t="shared" si="73"/>
        <v>0.05</v>
      </c>
      <c r="I1558">
        <f t="shared" si="74"/>
        <v>0</v>
      </c>
    </row>
    <row r="1559" spans="1:9">
      <c r="A1559" s="1">
        <v>40995</v>
      </c>
      <c r="B1559">
        <v>3.0398999999999998</v>
      </c>
      <c r="C1559">
        <v>3.915</v>
      </c>
      <c r="D1559">
        <f>WEEKDAY(A1559,14)</f>
        <v>6</v>
      </c>
      <c r="E1559">
        <f>VLOOKUP(D1559,L$2:M$8,2,FALSE)</f>
        <v>0.7</v>
      </c>
      <c r="F1559">
        <f t="shared" si="72"/>
        <v>4</v>
      </c>
      <c r="G1559">
        <f>IF(F1559&gt;F1558,G1558+B1559*E1559,B1559*E1559)</f>
        <v>2.2838439999999998</v>
      </c>
      <c r="H1559">
        <f t="shared" si="73"/>
        <v>0.75</v>
      </c>
      <c r="I1559">
        <f t="shared" si="74"/>
        <v>0</v>
      </c>
    </row>
    <row r="1560" spans="1:9">
      <c r="A1560" s="1">
        <v>40996</v>
      </c>
      <c r="B1560">
        <v>3.0568399999999998</v>
      </c>
      <c r="C1560">
        <v>3.915</v>
      </c>
      <c r="D1560">
        <f>WEEKDAY(A1560,14)</f>
        <v>7</v>
      </c>
      <c r="E1560">
        <f>VLOOKUP(D1560,L$2:M$8,2,FALSE)</f>
        <v>0.25</v>
      </c>
      <c r="F1560">
        <f t="shared" si="72"/>
        <v>5</v>
      </c>
      <c r="G1560">
        <f>IF(F1560&gt;F1559,G1559+B1560*E1560,B1560*E1560)</f>
        <v>3.0480539999999996</v>
      </c>
      <c r="H1560">
        <f t="shared" si="73"/>
        <v>1</v>
      </c>
      <c r="I1560">
        <f t="shared" si="74"/>
        <v>0</v>
      </c>
    </row>
    <row r="1561" spans="1:9">
      <c r="A1561" s="1">
        <v>40997</v>
      </c>
      <c r="B1561">
        <v>3.02196</v>
      </c>
      <c r="C1561">
        <v>3.9049999999999998</v>
      </c>
      <c r="D1561">
        <f>WEEKDAY(A1561,14)</f>
        <v>1</v>
      </c>
      <c r="E1561">
        <f>VLOOKUP(D1561,L$2:M$8,2,FALSE)</f>
        <v>0</v>
      </c>
      <c r="F1561">
        <f t="shared" si="72"/>
        <v>1</v>
      </c>
      <c r="G1561">
        <f>IF(F1561&gt;F1560,G1560+B1561*E1561,B1561*E1561)</f>
        <v>0</v>
      </c>
      <c r="H1561">
        <f t="shared" si="73"/>
        <v>0</v>
      </c>
      <c r="I1561">
        <f t="shared" si="74"/>
        <v>3.0480539999999996</v>
      </c>
    </row>
    <row r="1562" spans="1:9">
      <c r="A1562" s="1">
        <v>40998</v>
      </c>
      <c r="B1562">
        <v>3.0669200000000001</v>
      </c>
      <c r="C1562">
        <v>3.9049999999999998</v>
      </c>
      <c r="D1562">
        <f>WEEKDAY(A1562,14)</f>
        <v>2</v>
      </c>
      <c r="E1562">
        <f>VLOOKUP(D1562,L$2:M$8,2,FALSE)</f>
        <v>0</v>
      </c>
      <c r="F1562">
        <f t="shared" si="72"/>
        <v>2</v>
      </c>
      <c r="G1562">
        <f>IF(F1562&gt;F1561,G1561+B1562*E1562,B1562*E1562)</f>
        <v>0</v>
      </c>
      <c r="H1562">
        <f t="shared" si="73"/>
        <v>0</v>
      </c>
      <c r="I1562">
        <f t="shared" si="74"/>
        <v>0</v>
      </c>
    </row>
    <row r="1563" spans="1:9">
      <c r="A1563" s="1">
        <v>41001</v>
      </c>
      <c r="B1563">
        <v>3.0449600000000001</v>
      </c>
      <c r="C1563">
        <v>3.9049999999999998</v>
      </c>
      <c r="D1563">
        <f>WEEKDAY(A1563,14)</f>
        <v>5</v>
      </c>
      <c r="E1563">
        <f>VLOOKUP(D1563,L$2:M$8,2,FALSE)</f>
        <v>0.05</v>
      </c>
      <c r="F1563">
        <f t="shared" si="72"/>
        <v>3</v>
      </c>
      <c r="G1563">
        <f>IF(F1563&gt;F1562,G1562+B1563*E1563,B1563*E1563)</f>
        <v>0.15224800000000002</v>
      </c>
      <c r="H1563">
        <f t="shared" si="73"/>
        <v>0.05</v>
      </c>
      <c r="I1563">
        <f t="shared" si="74"/>
        <v>0</v>
      </c>
    </row>
    <row r="1564" spans="1:9">
      <c r="A1564" s="1">
        <v>41002</v>
      </c>
      <c r="B1564">
        <v>3.16492</v>
      </c>
      <c r="C1564">
        <v>3.9049999999999998</v>
      </c>
      <c r="D1564">
        <f>WEEKDAY(A1564,14)</f>
        <v>6</v>
      </c>
      <c r="E1564">
        <f>VLOOKUP(D1564,L$2:M$8,2,FALSE)</f>
        <v>0.7</v>
      </c>
      <c r="F1564">
        <f t="shared" si="72"/>
        <v>4</v>
      </c>
      <c r="G1564">
        <f>IF(F1564&gt;F1563,G1563+B1564*E1564,B1564*E1564)</f>
        <v>2.3676919999999999</v>
      </c>
      <c r="H1564">
        <f t="shared" si="73"/>
        <v>0.75</v>
      </c>
      <c r="I1564">
        <f t="shared" si="74"/>
        <v>0</v>
      </c>
    </row>
    <row r="1565" spans="1:9">
      <c r="A1565" s="1">
        <v>41003</v>
      </c>
      <c r="B1565">
        <v>3.1088</v>
      </c>
      <c r="C1565">
        <v>3.9049999999999998</v>
      </c>
      <c r="D1565">
        <f>WEEKDAY(A1565,14)</f>
        <v>7</v>
      </c>
      <c r="E1565">
        <f>VLOOKUP(D1565,L$2:M$8,2,FALSE)</f>
        <v>0.25</v>
      </c>
      <c r="F1565">
        <f t="shared" si="72"/>
        <v>5</v>
      </c>
      <c r="G1565">
        <f>IF(F1565&gt;F1564,G1564+B1565*E1565,B1565*E1565)</f>
        <v>3.144892</v>
      </c>
      <c r="H1565">
        <f t="shared" si="73"/>
        <v>1</v>
      </c>
      <c r="I1565">
        <f t="shared" si="74"/>
        <v>0</v>
      </c>
    </row>
    <row r="1566" spans="1:9">
      <c r="A1566" s="1">
        <v>41004</v>
      </c>
      <c r="B1566">
        <v>3.05396</v>
      </c>
      <c r="C1566">
        <v>3.8050000000000002</v>
      </c>
      <c r="D1566">
        <f>WEEKDAY(A1566,14)</f>
        <v>1</v>
      </c>
      <c r="E1566">
        <f>VLOOKUP(D1566,L$2:M$8,2,FALSE)</f>
        <v>0</v>
      </c>
      <c r="F1566">
        <f t="shared" si="72"/>
        <v>1</v>
      </c>
      <c r="G1566">
        <f>IF(F1566&gt;F1565,G1565+B1566*E1566,B1566*E1566)</f>
        <v>0</v>
      </c>
      <c r="H1566">
        <f t="shared" si="73"/>
        <v>0</v>
      </c>
      <c r="I1566">
        <f t="shared" si="74"/>
        <v>3.144892</v>
      </c>
    </row>
    <row r="1567" spans="1:9">
      <c r="A1567" s="1">
        <v>41005</v>
      </c>
      <c r="B1567">
        <v>2.93072</v>
      </c>
      <c r="C1567">
        <v>3.8050000000000002</v>
      </c>
      <c r="D1567">
        <f>WEEKDAY(A1567,14)</f>
        <v>2</v>
      </c>
      <c r="E1567">
        <f>VLOOKUP(D1567,L$2:M$8,2,FALSE)</f>
        <v>0</v>
      </c>
      <c r="F1567">
        <f t="shared" si="72"/>
        <v>2</v>
      </c>
      <c r="G1567">
        <f>IF(F1567&gt;F1566,G1566+B1567*E1567,B1567*E1567)</f>
        <v>0</v>
      </c>
      <c r="H1567">
        <f t="shared" si="73"/>
        <v>0</v>
      </c>
      <c r="I1567">
        <f t="shared" si="74"/>
        <v>0</v>
      </c>
    </row>
    <row r="1568" spans="1:9">
      <c r="A1568" s="1">
        <v>41008</v>
      </c>
      <c r="B1568">
        <v>2.9115199999999999</v>
      </c>
      <c r="C1568">
        <v>3.8050000000000002</v>
      </c>
      <c r="D1568">
        <f>WEEKDAY(A1568,14)</f>
        <v>5</v>
      </c>
      <c r="E1568">
        <f>VLOOKUP(D1568,L$2:M$8,2,FALSE)</f>
        <v>0.05</v>
      </c>
      <c r="F1568">
        <f t="shared" si="72"/>
        <v>3</v>
      </c>
      <c r="G1568">
        <f>IF(F1568&gt;F1567,G1567+B1568*E1568,B1568*E1568)</f>
        <v>0.14557600000000001</v>
      </c>
      <c r="H1568">
        <f t="shared" si="73"/>
        <v>0.05</v>
      </c>
      <c r="I1568">
        <f t="shared" si="74"/>
        <v>0</v>
      </c>
    </row>
    <row r="1569" spans="1:9">
      <c r="A1569" s="1">
        <v>41009</v>
      </c>
      <c r="B1569">
        <v>2.91099</v>
      </c>
      <c r="C1569">
        <v>3.8050000000000002</v>
      </c>
      <c r="D1569">
        <f>WEEKDAY(A1569,14)</f>
        <v>6</v>
      </c>
      <c r="E1569">
        <f>VLOOKUP(D1569,L$2:M$8,2,FALSE)</f>
        <v>0.7</v>
      </c>
      <c r="F1569">
        <f t="shared" si="72"/>
        <v>4</v>
      </c>
      <c r="G1569">
        <f>IF(F1569&gt;F1568,G1568+B1569*E1569,B1569*E1569)</f>
        <v>2.1832690000000001</v>
      </c>
      <c r="H1569">
        <f t="shared" si="73"/>
        <v>0.75</v>
      </c>
      <c r="I1569">
        <f t="shared" si="74"/>
        <v>0</v>
      </c>
    </row>
    <row r="1570" spans="1:9">
      <c r="A1570" s="1">
        <v>41010</v>
      </c>
      <c r="B1570">
        <v>2.9307799999999999</v>
      </c>
      <c r="C1570">
        <v>3.8050000000000002</v>
      </c>
      <c r="D1570">
        <f>WEEKDAY(A1570,14)</f>
        <v>7</v>
      </c>
      <c r="E1570">
        <f>VLOOKUP(D1570,L$2:M$8,2,FALSE)</f>
        <v>0.25</v>
      </c>
      <c r="F1570">
        <f t="shared" si="72"/>
        <v>5</v>
      </c>
      <c r="G1570">
        <f>IF(F1570&gt;F1569,G1569+B1570*E1570,B1570*E1570)</f>
        <v>2.9159640000000002</v>
      </c>
      <c r="H1570">
        <f t="shared" si="73"/>
        <v>1</v>
      </c>
      <c r="I1570">
        <f t="shared" si="74"/>
        <v>0</v>
      </c>
    </row>
    <row r="1571" spans="1:9">
      <c r="A1571" s="1">
        <v>41011</v>
      </c>
      <c r="B1571">
        <v>2.9674499999999999</v>
      </c>
      <c r="C1571">
        <v>3.85</v>
      </c>
      <c r="D1571">
        <f>WEEKDAY(A1571,14)</f>
        <v>1</v>
      </c>
      <c r="E1571">
        <f>VLOOKUP(D1571,L$2:M$8,2,FALSE)</f>
        <v>0</v>
      </c>
      <c r="F1571">
        <f t="shared" si="72"/>
        <v>1</v>
      </c>
      <c r="G1571">
        <f>IF(F1571&gt;F1570,G1570+B1571*E1571,B1571*E1571)</f>
        <v>0</v>
      </c>
      <c r="H1571">
        <f t="shared" si="73"/>
        <v>0</v>
      </c>
      <c r="I1571">
        <f t="shared" si="74"/>
        <v>2.9159640000000002</v>
      </c>
    </row>
    <row r="1572" spans="1:9">
      <c r="A1572" s="1">
        <v>41012</v>
      </c>
      <c r="B1572">
        <v>2.9322699999999999</v>
      </c>
      <c r="C1572">
        <v>3.85</v>
      </c>
      <c r="D1572">
        <f>WEEKDAY(A1572,14)</f>
        <v>2</v>
      </c>
      <c r="E1572">
        <f>VLOOKUP(D1572,L$2:M$8,2,FALSE)</f>
        <v>0</v>
      </c>
      <c r="F1572">
        <f t="shared" si="72"/>
        <v>2</v>
      </c>
      <c r="G1572">
        <f>IF(F1572&gt;F1571,G1571+B1572*E1572,B1572*E1572)</f>
        <v>0</v>
      </c>
      <c r="H1572">
        <f t="shared" si="73"/>
        <v>0</v>
      </c>
      <c r="I1572">
        <f t="shared" si="74"/>
        <v>0</v>
      </c>
    </row>
    <row r="1573" spans="1:9">
      <c r="A1573" s="1">
        <v>41015</v>
      </c>
      <c r="B1573">
        <v>2.9180799999999998</v>
      </c>
      <c r="C1573">
        <v>3.85</v>
      </c>
      <c r="D1573">
        <f>WEEKDAY(A1573,14)</f>
        <v>5</v>
      </c>
      <c r="E1573">
        <f>VLOOKUP(D1573,L$2:M$8,2,FALSE)</f>
        <v>0.05</v>
      </c>
      <c r="F1573">
        <f t="shared" si="72"/>
        <v>3</v>
      </c>
      <c r="G1573">
        <f>IF(F1573&gt;F1572,G1572+B1573*E1573,B1573*E1573)</f>
        <v>0.14590400000000001</v>
      </c>
      <c r="H1573">
        <f t="shared" si="73"/>
        <v>0.05</v>
      </c>
      <c r="I1573">
        <f t="shared" si="74"/>
        <v>0</v>
      </c>
    </row>
    <row r="1574" spans="1:9">
      <c r="A1574" s="1">
        <v>41016</v>
      </c>
      <c r="B1574">
        <v>2.9571000000000001</v>
      </c>
      <c r="C1574">
        <v>3.85</v>
      </c>
      <c r="D1574">
        <f>WEEKDAY(A1574,14)</f>
        <v>6</v>
      </c>
      <c r="E1574">
        <f>VLOOKUP(D1574,L$2:M$8,2,FALSE)</f>
        <v>0.7</v>
      </c>
      <c r="F1574">
        <f t="shared" si="72"/>
        <v>4</v>
      </c>
      <c r="G1574">
        <f>IF(F1574&gt;F1573,G1573+B1574*E1574,B1574*E1574)</f>
        <v>2.2158739999999999</v>
      </c>
      <c r="H1574">
        <f t="shared" si="73"/>
        <v>0.75</v>
      </c>
      <c r="I1574">
        <f t="shared" si="74"/>
        <v>0</v>
      </c>
    </row>
    <row r="1575" spans="1:9">
      <c r="A1575" s="1">
        <v>41017</v>
      </c>
      <c r="B1575">
        <v>2.9304600000000001</v>
      </c>
      <c r="C1575">
        <v>3.85</v>
      </c>
      <c r="D1575">
        <f>WEEKDAY(A1575,14)</f>
        <v>7</v>
      </c>
      <c r="E1575">
        <f>VLOOKUP(D1575,L$2:M$8,2,FALSE)</f>
        <v>0.25</v>
      </c>
      <c r="F1575">
        <f t="shared" si="72"/>
        <v>5</v>
      </c>
      <c r="G1575">
        <f>IF(F1575&gt;F1574,G1574+B1575*E1575,B1575*E1575)</f>
        <v>2.9484889999999999</v>
      </c>
      <c r="H1575">
        <f t="shared" si="73"/>
        <v>1</v>
      </c>
      <c r="I1575">
        <f t="shared" si="74"/>
        <v>0</v>
      </c>
    </row>
    <row r="1576" spans="1:9">
      <c r="A1576" s="1">
        <v>41018</v>
      </c>
      <c r="B1576">
        <v>2.8874399999999998</v>
      </c>
      <c r="C1576">
        <v>3.8050000000000002</v>
      </c>
      <c r="D1576">
        <f>WEEKDAY(A1576,14)</f>
        <v>1</v>
      </c>
      <c r="E1576">
        <f>VLOOKUP(D1576,L$2:M$8,2,FALSE)</f>
        <v>0</v>
      </c>
      <c r="F1576">
        <f t="shared" si="72"/>
        <v>1</v>
      </c>
      <c r="G1576">
        <f>IF(F1576&gt;F1575,G1575+B1576*E1576,B1576*E1576)</f>
        <v>0</v>
      </c>
      <c r="H1576">
        <f t="shared" si="73"/>
        <v>0</v>
      </c>
      <c r="I1576">
        <f t="shared" si="74"/>
        <v>2.9484889999999999</v>
      </c>
    </row>
    <row r="1577" spans="1:9">
      <c r="A1577" s="1">
        <v>41019</v>
      </c>
      <c r="B1577">
        <v>2.9033500000000001</v>
      </c>
      <c r="C1577">
        <v>3.8050000000000002</v>
      </c>
      <c r="D1577">
        <f>WEEKDAY(A1577,14)</f>
        <v>2</v>
      </c>
      <c r="E1577">
        <f>VLOOKUP(D1577,L$2:M$8,2,FALSE)</f>
        <v>0</v>
      </c>
      <c r="F1577">
        <f t="shared" si="72"/>
        <v>2</v>
      </c>
      <c r="G1577">
        <f>IF(F1577&gt;F1576,G1576+B1577*E1577,B1577*E1577)</f>
        <v>0</v>
      </c>
      <c r="H1577">
        <f t="shared" si="73"/>
        <v>0</v>
      </c>
      <c r="I1577">
        <f t="shared" si="74"/>
        <v>0</v>
      </c>
    </row>
    <row r="1578" spans="1:9">
      <c r="A1578" s="1">
        <v>41022</v>
      </c>
      <c r="B1578">
        <v>2.8708100000000001</v>
      </c>
      <c r="C1578">
        <v>3.8050000000000002</v>
      </c>
      <c r="D1578">
        <f>WEEKDAY(A1578,14)</f>
        <v>5</v>
      </c>
      <c r="E1578">
        <f>VLOOKUP(D1578,L$2:M$8,2,FALSE)</f>
        <v>0.05</v>
      </c>
      <c r="F1578">
        <f t="shared" si="72"/>
        <v>3</v>
      </c>
      <c r="G1578">
        <f>IF(F1578&gt;F1577,G1577+B1578*E1578,B1578*E1578)</f>
        <v>0.14354050000000002</v>
      </c>
      <c r="H1578">
        <f t="shared" si="73"/>
        <v>0.05</v>
      </c>
      <c r="I1578">
        <f t="shared" si="74"/>
        <v>0</v>
      </c>
    </row>
    <row r="1579" spans="1:9">
      <c r="A1579" s="1">
        <v>41023</v>
      </c>
      <c r="B1579">
        <v>2.90097</v>
      </c>
      <c r="C1579">
        <v>3.8050000000000002</v>
      </c>
      <c r="D1579">
        <f>WEEKDAY(A1579,14)</f>
        <v>6</v>
      </c>
      <c r="E1579">
        <f>VLOOKUP(D1579,L$2:M$8,2,FALSE)</f>
        <v>0.7</v>
      </c>
      <c r="F1579">
        <f t="shared" si="72"/>
        <v>4</v>
      </c>
      <c r="G1579">
        <f>IF(F1579&gt;F1578,G1578+B1579*E1579,B1579*E1579)</f>
        <v>2.1742195</v>
      </c>
      <c r="H1579">
        <f t="shared" si="73"/>
        <v>0.75</v>
      </c>
      <c r="I1579">
        <f t="shared" si="74"/>
        <v>0</v>
      </c>
    </row>
    <row r="1580" spans="1:9">
      <c r="A1580" s="1">
        <v>41024</v>
      </c>
      <c r="B1580">
        <v>2.9224100000000002</v>
      </c>
      <c r="C1580">
        <v>3.8050000000000002</v>
      </c>
      <c r="D1580">
        <f>WEEKDAY(A1580,14)</f>
        <v>7</v>
      </c>
      <c r="E1580">
        <f>VLOOKUP(D1580,L$2:M$8,2,FALSE)</f>
        <v>0.25</v>
      </c>
      <c r="F1580">
        <f t="shared" si="72"/>
        <v>5</v>
      </c>
      <c r="G1580">
        <f>IF(F1580&gt;F1579,G1579+B1580*E1580,B1580*E1580)</f>
        <v>2.9048220000000002</v>
      </c>
      <c r="H1580">
        <f t="shared" si="73"/>
        <v>1</v>
      </c>
      <c r="I1580">
        <f t="shared" si="74"/>
        <v>0</v>
      </c>
    </row>
    <row r="1581" spans="1:9">
      <c r="A1581" s="1">
        <v>41025</v>
      </c>
      <c r="B1581">
        <v>2.8923999999999999</v>
      </c>
      <c r="C1581">
        <v>3.79</v>
      </c>
      <c r="D1581">
        <f>WEEKDAY(A1581,14)</f>
        <v>1</v>
      </c>
      <c r="E1581">
        <f>VLOOKUP(D1581,L$2:M$8,2,FALSE)</f>
        <v>0</v>
      </c>
      <c r="F1581">
        <f t="shared" si="72"/>
        <v>1</v>
      </c>
      <c r="G1581">
        <f>IF(F1581&gt;F1580,G1580+B1581*E1581,B1581*E1581)</f>
        <v>0</v>
      </c>
      <c r="H1581">
        <f t="shared" si="73"/>
        <v>0</v>
      </c>
      <c r="I1581">
        <f t="shared" si="74"/>
        <v>2.9048220000000002</v>
      </c>
    </row>
    <row r="1582" spans="1:9">
      <c r="A1582" s="1">
        <v>41026</v>
      </c>
      <c r="B1582">
        <v>2.8716699999999999</v>
      </c>
      <c r="C1582">
        <v>3.79</v>
      </c>
      <c r="D1582">
        <f>WEEKDAY(A1582,14)</f>
        <v>2</v>
      </c>
      <c r="E1582">
        <f>VLOOKUP(D1582,L$2:M$8,2,FALSE)</f>
        <v>0</v>
      </c>
      <c r="F1582">
        <f t="shared" si="72"/>
        <v>2</v>
      </c>
      <c r="G1582">
        <f>IF(F1582&gt;F1581,G1581+B1582*E1582,B1582*E1582)</f>
        <v>0</v>
      </c>
      <c r="H1582">
        <f t="shared" si="73"/>
        <v>0</v>
      </c>
      <c r="I1582">
        <f t="shared" si="74"/>
        <v>0</v>
      </c>
    </row>
    <row r="1583" spans="1:9">
      <c r="A1583" s="1">
        <v>41029</v>
      </c>
      <c r="B1583">
        <v>2.85859</v>
      </c>
      <c r="C1583">
        <v>3.79</v>
      </c>
      <c r="D1583">
        <f>WEEKDAY(A1583,14)</f>
        <v>5</v>
      </c>
      <c r="E1583">
        <f>VLOOKUP(D1583,L$2:M$8,2,FALSE)</f>
        <v>0.05</v>
      </c>
      <c r="F1583">
        <f t="shared" si="72"/>
        <v>3</v>
      </c>
      <c r="G1583">
        <f>IF(F1583&gt;F1582,G1582+B1583*E1583,B1583*E1583)</f>
        <v>0.14292950000000001</v>
      </c>
      <c r="H1583">
        <f t="shared" si="73"/>
        <v>0.05</v>
      </c>
      <c r="I1583">
        <f t="shared" si="74"/>
        <v>0</v>
      </c>
    </row>
    <row r="1584" spans="1:9">
      <c r="A1584" s="1">
        <v>41030</v>
      </c>
      <c r="B1584">
        <v>2.8908499999999999</v>
      </c>
      <c r="C1584">
        <v>3.79</v>
      </c>
      <c r="D1584">
        <f>WEEKDAY(A1584,14)</f>
        <v>6</v>
      </c>
      <c r="E1584">
        <f>VLOOKUP(D1584,L$2:M$8,2,FALSE)</f>
        <v>0.7</v>
      </c>
      <c r="F1584">
        <f t="shared" si="72"/>
        <v>4</v>
      </c>
      <c r="G1584">
        <f>IF(F1584&gt;F1583,G1583+B1584*E1584,B1584*E1584)</f>
        <v>2.1665245</v>
      </c>
      <c r="H1584">
        <f t="shared" si="73"/>
        <v>0.75</v>
      </c>
      <c r="I1584">
        <f t="shared" si="74"/>
        <v>0</v>
      </c>
    </row>
    <row r="1585" spans="1:9">
      <c r="A1585" s="1">
        <v>41031</v>
      </c>
      <c r="B1585">
        <v>2.87338</v>
      </c>
      <c r="C1585">
        <v>3.79</v>
      </c>
      <c r="D1585">
        <f>WEEKDAY(A1585,14)</f>
        <v>7</v>
      </c>
      <c r="E1585">
        <f>VLOOKUP(D1585,L$2:M$8,2,FALSE)</f>
        <v>0.25</v>
      </c>
      <c r="F1585">
        <f t="shared" si="72"/>
        <v>5</v>
      </c>
      <c r="G1585">
        <f>IF(F1585&gt;F1584,G1584+B1585*E1585,B1585*E1585)</f>
        <v>2.8848694999999998</v>
      </c>
      <c r="H1585">
        <f t="shared" si="73"/>
        <v>1</v>
      </c>
      <c r="I1585">
        <f t="shared" si="74"/>
        <v>0</v>
      </c>
    </row>
    <row r="1586" spans="1:9">
      <c r="A1586" s="1">
        <v>41032</v>
      </c>
      <c r="B1586">
        <v>2.8823300000000001</v>
      </c>
      <c r="C1586">
        <v>3.7549999999999999</v>
      </c>
      <c r="D1586">
        <f>WEEKDAY(A1586,14)</f>
        <v>1</v>
      </c>
      <c r="E1586">
        <f>VLOOKUP(D1586,L$2:M$8,2,FALSE)</f>
        <v>0</v>
      </c>
      <c r="F1586">
        <f t="shared" si="72"/>
        <v>1</v>
      </c>
      <c r="G1586">
        <f>IF(F1586&gt;F1585,G1585+B1586*E1586,B1586*E1586)</f>
        <v>0</v>
      </c>
      <c r="H1586">
        <f t="shared" si="73"/>
        <v>0</v>
      </c>
      <c r="I1586">
        <f t="shared" si="74"/>
        <v>2.8848694999999998</v>
      </c>
    </row>
    <row r="1587" spans="1:9">
      <c r="A1587" s="1">
        <v>41033</v>
      </c>
      <c r="B1587">
        <v>2.85087</v>
      </c>
      <c r="C1587">
        <v>3.7549999999999999</v>
      </c>
      <c r="D1587">
        <f>WEEKDAY(A1587,14)</f>
        <v>2</v>
      </c>
      <c r="E1587">
        <f>VLOOKUP(D1587,L$2:M$8,2,FALSE)</f>
        <v>0</v>
      </c>
      <c r="F1587">
        <f t="shared" si="72"/>
        <v>2</v>
      </c>
      <c r="G1587">
        <f>IF(F1587&gt;F1586,G1586+B1587*E1587,B1587*E1587)</f>
        <v>0</v>
      </c>
      <c r="H1587">
        <f t="shared" si="73"/>
        <v>0</v>
      </c>
      <c r="I1587">
        <f t="shared" si="74"/>
        <v>0</v>
      </c>
    </row>
    <row r="1588" spans="1:9">
      <c r="A1588" s="1">
        <v>41036</v>
      </c>
      <c r="B1588">
        <v>2.8584700000000001</v>
      </c>
      <c r="C1588">
        <v>3.7549999999999999</v>
      </c>
      <c r="D1588">
        <f>WEEKDAY(A1588,14)</f>
        <v>5</v>
      </c>
      <c r="E1588">
        <f>VLOOKUP(D1588,L$2:M$8,2,FALSE)</f>
        <v>0.05</v>
      </c>
      <c r="F1588">
        <f t="shared" si="72"/>
        <v>3</v>
      </c>
      <c r="G1588">
        <f>IF(F1588&gt;F1587,G1587+B1588*E1588,B1588*E1588)</f>
        <v>0.14292350000000001</v>
      </c>
      <c r="H1588">
        <f t="shared" si="73"/>
        <v>0.05</v>
      </c>
      <c r="I1588">
        <f t="shared" si="74"/>
        <v>0</v>
      </c>
    </row>
    <row r="1589" spans="1:9">
      <c r="A1589" s="1">
        <v>41037</v>
      </c>
      <c r="B1589">
        <v>2.8456999999999999</v>
      </c>
      <c r="C1589">
        <v>3.7549999999999999</v>
      </c>
      <c r="D1589">
        <f>WEEKDAY(A1589,14)</f>
        <v>6</v>
      </c>
      <c r="E1589">
        <f>VLOOKUP(D1589,L$2:M$8,2,FALSE)</f>
        <v>0.7</v>
      </c>
      <c r="F1589">
        <f t="shared" si="72"/>
        <v>4</v>
      </c>
      <c r="G1589">
        <f>IF(F1589&gt;F1588,G1588+B1589*E1589,B1589*E1589)</f>
        <v>2.1349134999999997</v>
      </c>
      <c r="H1589">
        <f t="shared" si="73"/>
        <v>0.75</v>
      </c>
      <c r="I1589">
        <f t="shared" si="74"/>
        <v>0</v>
      </c>
    </row>
    <row r="1590" spans="1:9">
      <c r="A1590" s="1">
        <v>41038</v>
      </c>
      <c r="B1590">
        <v>2.8327599999999999</v>
      </c>
      <c r="C1590">
        <v>3.7549999999999999</v>
      </c>
      <c r="D1590">
        <f>WEEKDAY(A1590,14)</f>
        <v>7</v>
      </c>
      <c r="E1590">
        <f>VLOOKUP(D1590,L$2:M$8,2,FALSE)</f>
        <v>0.25</v>
      </c>
      <c r="F1590">
        <f t="shared" si="72"/>
        <v>5</v>
      </c>
      <c r="G1590">
        <f>IF(F1590&gt;F1589,G1589+B1590*E1590,B1590*E1590)</f>
        <v>2.8431034999999998</v>
      </c>
      <c r="H1590">
        <f t="shared" si="73"/>
        <v>1</v>
      </c>
      <c r="I1590">
        <f t="shared" si="74"/>
        <v>0</v>
      </c>
    </row>
    <row r="1591" spans="1:9">
      <c r="A1591" s="1">
        <v>41039</v>
      </c>
      <c r="B1591">
        <v>2.8246099999999998</v>
      </c>
      <c r="C1591">
        <v>3.7149999999999999</v>
      </c>
      <c r="D1591">
        <f>WEEKDAY(A1591,14)</f>
        <v>1</v>
      </c>
      <c r="E1591">
        <f>VLOOKUP(D1591,L$2:M$8,2,FALSE)</f>
        <v>0</v>
      </c>
      <c r="F1591">
        <f t="shared" si="72"/>
        <v>1</v>
      </c>
      <c r="G1591">
        <f>IF(F1591&gt;F1590,G1590+B1591*E1591,B1591*E1591)</f>
        <v>0</v>
      </c>
      <c r="H1591">
        <f t="shared" si="73"/>
        <v>0</v>
      </c>
      <c r="I1591">
        <f t="shared" si="74"/>
        <v>2.8431034999999998</v>
      </c>
    </row>
    <row r="1592" spans="1:9">
      <c r="A1592" s="1">
        <v>41040</v>
      </c>
      <c r="B1592">
        <v>2.8052800000000002</v>
      </c>
      <c r="C1592">
        <v>3.7149999999999999</v>
      </c>
      <c r="D1592">
        <f>WEEKDAY(A1592,14)</f>
        <v>2</v>
      </c>
      <c r="E1592">
        <f>VLOOKUP(D1592,L$2:M$8,2,FALSE)</f>
        <v>0</v>
      </c>
      <c r="F1592">
        <f t="shared" si="72"/>
        <v>2</v>
      </c>
      <c r="G1592">
        <f>IF(F1592&gt;F1591,G1591+B1592*E1592,B1592*E1592)</f>
        <v>0</v>
      </c>
      <c r="H1592">
        <f t="shared" si="73"/>
        <v>0</v>
      </c>
      <c r="I1592">
        <f t="shared" si="74"/>
        <v>0</v>
      </c>
    </row>
    <row r="1593" spans="1:9">
      <c r="A1593" s="1">
        <v>41043</v>
      </c>
      <c r="B1593">
        <v>2.7739699999999998</v>
      </c>
      <c r="C1593">
        <v>3.7149999999999999</v>
      </c>
      <c r="D1593">
        <f>WEEKDAY(A1593,14)</f>
        <v>5</v>
      </c>
      <c r="E1593">
        <f>VLOOKUP(D1593,L$2:M$8,2,FALSE)</f>
        <v>0.05</v>
      </c>
      <c r="F1593">
        <f t="shared" si="72"/>
        <v>3</v>
      </c>
      <c r="G1593">
        <f>IF(F1593&gt;F1592,G1592+B1593*E1593,B1593*E1593)</f>
        <v>0.1386985</v>
      </c>
      <c r="H1593">
        <f t="shared" si="73"/>
        <v>0.05</v>
      </c>
      <c r="I1593">
        <f t="shared" si="74"/>
        <v>0</v>
      </c>
    </row>
    <row r="1594" spans="1:9">
      <c r="A1594" s="1">
        <v>41044</v>
      </c>
      <c r="B1594">
        <v>2.7697099999999999</v>
      </c>
      <c r="C1594">
        <v>3.7149999999999999</v>
      </c>
      <c r="D1594">
        <f>WEEKDAY(A1594,14)</f>
        <v>6</v>
      </c>
      <c r="E1594">
        <f>VLOOKUP(D1594,L$2:M$8,2,FALSE)</f>
        <v>0.7</v>
      </c>
      <c r="F1594">
        <f t="shared" si="72"/>
        <v>4</v>
      </c>
      <c r="G1594">
        <f>IF(F1594&gt;F1593,G1593+B1594*E1594,B1594*E1594)</f>
        <v>2.0774954999999999</v>
      </c>
      <c r="H1594">
        <f t="shared" si="73"/>
        <v>0.75</v>
      </c>
      <c r="I1594">
        <f t="shared" si="74"/>
        <v>0</v>
      </c>
    </row>
    <row r="1595" spans="1:9">
      <c r="A1595" s="1">
        <v>41045</v>
      </c>
      <c r="B1595">
        <v>2.7401300000000002</v>
      </c>
      <c r="C1595">
        <v>3.7149999999999999</v>
      </c>
      <c r="D1595">
        <f>WEEKDAY(A1595,14)</f>
        <v>7</v>
      </c>
      <c r="E1595">
        <f>VLOOKUP(D1595,L$2:M$8,2,FALSE)</f>
        <v>0.25</v>
      </c>
      <c r="F1595">
        <f t="shared" si="72"/>
        <v>5</v>
      </c>
      <c r="G1595">
        <f>IF(F1595&gt;F1594,G1594+B1595*E1595,B1595*E1595)</f>
        <v>2.7625280000000001</v>
      </c>
      <c r="H1595">
        <f t="shared" si="73"/>
        <v>1</v>
      </c>
      <c r="I1595">
        <f t="shared" si="74"/>
        <v>0</v>
      </c>
    </row>
    <row r="1596" spans="1:9">
      <c r="A1596" s="1">
        <v>41046</v>
      </c>
      <c r="B1596">
        <v>2.67184</v>
      </c>
      <c r="C1596">
        <v>3.73</v>
      </c>
      <c r="D1596">
        <f>WEEKDAY(A1596,14)</f>
        <v>1</v>
      </c>
      <c r="E1596">
        <f>VLOOKUP(D1596,L$2:M$8,2,FALSE)</f>
        <v>0</v>
      </c>
      <c r="F1596">
        <f t="shared" si="72"/>
        <v>1</v>
      </c>
      <c r="G1596">
        <f>IF(F1596&gt;F1595,G1595+B1596*E1596,B1596*E1596)</f>
        <v>0</v>
      </c>
      <c r="H1596">
        <f t="shared" si="73"/>
        <v>0</v>
      </c>
      <c r="I1596">
        <f t="shared" si="74"/>
        <v>2.7625280000000001</v>
      </c>
    </row>
    <row r="1597" spans="1:9">
      <c r="A1597" s="1">
        <v>41047</v>
      </c>
      <c r="B1597">
        <v>2.6779700000000002</v>
      </c>
      <c r="C1597">
        <v>3.73</v>
      </c>
      <c r="D1597">
        <f>WEEKDAY(A1597,14)</f>
        <v>2</v>
      </c>
      <c r="E1597">
        <f>VLOOKUP(D1597,L$2:M$8,2,FALSE)</f>
        <v>0</v>
      </c>
      <c r="F1597">
        <f t="shared" si="72"/>
        <v>2</v>
      </c>
      <c r="G1597">
        <f>IF(F1597&gt;F1596,G1596+B1597*E1597,B1597*E1597)</f>
        <v>0</v>
      </c>
      <c r="H1597">
        <f t="shared" si="73"/>
        <v>0</v>
      </c>
      <c r="I1597">
        <f t="shared" si="74"/>
        <v>0</v>
      </c>
    </row>
    <row r="1598" spans="1:9">
      <c r="A1598" s="1">
        <v>41050</v>
      </c>
      <c r="B1598">
        <v>2.7335699999999998</v>
      </c>
      <c r="C1598">
        <v>3.73</v>
      </c>
      <c r="D1598">
        <f>WEEKDAY(A1598,14)</f>
        <v>5</v>
      </c>
      <c r="E1598">
        <f>VLOOKUP(D1598,L$2:M$8,2,FALSE)</f>
        <v>0.05</v>
      </c>
      <c r="F1598">
        <f t="shared" si="72"/>
        <v>3</v>
      </c>
      <c r="G1598">
        <f>IF(F1598&gt;F1597,G1597+B1598*E1598,B1598*E1598)</f>
        <v>0.13667850000000001</v>
      </c>
      <c r="H1598">
        <f t="shared" si="73"/>
        <v>0.05</v>
      </c>
      <c r="I1598">
        <f t="shared" si="74"/>
        <v>0</v>
      </c>
    </row>
    <row r="1599" spans="1:9">
      <c r="A1599" s="1">
        <v>41051</v>
      </c>
      <c r="B1599">
        <v>2.7696900000000002</v>
      </c>
      <c r="C1599">
        <v>3.73</v>
      </c>
      <c r="D1599">
        <f>WEEKDAY(A1599,14)</f>
        <v>6</v>
      </c>
      <c r="E1599">
        <f>VLOOKUP(D1599,L$2:M$8,2,FALSE)</f>
        <v>0.7</v>
      </c>
      <c r="F1599">
        <f t="shared" si="72"/>
        <v>4</v>
      </c>
      <c r="G1599">
        <f>IF(F1599&gt;F1598,G1598+B1599*E1599,B1599*E1599)</f>
        <v>2.0754614999999998</v>
      </c>
      <c r="H1599">
        <f t="shared" si="73"/>
        <v>0.75</v>
      </c>
      <c r="I1599">
        <f t="shared" si="74"/>
        <v>0</v>
      </c>
    </row>
    <row r="1600" spans="1:9">
      <c r="A1600" s="1">
        <v>41052</v>
      </c>
      <c r="B1600">
        <v>2.73508</v>
      </c>
      <c r="C1600">
        <v>3.73</v>
      </c>
      <c r="D1600">
        <f>WEEKDAY(A1600,14)</f>
        <v>7</v>
      </c>
      <c r="E1600">
        <f>VLOOKUP(D1600,L$2:M$8,2,FALSE)</f>
        <v>0.25</v>
      </c>
      <c r="F1600">
        <f t="shared" si="72"/>
        <v>5</v>
      </c>
      <c r="G1600">
        <f>IF(F1600&gt;F1599,G1599+B1600*E1600,B1600*E1600)</f>
        <v>2.7592314999999998</v>
      </c>
      <c r="H1600">
        <f t="shared" si="73"/>
        <v>1</v>
      </c>
      <c r="I1600">
        <f t="shared" si="74"/>
        <v>0</v>
      </c>
    </row>
    <row r="1601" spans="1:9">
      <c r="A1601" s="1">
        <v>41053</v>
      </c>
      <c r="B1601">
        <v>2.7605400000000002</v>
      </c>
      <c r="C1601">
        <v>3.7</v>
      </c>
      <c r="D1601">
        <f>WEEKDAY(A1601,14)</f>
        <v>1</v>
      </c>
      <c r="E1601">
        <f>VLOOKUP(D1601,L$2:M$8,2,FALSE)</f>
        <v>0</v>
      </c>
      <c r="F1601">
        <f t="shared" si="72"/>
        <v>1</v>
      </c>
      <c r="G1601">
        <f>IF(F1601&gt;F1600,G1600+B1601*E1601,B1601*E1601)</f>
        <v>0</v>
      </c>
      <c r="H1601">
        <f t="shared" si="73"/>
        <v>0</v>
      </c>
      <c r="I1601">
        <f t="shared" si="74"/>
        <v>2.7592314999999998</v>
      </c>
    </row>
    <row r="1602" spans="1:9">
      <c r="A1602" s="1">
        <v>41054</v>
      </c>
      <c r="B1602">
        <v>2.7634500000000002</v>
      </c>
      <c r="C1602">
        <v>3.7</v>
      </c>
      <c r="D1602">
        <f>WEEKDAY(A1602,14)</f>
        <v>2</v>
      </c>
      <c r="E1602">
        <f>VLOOKUP(D1602,L$2:M$8,2,FALSE)</f>
        <v>0</v>
      </c>
      <c r="F1602">
        <f t="shared" si="72"/>
        <v>2</v>
      </c>
      <c r="G1602">
        <f>IF(F1602&gt;F1601,G1601+B1602*E1602,B1602*E1602)</f>
        <v>0</v>
      </c>
      <c r="H1602">
        <f t="shared" si="73"/>
        <v>0</v>
      </c>
      <c r="I1602">
        <f t="shared" si="74"/>
        <v>0</v>
      </c>
    </row>
    <row r="1603" spans="1:9">
      <c r="A1603" s="1">
        <v>41058</v>
      </c>
      <c r="B1603">
        <v>2.77149</v>
      </c>
      <c r="C1603">
        <v>3.7</v>
      </c>
      <c r="D1603">
        <f>WEEKDAY(A1603,14)</f>
        <v>6</v>
      </c>
      <c r="E1603">
        <f>VLOOKUP(D1603,L$2:M$8,2,FALSE)</f>
        <v>0.7</v>
      </c>
      <c r="F1603">
        <f t="shared" ref="F1603:F1666" si="75">IF(AND(D1603&gt;D1602,F1602&lt;6),F1602+1,1)</f>
        <v>3</v>
      </c>
      <c r="G1603">
        <f>IF(F1603&gt;F1602,G1602+B1603*E1603,B1603*E1603)</f>
        <v>1.940043</v>
      </c>
      <c r="H1603">
        <f t="shared" si="73"/>
        <v>0.7</v>
      </c>
      <c r="I1603">
        <f t="shared" si="74"/>
        <v>0</v>
      </c>
    </row>
    <row r="1604" spans="1:9">
      <c r="A1604" s="1">
        <v>41059</v>
      </c>
      <c r="B1604">
        <v>2.68486</v>
      </c>
      <c r="C1604">
        <v>3.7</v>
      </c>
      <c r="D1604">
        <f>WEEKDAY(A1604,14)</f>
        <v>7</v>
      </c>
      <c r="E1604">
        <f>VLOOKUP(D1604,L$2:M$8,2,FALSE)</f>
        <v>0.25</v>
      </c>
      <c r="F1604">
        <f t="shared" si="75"/>
        <v>4</v>
      </c>
      <c r="G1604">
        <f>IF(F1604&gt;F1603,G1603+B1604*E1604,B1604*E1604)</f>
        <v>2.6112579999999999</v>
      </c>
      <c r="H1604">
        <f t="shared" ref="H1604:H1667" si="76">IF(AND(F1604&lt;6,F1604&gt;F1603),E1604+H1603,E1604)</f>
        <v>0.95</v>
      </c>
      <c r="I1604">
        <f t="shared" ref="I1604:I1667" si="77">IF(F1603&gt;F1604,G1603/H1603,0)</f>
        <v>0</v>
      </c>
    </row>
    <row r="1605" spans="1:9">
      <c r="A1605" s="1">
        <v>41060</v>
      </c>
      <c r="B1605">
        <v>2.6463899999999998</v>
      </c>
      <c r="C1605">
        <v>3.5950000000000002</v>
      </c>
      <c r="D1605">
        <f>WEEKDAY(A1605,14)</f>
        <v>1</v>
      </c>
      <c r="E1605">
        <f>VLOOKUP(D1605,L$2:M$8,2,FALSE)</f>
        <v>0</v>
      </c>
      <c r="F1605">
        <f t="shared" si="75"/>
        <v>1</v>
      </c>
      <c r="G1605">
        <f>IF(F1605&gt;F1604,G1604+B1605*E1605,B1605*E1605)</f>
        <v>0</v>
      </c>
      <c r="H1605">
        <f t="shared" si="76"/>
        <v>0</v>
      </c>
      <c r="I1605">
        <f t="shared" si="77"/>
        <v>2.7486926315789475</v>
      </c>
    </row>
    <row r="1606" spans="1:9">
      <c r="A1606" s="1">
        <v>41061</v>
      </c>
      <c r="B1606">
        <v>2.53159</v>
      </c>
      <c r="C1606">
        <v>3.5950000000000002</v>
      </c>
      <c r="D1606">
        <f>WEEKDAY(A1606,14)</f>
        <v>2</v>
      </c>
      <c r="E1606">
        <f>VLOOKUP(D1606,L$2:M$8,2,FALSE)</f>
        <v>0</v>
      </c>
      <c r="F1606">
        <f t="shared" si="75"/>
        <v>2</v>
      </c>
      <c r="G1606">
        <f>IF(F1606&gt;F1605,G1605+B1606*E1606,B1606*E1606)</f>
        <v>0</v>
      </c>
      <c r="H1606">
        <f t="shared" si="76"/>
        <v>0</v>
      </c>
      <c r="I1606">
        <f t="shared" si="77"/>
        <v>0</v>
      </c>
    </row>
    <row r="1607" spans="1:9">
      <c r="A1607" s="1">
        <v>41064</v>
      </c>
      <c r="B1607">
        <v>2.6222599999999998</v>
      </c>
      <c r="C1607">
        <v>3.5950000000000002</v>
      </c>
      <c r="D1607">
        <f>WEEKDAY(A1607,14)</f>
        <v>5</v>
      </c>
      <c r="E1607">
        <f>VLOOKUP(D1607,L$2:M$8,2,FALSE)</f>
        <v>0.05</v>
      </c>
      <c r="F1607">
        <f t="shared" si="75"/>
        <v>3</v>
      </c>
      <c r="G1607">
        <f>IF(F1607&gt;F1606,G1606+B1607*E1607,B1607*E1607)</f>
        <v>0.13111300000000001</v>
      </c>
      <c r="H1607">
        <f t="shared" si="76"/>
        <v>0.05</v>
      </c>
      <c r="I1607">
        <f t="shared" si="77"/>
        <v>0</v>
      </c>
    </row>
    <row r="1608" spans="1:9">
      <c r="A1608" s="1">
        <v>41065</v>
      </c>
      <c r="B1608">
        <v>2.6721599999999999</v>
      </c>
      <c r="C1608">
        <v>3.5950000000000002</v>
      </c>
      <c r="D1608">
        <f>WEEKDAY(A1608,14)</f>
        <v>6</v>
      </c>
      <c r="E1608">
        <f>VLOOKUP(D1608,L$2:M$8,2,FALSE)</f>
        <v>0.7</v>
      </c>
      <c r="F1608">
        <f t="shared" si="75"/>
        <v>4</v>
      </c>
      <c r="G1608">
        <f>IF(F1608&gt;F1607,G1607+B1608*E1608,B1608*E1608)</f>
        <v>2.0016249999999998</v>
      </c>
      <c r="H1608">
        <f t="shared" si="76"/>
        <v>0.75</v>
      </c>
      <c r="I1608">
        <f t="shared" si="77"/>
        <v>0</v>
      </c>
    </row>
    <row r="1609" spans="1:9">
      <c r="A1609" s="1">
        <v>41066</v>
      </c>
      <c r="B1609">
        <v>2.7069899999999998</v>
      </c>
      <c r="C1609">
        <v>3.5950000000000002</v>
      </c>
      <c r="D1609">
        <f>WEEKDAY(A1609,14)</f>
        <v>7</v>
      </c>
      <c r="E1609">
        <f>VLOOKUP(D1609,L$2:M$8,2,FALSE)</f>
        <v>0.25</v>
      </c>
      <c r="F1609">
        <f t="shared" si="75"/>
        <v>5</v>
      </c>
      <c r="G1609">
        <f>IF(F1609&gt;F1608,G1608+B1609*E1609,B1609*E1609)</f>
        <v>2.6783724999999996</v>
      </c>
      <c r="H1609">
        <f t="shared" si="76"/>
        <v>1</v>
      </c>
      <c r="I1609">
        <f t="shared" si="77"/>
        <v>0</v>
      </c>
    </row>
    <row r="1610" spans="1:9">
      <c r="A1610" s="1">
        <v>41067</v>
      </c>
      <c r="B1610">
        <v>2.6775799999999998</v>
      </c>
      <c r="C1610">
        <v>3.6349999999999998</v>
      </c>
      <c r="D1610">
        <f>WEEKDAY(A1610,14)</f>
        <v>1</v>
      </c>
      <c r="E1610">
        <f>VLOOKUP(D1610,L$2:M$8,2,FALSE)</f>
        <v>0</v>
      </c>
      <c r="F1610">
        <f t="shared" si="75"/>
        <v>1</v>
      </c>
      <c r="G1610">
        <f>IF(F1610&gt;F1609,G1609+B1610*E1610,B1610*E1610)</f>
        <v>0</v>
      </c>
      <c r="H1610">
        <f t="shared" si="76"/>
        <v>0</v>
      </c>
      <c r="I1610">
        <f t="shared" si="77"/>
        <v>2.6783724999999996</v>
      </c>
    </row>
    <row r="1611" spans="1:9">
      <c r="A1611" s="1">
        <v>41068</v>
      </c>
      <c r="B1611">
        <v>2.6791100000000001</v>
      </c>
      <c r="C1611">
        <v>3.6349999999999998</v>
      </c>
      <c r="D1611">
        <f>WEEKDAY(A1611,14)</f>
        <v>2</v>
      </c>
      <c r="E1611">
        <f>VLOOKUP(D1611,L$2:M$8,2,FALSE)</f>
        <v>0</v>
      </c>
      <c r="F1611">
        <f t="shared" si="75"/>
        <v>2</v>
      </c>
      <c r="G1611">
        <f>IF(F1611&gt;F1610,G1610+B1611*E1611,B1611*E1611)</f>
        <v>0</v>
      </c>
      <c r="H1611">
        <f t="shared" si="76"/>
        <v>0</v>
      </c>
      <c r="I1611">
        <f t="shared" si="77"/>
        <v>0</v>
      </c>
    </row>
    <row r="1612" spans="1:9">
      <c r="A1612" s="1">
        <v>41071</v>
      </c>
      <c r="B1612">
        <v>2.6398999999999999</v>
      </c>
      <c r="C1612">
        <v>3.6349999999999998</v>
      </c>
      <c r="D1612">
        <f>WEEKDAY(A1612,14)</f>
        <v>5</v>
      </c>
      <c r="E1612">
        <f>VLOOKUP(D1612,L$2:M$8,2,FALSE)</f>
        <v>0.05</v>
      </c>
      <c r="F1612">
        <f t="shared" si="75"/>
        <v>3</v>
      </c>
      <c r="G1612">
        <f>IF(F1612&gt;F1611,G1611+B1612*E1612,B1612*E1612)</f>
        <v>0.131995</v>
      </c>
      <c r="H1612">
        <f t="shared" si="76"/>
        <v>0.05</v>
      </c>
      <c r="I1612">
        <f t="shared" si="77"/>
        <v>0</v>
      </c>
    </row>
    <row r="1613" spans="1:9">
      <c r="A1613" s="1">
        <v>41072</v>
      </c>
      <c r="B1613">
        <v>2.6959599999999999</v>
      </c>
      <c r="C1613">
        <v>3.6349999999999998</v>
      </c>
      <c r="D1613">
        <f>WEEKDAY(A1613,14)</f>
        <v>6</v>
      </c>
      <c r="E1613">
        <f>VLOOKUP(D1613,L$2:M$8,2,FALSE)</f>
        <v>0.7</v>
      </c>
      <c r="F1613">
        <f t="shared" si="75"/>
        <v>4</v>
      </c>
      <c r="G1613">
        <f>IF(F1613&gt;F1612,G1612+B1613*E1613,B1613*E1613)</f>
        <v>2.0191669999999999</v>
      </c>
      <c r="H1613">
        <f t="shared" si="76"/>
        <v>0.75</v>
      </c>
      <c r="I1613">
        <f t="shared" si="77"/>
        <v>0</v>
      </c>
    </row>
    <row r="1614" spans="1:9">
      <c r="A1614" s="1">
        <v>41073</v>
      </c>
      <c r="B1614">
        <v>2.6525599999999998</v>
      </c>
      <c r="C1614">
        <v>3.6349999999999998</v>
      </c>
      <c r="D1614">
        <f>WEEKDAY(A1614,14)</f>
        <v>7</v>
      </c>
      <c r="E1614">
        <f>VLOOKUP(D1614,L$2:M$8,2,FALSE)</f>
        <v>0.25</v>
      </c>
      <c r="F1614">
        <f t="shared" si="75"/>
        <v>5</v>
      </c>
      <c r="G1614">
        <f>IF(F1614&gt;F1613,G1613+B1614*E1614,B1614*E1614)</f>
        <v>2.6823069999999998</v>
      </c>
      <c r="H1614">
        <f t="shared" si="76"/>
        <v>1</v>
      </c>
      <c r="I1614">
        <f t="shared" si="77"/>
        <v>0</v>
      </c>
    </row>
    <row r="1615" spans="1:9">
      <c r="A1615" s="1">
        <v>41074</v>
      </c>
      <c r="B1615">
        <v>2.6309399999999998</v>
      </c>
      <c r="C1615">
        <v>3.585</v>
      </c>
      <c r="D1615">
        <f>WEEKDAY(A1615,14)</f>
        <v>1</v>
      </c>
      <c r="E1615">
        <f>VLOOKUP(D1615,L$2:M$8,2,FALSE)</f>
        <v>0</v>
      </c>
      <c r="F1615">
        <f t="shared" si="75"/>
        <v>1</v>
      </c>
      <c r="G1615">
        <f>IF(F1615&gt;F1614,G1614+B1615*E1615,B1615*E1615)</f>
        <v>0</v>
      </c>
      <c r="H1615">
        <f t="shared" si="76"/>
        <v>0</v>
      </c>
      <c r="I1615">
        <f t="shared" si="77"/>
        <v>2.6823069999999998</v>
      </c>
    </row>
    <row r="1616" spans="1:9">
      <c r="A1616" s="1">
        <v>41075</v>
      </c>
      <c r="B1616">
        <v>2.61355</v>
      </c>
      <c r="C1616">
        <v>3.585</v>
      </c>
      <c r="D1616">
        <f>WEEKDAY(A1616,14)</f>
        <v>2</v>
      </c>
      <c r="E1616">
        <f>VLOOKUP(D1616,L$2:M$8,2,FALSE)</f>
        <v>0</v>
      </c>
      <c r="F1616">
        <f t="shared" si="75"/>
        <v>2</v>
      </c>
      <c r="G1616">
        <f>IF(F1616&gt;F1615,G1615+B1616*E1616,B1616*E1616)</f>
        <v>0</v>
      </c>
      <c r="H1616">
        <f t="shared" si="76"/>
        <v>0</v>
      </c>
      <c r="I1616">
        <f t="shared" si="77"/>
        <v>0</v>
      </c>
    </row>
    <row r="1617" spans="1:9">
      <c r="A1617" s="1">
        <v>41078</v>
      </c>
      <c r="B1617">
        <v>2.5951499999999998</v>
      </c>
      <c r="C1617">
        <v>3.585</v>
      </c>
      <c r="D1617">
        <f>WEEKDAY(A1617,14)</f>
        <v>5</v>
      </c>
      <c r="E1617">
        <f>VLOOKUP(D1617,L$2:M$8,2,FALSE)</f>
        <v>0.05</v>
      </c>
      <c r="F1617">
        <f t="shared" si="75"/>
        <v>3</v>
      </c>
      <c r="G1617">
        <f>IF(F1617&gt;F1616,G1616+B1617*E1617,B1617*E1617)</f>
        <v>0.1297575</v>
      </c>
      <c r="H1617">
        <f t="shared" si="76"/>
        <v>0.05</v>
      </c>
      <c r="I1617">
        <f t="shared" si="77"/>
        <v>0</v>
      </c>
    </row>
    <row r="1618" spans="1:9">
      <c r="A1618" s="1">
        <v>41079</v>
      </c>
      <c r="B1618">
        <v>2.5989</v>
      </c>
      <c r="C1618">
        <v>3.585</v>
      </c>
      <c r="D1618">
        <f>WEEKDAY(A1618,14)</f>
        <v>6</v>
      </c>
      <c r="E1618">
        <f>VLOOKUP(D1618,L$2:M$8,2,FALSE)</f>
        <v>0.7</v>
      </c>
      <c r="F1618">
        <f t="shared" si="75"/>
        <v>4</v>
      </c>
      <c r="G1618">
        <f>IF(F1618&gt;F1617,G1617+B1618*E1618,B1618*E1618)</f>
        <v>1.9489874999999999</v>
      </c>
      <c r="H1618">
        <f t="shared" si="76"/>
        <v>0.75</v>
      </c>
      <c r="I1618">
        <f t="shared" si="77"/>
        <v>0</v>
      </c>
    </row>
    <row r="1619" spans="1:9">
      <c r="A1619" s="1">
        <v>41080</v>
      </c>
      <c r="B1619">
        <v>2.6422099999999999</v>
      </c>
      <c r="C1619">
        <v>3.585</v>
      </c>
      <c r="D1619">
        <f>WEEKDAY(A1619,14)</f>
        <v>7</v>
      </c>
      <c r="E1619">
        <f>VLOOKUP(D1619,L$2:M$8,2,FALSE)</f>
        <v>0.25</v>
      </c>
      <c r="F1619">
        <f t="shared" si="75"/>
        <v>5</v>
      </c>
      <c r="G1619">
        <f>IF(F1619&gt;F1618,G1618+B1619*E1619,B1619*E1619)</f>
        <v>2.60954</v>
      </c>
      <c r="H1619">
        <f t="shared" si="76"/>
        <v>1</v>
      </c>
      <c r="I1619">
        <f t="shared" si="77"/>
        <v>0</v>
      </c>
    </row>
    <row r="1620" spans="1:9">
      <c r="A1620" s="1">
        <v>41081</v>
      </c>
      <c r="B1620">
        <v>2.6140500000000002</v>
      </c>
      <c r="C1620">
        <v>3.585</v>
      </c>
      <c r="D1620">
        <f>WEEKDAY(A1620,14)</f>
        <v>1</v>
      </c>
      <c r="E1620">
        <f>VLOOKUP(D1620,L$2:M$8,2,FALSE)</f>
        <v>0</v>
      </c>
      <c r="F1620">
        <f t="shared" si="75"/>
        <v>1</v>
      </c>
      <c r="G1620">
        <f>IF(F1620&gt;F1619,G1619+B1620*E1620,B1620*E1620)</f>
        <v>0</v>
      </c>
      <c r="H1620">
        <f t="shared" si="76"/>
        <v>0</v>
      </c>
      <c r="I1620">
        <f t="shared" si="77"/>
        <v>2.60954</v>
      </c>
    </row>
    <row r="1621" spans="1:9">
      <c r="A1621" s="1">
        <v>41082</v>
      </c>
      <c r="B1621">
        <v>2.6681900000000001</v>
      </c>
      <c r="C1621">
        <v>3.585</v>
      </c>
      <c r="D1621">
        <f>WEEKDAY(A1621,14)</f>
        <v>2</v>
      </c>
      <c r="E1621">
        <f>VLOOKUP(D1621,L$2:M$8,2,FALSE)</f>
        <v>0</v>
      </c>
      <c r="F1621">
        <f t="shared" si="75"/>
        <v>2</v>
      </c>
      <c r="G1621">
        <f>IF(F1621&gt;F1620,G1620+B1621*E1621,B1621*E1621)</f>
        <v>0</v>
      </c>
      <c r="H1621">
        <f t="shared" si="76"/>
        <v>0</v>
      </c>
      <c r="I1621">
        <f t="shared" si="77"/>
        <v>0</v>
      </c>
    </row>
    <row r="1622" spans="1:9">
      <c r="A1622" s="1">
        <v>41085</v>
      </c>
      <c r="B1622">
        <v>2.5785</v>
      </c>
      <c r="C1622">
        <v>3.585</v>
      </c>
      <c r="D1622">
        <f>WEEKDAY(A1622,14)</f>
        <v>5</v>
      </c>
      <c r="E1622">
        <f>VLOOKUP(D1622,L$2:M$8,2,FALSE)</f>
        <v>0.05</v>
      </c>
      <c r="F1622">
        <f t="shared" si="75"/>
        <v>3</v>
      </c>
      <c r="G1622">
        <f>IF(F1622&gt;F1621,G1621+B1622*E1622,B1622*E1622)</f>
        <v>0.12892500000000001</v>
      </c>
      <c r="H1622">
        <f t="shared" si="76"/>
        <v>0.05</v>
      </c>
      <c r="I1622">
        <f t="shared" si="77"/>
        <v>0</v>
      </c>
    </row>
    <row r="1623" spans="1:9">
      <c r="A1623" s="1">
        <v>41086</v>
      </c>
      <c r="B1623">
        <v>2.61639</v>
      </c>
      <c r="C1623">
        <v>3.585</v>
      </c>
      <c r="D1623">
        <f>WEEKDAY(A1623,14)</f>
        <v>6</v>
      </c>
      <c r="E1623">
        <f>VLOOKUP(D1623,L$2:M$8,2,FALSE)</f>
        <v>0.7</v>
      </c>
      <c r="F1623">
        <f t="shared" si="75"/>
        <v>4</v>
      </c>
      <c r="G1623">
        <f>IF(F1623&gt;F1622,G1622+B1623*E1623,B1623*E1623)</f>
        <v>1.9603979999999999</v>
      </c>
      <c r="H1623">
        <f t="shared" si="76"/>
        <v>0.75</v>
      </c>
      <c r="I1623">
        <f t="shared" si="77"/>
        <v>0</v>
      </c>
    </row>
    <row r="1624" spans="1:9">
      <c r="A1624" s="1">
        <v>41087</v>
      </c>
      <c r="B1624">
        <v>2.58867</v>
      </c>
      <c r="C1624">
        <v>3.585</v>
      </c>
      <c r="D1624">
        <f>WEEKDAY(A1624,14)</f>
        <v>7</v>
      </c>
      <c r="E1624">
        <f>VLOOKUP(D1624,L$2:M$8,2,FALSE)</f>
        <v>0.25</v>
      </c>
      <c r="F1624">
        <f t="shared" si="75"/>
        <v>5</v>
      </c>
      <c r="G1624">
        <f>IF(F1624&gt;F1623,G1623+B1624*E1624,B1624*E1624)</f>
        <v>2.6075654999999998</v>
      </c>
      <c r="H1624">
        <f t="shared" si="76"/>
        <v>1</v>
      </c>
      <c r="I1624">
        <f t="shared" si="77"/>
        <v>0</v>
      </c>
    </row>
    <row r="1625" spans="1:9">
      <c r="A1625" s="1">
        <v>41088</v>
      </c>
      <c r="B1625">
        <v>2.5509599999999999</v>
      </c>
      <c r="C1625">
        <v>3.57</v>
      </c>
      <c r="D1625">
        <f>WEEKDAY(A1625,14)</f>
        <v>1</v>
      </c>
      <c r="E1625">
        <f>VLOOKUP(D1625,L$2:M$8,2,FALSE)</f>
        <v>0</v>
      </c>
      <c r="F1625">
        <f t="shared" si="75"/>
        <v>1</v>
      </c>
      <c r="G1625">
        <f>IF(F1625&gt;F1624,G1624+B1625*E1625,B1625*E1625)</f>
        <v>0</v>
      </c>
      <c r="H1625">
        <f t="shared" si="76"/>
        <v>0</v>
      </c>
      <c r="I1625">
        <f t="shared" si="77"/>
        <v>2.6075654999999998</v>
      </c>
    </row>
    <row r="1626" spans="1:9">
      <c r="A1626" s="1">
        <v>41089</v>
      </c>
      <c r="B1626">
        <v>2.6237200000000001</v>
      </c>
      <c r="C1626">
        <v>3.57</v>
      </c>
      <c r="D1626">
        <f>WEEKDAY(A1626,14)</f>
        <v>2</v>
      </c>
      <c r="E1626">
        <f>VLOOKUP(D1626,L$2:M$8,2,FALSE)</f>
        <v>0</v>
      </c>
      <c r="F1626">
        <f t="shared" si="75"/>
        <v>2</v>
      </c>
      <c r="G1626">
        <f>IF(F1626&gt;F1625,G1625+B1626*E1626,B1626*E1626)</f>
        <v>0</v>
      </c>
      <c r="H1626">
        <f t="shared" si="76"/>
        <v>0</v>
      </c>
      <c r="I1626">
        <f t="shared" si="77"/>
        <v>0</v>
      </c>
    </row>
    <row r="1627" spans="1:9">
      <c r="A1627" s="1">
        <v>41092</v>
      </c>
      <c r="B1627">
        <v>2.5453199999999998</v>
      </c>
      <c r="C1627">
        <v>3.57</v>
      </c>
      <c r="D1627">
        <f>WEEKDAY(A1627,14)</f>
        <v>5</v>
      </c>
      <c r="E1627">
        <f>VLOOKUP(D1627,L$2:M$8,2,FALSE)</f>
        <v>0.05</v>
      </c>
      <c r="F1627">
        <f t="shared" si="75"/>
        <v>3</v>
      </c>
      <c r="G1627">
        <f>IF(F1627&gt;F1626,G1626+B1627*E1627,B1627*E1627)</f>
        <v>0.12726599999999999</v>
      </c>
      <c r="H1627">
        <f t="shared" si="76"/>
        <v>0.05</v>
      </c>
      <c r="I1627">
        <f t="shared" si="77"/>
        <v>0</v>
      </c>
    </row>
    <row r="1628" spans="1:9">
      <c r="A1628" s="1">
        <v>41093</v>
      </c>
      <c r="B1628">
        <v>2.5832799999999998</v>
      </c>
      <c r="C1628">
        <v>3.57</v>
      </c>
      <c r="D1628">
        <f>WEEKDAY(A1628,14)</f>
        <v>6</v>
      </c>
      <c r="E1628">
        <f>VLOOKUP(D1628,L$2:M$8,2,FALSE)</f>
        <v>0.7</v>
      </c>
      <c r="F1628">
        <f t="shared" si="75"/>
        <v>4</v>
      </c>
      <c r="G1628">
        <f>IF(F1628&gt;F1627,G1627+B1628*E1628,B1628*E1628)</f>
        <v>1.9355619999999996</v>
      </c>
      <c r="H1628">
        <f t="shared" si="76"/>
        <v>0.75</v>
      </c>
      <c r="I1628">
        <f t="shared" si="77"/>
        <v>0</v>
      </c>
    </row>
    <row r="1629" spans="1:9">
      <c r="A1629" s="1">
        <v>41095</v>
      </c>
      <c r="B1629">
        <v>2.5563799999999999</v>
      </c>
      <c r="C1629">
        <v>3.4849999999999999</v>
      </c>
      <c r="D1629">
        <f>WEEKDAY(A1629,14)</f>
        <v>1</v>
      </c>
      <c r="E1629">
        <f>VLOOKUP(D1629,L$2:M$8,2,FALSE)</f>
        <v>0</v>
      </c>
      <c r="F1629">
        <f t="shared" si="75"/>
        <v>1</v>
      </c>
      <c r="G1629">
        <f>IF(F1629&gt;F1628,G1628+B1629*E1629,B1629*E1629)</f>
        <v>0</v>
      </c>
      <c r="H1629">
        <f t="shared" si="76"/>
        <v>0</v>
      </c>
      <c r="I1629">
        <f t="shared" si="77"/>
        <v>2.5807493333333329</v>
      </c>
    </row>
    <row r="1630" spans="1:9">
      <c r="A1630" s="1">
        <v>41096</v>
      </c>
      <c r="B1630">
        <v>2.4766499999999998</v>
      </c>
      <c r="C1630">
        <v>3.4849999999999999</v>
      </c>
      <c r="D1630">
        <f>WEEKDAY(A1630,14)</f>
        <v>2</v>
      </c>
      <c r="E1630">
        <f>VLOOKUP(D1630,L$2:M$8,2,FALSE)</f>
        <v>0</v>
      </c>
      <c r="F1630">
        <f t="shared" si="75"/>
        <v>2</v>
      </c>
      <c r="G1630">
        <f>IF(F1630&gt;F1629,G1629+B1630*E1630,B1630*E1630)</f>
        <v>0</v>
      </c>
      <c r="H1630">
        <f t="shared" si="76"/>
        <v>0</v>
      </c>
      <c r="I1630">
        <f t="shared" si="77"/>
        <v>0</v>
      </c>
    </row>
    <row r="1631" spans="1:9">
      <c r="A1631" s="1">
        <v>41099</v>
      </c>
      <c r="B1631">
        <v>2.4491999999999998</v>
      </c>
      <c r="C1631">
        <v>3.4849999999999999</v>
      </c>
      <c r="D1631">
        <f>WEEKDAY(A1631,14)</f>
        <v>5</v>
      </c>
      <c r="E1631">
        <f>VLOOKUP(D1631,L$2:M$8,2,FALSE)</f>
        <v>0.05</v>
      </c>
      <c r="F1631">
        <f t="shared" si="75"/>
        <v>3</v>
      </c>
      <c r="G1631">
        <f>IF(F1631&gt;F1630,G1630+B1631*E1631,B1631*E1631)</f>
        <v>0.12246</v>
      </c>
      <c r="H1631">
        <f t="shared" si="76"/>
        <v>0.05</v>
      </c>
      <c r="I1631">
        <f t="shared" si="77"/>
        <v>0</v>
      </c>
    </row>
    <row r="1632" spans="1:9">
      <c r="A1632" s="1">
        <v>41100</v>
      </c>
      <c r="B1632">
        <v>2.4230299999999998</v>
      </c>
      <c r="C1632">
        <v>3.4849999999999999</v>
      </c>
      <c r="D1632">
        <f>WEEKDAY(A1632,14)</f>
        <v>6</v>
      </c>
      <c r="E1632">
        <f>VLOOKUP(D1632,L$2:M$8,2,FALSE)</f>
        <v>0.7</v>
      </c>
      <c r="F1632">
        <f t="shared" si="75"/>
        <v>4</v>
      </c>
      <c r="G1632">
        <f>IF(F1632&gt;F1631,G1631+B1632*E1632,B1632*E1632)</f>
        <v>1.8185809999999998</v>
      </c>
      <c r="H1632">
        <f t="shared" si="76"/>
        <v>0.75</v>
      </c>
      <c r="I1632">
        <f t="shared" si="77"/>
        <v>0</v>
      </c>
    </row>
    <row r="1633" spans="1:9">
      <c r="A1633" s="1">
        <v>41101</v>
      </c>
      <c r="B1633">
        <v>2.4116200000000001</v>
      </c>
      <c r="C1633">
        <v>3.4849999999999999</v>
      </c>
      <c r="D1633">
        <f>WEEKDAY(A1633,14)</f>
        <v>7</v>
      </c>
      <c r="E1633">
        <f>VLOOKUP(D1633,L$2:M$8,2,FALSE)</f>
        <v>0.25</v>
      </c>
      <c r="F1633">
        <f t="shared" si="75"/>
        <v>5</v>
      </c>
      <c r="G1633">
        <f>IF(F1633&gt;F1632,G1632+B1633*E1633,B1633*E1633)</f>
        <v>2.4214859999999998</v>
      </c>
      <c r="H1633">
        <f t="shared" si="76"/>
        <v>1</v>
      </c>
      <c r="I1633">
        <f t="shared" si="77"/>
        <v>0</v>
      </c>
    </row>
    <row r="1634" spans="1:9">
      <c r="A1634" s="1">
        <v>41102</v>
      </c>
      <c r="B1634">
        <v>2.4034300000000002</v>
      </c>
      <c r="C1634">
        <v>3.4550000000000001</v>
      </c>
      <c r="D1634">
        <f>WEEKDAY(A1634,14)</f>
        <v>1</v>
      </c>
      <c r="E1634">
        <f>VLOOKUP(D1634,L$2:M$8,2,FALSE)</f>
        <v>0</v>
      </c>
      <c r="F1634">
        <f t="shared" si="75"/>
        <v>1</v>
      </c>
      <c r="G1634">
        <f>IF(F1634&gt;F1633,G1633+B1634*E1634,B1634*E1634)</f>
        <v>0</v>
      </c>
      <c r="H1634">
        <f t="shared" si="76"/>
        <v>0</v>
      </c>
      <c r="I1634">
        <f t="shared" si="77"/>
        <v>2.4214859999999998</v>
      </c>
    </row>
    <row r="1635" spans="1:9">
      <c r="A1635" s="1">
        <v>41103</v>
      </c>
      <c r="B1635">
        <v>2.4584999999999999</v>
      </c>
      <c r="C1635">
        <v>3.4550000000000001</v>
      </c>
      <c r="D1635">
        <f>WEEKDAY(A1635,14)</f>
        <v>2</v>
      </c>
      <c r="E1635">
        <f>VLOOKUP(D1635,L$2:M$8,2,FALSE)</f>
        <v>0</v>
      </c>
      <c r="F1635">
        <f t="shared" si="75"/>
        <v>2</v>
      </c>
      <c r="G1635">
        <f>IF(F1635&gt;F1634,G1634+B1635*E1635,B1635*E1635)</f>
        <v>0</v>
      </c>
      <c r="H1635">
        <f t="shared" si="76"/>
        <v>0</v>
      </c>
      <c r="I1635">
        <f t="shared" si="77"/>
        <v>0</v>
      </c>
    </row>
    <row r="1636" spans="1:9">
      <c r="A1636" s="1">
        <v>41106</v>
      </c>
      <c r="B1636">
        <v>2.3968400000000001</v>
      </c>
      <c r="C1636">
        <v>3.4550000000000001</v>
      </c>
      <c r="D1636">
        <f>WEEKDAY(A1636,14)</f>
        <v>5</v>
      </c>
      <c r="E1636">
        <f>VLOOKUP(D1636,L$2:M$8,2,FALSE)</f>
        <v>0.05</v>
      </c>
      <c r="F1636">
        <f t="shared" si="75"/>
        <v>3</v>
      </c>
      <c r="G1636">
        <f>IF(F1636&gt;F1635,G1635+B1636*E1636,B1636*E1636)</f>
        <v>0.119842</v>
      </c>
      <c r="H1636">
        <f t="shared" si="76"/>
        <v>0.05</v>
      </c>
      <c r="I1636">
        <f t="shared" si="77"/>
        <v>0</v>
      </c>
    </row>
    <row r="1637" spans="1:9">
      <c r="A1637" s="1">
        <v>41107</v>
      </c>
      <c r="B1637">
        <v>2.4361000000000002</v>
      </c>
      <c r="C1637">
        <v>3.4550000000000001</v>
      </c>
      <c r="D1637">
        <f>WEEKDAY(A1637,14)</f>
        <v>6</v>
      </c>
      <c r="E1637">
        <f>VLOOKUP(D1637,L$2:M$8,2,FALSE)</f>
        <v>0.7</v>
      </c>
      <c r="F1637">
        <f t="shared" si="75"/>
        <v>4</v>
      </c>
      <c r="G1637">
        <f>IF(F1637&gt;F1636,G1636+B1637*E1637,B1637*E1637)</f>
        <v>1.8251120000000001</v>
      </c>
      <c r="H1637">
        <f t="shared" si="76"/>
        <v>0.75</v>
      </c>
      <c r="I1637">
        <f t="shared" si="77"/>
        <v>0</v>
      </c>
    </row>
    <row r="1638" spans="1:9">
      <c r="A1638" s="1">
        <v>41108</v>
      </c>
      <c r="B1638">
        <v>2.3758499999999998</v>
      </c>
      <c r="C1638">
        <v>3.4550000000000001</v>
      </c>
      <c r="D1638">
        <f>WEEKDAY(A1638,14)</f>
        <v>7</v>
      </c>
      <c r="E1638">
        <f>VLOOKUP(D1638,L$2:M$8,2,FALSE)</f>
        <v>0.25</v>
      </c>
      <c r="F1638">
        <f t="shared" si="75"/>
        <v>5</v>
      </c>
      <c r="G1638">
        <f>IF(F1638&gt;F1637,G1637+B1638*E1638,B1638*E1638)</f>
        <v>2.4190744999999998</v>
      </c>
      <c r="H1638">
        <f t="shared" si="76"/>
        <v>1</v>
      </c>
      <c r="I1638">
        <f t="shared" si="77"/>
        <v>0</v>
      </c>
    </row>
    <row r="1639" spans="1:9">
      <c r="A1639" s="1">
        <v>41109</v>
      </c>
      <c r="B1639">
        <v>2.3931200000000001</v>
      </c>
      <c r="C1639">
        <v>3.415</v>
      </c>
      <c r="D1639">
        <f>WEEKDAY(A1639,14)</f>
        <v>1</v>
      </c>
      <c r="E1639">
        <f>VLOOKUP(D1639,L$2:M$8,2,FALSE)</f>
        <v>0</v>
      </c>
      <c r="F1639">
        <f t="shared" si="75"/>
        <v>1</v>
      </c>
      <c r="G1639">
        <f>IF(F1639&gt;F1638,G1638+B1639*E1639,B1639*E1639)</f>
        <v>0</v>
      </c>
      <c r="H1639">
        <f t="shared" si="76"/>
        <v>0</v>
      </c>
      <c r="I1639">
        <f t="shared" si="77"/>
        <v>2.4190744999999998</v>
      </c>
    </row>
    <row r="1640" spans="1:9">
      <c r="A1640" s="1">
        <v>41110</v>
      </c>
      <c r="B1640">
        <v>2.3249599999999999</v>
      </c>
      <c r="C1640">
        <v>3.415</v>
      </c>
      <c r="D1640">
        <f>WEEKDAY(A1640,14)</f>
        <v>2</v>
      </c>
      <c r="E1640">
        <f>VLOOKUP(D1640,L$2:M$8,2,FALSE)</f>
        <v>0</v>
      </c>
      <c r="F1640">
        <f t="shared" si="75"/>
        <v>2</v>
      </c>
      <c r="G1640">
        <f>IF(F1640&gt;F1639,G1639+B1640*E1640,B1640*E1640)</f>
        <v>0</v>
      </c>
      <c r="H1640">
        <f t="shared" si="76"/>
        <v>0</v>
      </c>
      <c r="I1640">
        <f t="shared" si="77"/>
        <v>0</v>
      </c>
    </row>
    <row r="1641" spans="1:9">
      <c r="A1641" s="1">
        <v>41113</v>
      </c>
      <c r="B1641">
        <v>2.2772299999999999</v>
      </c>
      <c r="C1641">
        <v>3.415</v>
      </c>
      <c r="D1641">
        <f>WEEKDAY(A1641,14)</f>
        <v>5</v>
      </c>
      <c r="E1641">
        <f>VLOOKUP(D1641,L$2:M$8,2,FALSE)</f>
        <v>0.05</v>
      </c>
      <c r="F1641">
        <f t="shared" si="75"/>
        <v>3</v>
      </c>
      <c r="G1641">
        <f>IF(F1641&gt;F1640,G1640+B1641*E1641,B1641*E1641)</f>
        <v>0.1138615</v>
      </c>
      <c r="H1641">
        <f t="shared" si="76"/>
        <v>0.05</v>
      </c>
      <c r="I1641">
        <f t="shared" si="77"/>
        <v>0</v>
      </c>
    </row>
    <row r="1642" spans="1:9">
      <c r="A1642" s="1">
        <v>41114</v>
      </c>
      <c r="B1642">
        <v>2.2471800000000002</v>
      </c>
      <c r="C1642">
        <v>3.415</v>
      </c>
      <c r="D1642">
        <f>WEEKDAY(A1642,14)</f>
        <v>6</v>
      </c>
      <c r="E1642">
        <f>VLOOKUP(D1642,L$2:M$8,2,FALSE)</f>
        <v>0.7</v>
      </c>
      <c r="F1642">
        <f t="shared" si="75"/>
        <v>4</v>
      </c>
      <c r="G1642">
        <f>IF(F1642&gt;F1641,G1641+B1642*E1642,B1642*E1642)</f>
        <v>1.6868875000000001</v>
      </c>
      <c r="H1642">
        <f t="shared" si="76"/>
        <v>0.75</v>
      </c>
      <c r="I1642">
        <f t="shared" si="77"/>
        <v>0</v>
      </c>
    </row>
    <row r="1643" spans="1:9">
      <c r="A1643" s="1">
        <v>41115</v>
      </c>
      <c r="B1643">
        <v>2.2633700000000001</v>
      </c>
      <c r="C1643">
        <v>3.415</v>
      </c>
      <c r="D1643">
        <f>WEEKDAY(A1643,14)</f>
        <v>7</v>
      </c>
      <c r="E1643">
        <f>VLOOKUP(D1643,L$2:M$8,2,FALSE)</f>
        <v>0.25</v>
      </c>
      <c r="F1643">
        <f t="shared" si="75"/>
        <v>5</v>
      </c>
      <c r="G1643">
        <f>IF(F1643&gt;F1642,G1642+B1643*E1643,B1643*E1643)</f>
        <v>2.2527300000000001</v>
      </c>
      <c r="H1643">
        <f t="shared" si="76"/>
        <v>1</v>
      </c>
      <c r="I1643">
        <f t="shared" si="77"/>
        <v>0</v>
      </c>
    </row>
    <row r="1644" spans="1:9">
      <c r="A1644" s="1">
        <v>41116</v>
      </c>
      <c r="B1644">
        <v>2.2877900000000002</v>
      </c>
      <c r="C1644">
        <v>3.4750000000000001</v>
      </c>
      <c r="D1644">
        <f>WEEKDAY(A1644,14)</f>
        <v>1</v>
      </c>
      <c r="E1644">
        <f>VLOOKUP(D1644,L$2:M$8,2,FALSE)</f>
        <v>0</v>
      </c>
      <c r="F1644">
        <f t="shared" si="75"/>
        <v>1</v>
      </c>
      <c r="G1644">
        <f>IF(F1644&gt;F1643,G1643+B1644*E1644,B1644*E1644)</f>
        <v>0</v>
      </c>
      <c r="H1644">
        <f t="shared" si="76"/>
        <v>0</v>
      </c>
      <c r="I1644">
        <f t="shared" si="77"/>
        <v>2.2527300000000001</v>
      </c>
    </row>
    <row r="1645" spans="1:9">
      <c r="A1645" s="1">
        <v>41117</v>
      </c>
      <c r="B1645">
        <v>2.46854</v>
      </c>
      <c r="C1645">
        <v>3.4750000000000001</v>
      </c>
      <c r="D1645">
        <f>WEEKDAY(A1645,14)</f>
        <v>2</v>
      </c>
      <c r="E1645">
        <f>VLOOKUP(D1645,L$2:M$8,2,FALSE)</f>
        <v>0</v>
      </c>
      <c r="F1645">
        <f t="shared" si="75"/>
        <v>2</v>
      </c>
      <c r="G1645">
        <f>IF(F1645&gt;F1644,G1644+B1645*E1645,B1645*E1645)</f>
        <v>0</v>
      </c>
      <c r="H1645">
        <f t="shared" si="76"/>
        <v>0</v>
      </c>
      <c r="I1645">
        <f t="shared" si="77"/>
        <v>0</v>
      </c>
    </row>
    <row r="1646" spans="1:9">
      <c r="A1646" s="1">
        <v>41120</v>
      </c>
      <c r="B1646">
        <v>2.3365100000000001</v>
      </c>
      <c r="C1646">
        <v>3.4750000000000001</v>
      </c>
      <c r="D1646">
        <f>WEEKDAY(A1646,14)</f>
        <v>5</v>
      </c>
      <c r="E1646">
        <f>VLOOKUP(D1646,L$2:M$8,2,FALSE)</f>
        <v>0.05</v>
      </c>
      <c r="F1646">
        <f t="shared" si="75"/>
        <v>3</v>
      </c>
      <c r="G1646">
        <f>IF(F1646&gt;F1645,G1645+B1646*E1646,B1646*E1646)</f>
        <v>0.11682550000000001</v>
      </c>
      <c r="H1646">
        <f t="shared" si="76"/>
        <v>0.05</v>
      </c>
      <c r="I1646">
        <f t="shared" si="77"/>
        <v>0</v>
      </c>
    </row>
    <row r="1647" spans="1:9">
      <c r="A1647" s="1">
        <v>41121</v>
      </c>
      <c r="B1647">
        <v>2.3146</v>
      </c>
      <c r="C1647">
        <v>3.4750000000000001</v>
      </c>
      <c r="D1647">
        <f>WEEKDAY(A1647,14)</f>
        <v>6</v>
      </c>
      <c r="E1647">
        <f>VLOOKUP(D1647,L$2:M$8,2,FALSE)</f>
        <v>0.7</v>
      </c>
      <c r="F1647">
        <f t="shared" si="75"/>
        <v>4</v>
      </c>
      <c r="G1647">
        <f>IF(F1647&gt;F1646,G1646+B1647*E1647,B1647*E1647)</f>
        <v>1.7370455</v>
      </c>
      <c r="H1647">
        <f t="shared" si="76"/>
        <v>0.75</v>
      </c>
      <c r="I1647">
        <f t="shared" si="77"/>
        <v>0</v>
      </c>
    </row>
    <row r="1648" spans="1:9">
      <c r="A1648" s="1">
        <v>41122</v>
      </c>
      <c r="B1648">
        <v>2.3658800000000002</v>
      </c>
      <c r="C1648">
        <v>3.4750000000000001</v>
      </c>
      <c r="D1648">
        <f>WEEKDAY(A1648,14)</f>
        <v>7</v>
      </c>
      <c r="E1648">
        <f>VLOOKUP(D1648,L$2:M$8,2,FALSE)</f>
        <v>0.25</v>
      </c>
      <c r="F1648">
        <f t="shared" si="75"/>
        <v>5</v>
      </c>
      <c r="G1648">
        <f>IF(F1648&gt;F1647,G1647+B1648*E1648,B1648*E1648)</f>
        <v>2.3285155</v>
      </c>
      <c r="H1648">
        <f t="shared" si="76"/>
        <v>1</v>
      </c>
      <c r="I1648">
        <f t="shared" si="77"/>
        <v>0</v>
      </c>
    </row>
    <row r="1649" spans="1:9">
      <c r="A1649" s="1">
        <v>41123</v>
      </c>
      <c r="B1649">
        <v>2.33657</v>
      </c>
      <c r="C1649">
        <v>3.49</v>
      </c>
      <c r="D1649">
        <f>WEEKDAY(A1649,14)</f>
        <v>1</v>
      </c>
      <c r="E1649">
        <f>VLOOKUP(D1649,L$2:M$8,2,FALSE)</f>
        <v>0</v>
      </c>
      <c r="F1649">
        <f t="shared" si="75"/>
        <v>1</v>
      </c>
      <c r="G1649">
        <f>IF(F1649&gt;F1648,G1648+B1649*E1649,B1649*E1649)</f>
        <v>0</v>
      </c>
      <c r="H1649">
        <f t="shared" si="76"/>
        <v>0</v>
      </c>
      <c r="I1649">
        <f t="shared" si="77"/>
        <v>2.3285155</v>
      </c>
    </row>
    <row r="1650" spans="1:9">
      <c r="A1650" s="1">
        <v>41124</v>
      </c>
      <c r="B1650">
        <v>2.4267500000000002</v>
      </c>
      <c r="C1650">
        <v>3.49</v>
      </c>
      <c r="D1650">
        <f>WEEKDAY(A1650,14)</f>
        <v>2</v>
      </c>
      <c r="E1650">
        <f>VLOOKUP(D1650,L$2:M$8,2,FALSE)</f>
        <v>0</v>
      </c>
      <c r="F1650">
        <f t="shared" si="75"/>
        <v>2</v>
      </c>
      <c r="G1650">
        <f>IF(F1650&gt;F1649,G1649+B1650*E1650,B1650*E1650)</f>
        <v>0</v>
      </c>
      <c r="H1650">
        <f t="shared" si="76"/>
        <v>0</v>
      </c>
      <c r="I1650">
        <f t="shared" si="77"/>
        <v>0</v>
      </c>
    </row>
    <row r="1651" spans="1:9">
      <c r="A1651" s="1">
        <v>41127</v>
      </c>
      <c r="B1651">
        <v>2.4102600000000001</v>
      </c>
      <c r="C1651">
        <v>3.49</v>
      </c>
      <c r="D1651">
        <f>WEEKDAY(A1651,14)</f>
        <v>5</v>
      </c>
      <c r="E1651">
        <f>VLOOKUP(D1651,L$2:M$8,2,FALSE)</f>
        <v>0.05</v>
      </c>
      <c r="F1651">
        <f t="shared" si="75"/>
        <v>3</v>
      </c>
      <c r="G1651">
        <f>IF(F1651&gt;F1650,G1650+B1651*E1651,B1651*E1651)</f>
        <v>0.12051300000000001</v>
      </c>
      <c r="H1651">
        <f t="shared" si="76"/>
        <v>0.05</v>
      </c>
      <c r="I1651">
        <f t="shared" si="77"/>
        <v>0</v>
      </c>
    </row>
    <row r="1652" spans="1:9">
      <c r="A1652" s="1">
        <v>41128</v>
      </c>
      <c r="B1652">
        <v>2.4648300000000001</v>
      </c>
      <c r="C1652">
        <v>3.49</v>
      </c>
      <c r="D1652">
        <f>WEEKDAY(A1652,14)</f>
        <v>6</v>
      </c>
      <c r="E1652">
        <f>VLOOKUP(D1652,L$2:M$8,2,FALSE)</f>
        <v>0.7</v>
      </c>
      <c r="F1652">
        <f t="shared" si="75"/>
        <v>4</v>
      </c>
      <c r="G1652">
        <f>IF(F1652&gt;F1651,G1651+B1652*E1652,B1652*E1652)</f>
        <v>1.8458940000000001</v>
      </c>
      <c r="H1652">
        <f t="shared" si="76"/>
        <v>0.75</v>
      </c>
      <c r="I1652">
        <f t="shared" si="77"/>
        <v>0</v>
      </c>
    </row>
    <row r="1653" spans="1:9">
      <c r="A1653" s="1">
        <v>41129</v>
      </c>
      <c r="B1653">
        <v>2.4538799999999998</v>
      </c>
      <c r="C1653">
        <v>3.49</v>
      </c>
      <c r="D1653">
        <f>WEEKDAY(A1653,14)</f>
        <v>7</v>
      </c>
      <c r="E1653">
        <f>VLOOKUP(D1653,L$2:M$8,2,FALSE)</f>
        <v>0.25</v>
      </c>
      <c r="F1653">
        <f t="shared" si="75"/>
        <v>5</v>
      </c>
      <c r="G1653">
        <f>IF(F1653&gt;F1652,G1652+B1653*E1653,B1653*E1653)</f>
        <v>2.4593639999999999</v>
      </c>
      <c r="H1653">
        <f t="shared" si="76"/>
        <v>1</v>
      </c>
      <c r="I1653">
        <f t="shared" si="77"/>
        <v>0</v>
      </c>
    </row>
    <row r="1654" spans="1:9">
      <c r="A1654" s="1">
        <v>41130</v>
      </c>
      <c r="B1654">
        <v>2.4571700000000001</v>
      </c>
      <c r="C1654">
        <v>3.52</v>
      </c>
      <c r="D1654">
        <f>WEEKDAY(A1654,14)</f>
        <v>1</v>
      </c>
      <c r="E1654">
        <f>VLOOKUP(D1654,L$2:M$8,2,FALSE)</f>
        <v>0</v>
      </c>
      <c r="F1654">
        <f t="shared" si="75"/>
        <v>1</v>
      </c>
      <c r="G1654">
        <f>IF(F1654&gt;F1653,G1653+B1654*E1654,B1654*E1654)</f>
        <v>0</v>
      </c>
      <c r="H1654">
        <f t="shared" si="76"/>
        <v>0</v>
      </c>
      <c r="I1654">
        <f t="shared" si="77"/>
        <v>2.4593639999999999</v>
      </c>
    </row>
    <row r="1655" spans="1:9">
      <c r="A1655" s="1">
        <v>41131</v>
      </c>
      <c r="B1655">
        <v>2.4373499999999999</v>
      </c>
      <c r="C1655">
        <v>3.52</v>
      </c>
      <c r="D1655">
        <f>WEEKDAY(A1655,14)</f>
        <v>2</v>
      </c>
      <c r="E1655">
        <f>VLOOKUP(D1655,L$2:M$8,2,FALSE)</f>
        <v>0</v>
      </c>
      <c r="F1655">
        <f t="shared" si="75"/>
        <v>2</v>
      </c>
      <c r="G1655">
        <f>IF(F1655&gt;F1654,G1654+B1655*E1655,B1655*E1655)</f>
        <v>0</v>
      </c>
      <c r="H1655">
        <f t="shared" si="76"/>
        <v>0</v>
      </c>
      <c r="I1655">
        <f t="shared" si="77"/>
        <v>0</v>
      </c>
    </row>
    <row r="1656" spans="1:9">
      <c r="A1656" s="1">
        <v>41134</v>
      </c>
      <c r="B1656">
        <v>2.43262</v>
      </c>
      <c r="C1656">
        <v>3.52</v>
      </c>
      <c r="D1656">
        <f>WEEKDAY(A1656,14)</f>
        <v>5</v>
      </c>
      <c r="E1656">
        <f>VLOOKUP(D1656,L$2:M$8,2,FALSE)</f>
        <v>0.05</v>
      </c>
      <c r="F1656">
        <f t="shared" si="75"/>
        <v>3</v>
      </c>
      <c r="G1656">
        <f>IF(F1656&gt;F1655,G1655+B1656*E1656,B1656*E1656)</f>
        <v>0.121631</v>
      </c>
      <c r="H1656">
        <f t="shared" si="76"/>
        <v>0.05</v>
      </c>
      <c r="I1656">
        <f t="shared" si="77"/>
        <v>0</v>
      </c>
    </row>
    <row r="1657" spans="1:9">
      <c r="A1657" s="1">
        <v>41135</v>
      </c>
      <c r="B1657">
        <v>2.5032100000000002</v>
      </c>
      <c r="C1657">
        <v>3.52</v>
      </c>
      <c r="D1657">
        <f>WEEKDAY(A1657,14)</f>
        <v>6</v>
      </c>
      <c r="E1657">
        <f>VLOOKUP(D1657,L$2:M$8,2,FALSE)</f>
        <v>0.7</v>
      </c>
      <c r="F1657">
        <f t="shared" si="75"/>
        <v>4</v>
      </c>
      <c r="G1657">
        <f>IF(F1657&gt;F1656,G1656+B1657*E1657,B1657*E1657)</f>
        <v>1.8738779999999999</v>
      </c>
      <c r="H1657">
        <f t="shared" si="76"/>
        <v>0.75</v>
      </c>
      <c r="I1657">
        <f t="shared" si="77"/>
        <v>0</v>
      </c>
    </row>
    <row r="1658" spans="1:9">
      <c r="A1658" s="1">
        <v>41136</v>
      </c>
      <c r="B1658">
        <v>2.6381299999999999</v>
      </c>
      <c r="C1658">
        <v>3.52</v>
      </c>
      <c r="D1658">
        <f>WEEKDAY(A1658,14)</f>
        <v>7</v>
      </c>
      <c r="E1658">
        <f>VLOOKUP(D1658,L$2:M$8,2,FALSE)</f>
        <v>0.25</v>
      </c>
      <c r="F1658">
        <f t="shared" si="75"/>
        <v>5</v>
      </c>
      <c r="G1658">
        <f>IF(F1658&gt;F1657,G1657+B1658*E1658,B1658*E1658)</f>
        <v>2.5334105</v>
      </c>
      <c r="H1658">
        <f t="shared" si="76"/>
        <v>1</v>
      </c>
      <c r="I1658">
        <f t="shared" si="77"/>
        <v>0</v>
      </c>
    </row>
    <row r="1659" spans="1:9">
      <c r="A1659" s="1">
        <v>41137</v>
      </c>
      <c r="B1659">
        <v>2.6701899999999998</v>
      </c>
      <c r="C1659">
        <v>3.585</v>
      </c>
      <c r="D1659">
        <f>WEEKDAY(A1659,14)</f>
        <v>1</v>
      </c>
      <c r="E1659">
        <f>VLOOKUP(D1659,L$2:M$8,2,FALSE)</f>
        <v>0</v>
      </c>
      <c r="F1659">
        <f t="shared" si="75"/>
        <v>1</v>
      </c>
      <c r="G1659">
        <f>IF(F1659&gt;F1658,G1658+B1659*E1659,B1659*E1659)</f>
        <v>0</v>
      </c>
      <c r="H1659">
        <f t="shared" si="76"/>
        <v>0</v>
      </c>
      <c r="I1659">
        <f t="shared" si="77"/>
        <v>2.5334105</v>
      </c>
    </row>
    <row r="1660" spans="1:9">
      <c r="A1660" s="1">
        <v>41138</v>
      </c>
      <c r="B1660">
        <v>2.6390400000000001</v>
      </c>
      <c r="C1660">
        <v>3.585</v>
      </c>
      <c r="D1660">
        <f>WEEKDAY(A1660,14)</f>
        <v>2</v>
      </c>
      <c r="E1660">
        <f>VLOOKUP(D1660,L$2:M$8,2,FALSE)</f>
        <v>0</v>
      </c>
      <c r="F1660">
        <f t="shared" si="75"/>
        <v>2</v>
      </c>
      <c r="G1660">
        <f>IF(F1660&gt;F1659,G1659+B1660*E1660,B1660*E1660)</f>
        <v>0</v>
      </c>
      <c r="H1660">
        <f t="shared" si="76"/>
        <v>0</v>
      </c>
      <c r="I1660">
        <f t="shared" si="77"/>
        <v>0</v>
      </c>
    </row>
    <row r="1661" spans="1:9">
      <c r="A1661" s="1">
        <v>41141</v>
      </c>
      <c r="B1661">
        <v>2.6186799999999999</v>
      </c>
      <c r="C1661">
        <v>3.585</v>
      </c>
      <c r="D1661">
        <f>WEEKDAY(A1661,14)</f>
        <v>5</v>
      </c>
      <c r="E1661">
        <f>VLOOKUP(D1661,L$2:M$8,2,FALSE)</f>
        <v>0.05</v>
      </c>
      <c r="F1661">
        <f t="shared" si="75"/>
        <v>3</v>
      </c>
      <c r="G1661">
        <f>IF(F1661&gt;F1660,G1660+B1661*E1661,B1661*E1661)</f>
        <v>0.13093399999999999</v>
      </c>
      <c r="H1661">
        <f t="shared" si="76"/>
        <v>0.05</v>
      </c>
      <c r="I1661">
        <f t="shared" si="77"/>
        <v>0</v>
      </c>
    </row>
    <row r="1662" spans="1:9">
      <c r="A1662" s="1">
        <v>41142</v>
      </c>
      <c r="B1662">
        <v>2.6258900000000001</v>
      </c>
      <c r="C1662">
        <v>3.585</v>
      </c>
      <c r="D1662">
        <f>WEEKDAY(A1662,14)</f>
        <v>6</v>
      </c>
      <c r="E1662">
        <f>VLOOKUP(D1662,L$2:M$8,2,FALSE)</f>
        <v>0.7</v>
      </c>
      <c r="F1662">
        <f t="shared" si="75"/>
        <v>4</v>
      </c>
      <c r="G1662">
        <f>IF(F1662&gt;F1661,G1661+B1662*E1662,B1662*E1662)</f>
        <v>1.9690569999999998</v>
      </c>
      <c r="H1662">
        <f t="shared" si="76"/>
        <v>0.75</v>
      </c>
      <c r="I1662">
        <f t="shared" si="77"/>
        <v>0</v>
      </c>
    </row>
    <row r="1663" spans="1:9">
      <c r="A1663" s="1">
        <v>41143</v>
      </c>
      <c r="B1663">
        <v>2.51207</v>
      </c>
      <c r="C1663">
        <v>3.585</v>
      </c>
      <c r="D1663">
        <f>WEEKDAY(A1663,14)</f>
        <v>7</v>
      </c>
      <c r="E1663">
        <f>VLOOKUP(D1663,L$2:M$8,2,FALSE)</f>
        <v>0.25</v>
      </c>
      <c r="F1663">
        <f t="shared" si="75"/>
        <v>5</v>
      </c>
      <c r="G1663">
        <f>IF(F1663&gt;F1662,G1662+B1663*E1663,B1663*E1663)</f>
        <v>2.5970744999999997</v>
      </c>
      <c r="H1663">
        <f t="shared" si="76"/>
        <v>1</v>
      </c>
      <c r="I1663">
        <f t="shared" si="77"/>
        <v>0</v>
      </c>
    </row>
    <row r="1664" spans="1:9">
      <c r="A1664" s="1">
        <v>41144</v>
      </c>
      <c r="B1664">
        <v>2.4447100000000002</v>
      </c>
      <c r="C1664">
        <v>3.49</v>
      </c>
      <c r="D1664">
        <f>WEEKDAY(A1664,14)</f>
        <v>1</v>
      </c>
      <c r="E1664">
        <f>VLOOKUP(D1664,L$2:M$8,2,FALSE)</f>
        <v>0</v>
      </c>
      <c r="F1664">
        <f t="shared" si="75"/>
        <v>1</v>
      </c>
      <c r="G1664">
        <f>IF(F1664&gt;F1663,G1663+B1664*E1664,B1664*E1664)</f>
        <v>0</v>
      </c>
      <c r="H1664">
        <f t="shared" si="76"/>
        <v>0</v>
      </c>
      <c r="I1664">
        <f t="shared" si="77"/>
        <v>2.5970744999999997</v>
      </c>
    </row>
    <row r="1665" spans="1:9">
      <c r="A1665" s="1">
        <v>41145</v>
      </c>
      <c r="B1665">
        <v>2.4760900000000001</v>
      </c>
      <c r="C1665">
        <v>3.49</v>
      </c>
      <c r="D1665">
        <f>WEEKDAY(A1665,14)</f>
        <v>2</v>
      </c>
      <c r="E1665">
        <f>VLOOKUP(D1665,L$2:M$8,2,FALSE)</f>
        <v>0</v>
      </c>
      <c r="F1665">
        <f t="shared" si="75"/>
        <v>2</v>
      </c>
      <c r="G1665">
        <f>IF(F1665&gt;F1664,G1664+B1665*E1665,B1665*E1665)</f>
        <v>0</v>
      </c>
      <c r="H1665">
        <f t="shared" si="76"/>
        <v>0</v>
      </c>
      <c r="I1665">
        <f t="shared" si="77"/>
        <v>0</v>
      </c>
    </row>
    <row r="1666" spans="1:9">
      <c r="A1666" s="1">
        <v>41148</v>
      </c>
      <c r="B1666">
        <v>2.44075</v>
      </c>
      <c r="C1666">
        <v>3.49</v>
      </c>
      <c r="D1666">
        <f>WEEKDAY(A1666,14)</f>
        <v>5</v>
      </c>
      <c r="E1666">
        <f>VLOOKUP(D1666,L$2:M$8,2,FALSE)</f>
        <v>0.05</v>
      </c>
      <c r="F1666">
        <f t="shared" si="75"/>
        <v>3</v>
      </c>
      <c r="G1666">
        <f>IF(F1666&gt;F1665,G1665+B1666*E1666,B1666*E1666)</f>
        <v>0.12203750000000001</v>
      </c>
      <c r="H1666">
        <f t="shared" si="76"/>
        <v>0.05</v>
      </c>
      <c r="I1666">
        <f t="shared" si="77"/>
        <v>0</v>
      </c>
    </row>
    <row r="1667" spans="1:9">
      <c r="A1667" s="1">
        <v>41149</v>
      </c>
      <c r="B1667">
        <v>2.4110399999999998</v>
      </c>
      <c r="C1667">
        <v>3.49</v>
      </c>
      <c r="D1667">
        <f>WEEKDAY(A1667,14)</f>
        <v>6</v>
      </c>
      <c r="E1667">
        <f>VLOOKUP(D1667,L$2:M$8,2,FALSE)</f>
        <v>0.7</v>
      </c>
      <c r="F1667">
        <f t="shared" ref="F1667:F1730" si="78">IF(AND(D1667&gt;D1666,F1666&lt;6),F1666+1,1)</f>
        <v>4</v>
      </c>
      <c r="G1667">
        <f>IF(F1667&gt;F1666,G1666+B1667*E1667,B1667*E1667)</f>
        <v>1.8097654999999999</v>
      </c>
      <c r="H1667">
        <f t="shared" si="76"/>
        <v>0.75</v>
      </c>
      <c r="I1667">
        <f t="shared" si="77"/>
        <v>0</v>
      </c>
    </row>
    <row r="1668" spans="1:9">
      <c r="A1668" s="1">
        <v>41150</v>
      </c>
      <c r="B1668">
        <v>2.4687800000000002</v>
      </c>
      <c r="C1668">
        <v>3.49</v>
      </c>
      <c r="D1668">
        <f>WEEKDAY(A1668,14)</f>
        <v>7</v>
      </c>
      <c r="E1668">
        <f>VLOOKUP(D1668,L$2:M$8,2,FALSE)</f>
        <v>0.25</v>
      </c>
      <c r="F1668">
        <f t="shared" si="78"/>
        <v>5</v>
      </c>
      <c r="G1668">
        <f>IF(F1668&gt;F1667,G1667+B1668*E1668,B1668*E1668)</f>
        <v>2.4269604999999999</v>
      </c>
      <c r="H1668">
        <f t="shared" ref="H1668:H1731" si="79">IF(AND(F1668&lt;6,F1668&gt;F1667),E1668+H1667,E1668)</f>
        <v>1</v>
      </c>
      <c r="I1668">
        <f t="shared" ref="I1668:I1731" si="80">IF(F1667&gt;F1668,G1667/H1667,0)</f>
        <v>0</v>
      </c>
    </row>
    <row r="1669" spans="1:9">
      <c r="A1669" s="1">
        <v>41151</v>
      </c>
      <c r="B1669">
        <v>2.43371</v>
      </c>
      <c r="C1669">
        <v>3.4750000000000001</v>
      </c>
      <c r="D1669">
        <f>WEEKDAY(A1669,14)</f>
        <v>1</v>
      </c>
      <c r="E1669">
        <f>VLOOKUP(D1669,L$2:M$8,2,FALSE)</f>
        <v>0</v>
      </c>
      <c r="F1669">
        <f t="shared" si="78"/>
        <v>1</v>
      </c>
      <c r="G1669">
        <f>IF(F1669&gt;F1668,G1668+B1669*E1669,B1669*E1669)</f>
        <v>0</v>
      </c>
      <c r="H1669">
        <f t="shared" si="79"/>
        <v>0</v>
      </c>
      <c r="I1669">
        <f t="shared" si="80"/>
        <v>2.4269604999999999</v>
      </c>
    </row>
    <row r="1670" spans="1:9">
      <c r="A1670" s="1">
        <v>41152</v>
      </c>
      <c r="B1670">
        <v>2.3689499999999999</v>
      </c>
      <c r="C1670">
        <v>3.4750000000000001</v>
      </c>
      <c r="D1670">
        <f>WEEKDAY(A1670,14)</f>
        <v>2</v>
      </c>
      <c r="E1670">
        <f>VLOOKUP(D1670,L$2:M$8,2,FALSE)</f>
        <v>0</v>
      </c>
      <c r="F1670">
        <f t="shared" si="78"/>
        <v>2</v>
      </c>
      <c r="G1670">
        <f>IF(F1670&gt;F1669,G1669+B1670*E1670,B1670*E1670)</f>
        <v>0</v>
      </c>
      <c r="H1670">
        <f t="shared" si="79"/>
        <v>0</v>
      </c>
      <c r="I1670">
        <f t="shared" si="80"/>
        <v>0</v>
      </c>
    </row>
    <row r="1671" spans="1:9">
      <c r="A1671" s="1">
        <v>41156</v>
      </c>
      <c r="B1671">
        <v>2.3841700000000001</v>
      </c>
      <c r="C1671">
        <v>3.4750000000000001</v>
      </c>
      <c r="D1671">
        <f>WEEKDAY(A1671,14)</f>
        <v>6</v>
      </c>
      <c r="E1671">
        <f>VLOOKUP(D1671,L$2:M$8,2,FALSE)</f>
        <v>0.7</v>
      </c>
      <c r="F1671">
        <f t="shared" si="78"/>
        <v>3</v>
      </c>
      <c r="G1671">
        <f>IF(F1671&gt;F1670,G1670+B1671*E1671,B1671*E1671)</f>
        <v>1.668919</v>
      </c>
      <c r="H1671">
        <f t="shared" si="79"/>
        <v>0.7</v>
      </c>
      <c r="I1671">
        <f t="shared" si="80"/>
        <v>0</v>
      </c>
    </row>
    <row r="1672" spans="1:9">
      <c r="A1672" s="1">
        <v>41157</v>
      </c>
      <c r="B1672">
        <v>2.3952800000000001</v>
      </c>
      <c r="C1672">
        <v>3.4750000000000001</v>
      </c>
      <c r="D1672">
        <f>WEEKDAY(A1672,14)</f>
        <v>7</v>
      </c>
      <c r="E1672">
        <f>VLOOKUP(D1672,L$2:M$8,2,FALSE)</f>
        <v>0.25</v>
      </c>
      <c r="F1672">
        <f t="shared" si="78"/>
        <v>4</v>
      </c>
      <c r="G1672">
        <f>IF(F1672&gt;F1671,G1671+B1672*E1672,B1672*E1672)</f>
        <v>2.2677390000000002</v>
      </c>
      <c r="H1672">
        <f t="shared" si="79"/>
        <v>0.95</v>
      </c>
      <c r="I1672">
        <f t="shared" si="80"/>
        <v>0</v>
      </c>
    </row>
    <row r="1673" spans="1:9">
      <c r="A1673" s="1">
        <v>41158</v>
      </c>
      <c r="B1673">
        <v>2.45607</v>
      </c>
      <c r="C1673">
        <v>3.45</v>
      </c>
      <c r="D1673">
        <f>WEEKDAY(A1673,14)</f>
        <v>1</v>
      </c>
      <c r="E1673">
        <f>VLOOKUP(D1673,L$2:M$8,2,FALSE)</f>
        <v>0</v>
      </c>
      <c r="F1673">
        <f t="shared" si="78"/>
        <v>1</v>
      </c>
      <c r="G1673">
        <f>IF(F1673&gt;F1672,G1672+B1673*E1673,B1673*E1673)</f>
        <v>0</v>
      </c>
      <c r="H1673">
        <f t="shared" si="79"/>
        <v>0</v>
      </c>
      <c r="I1673">
        <f t="shared" si="80"/>
        <v>2.3870936842105266</v>
      </c>
    </row>
    <row r="1674" spans="1:9">
      <c r="A1674" s="1">
        <v>41159</v>
      </c>
      <c r="B1674">
        <v>2.37384</v>
      </c>
      <c r="C1674">
        <v>3.45</v>
      </c>
      <c r="D1674">
        <f>WEEKDAY(A1674,14)</f>
        <v>2</v>
      </c>
      <c r="E1674">
        <f>VLOOKUP(D1674,L$2:M$8,2,FALSE)</f>
        <v>0</v>
      </c>
      <c r="F1674">
        <f t="shared" si="78"/>
        <v>2</v>
      </c>
      <c r="G1674">
        <f>IF(F1674&gt;F1673,G1673+B1674*E1674,B1674*E1674)</f>
        <v>0</v>
      </c>
      <c r="H1674">
        <f t="shared" si="79"/>
        <v>0</v>
      </c>
      <c r="I1674">
        <f t="shared" si="80"/>
        <v>0</v>
      </c>
    </row>
    <row r="1675" spans="1:9">
      <c r="A1675" s="1">
        <v>41162</v>
      </c>
      <c r="B1675">
        <v>2.37785</v>
      </c>
      <c r="C1675">
        <v>3.45</v>
      </c>
      <c r="D1675">
        <f>WEEKDAY(A1675,14)</f>
        <v>5</v>
      </c>
      <c r="E1675">
        <f>VLOOKUP(D1675,L$2:M$8,2,FALSE)</f>
        <v>0.05</v>
      </c>
      <c r="F1675">
        <f t="shared" si="78"/>
        <v>3</v>
      </c>
      <c r="G1675">
        <f>IF(F1675&gt;F1674,G1674+B1675*E1675,B1675*E1675)</f>
        <v>0.11889250000000001</v>
      </c>
      <c r="H1675">
        <f t="shared" si="79"/>
        <v>0.05</v>
      </c>
      <c r="I1675">
        <f t="shared" si="80"/>
        <v>0</v>
      </c>
    </row>
    <row r="1676" spans="1:9">
      <c r="A1676" s="1">
        <v>41163</v>
      </c>
      <c r="B1676">
        <v>2.39371</v>
      </c>
      <c r="C1676">
        <v>3.45</v>
      </c>
      <c r="D1676">
        <f>WEEKDAY(A1676,14)</f>
        <v>6</v>
      </c>
      <c r="E1676">
        <f>VLOOKUP(D1676,L$2:M$8,2,FALSE)</f>
        <v>0.7</v>
      </c>
      <c r="F1676">
        <f t="shared" si="78"/>
        <v>4</v>
      </c>
      <c r="G1676">
        <f>IF(F1676&gt;F1675,G1675+B1676*E1676,B1676*E1676)</f>
        <v>1.7944895000000001</v>
      </c>
      <c r="H1676">
        <f t="shared" si="79"/>
        <v>0.75</v>
      </c>
      <c r="I1676">
        <f t="shared" si="80"/>
        <v>0</v>
      </c>
    </row>
    <row r="1677" spans="1:9">
      <c r="A1677" s="1">
        <v>41164</v>
      </c>
      <c r="B1677">
        <v>2.4292199999999999</v>
      </c>
      <c r="C1677">
        <v>3.45</v>
      </c>
      <c r="D1677">
        <f>WEEKDAY(A1677,14)</f>
        <v>7</v>
      </c>
      <c r="E1677">
        <f>VLOOKUP(D1677,L$2:M$8,2,FALSE)</f>
        <v>0.25</v>
      </c>
      <c r="F1677">
        <f t="shared" si="78"/>
        <v>5</v>
      </c>
      <c r="G1677">
        <f>IF(F1677&gt;F1676,G1676+B1677*E1677,B1677*E1677)</f>
        <v>2.4017945000000003</v>
      </c>
      <c r="H1677">
        <f t="shared" si="79"/>
        <v>1</v>
      </c>
      <c r="I1677">
        <f t="shared" si="80"/>
        <v>0</v>
      </c>
    </row>
    <row r="1678" spans="1:9">
      <c r="A1678" s="1">
        <v>41165</v>
      </c>
      <c r="B1678">
        <v>2.20601</v>
      </c>
      <c r="C1678">
        <v>3.39</v>
      </c>
      <c r="D1678">
        <f>WEEKDAY(A1678,14)</f>
        <v>1</v>
      </c>
      <c r="E1678">
        <f>VLOOKUP(D1678,L$2:M$8,2,FALSE)</f>
        <v>0</v>
      </c>
      <c r="F1678">
        <f t="shared" si="78"/>
        <v>1</v>
      </c>
      <c r="G1678">
        <f>IF(F1678&gt;F1677,G1677+B1678*E1678,B1678*E1678)</f>
        <v>0</v>
      </c>
      <c r="H1678">
        <f t="shared" si="79"/>
        <v>0</v>
      </c>
      <c r="I1678">
        <f t="shared" si="80"/>
        <v>2.4017945000000003</v>
      </c>
    </row>
    <row r="1679" spans="1:9">
      <c r="A1679" s="1">
        <v>41166</v>
      </c>
      <c r="B1679">
        <v>2.2680500000000001</v>
      </c>
      <c r="C1679">
        <v>3.39</v>
      </c>
      <c r="D1679">
        <f>WEEKDAY(A1679,14)</f>
        <v>2</v>
      </c>
      <c r="E1679">
        <f>VLOOKUP(D1679,L$2:M$8,2,FALSE)</f>
        <v>0</v>
      </c>
      <c r="F1679">
        <f t="shared" si="78"/>
        <v>2</v>
      </c>
      <c r="G1679">
        <f>IF(F1679&gt;F1678,G1678+B1679*E1679,B1679*E1679)</f>
        <v>0</v>
      </c>
      <c r="H1679">
        <f t="shared" si="79"/>
        <v>0</v>
      </c>
      <c r="I1679">
        <f t="shared" si="80"/>
        <v>0</v>
      </c>
    </row>
    <row r="1680" spans="1:9">
      <c r="A1680" s="1">
        <v>41169</v>
      </c>
      <c r="B1680">
        <v>2.2811699999999999</v>
      </c>
      <c r="C1680">
        <v>3.39</v>
      </c>
      <c r="D1680">
        <f>WEEKDAY(A1680,14)</f>
        <v>5</v>
      </c>
      <c r="E1680">
        <f>VLOOKUP(D1680,L$2:M$8,2,FALSE)</f>
        <v>0.05</v>
      </c>
      <c r="F1680">
        <f t="shared" si="78"/>
        <v>3</v>
      </c>
      <c r="G1680">
        <f>IF(F1680&gt;F1679,G1679+B1680*E1680,B1680*E1680)</f>
        <v>0.11405850000000001</v>
      </c>
      <c r="H1680">
        <f t="shared" si="79"/>
        <v>0.05</v>
      </c>
      <c r="I1680">
        <f t="shared" si="80"/>
        <v>0</v>
      </c>
    </row>
    <row r="1681" spans="1:9">
      <c r="A1681" s="1">
        <v>41170</v>
      </c>
      <c r="B1681">
        <v>2.2694000000000001</v>
      </c>
      <c r="C1681">
        <v>3.39</v>
      </c>
      <c r="D1681">
        <f>WEEKDAY(A1681,14)</f>
        <v>6</v>
      </c>
      <c r="E1681">
        <f>VLOOKUP(D1681,L$2:M$8,2,FALSE)</f>
        <v>0.7</v>
      </c>
      <c r="F1681">
        <f t="shared" si="78"/>
        <v>4</v>
      </c>
      <c r="G1681">
        <f>IF(F1681&gt;F1680,G1680+B1681*E1681,B1681*E1681)</f>
        <v>1.7026384999999999</v>
      </c>
      <c r="H1681">
        <f t="shared" si="79"/>
        <v>0.75</v>
      </c>
      <c r="I1681">
        <f t="shared" si="80"/>
        <v>0</v>
      </c>
    </row>
    <row r="1682" spans="1:9">
      <c r="A1682" s="1">
        <v>41171</v>
      </c>
      <c r="B1682">
        <v>2.2108599999999998</v>
      </c>
      <c r="C1682">
        <v>3.39</v>
      </c>
      <c r="D1682">
        <f>WEEKDAY(A1682,14)</f>
        <v>7</v>
      </c>
      <c r="E1682">
        <f>VLOOKUP(D1682,L$2:M$8,2,FALSE)</f>
        <v>0.25</v>
      </c>
      <c r="F1682">
        <f t="shared" si="78"/>
        <v>5</v>
      </c>
      <c r="G1682">
        <f>IF(F1682&gt;F1681,G1681+B1682*E1682,B1682*E1682)</f>
        <v>2.2553535</v>
      </c>
      <c r="H1682">
        <f t="shared" si="79"/>
        <v>1</v>
      </c>
      <c r="I1682">
        <f t="shared" si="80"/>
        <v>0</v>
      </c>
    </row>
    <row r="1683" spans="1:9">
      <c r="A1683" s="1">
        <v>41172</v>
      </c>
      <c r="B1683">
        <v>2.1699299999999999</v>
      </c>
      <c r="C1683">
        <v>3.3</v>
      </c>
      <c r="D1683">
        <f>WEEKDAY(A1683,14)</f>
        <v>1</v>
      </c>
      <c r="E1683">
        <f>VLOOKUP(D1683,L$2:M$8,2,FALSE)</f>
        <v>0</v>
      </c>
      <c r="F1683">
        <f t="shared" si="78"/>
        <v>1</v>
      </c>
      <c r="G1683">
        <f>IF(F1683&gt;F1682,G1682+B1683*E1683,B1683*E1683)</f>
        <v>0</v>
      </c>
      <c r="H1683">
        <f t="shared" si="79"/>
        <v>0</v>
      </c>
      <c r="I1683">
        <f t="shared" si="80"/>
        <v>2.2553535</v>
      </c>
    </row>
    <row r="1684" spans="1:9">
      <c r="A1684" s="1">
        <v>41173</v>
      </c>
      <c r="B1684">
        <v>2.0966999999999998</v>
      </c>
      <c r="C1684">
        <v>3.3</v>
      </c>
      <c r="D1684">
        <f>WEEKDAY(A1684,14)</f>
        <v>2</v>
      </c>
      <c r="E1684">
        <f>VLOOKUP(D1684,L$2:M$8,2,FALSE)</f>
        <v>0</v>
      </c>
      <c r="F1684">
        <f t="shared" si="78"/>
        <v>2</v>
      </c>
      <c r="G1684">
        <f>IF(F1684&gt;F1683,G1683+B1684*E1684,B1684*E1684)</f>
        <v>0</v>
      </c>
      <c r="H1684">
        <f t="shared" si="79"/>
        <v>0</v>
      </c>
      <c r="I1684">
        <f t="shared" si="80"/>
        <v>0</v>
      </c>
    </row>
    <row r="1685" spans="1:9">
      <c r="A1685" s="1">
        <v>41176</v>
      </c>
      <c r="B1685">
        <v>2.0433500000000002</v>
      </c>
      <c r="C1685">
        <v>3.3</v>
      </c>
      <c r="D1685">
        <f>WEEKDAY(A1685,14)</f>
        <v>5</v>
      </c>
      <c r="E1685">
        <f>VLOOKUP(D1685,L$2:M$8,2,FALSE)</f>
        <v>0.05</v>
      </c>
      <c r="F1685">
        <f t="shared" si="78"/>
        <v>3</v>
      </c>
      <c r="G1685">
        <f>IF(F1685&gt;F1684,G1684+B1685*E1685,B1685*E1685)</f>
        <v>0.10216750000000002</v>
      </c>
      <c r="H1685">
        <f t="shared" si="79"/>
        <v>0.05</v>
      </c>
      <c r="I1685">
        <f t="shared" si="80"/>
        <v>0</v>
      </c>
    </row>
    <row r="1686" spans="1:9">
      <c r="A1686" s="1">
        <v>41177</v>
      </c>
      <c r="B1686">
        <v>1.97862</v>
      </c>
      <c r="C1686">
        <v>3.3</v>
      </c>
      <c r="D1686">
        <f>WEEKDAY(A1686,14)</f>
        <v>6</v>
      </c>
      <c r="E1686">
        <f>VLOOKUP(D1686,L$2:M$8,2,FALSE)</f>
        <v>0.7</v>
      </c>
      <c r="F1686">
        <f t="shared" si="78"/>
        <v>4</v>
      </c>
      <c r="G1686">
        <f>IF(F1686&gt;F1685,G1685+B1686*E1686,B1686*E1686)</f>
        <v>1.4872014999999998</v>
      </c>
      <c r="H1686">
        <f t="shared" si="79"/>
        <v>0.75</v>
      </c>
      <c r="I1686">
        <f t="shared" si="80"/>
        <v>0</v>
      </c>
    </row>
    <row r="1687" spans="1:9">
      <c r="A1687" s="1">
        <v>41178</v>
      </c>
      <c r="B1687">
        <v>1.9724999999999999</v>
      </c>
      <c r="C1687">
        <v>3.3</v>
      </c>
      <c r="D1687">
        <f>WEEKDAY(A1687,14)</f>
        <v>7</v>
      </c>
      <c r="E1687">
        <f>VLOOKUP(D1687,L$2:M$8,2,FALSE)</f>
        <v>0.25</v>
      </c>
      <c r="F1687">
        <f t="shared" si="78"/>
        <v>5</v>
      </c>
      <c r="G1687">
        <f>IF(F1687&gt;F1686,G1686+B1687*E1687,B1687*E1687)</f>
        <v>1.9803264999999999</v>
      </c>
      <c r="H1687">
        <f t="shared" si="79"/>
        <v>1</v>
      </c>
      <c r="I1687">
        <f t="shared" si="80"/>
        <v>0</v>
      </c>
    </row>
    <row r="1688" spans="1:9">
      <c r="A1688" s="1">
        <v>41179</v>
      </c>
      <c r="B1688">
        <v>2.05097</v>
      </c>
      <c r="C1688">
        <v>3.26</v>
      </c>
      <c r="D1688">
        <f>WEEKDAY(A1688,14)</f>
        <v>1</v>
      </c>
      <c r="E1688">
        <f>VLOOKUP(D1688,L$2:M$8,2,FALSE)</f>
        <v>0</v>
      </c>
      <c r="F1688">
        <f t="shared" si="78"/>
        <v>1</v>
      </c>
      <c r="G1688">
        <f>IF(F1688&gt;F1687,G1687+B1688*E1688,B1688*E1688)</f>
        <v>0</v>
      </c>
      <c r="H1688">
        <f t="shared" si="79"/>
        <v>0</v>
      </c>
      <c r="I1688">
        <f t="shared" si="80"/>
        <v>1.9803264999999999</v>
      </c>
    </row>
    <row r="1689" spans="1:9">
      <c r="A1689" s="1">
        <v>41180</v>
      </c>
      <c r="B1689">
        <v>2.0399099999999999</v>
      </c>
      <c r="C1689">
        <v>3.26</v>
      </c>
      <c r="D1689">
        <f>WEEKDAY(A1689,14)</f>
        <v>2</v>
      </c>
      <c r="E1689">
        <f>VLOOKUP(D1689,L$2:M$8,2,FALSE)</f>
        <v>0</v>
      </c>
      <c r="F1689">
        <f t="shared" si="78"/>
        <v>2</v>
      </c>
      <c r="G1689">
        <f>IF(F1689&gt;F1688,G1688+B1689*E1689,B1689*E1689)</f>
        <v>0</v>
      </c>
      <c r="H1689">
        <f t="shared" si="79"/>
        <v>0</v>
      </c>
      <c r="I1689">
        <f t="shared" si="80"/>
        <v>0</v>
      </c>
    </row>
    <row r="1690" spans="1:9">
      <c r="A1690" s="1">
        <v>41183</v>
      </c>
      <c r="B1690">
        <v>1.9779100000000001</v>
      </c>
      <c r="C1690">
        <v>3.26</v>
      </c>
      <c r="D1690">
        <f>WEEKDAY(A1690,14)</f>
        <v>5</v>
      </c>
      <c r="E1690">
        <f>VLOOKUP(D1690,L$2:M$8,2,FALSE)</f>
        <v>0.05</v>
      </c>
      <c r="F1690">
        <f t="shared" si="78"/>
        <v>3</v>
      </c>
      <c r="G1690">
        <f>IF(F1690&gt;F1689,G1689+B1690*E1690,B1690*E1690)</f>
        <v>9.8895500000000011E-2</v>
      </c>
      <c r="H1690">
        <f t="shared" si="79"/>
        <v>0.05</v>
      </c>
      <c r="I1690">
        <f t="shared" si="80"/>
        <v>0</v>
      </c>
    </row>
    <row r="1691" spans="1:9">
      <c r="A1691" s="1">
        <v>41184</v>
      </c>
      <c r="B1691">
        <v>1.89432</v>
      </c>
      <c r="C1691">
        <v>3.26</v>
      </c>
      <c r="D1691">
        <f>WEEKDAY(A1691,14)</f>
        <v>6</v>
      </c>
      <c r="E1691">
        <f>VLOOKUP(D1691,L$2:M$8,2,FALSE)</f>
        <v>0.7</v>
      </c>
      <c r="F1691">
        <f t="shared" si="78"/>
        <v>4</v>
      </c>
      <c r="G1691">
        <f>IF(F1691&gt;F1690,G1690+B1691*E1691,B1691*E1691)</f>
        <v>1.4249194999999999</v>
      </c>
      <c r="H1691">
        <f t="shared" si="79"/>
        <v>0.75</v>
      </c>
      <c r="I1691">
        <f t="shared" si="80"/>
        <v>0</v>
      </c>
    </row>
    <row r="1692" spans="1:9">
      <c r="A1692" s="1">
        <v>41185</v>
      </c>
      <c r="B1692">
        <v>1.97292</v>
      </c>
      <c r="C1692">
        <v>3.26</v>
      </c>
      <c r="D1692">
        <f>WEEKDAY(A1692,14)</f>
        <v>7</v>
      </c>
      <c r="E1692">
        <f>VLOOKUP(D1692,L$2:M$8,2,FALSE)</f>
        <v>0.25</v>
      </c>
      <c r="F1692">
        <f t="shared" si="78"/>
        <v>5</v>
      </c>
      <c r="G1692">
        <f>IF(F1692&gt;F1691,G1691+B1692*E1692,B1692*E1692)</f>
        <v>1.9181495</v>
      </c>
      <c r="H1692">
        <f t="shared" si="79"/>
        <v>1</v>
      </c>
      <c r="I1692">
        <f t="shared" si="80"/>
        <v>0</v>
      </c>
    </row>
    <row r="1693" spans="1:9">
      <c r="A1693" s="1">
        <v>41186</v>
      </c>
      <c r="B1693">
        <v>2.0658799999999999</v>
      </c>
      <c r="C1693">
        <v>3.3149999999999999</v>
      </c>
      <c r="D1693">
        <f>WEEKDAY(A1693,14)</f>
        <v>1</v>
      </c>
      <c r="E1693">
        <f>VLOOKUP(D1693,L$2:M$8,2,FALSE)</f>
        <v>0</v>
      </c>
      <c r="F1693">
        <f t="shared" si="78"/>
        <v>1</v>
      </c>
      <c r="G1693">
        <f>IF(F1693&gt;F1692,G1692+B1693*E1693,B1693*E1693)</f>
        <v>0</v>
      </c>
      <c r="H1693">
        <f t="shared" si="79"/>
        <v>0</v>
      </c>
      <c r="I1693">
        <f t="shared" si="80"/>
        <v>1.9181495</v>
      </c>
    </row>
    <row r="1694" spans="1:9">
      <c r="A1694" s="1">
        <v>41187</v>
      </c>
      <c r="B1694">
        <v>2.09992</v>
      </c>
      <c r="C1694">
        <v>3.3149999999999999</v>
      </c>
      <c r="D1694">
        <f>WEEKDAY(A1694,14)</f>
        <v>2</v>
      </c>
      <c r="E1694">
        <f>VLOOKUP(D1694,L$2:M$8,2,FALSE)</f>
        <v>0</v>
      </c>
      <c r="F1694">
        <f t="shared" si="78"/>
        <v>2</v>
      </c>
      <c r="G1694">
        <f>IF(F1694&gt;F1693,G1693+B1694*E1694,B1694*E1694)</f>
        <v>0</v>
      </c>
      <c r="H1694">
        <f t="shared" si="79"/>
        <v>0</v>
      </c>
      <c r="I1694">
        <f t="shared" si="80"/>
        <v>0</v>
      </c>
    </row>
    <row r="1695" spans="1:9">
      <c r="A1695" s="1">
        <v>41191</v>
      </c>
      <c r="B1695">
        <v>2.1122000000000001</v>
      </c>
      <c r="C1695">
        <v>3.3149999999999999</v>
      </c>
      <c r="D1695">
        <f>WEEKDAY(A1695,14)</f>
        <v>6</v>
      </c>
      <c r="E1695">
        <f>VLOOKUP(D1695,L$2:M$8,2,FALSE)</f>
        <v>0.7</v>
      </c>
      <c r="F1695">
        <f t="shared" si="78"/>
        <v>3</v>
      </c>
      <c r="G1695">
        <f>IF(F1695&gt;F1694,G1694+B1695*E1695,B1695*E1695)</f>
        <v>1.47854</v>
      </c>
      <c r="H1695">
        <f t="shared" si="79"/>
        <v>0.7</v>
      </c>
      <c r="I1695">
        <f t="shared" si="80"/>
        <v>0</v>
      </c>
    </row>
    <row r="1696" spans="1:9">
      <c r="A1696" s="1">
        <v>41192</v>
      </c>
      <c r="B1696">
        <v>2.0567000000000002</v>
      </c>
      <c r="C1696">
        <v>3.3149999999999999</v>
      </c>
      <c r="D1696">
        <f>WEEKDAY(A1696,14)</f>
        <v>7</v>
      </c>
      <c r="E1696">
        <f>VLOOKUP(D1696,L$2:M$8,2,FALSE)</f>
        <v>0.25</v>
      </c>
      <c r="F1696">
        <f t="shared" si="78"/>
        <v>4</v>
      </c>
      <c r="G1696">
        <f>IF(F1696&gt;F1695,G1695+B1696*E1696,B1696*E1696)</f>
        <v>1.992715</v>
      </c>
      <c r="H1696">
        <f t="shared" si="79"/>
        <v>0.95</v>
      </c>
      <c r="I1696">
        <f t="shared" si="80"/>
        <v>0</v>
      </c>
    </row>
    <row r="1697" spans="1:9">
      <c r="A1697" s="1">
        <v>41193</v>
      </c>
      <c r="B1697">
        <v>2.0188199999999998</v>
      </c>
      <c r="C1697">
        <v>3.2949999999999999</v>
      </c>
      <c r="D1697">
        <f>WEEKDAY(A1697,14)</f>
        <v>1</v>
      </c>
      <c r="E1697">
        <f>VLOOKUP(D1697,L$2:M$8,2,FALSE)</f>
        <v>0</v>
      </c>
      <c r="F1697">
        <f t="shared" si="78"/>
        <v>1</v>
      </c>
      <c r="G1697">
        <f>IF(F1697&gt;F1696,G1696+B1697*E1697,B1697*E1697)</f>
        <v>0</v>
      </c>
      <c r="H1697">
        <f t="shared" si="79"/>
        <v>0</v>
      </c>
      <c r="I1697">
        <f t="shared" si="80"/>
        <v>2.0975947368421055</v>
      </c>
    </row>
    <row r="1698" spans="1:9">
      <c r="A1698" s="1">
        <v>41194</v>
      </c>
      <c r="B1698">
        <v>2.0148700000000002</v>
      </c>
      <c r="C1698">
        <v>3.2949999999999999</v>
      </c>
      <c r="D1698">
        <f>WEEKDAY(A1698,14)</f>
        <v>2</v>
      </c>
      <c r="E1698">
        <f>VLOOKUP(D1698,L$2:M$8,2,FALSE)</f>
        <v>0</v>
      </c>
      <c r="F1698">
        <f t="shared" si="78"/>
        <v>2</v>
      </c>
      <c r="G1698">
        <f>IF(F1698&gt;F1697,G1697+B1698*E1698,B1698*E1698)</f>
        <v>0</v>
      </c>
      <c r="H1698">
        <f t="shared" si="79"/>
        <v>0</v>
      </c>
      <c r="I1698">
        <f t="shared" si="80"/>
        <v>0</v>
      </c>
    </row>
    <row r="1699" spans="1:9">
      <c r="A1699" s="1">
        <v>41197</v>
      </c>
      <c r="B1699">
        <v>2.0434000000000001</v>
      </c>
      <c r="C1699">
        <v>3.2949999999999999</v>
      </c>
      <c r="D1699">
        <f>WEEKDAY(A1699,14)</f>
        <v>5</v>
      </c>
      <c r="E1699">
        <f>VLOOKUP(D1699,L$2:M$8,2,FALSE)</f>
        <v>0.05</v>
      </c>
      <c r="F1699">
        <f t="shared" si="78"/>
        <v>3</v>
      </c>
      <c r="G1699">
        <f>IF(F1699&gt;F1698,G1698+B1699*E1699,B1699*E1699)</f>
        <v>0.10217000000000001</v>
      </c>
      <c r="H1699">
        <f t="shared" si="79"/>
        <v>0.05</v>
      </c>
      <c r="I1699">
        <f t="shared" si="80"/>
        <v>0</v>
      </c>
    </row>
    <row r="1700" spans="1:9">
      <c r="A1700" s="1">
        <v>41198</v>
      </c>
      <c r="B1700">
        <v>2.0903100000000001</v>
      </c>
      <c r="C1700">
        <v>3.2949999999999999</v>
      </c>
      <c r="D1700">
        <f>WEEKDAY(A1700,14)</f>
        <v>6</v>
      </c>
      <c r="E1700">
        <f>VLOOKUP(D1700,L$2:M$8,2,FALSE)</f>
        <v>0.7</v>
      </c>
      <c r="F1700">
        <f t="shared" si="78"/>
        <v>4</v>
      </c>
      <c r="G1700">
        <f>IF(F1700&gt;F1699,G1699+B1700*E1700,B1700*E1700)</f>
        <v>1.5653870000000001</v>
      </c>
      <c r="H1700">
        <f t="shared" si="79"/>
        <v>0.75</v>
      </c>
      <c r="I1700">
        <f t="shared" si="80"/>
        <v>0</v>
      </c>
    </row>
    <row r="1701" spans="1:9">
      <c r="A1701" s="1">
        <v>41199</v>
      </c>
      <c r="B1701">
        <v>2.1999399999999998</v>
      </c>
      <c r="C1701">
        <v>3.2949999999999999</v>
      </c>
      <c r="D1701">
        <f>WEEKDAY(A1701,14)</f>
        <v>7</v>
      </c>
      <c r="E1701">
        <f>VLOOKUP(D1701,L$2:M$8,2,FALSE)</f>
        <v>0.25</v>
      </c>
      <c r="F1701">
        <f t="shared" si="78"/>
        <v>5</v>
      </c>
      <c r="G1701">
        <f>IF(F1701&gt;F1700,G1700+B1701*E1701,B1701*E1701)</f>
        <v>2.1153719999999998</v>
      </c>
      <c r="H1701">
        <f t="shared" si="79"/>
        <v>1</v>
      </c>
      <c r="I1701">
        <f t="shared" si="80"/>
        <v>0</v>
      </c>
    </row>
    <row r="1702" spans="1:9">
      <c r="A1702" s="1">
        <v>41200</v>
      </c>
      <c r="B1702">
        <v>2.2380399999999998</v>
      </c>
      <c r="C1702">
        <v>3.335</v>
      </c>
      <c r="D1702">
        <f>WEEKDAY(A1702,14)</f>
        <v>1</v>
      </c>
      <c r="E1702">
        <f>VLOOKUP(D1702,L$2:M$8,2,FALSE)</f>
        <v>0</v>
      </c>
      <c r="F1702">
        <f t="shared" si="78"/>
        <v>1</v>
      </c>
      <c r="G1702">
        <f>IF(F1702&gt;F1701,G1701+B1702*E1702,B1702*E1702)</f>
        <v>0</v>
      </c>
      <c r="H1702">
        <f t="shared" si="79"/>
        <v>0</v>
      </c>
      <c r="I1702">
        <f t="shared" si="80"/>
        <v>2.1153719999999998</v>
      </c>
    </row>
    <row r="1703" spans="1:9">
      <c r="A1703" s="1">
        <v>41201</v>
      </c>
      <c r="B1703">
        <v>2.1714899999999999</v>
      </c>
      <c r="C1703">
        <v>3.335</v>
      </c>
      <c r="D1703">
        <f>WEEKDAY(A1703,14)</f>
        <v>2</v>
      </c>
      <c r="E1703">
        <f>VLOOKUP(D1703,L$2:M$8,2,FALSE)</f>
        <v>0</v>
      </c>
      <c r="F1703">
        <f t="shared" si="78"/>
        <v>2</v>
      </c>
      <c r="G1703">
        <f>IF(F1703&gt;F1702,G1702+B1703*E1703,B1703*E1703)</f>
        <v>0</v>
      </c>
      <c r="H1703">
        <f t="shared" si="79"/>
        <v>0</v>
      </c>
      <c r="I1703">
        <f t="shared" si="80"/>
        <v>0</v>
      </c>
    </row>
    <row r="1704" spans="1:9">
      <c r="A1704" s="1">
        <v>41204</v>
      </c>
      <c r="B1704">
        <v>2.2048000000000001</v>
      </c>
      <c r="C1704">
        <v>3.335</v>
      </c>
      <c r="D1704">
        <f>WEEKDAY(A1704,14)</f>
        <v>5</v>
      </c>
      <c r="E1704">
        <f>VLOOKUP(D1704,L$2:M$8,2,FALSE)</f>
        <v>0.05</v>
      </c>
      <c r="F1704">
        <f t="shared" si="78"/>
        <v>3</v>
      </c>
      <c r="G1704">
        <f>IF(F1704&gt;F1703,G1703+B1704*E1704,B1704*E1704)</f>
        <v>0.11024</v>
      </c>
      <c r="H1704">
        <f t="shared" si="79"/>
        <v>0.05</v>
      </c>
      <c r="I1704">
        <f t="shared" si="80"/>
        <v>0</v>
      </c>
    </row>
    <row r="1705" spans="1:9">
      <c r="A1705" s="1">
        <v>41205</v>
      </c>
      <c r="B1705">
        <v>2.18831</v>
      </c>
      <c r="C1705">
        <v>3.335</v>
      </c>
      <c r="D1705">
        <f>WEEKDAY(A1705,14)</f>
        <v>6</v>
      </c>
      <c r="E1705">
        <f>VLOOKUP(D1705,L$2:M$8,2,FALSE)</f>
        <v>0.7</v>
      </c>
      <c r="F1705">
        <f t="shared" si="78"/>
        <v>4</v>
      </c>
      <c r="G1705">
        <f>IF(F1705&gt;F1704,G1704+B1705*E1705,B1705*E1705)</f>
        <v>1.6420569999999999</v>
      </c>
      <c r="H1705">
        <f t="shared" si="79"/>
        <v>0.75</v>
      </c>
      <c r="I1705">
        <f t="shared" si="80"/>
        <v>0</v>
      </c>
    </row>
    <row r="1706" spans="1:9">
      <c r="A1706" s="1">
        <v>41206</v>
      </c>
      <c r="B1706">
        <v>2.2250200000000002</v>
      </c>
      <c r="C1706">
        <v>3.335</v>
      </c>
      <c r="D1706">
        <f>WEEKDAY(A1706,14)</f>
        <v>7</v>
      </c>
      <c r="E1706">
        <f>VLOOKUP(D1706,L$2:M$8,2,FALSE)</f>
        <v>0.25</v>
      </c>
      <c r="F1706">
        <f t="shared" si="78"/>
        <v>5</v>
      </c>
      <c r="G1706">
        <f>IF(F1706&gt;F1705,G1705+B1706*E1706,B1706*E1706)</f>
        <v>2.198312</v>
      </c>
      <c r="H1706">
        <f t="shared" si="79"/>
        <v>1</v>
      </c>
      <c r="I1706">
        <f t="shared" si="80"/>
        <v>0</v>
      </c>
    </row>
    <row r="1707" spans="1:9">
      <c r="A1707" s="1">
        <v>41207</v>
      </c>
      <c r="B1707">
        <v>2.2775300000000001</v>
      </c>
      <c r="C1707">
        <v>3.3149999999999999</v>
      </c>
      <c r="D1707">
        <f>WEEKDAY(A1707,14)</f>
        <v>1</v>
      </c>
      <c r="E1707">
        <f>VLOOKUP(D1707,L$2:M$8,2,FALSE)</f>
        <v>0</v>
      </c>
      <c r="F1707">
        <f t="shared" si="78"/>
        <v>1</v>
      </c>
      <c r="G1707">
        <f>IF(F1707&gt;F1706,G1706+B1707*E1707,B1707*E1707)</f>
        <v>0</v>
      </c>
      <c r="H1707">
        <f t="shared" si="79"/>
        <v>0</v>
      </c>
      <c r="I1707">
        <f t="shared" si="80"/>
        <v>2.198312</v>
      </c>
    </row>
    <row r="1708" spans="1:9">
      <c r="A1708" s="1">
        <v>41208</v>
      </c>
      <c r="B1708">
        <v>2.2062400000000002</v>
      </c>
      <c r="C1708">
        <v>3.3149999999999999</v>
      </c>
      <c r="D1708">
        <f>WEEKDAY(A1708,14)</f>
        <v>2</v>
      </c>
      <c r="E1708">
        <f>VLOOKUP(D1708,L$2:M$8,2,FALSE)</f>
        <v>0</v>
      </c>
      <c r="F1708">
        <f t="shared" si="78"/>
        <v>2</v>
      </c>
      <c r="G1708">
        <f>IF(F1708&gt;F1707,G1707+B1708*E1708,B1708*E1708)</f>
        <v>0</v>
      </c>
      <c r="H1708">
        <f t="shared" si="79"/>
        <v>0</v>
      </c>
      <c r="I1708">
        <f t="shared" si="80"/>
        <v>0</v>
      </c>
    </row>
    <row r="1709" spans="1:9">
      <c r="A1709" s="1">
        <v>41211</v>
      </c>
      <c r="B1709">
        <v>2.1758600000000001</v>
      </c>
      <c r="C1709">
        <v>3.3149999999999999</v>
      </c>
      <c r="D1709">
        <f>WEEKDAY(A1709,14)</f>
        <v>5</v>
      </c>
      <c r="E1709">
        <f>VLOOKUP(D1709,L$2:M$8,2,FALSE)</f>
        <v>0.05</v>
      </c>
      <c r="F1709">
        <f t="shared" si="78"/>
        <v>3</v>
      </c>
      <c r="G1709">
        <f>IF(F1709&gt;F1708,G1708+B1709*E1709,B1709*E1709)</f>
        <v>0.10879300000000001</v>
      </c>
      <c r="H1709">
        <f t="shared" si="79"/>
        <v>0.05</v>
      </c>
      <c r="I1709">
        <f t="shared" si="80"/>
        <v>0</v>
      </c>
    </row>
    <row r="1710" spans="1:9">
      <c r="A1710" s="1">
        <v>41213</v>
      </c>
      <c r="B1710">
        <v>2.14235</v>
      </c>
      <c r="C1710">
        <v>3.3149999999999999</v>
      </c>
      <c r="D1710">
        <f>WEEKDAY(A1710,14)</f>
        <v>7</v>
      </c>
      <c r="E1710">
        <f>VLOOKUP(D1710,L$2:M$8,2,FALSE)</f>
        <v>0.25</v>
      </c>
      <c r="F1710">
        <f t="shared" si="78"/>
        <v>4</v>
      </c>
      <c r="G1710">
        <f>IF(F1710&gt;F1709,G1709+B1710*E1710,B1710*E1710)</f>
        <v>0.64438050000000002</v>
      </c>
      <c r="H1710">
        <f t="shared" si="79"/>
        <v>0.3</v>
      </c>
      <c r="I1710">
        <f t="shared" si="80"/>
        <v>0</v>
      </c>
    </row>
    <row r="1711" spans="1:9">
      <c r="A1711" s="1">
        <v>41214</v>
      </c>
      <c r="B1711">
        <v>2.2324299999999999</v>
      </c>
      <c r="C1711">
        <v>3.3250000000000002</v>
      </c>
      <c r="D1711">
        <f>WEEKDAY(A1711,14)</f>
        <v>1</v>
      </c>
      <c r="E1711">
        <f>VLOOKUP(D1711,L$2:M$8,2,FALSE)</f>
        <v>0</v>
      </c>
      <c r="F1711">
        <f t="shared" si="78"/>
        <v>1</v>
      </c>
      <c r="G1711">
        <f>IF(F1711&gt;F1710,G1710+B1711*E1711,B1711*E1711)</f>
        <v>0</v>
      </c>
      <c r="H1711">
        <f t="shared" si="79"/>
        <v>0</v>
      </c>
      <c r="I1711">
        <f t="shared" si="80"/>
        <v>2.1479350000000004</v>
      </c>
    </row>
    <row r="1712" spans="1:9">
      <c r="A1712" s="1">
        <v>41215</v>
      </c>
      <c r="B1712">
        <v>2.1949299999999998</v>
      </c>
      <c r="C1712">
        <v>3.3250000000000002</v>
      </c>
      <c r="D1712">
        <f>WEEKDAY(A1712,14)</f>
        <v>2</v>
      </c>
      <c r="E1712">
        <f>VLOOKUP(D1712,L$2:M$8,2,FALSE)</f>
        <v>0</v>
      </c>
      <c r="F1712">
        <f t="shared" si="78"/>
        <v>2</v>
      </c>
      <c r="G1712">
        <f>IF(F1712&gt;F1711,G1711+B1712*E1712,B1712*E1712)</f>
        <v>0</v>
      </c>
      <c r="H1712">
        <f t="shared" si="79"/>
        <v>0</v>
      </c>
      <c r="I1712">
        <f t="shared" si="80"/>
        <v>0</v>
      </c>
    </row>
    <row r="1713" spans="1:9">
      <c r="A1713" s="1">
        <v>41218</v>
      </c>
      <c r="B1713">
        <v>2.1479400000000002</v>
      </c>
      <c r="C1713">
        <v>3.3250000000000002</v>
      </c>
      <c r="D1713">
        <f>WEEKDAY(A1713,14)</f>
        <v>5</v>
      </c>
      <c r="E1713">
        <f>VLOOKUP(D1713,L$2:M$8,2,FALSE)</f>
        <v>0.05</v>
      </c>
      <c r="F1713">
        <f t="shared" si="78"/>
        <v>3</v>
      </c>
      <c r="G1713">
        <f>IF(F1713&gt;F1712,G1712+B1713*E1713,B1713*E1713)</f>
        <v>0.10739700000000002</v>
      </c>
      <c r="H1713">
        <f t="shared" si="79"/>
        <v>0.05</v>
      </c>
      <c r="I1713">
        <f t="shared" si="80"/>
        <v>0</v>
      </c>
    </row>
    <row r="1714" spans="1:9">
      <c r="A1714" s="1">
        <v>41219</v>
      </c>
      <c r="B1714">
        <v>2.2488899999999998</v>
      </c>
      <c r="C1714">
        <v>3.3250000000000002</v>
      </c>
      <c r="D1714">
        <f>WEEKDAY(A1714,14)</f>
        <v>6</v>
      </c>
      <c r="E1714">
        <f>VLOOKUP(D1714,L$2:M$8,2,FALSE)</f>
        <v>0.7</v>
      </c>
      <c r="F1714">
        <f t="shared" si="78"/>
        <v>4</v>
      </c>
      <c r="G1714">
        <f>IF(F1714&gt;F1713,G1713+B1714*E1714,B1714*E1714)</f>
        <v>1.6816199999999997</v>
      </c>
      <c r="H1714">
        <f t="shared" si="79"/>
        <v>0.75</v>
      </c>
      <c r="I1714">
        <f t="shared" si="80"/>
        <v>0</v>
      </c>
    </row>
    <row r="1715" spans="1:9">
      <c r="A1715" s="1">
        <v>41220</v>
      </c>
      <c r="B1715">
        <v>2.0919699999999999</v>
      </c>
      <c r="C1715">
        <v>3.3250000000000002</v>
      </c>
      <c r="D1715">
        <f>WEEKDAY(A1715,14)</f>
        <v>7</v>
      </c>
      <c r="E1715">
        <f>VLOOKUP(D1715,L$2:M$8,2,FALSE)</f>
        <v>0.25</v>
      </c>
      <c r="F1715">
        <f t="shared" si="78"/>
        <v>5</v>
      </c>
      <c r="G1715">
        <f>IF(F1715&gt;F1714,G1714+B1715*E1715,B1715*E1715)</f>
        <v>2.2046124999999996</v>
      </c>
      <c r="H1715">
        <f t="shared" si="79"/>
        <v>1</v>
      </c>
      <c r="I1715">
        <f t="shared" si="80"/>
        <v>0</v>
      </c>
    </row>
    <row r="1716" spans="1:9">
      <c r="A1716" s="1">
        <v>41221</v>
      </c>
      <c r="B1716">
        <v>2.04956</v>
      </c>
      <c r="C1716">
        <v>3.2650000000000001</v>
      </c>
      <c r="D1716">
        <f>WEEKDAY(A1716,14)</f>
        <v>1</v>
      </c>
      <c r="E1716">
        <f>VLOOKUP(D1716,L$2:M$8,2,FALSE)</f>
        <v>0</v>
      </c>
      <c r="F1716">
        <f t="shared" si="78"/>
        <v>1</v>
      </c>
      <c r="G1716">
        <f>IF(F1716&gt;F1715,G1715+B1716*E1716,B1716*E1716)</f>
        <v>0</v>
      </c>
      <c r="H1716">
        <f t="shared" si="79"/>
        <v>0</v>
      </c>
      <c r="I1716">
        <f t="shared" si="80"/>
        <v>2.2046124999999996</v>
      </c>
    </row>
    <row r="1717" spans="1:9">
      <c r="A1717" s="1">
        <v>41222</v>
      </c>
      <c r="B1717">
        <v>2.0596000000000001</v>
      </c>
      <c r="C1717">
        <v>3.2650000000000001</v>
      </c>
      <c r="D1717">
        <f>WEEKDAY(A1717,14)</f>
        <v>2</v>
      </c>
      <c r="E1717">
        <f>VLOOKUP(D1717,L$2:M$8,2,FALSE)</f>
        <v>0</v>
      </c>
      <c r="F1717">
        <f t="shared" si="78"/>
        <v>2</v>
      </c>
      <c r="G1717">
        <f>IF(F1717&gt;F1716,G1716+B1717*E1717,B1717*E1717)</f>
        <v>0</v>
      </c>
      <c r="H1717">
        <f t="shared" si="79"/>
        <v>0</v>
      </c>
      <c r="I1717">
        <f t="shared" si="80"/>
        <v>0</v>
      </c>
    </row>
    <row r="1718" spans="1:9">
      <c r="A1718" s="1">
        <v>41226</v>
      </c>
      <c r="B1718">
        <v>2.0829800000000001</v>
      </c>
      <c r="C1718">
        <v>3.2650000000000001</v>
      </c>
      <c r="D1718">
        <f>WEEKDAY(A1718,14)</f>
        <v>6</v>
      </c>
      <c r="E1718">
        <f>VLOOKUP(D1718,L$2:M$8,2,FALSE)</f>
        <v>0.7</v>
      </c>
      <c r="F1718">
        <f t="shared" si="78"/>
        <v>3</v>
      </c>
      <c r="G1718">
        <f>IF(F1718&gt;F1717,G1717+B1718*E1718,B1718*E1718)</f>
        <v>1.458086</v>
      </c>
      <c r="H1718">
        <f t="shared" si="79"/>
        <v>0.7</v>
      </c>
      <c r="I1718">
        <f t="shared" si="80"/>
        <v>0</v>
      </c>
    </row>
    <row r="1719" spans="1:9">
      <c r="A1719" s="1">
        <v>41227</v>
      </c>
      <c r="B1719">
        <v>2.13435</v>
      </c>
      <c r="C1719">
        <v>3.2349999999999999</v>
      </c>
      <c r="D1719">
        <f>WEEKDAY(A1719,14)</f>
        <v>7</v>
      </c>
      <c r="E1719">
        <f>VLOOKUP(D1719,L$2:M$8,2,FALSE)</f>
        <v>0.25</v>
      </c>
      <c r="F1719">
        <f t="shared" si="78"/>
        <v>4</v>
      </c>
      <c r="G1719">
        <f>IF(F1719&gt;F1718,G1718+B1719*E1719,B1719*E1719)</f>
        <v>1.9916735000000001</v>
      </c>
      <c r="H1719">
        <f t="shared" si="79"/>
        <v>0.95</v>
      </c>
      <c r="I1719">
        <f t="shared" si="80"/>
        <v>0</v>
      </c>
    </row>
    <row r="1720" spans="1:9">
      <c r="A1720" s="1">
        <v>41228</v>
      </c>
      <c r="B1720">
        <v>2.0923400000000001</v>
      </c>
      <c r="C1720">
        <v>3.2650000000000001</v>
      </c>
      <c r="D1720">
        <f>WEEKDAY(A1720,14)</f>
        <v>1</v>
      </c>
      <c r="E1720">
        <f>VLOOKUP(D1720,L$2:M$8,2,FALSE)</f>
        <v>0</v>
      </c>
      <c r="F1720">
        <f t="shared" si="78"/>
        <v>1</v>
      </c>
      <c r="G1720">
        <f>IF(F1720&gt;F1719,G1719+B1720*E1720,B1720*E1720)</f>
        <v>0</v>
      </c>
      <c r="H1720">
        <f t="shared" si="79"/>
        <v>0</v>
      </c>
      <c r="I1720">
        <f t="shared" si="80"/>
        <v>2.0964984210526318</v>
      </c>
    </row>
    <row r="1721" spans="1:9">
      <c r="A1721" s="1">
        <v>41229</v>
      </c>
      <c r="B1721">
        <v>2.0361099999999999</v>
      </c>
      <c r="C1721">
        <v>3.2349999999999999</v>
      </c>
      <c r="D1721">
        <f>WEEKDAY(A1721,14)</f>
        <v>2</v>
      </c>
      <c r="E1721">
        <f>VLOOKUP(D1721,L$2:M$8,2,FALSE)</f>
        <v>0</v>
      </c>
      <c r="F1721">
        <f t="shared" si="78"/>
        <v>2</v>
      </c>
      <c r="G1721">
        <f>IF(F1721&gt;F1720,G1720+B1721*E1721,B1721*E1721)</f>
        <v>0</v>
      </c>
      <c r="H1721">
        <f t="shared" si="79"/>
        <v>0</v>
      </c>
      <c r="I1721">
        <f t="shared" si="80"/>
        <v>0</v>
      </c>
    </row>
    <row r="1722" spans="1:9">
      <c r="A1722" s="1">
        <v>41232</v>
      </c>
      <c r="B1722">
        <v>2.0699700000000001</v>
      </c>
      <c r="C1722">
        <v>3.2349999999999999</v>
      </c>
      <c r="D1722">
        <f>WEEKDAY(A1722,14)</f>
        <v>5</v>
      </c>
      <c r="E1722">
        <f>VLOOKUP(D1722,L$2:M$8,2,FALSE)</f>
        <v>0.05</v>
      </c>
      <c r="F1722">
        <f t="shared" si="78"/>
        <v>3</v>
      </c>
      <c r="G1722">
        <f>IF(F1722&gt;F1721,G1721+B1722*E1722,B1722*E1722)</f>
        <v>0.10349850000000001</v>
      </c>
      <c r="H1722">
        <f t="shared" si="79"/>
        <v>0.05</v>
      </c>
      <c r="I1722">
        <f t="shared" si="80"/>
        <v>0</v>
      </c>
    </row>
    <row r="1723" spans="1:9">
      <c r="A1723" s="1">
        <v>41233</v>
      </c>
      <c r="B1723">
        <v>2.1420400000000002</v>
      </c>
      <c r="C1723">
        <v>3.2349999999999999</v>
      </c>
      <c r="D1723">
        <f>WEEKDAY(A1723,14)</f>
        <v>6</v>
      </c>
      <c r="E1723">
        <f>VLOOKUP(D1723,L$2:M$8,2,FALSE)</f>
        <v>0.7</v>
      </c>
      <c r="F1723">
        <f t="shared" si="78"/>
        <v>4</v>
      </c>
      <c r="G1723">
        <f>IF(F1723&gt;F1722,G1722+B1723*E1723,B1723*E1723)</f>
        <v>1.6029264999999999</v>
      </c>
      <c r="H1723">
        <f t="shared" si="79"/>
        <v>0.75</v>
      </c>
      <c r="I1723">
        <f t="shared" si="80"/>
        <v>0</v>
      </c>
    </row>
    <row r="1724" spans="1:9">
      <c r="A1724" s="1">
        <v>41234</v>
      </c>
      <c r="B1724">
        <v>2.1925400000000002</v>
      </c>
      <c r="C1724">
        <v>3.2349999999999999</v>
      </c>
      <c r="D1724">
        <f>WEEKDAY(A1724,14)</f>
        <v>7</v>
      </c>
      <c r="E1724">
        <f>VLOOKUP(D1724,L$2:M$8,2,FALSE)</f>
        <v>0.25</v>
      </c>
      <c r="F1724">
        <f t="shared" si="78"/>
        <v>5</v>
      </c>
      <c r="G1724">
        <f>IF(F1724&gt;F1723,G1723+B1724*E1724,B1724*E1724)</f>
        <v>2.1510615</v>
      </c>
      <c r="H1724">
        <f t="shared" si="79"/>
        <v>1</v>
      </c>
      <c r="I1724">
        <f t="shared" si="80"/>
        <v>0</v>
      </c>
    </row>
    <row r="1725" spans="1:9">
      <c r="A1725" s="1">
        <v>41236</v>
      </c>
      <c r="B1725">
        <v>2.20126</v>
      </c>
      <c r="C1725">
        <v>3.27</v>
      </c>
      <c r="D1725">
        <f>WEEKDAY(A1725,14)</f>
        <v>2</v>
      </c>
      <c r="E1725">
        <f>VLOOKUP(D1725,L$2:M$8,2,FALSE)</f>
        <v>0</v>
      </c>
      <c r="F1725">
        <f t="shared" si="78"/>
        <v>1</v>
      </c>
      <c r="G1725">
        <f>IF(F1725&gt;F1724,G1724+B1725*E1725,B1725*E1725)</f>
        <v>0</v>
      </c>
      <c r="H1725">
        <f t="shared" si="79"/>
        <v>0</v>
      </c>
      <c r="I1725">
        <f t="shared" si="80"/>
        <v>2.1510615</v>
      </c>
    </row>
    <row r="1726" spans="1:9">
      <c r="A1726" s="1">
        <v>41239</v>
      </c>
      <c r="B1726">
        <v>2.1328999999999998</v>
      </c>
      <c r="C1726">
        <v>3.27</v>
      </c>
      <c r="D1726">
        <f>WEEKDAY(A1726,14)</f>
        <v>5</v>
      </c>
      <c r="E1726">
        <f>VLOOKUP(D1726,L$2:M$8,2,FALSE)</f>
        <v>0.05</v>
      </c>
      <c r="F1726">
        <f t="shared" si="78"/>
        <v>2</v>
      </c>
      <c r="G1726">
        <f>IF(F1726&gt;F1725,G1725+B1726*E1726,B1726*E1726)</f>
        <v>0.10664499999999999</v>
      </c>
      <c r="H1726">
        <f t="shared" si="79"/>
        <v>0.05</v>
      </c>
      <c r="I1726">
        <f t="shared" si="80"/>
        <v>0</v>
      </c>
    </row>
    <row r="1727" spans="1:9">
      <c r="A1727" s="1">
        <v>41240</v>
      </c>
      <c r="B1727">
        <v>2.0440499999999999</v>
      </c>
      <c r="C1727">
        <v>3.27</v>
      </c>
      <c r="D1727">
        <f>WEEKDAY(A1727,14)</f>
        <v>6</v>
      </c>
      <c r="E1727">
        <f>VLOOKUP(D1727,L$2:M$8,2,FALSE)</f>
        <v>0.7</v>
      </c>
      <c r="F1727">
        <f t="shared" si="78"/>
        <v>3</v>
      </c>
      <c r="G1727">
        <f>IF(F1727&gt;F1726,G1726+B1727*E1727,B1727*E1727)</f>
        <v>1.53748</v>
      </c>
      <c r="H1727">
        <f t="shared" si="79"/>
        <v>0.75</v>
      </c>
      <c r="I1727">
        <f t="shared" si="80"/>
        <v>0</v>
      </c>
    </row>
    <row r="1728" spans="1:9">
      <c r="A1728" s="1">
        <v>41241</v>
      </c>
      <c r="B1728">
        <v>2.05097</v>
      </c>
      <c r="C1728">
        <v>3.27</v>
      </c>
      <c r="D1728">
        <f>WEEKDAY(A1728,14)</f>
        <v>7</v>
      </c>
      <c r="E1728">
        <f>VLOOKUP(D1728,L$2:M$8,2,FALSE)</f>
        <v>0.25</v>
      </c>
      <c r="F1728">
        <f t="shared" si="78"/>
        <v>4</v>
      </c>
      <c r="G1728">
        <f>IF(F1728&gt;F1727,G1727+B1728*E1728,B1728*E1728)</f>
        <v>2.0502224999999998</v>
      </c>
      <c r="H1728">
        <f t="shared" si="79"/>
        <v>1</v>
      </c>
      <c r="I1728">
        <f t="shared" si="80"/>
        <v>0</v>
      </c>
    </row>
    <row r="1729" spans="1:9">
      <c r="A1729" s="1">
        <v>41242</v>
      </c>
      <c r="B1729">
        <v>2.0724399999999998</v>
      </c>
      <c r="C1729">
        <v>3.2650000000000001</v>
      </c>
      <c r="D1729">
        <f>WEEKDAY(A1729,14)</f>
        <v>1</v>
      </c>
      <c r="E1729">
        <f>VLOOKUP(D1729,L$2:M$8,2,FALSE)</f>
        <v>0</v>
      </c>
      <c r="F1729">
        <f t="shared" si="78"/>
        <v>1</v>
      </c>
      <c r="G1729">
        <f>IF(F1729&gt;F1728,G1728+B1729*E1729,B1729*E1729)</f>
        <v>0</v>
      </c>
      <c r="H1729">
        <f t="shared" si="79"/>
        <v>0</v>
      </c>
      <c r="I1729">
        <f t="shared" si="80"/>
        <v>2.0502224999999998</v>
      </c>
    </row>
    <row r="1730" spans="1:9">
      <c r="A1730" s="1">
        <v>41243</v>
      </c>
      <c r="B1730">
        <v>2.07253</v>
      </c>
      <c r="C1730">
        <v>3.2650000000000001</v>
      </c>
      <c r="D1730">
        <f>WEEKDAY(A1730,14)</f>
        <v>2</v>
      </c>
      <c r="E1730">
        <f>VLOOKUP(D1730,L$2:M$8,2,FALSE)</f>
        <v>0</v>
      </c>
      <c r="F1730">
        <f t="shared" si="78"/>
        <v>2</v>
      </c>
      <c r="G1730">
        <f>IF(F1730&gt;F1729,G1729+B1730*E1730,B1730*E1730)</f>
        <v>0</v>
      </c>
      <c r="H1730">
        <f t="shared" si="79"/>
        <v>0</v>
      </c>
      <c r="I1730">
        <f t="shared" si="80"/>
        <v>0</v>
      </c>
    </row>
    <row r="1731" spans="1:9">
      <c r="A1731" s="1">
        <v>41246</v>
      </c>
      <c r="B1731">
        <v>2.08622</v>
      </c>
      <c r="C1731">
        <v>3.2650000000000001</v>
      </c>
      <c r="D1731">
        <f>WEEKDAY(A1731,14)</f>
        <v>5</v>
      </c>
      <c r="E1731">
        <f>VLOOKUP(D1731,L$2:M$8,2,FALSE)</f>
        <v>0.05</v>
      </c>
      <c r="F1731">
        <f t="shared" ref="F1731:F1794" si="81">IF(AND(D1731&gt;D1730,F1730&lt;6),F1730+1,1)</f>
        <v>3</v>
      </c>
      <c r="G1731">
        <f>IF(F1731&gt;F1730,G1730+B1731*E1731,B1731*E1731)</f>
        <v>0.104311</v>
      </c>
      <c r="H1731">
        <f t="shared" si="79"/>
        <v>0.05</v>
      </c>
      <c r="I1731">
        <f t="shared" si="80"/>
        <v>0</v>
      </c>
    </row>
    <row r="1732" spans="1:9">
      <c r="A1732" s="1">
        <v>41247</v>
      </c>
      <c r="B1732">
        <v>2.0678299999999998</v>
      </c>
      <c r="C1732">
        <v>3.2650000000000001</v>
      </c>
      <c r="D1732">
        <f>WEEKDAY(A1732,14)</f>
        <v>6</v>
      </c>
      <c r="E1732">
        <f>VLOOKUP(D1732,L$2:M$8,2,FALSE)</f>
        <v>0.7</v>
      </c>
      <c r="F1732">
        <f t="shared" si="81"/>
        <v>4</v>
      </c>
      <c r="G1732">
        <f>IF(F1732&gt;F1731,G1731+B1732*E1732,B1732*E1732)</f>
        <v>1.5517919999999998</v>
      </c>
      <c r="H1732">
        <f t="shared" ref="H1732:H1795" si="82">IF(AND(F1732&lt;6,F1732&gt;F1731),E1732+H1731,E1732)</f>
        <v>0.75</v>
      </c>
      <c r="I1732">
        <f t="shared" ref="I1732:I1795" si="83">IF(F1731&gt;F1732,G1731/H1731,0)</f>
        <v>0</v>
      </c>
    </row>
    <row r="1733" spans="1:9">
      <c r="A1733" s="1">
        <v>41248</v>
      </c>
      <c r="B1733">
        <v>2.0799400000000001</v>
      </c>
      <c r="C1733">
        <v>3.2650000000000001</v>
      </c>
      <c r="D1733">
        <f>WEEKDAY(A1733,14)</f>
        <v>7</v>
      </c>
      <c r="E1733">
        <f>VLOOKUP(D1733,L$2:M$8,2,FALSE)</f>
        <v>0.25</v>
      </c>
      <c r="F1733">
        <f t="shared" si="81"/>
        <v>5</v>
      </c>
      <c r="G1733">
        <f>IF(F1733&gt;F1732,G1732+B1733*E1733,B1733*E1733)</f>
        <v>2.071777</v>
      </c>
      <c r="H1733">
        <f t="shared" si="82"/>
        <v>1</v>
      </c>
      <c r="I1733">
        <f t="shared" si="83"/>
        <v>0</v>
      </c>
    </row>
    <row r="1734" spans="1:9">
      <c r="A1734" s="1">
        <v>41249</v>
      </c>
      <c r="B1734">
        <v>2.1082700000000001</v>
      </c>
      <c r="C1734">
        <v>3.2450000000000001</v>
      </c>
      <c r="D1734">
        <f>WEEKDAY(A1734,14)</f>
        <v>1</v>
      </c>
      <c r="E1734">
        <f>VLOOKUP(D1734,L$2:M$8,2,FALSE)</f>
        <v>0</v>
      </c>
      <c r="F1734">
        <f t="shared" si="81"/>
        <v>1</v>
      </c>
      <c r="G1734">
        <f>IF(F1734&gt;F1733,G1733+B1734*E1734,B1734*E1734)</f>
        <v>0</v>
      </c>
      <c r="H1734">
        <f t="shared" si="82"/>
        <v>0</v>
      </c>
      <c r="I1734">
        <f t="shared" si="83"/>
        <v>2.071777</v>
      </c>
    </row>
    <row r="1735" spans="1:9">
      <c r="A1735" s="1">
        <v>41250</v>
      </c>
      <c r="B1735">
        <v>2.1663299999999999</v>
      </c>
      <c r="C1735">
        <v>3.2450000000000001</v>
      </c>
      <c r="D1735">
        <f>WEEKDAY(A1735,14)</f>
        <v>2</v>
      </c>
      <c r="E1735">
        <f>VLOOKUP(D1735,L$2:M$8,2,FALSE)</f>
        <v>0</v>
      </c>
      <c r="F1735">
        <f t="shared" si="81"/>
        <v>2</v>
      </c>
      <c r="G1735">
        <f>IF(F1735&gt;F1734,G1734+B1735*E1735,B1735*E1735)</f>
        <v>0</v>
      </c>
      <c r="H1735">
        <f t="shared" si="82"/>
        <v>0</v>
      </c>
      <c r="I1735">
        <f t="shared" si="83"/>
        <v>0</v>
      </c>
    </row>
    <row r="1736" spans="1:9">
      <c r="A1736" s="1">
        <v>41253</v>
      </c>
      <c r="B1736">
        <v>2.1263200000000002</v>
      </c>
      <c r="C1736">
        <v>3.2450000000000001</v>
      </c>
      <c r="D1736">
        <f>WEEKDAY(A1736,14)</f>
        <v>5</v>
      </c>
      <c r="E1736">
        <f>VLOOKUP(D1736,L$2:M$8,2,FALSE)</f>
        <v>0.05</v>
      </c>
      <c r="F1736">
        <f t="shared" si="81"/>
        <v>3</v>
      </c>
      <c r="G1736">
        <f>IF(F1736&gt;F1735,G1735+B1736*E1736,B1736*E1736)</f>
        <v>0.10631600000000002</v>
      </c>
      <c r="H1736">
        <f t="shared" si="82"/>
        <v>0.05</v>
      </c>
      <c r="I1736">
        <f t="shared" si="83"/>
        <v>0</v>
      </c>
    </row>
    <row r="1737" spans="1:9">
      <c r="A1737" s="1">
        <v>41254</v>
      </c>
      <c r="B1737">
        <v>2.1257000000000001</v>
      </c>
      <c r="C1737">
        <v>3.2450000000000001</v>
      </c>
      <c r="D1737">
        <f>WEEKDAY(A1737,14)</f>
        <v>6</v>
      </c>
      <c r="E1737">
        <f>VLOOKUP(D1737,L$2:M$8,2,FALSE)</f>
        <v>0.7</v>
      </c>
      <c r="F1737">
        <f t="shared" si="81"/>
        <v>4</v>
      </c>
      <c r="G1737">
        <f>IF(F1737&gt;F1736,G1736+B1737*E1737,B1737*E1737)</f>
        <v>1.594306</v>
      </c>
      <c r="H1737">
        <f t="shared" si="82"/>
        <v>0.75</v>
      </c>
      <c r="I1737">
        <f t="shared" si="83"/>
        <v>0</v>
      </c>
    </row>
    <row r="1738" spans="1:9">
      <c r="A1738" s="1">
        <v>41255</v>
      </c>
      <c r="B1738">
        <v>2.1698499999999998</v>
      </c>
      <c r="C1738">
        <v>3.2450000000000001</v>
      </c>
      <c r="D1738">
        <f>WEEKDAY(A1738,14)</f>
        <v>7</v>
      </c>
      <c r="E1738">
        <f>VLOOKUP(D1738,L$2:M$8,2,FALSE)</f>
        <v>0.25</v>
      </c>
      <c r="F1738">
        <f t="shared" si="81"/>
        <v>5</v>
      </c>
      <c r="G1738">
        <f>IF(F1738&gt;F1737,G1737+B1738*E1738,B1738*E1738)</f>
        <v>2.1367685000000001</v>
      </c>
      <c r="H1738">
        <f t="shared" si="82"/>
        <v>1</v>
      </c>
      <c r="I1738">
        <f t="shared" si="83"/>
        <v>0</v>
      </c>
    </row>
    <row r="1739" spans="1:9">
      <c r="A1739" s="1">
        <v>41256</v>
      </c>
      <c r="B1739">
        <v>2.1795399999999998</v>
      </c>
      <c r="C1739">
        <v>3.2949999999999999</v>
      </c>
      <c r="D1739">
        <f>WEEKDAY(A1739,14)</f>
        <v>1</v>
      </c>
      <c r="E1739">
        <f>VLOOKUP(D1739,L$2:M$8,2,FALSE)</f>
        <v>0</v>
      </c>
      <c r="F1739">
        <f t="shared" si="81"/>
        <v>1</v>
      </c>
      <c r="G1739">
        <f>IF(F1739&gt;F1738,G1738+B1739*E1739,B1739*E1739)</f>
        <v>0</v>
      </c>
      <c r="H1739">
        <f t="shared" si="82"/>
        <v>0</v>
      </c>
      <c r="I1739">
        <f t="shared" si="83"/>
        <v>2.1367685000000001</v>
      </c>
    </row>
    <row r="1740" spans="1:9">
      <c r="A1740" s="1">
        <v>41257</v>
      </c>
      <c r="B1740">
        <v>2.1747100000000001</v>
      </c>
      <c r="C1740">
        <v>3.2949999999999999</v>
      </c>
      <c r="D1740">
        <f>WEEKDAY(A1740,14)</f>
        <v>2</v>
      </c>
      <c r="E1740">
        <f>VLOOKUP(D1740,L$2:M$8,2,FALSE)</f>
        <v>0</v>
      </c>
      <c r="F1740">
        <f t="shared" si="81"/>
        <v>2</v>
      </c>
      <c r="G1740">
        <f>IF(F1740&gt;F1739,G1739+B1740*E1740,B1740*E1740)</f>
        <v>0</v>
      </c>
      <c r="H1740">
        <f t="shared" si="82"/>
        <v>0</v>
      </c>
      <c r="I1740">
        <f t="shared" si="83"/>
        <v>0</v>
      </c>
    </row>
    <row r="1741" spans="1:9">
      <c r="A1741" s="1">
        <v>41260</v>
      </c>
      <c r="B1741">
        <v>2.2147999999999999</v>
      </c>
      <c r="C1741">
        <v>3.2949999999999999</v>
      </c>
      <c r="D1741">
        <f>WEEKDAY(A1741,14)</f>
        <v>5</v>
      </c>
      <c r="E1741">
        <f>VLOOKUP(D1741,L$2:M$8,2,FALSE)</f>
        <v>0.05</v>
      </c>
      <c r="F1741">
        <f t="shared" si="81"/>
        <v>3</v>
      </c>
      <c r="G1741">
        <f>IF(F1741&gt;F1740,G1740+B1741*E1741,B1741*E1741)</f>
        <v>0.11074000000000001</v>
      </c>
      <c r="H1741">
        <f t="shared" si="82"/>
        <v>0.05</v>
      </c>
      <c r="I1741">
        <f t="shared" si="83"/>
        <v>0</v>
      </c>
    </row>
    <row r="1742" spans="1:9">
      <c r="A1742" s="1">
        <v>41261</v>
      </c>
      <c r="B1742">
        <v>2.2780200000000002</v>
      </c>
      <c r="C1742">
        <v>3.2949999999999999</v>
      </c>
      <c r="D1742">
        <f>WEEKDAY(A1742,14)</f>
        <v>6</v>
      </c>
      <c r="E1742">
        <f>VLOOKUP(D1742,L$2:M$8,2,FALSE)</f>
        <v>0.7</v>
      </c>
      <c r="F1742">
        <f t="shared" si="81"/>
        <v>4</v>
      </c>
      <c r="G1742">
        <f>IF(F1742&gt;F1741,G1741+B1742*E1742,B1742*E1742)</f>
        <v>1.705354</v>
      </c>
      <c r="H1742">
        <f t="shared" si="82"/>
        <v>0.75</v>
      </c>
      <c r="I1742">
        <f t="shared" si="83"/>
        <v>0</v>
      </c>
    </row>
    <row r="1743" spans="1:9">
      <c r="A1743" s="1">
        <v>41262</v>
      </c>
      <c r="B1743">
        <v>2.2371699999999999</v>
      </c>
      <c r="C1743">
        <v>3.2949999999999999</v>
      </c>
      <c r="D1743">
        <f>WEEKDAY(A1743,14)</f>
        <v>7</v>
      </c>
      <c r="E1743">
        <f>VLOOKUP(D1743,L$2:M$8,2,FALSE)</f>
        <v>0.25</v>
      </c>
      <c r="F1743">
        <f t="shared" si="81"/>
        <v>5</v>
      </c>
      <c r="G1743">
        <f>IF(F1743&gt;F1742,G1742+B1743*E1743,B1743*E1743)</f>
        <v>2.2646465</v>
      </c>
      <c r="H1743">
        <f t="shared" si="82"/>
        <v>1</v>
      </c>
      <c r="I1743">
        <f t="shared" si="83"/>
        <v>0</v>
      </c>
    </row>
    <row r="1744" spans="1:9">
      <c r="A1744" s="1">
        <v>41263</v>
      </c>
      <c r="B1744">
        <v>2.2213500000000002</v>
      </c>
      <c r="C1744">
        <v>3.2749999999999999</v>
      </c>
      <c r="D1744">
        <f>WEEKDAY(A1744,14)</f>
        <v>1</v>
      </c>
      <c r="E1744">
        <f>VLOOKUP(D1744,L$2:M$8,2,FALSE)</f>
        <v>0</v>
      </c>
      <c r="F1744">
        <f t="shared" si="81"/>
        <v>1</v>
      </c>
      <c r="G1744">
        <f>IF(F1744&gt;F1743,G1743+B1744*E1744,B1744*E1744)</f>
        <v>0</v>
      </c>
      <c r="H1744">
        <f t="shared" si="82"/>
        <v>0</v>
      </c>
      <c r="I1744">
        <f t="shared" si="83"/>
        <v>2.2646465</v>
      </c>
    </row>
    <row r="1745" spans="1:9">
      <c r="A1745" s="1">
        <v>41264</v>
      </c>
      <c r="B1745">
        <v>2.18757</v>
      </c>
      <c r="C1745">
        <v>3.2749999999999999</v>
      </c>
      <c r="D1745">
        <f>WEEKDAY(A1745,14)</f>
        <v>2</v>
      </c>
      <c r="E1745">
        <f>VLOOKUP(D1745,L$2:M$8,2,FALSE)</f>
        <v>0</v>
      </c>
      <c r="F1745">
        <f t="shared" si="81"/>
        <v>2</v>
      </c>
      <c r="G1745">
        <f>IF(F1745&gt;F1744,G1744+B1745*E1745,B1745*E1745)</f>
        <v>0</v>
      </c>
      <c r="H1745">
        <f t="shared" si="82"/>
        <v>0</v>
      </c>
      <c r="I1745">
        <f t="shared" si="83"/>
        <v>0</v>
      </c>
    </row>
    <row r="1746" spans="1:9">
      <c r="A1746" s="1">
        <v>41267</v>
      </c>
      <c r="B1746">
        <v>2.2151100000000001</v>
      </c>
      <c r="C1746">
        <v>3.2749999999999999</v>
      </c>
      <c r="D1746">
        <f>WEEKDAY(A1746,14)</f>
        <v>5</v>
      </c>
      <c r="E1746">
        <f>VLOOKUP(D1746,L$2:M$8,2,FALSE)</f>
        <v>0.05</v>
      </c>
      <c r="F1746">
        <f t="shared" si="81"/>
        <v>3</v>
      </c>
      <c r="G1746">
        <f>IF(F1746&gt;F1745,G1745+B1746*E1746,B1746*E1746)</f>
        <v>0.11075550000000001</v>
      </c>
      <c r="H1746">
        <f t="shared" si="82"/>
        <v>0.05</v>
      </c>
      <c r="I1746">
        <f t="shared" si="83"/>
        <v>0</v>
      </c>
    </row>
    <row r="1747" spans="1:9">
      <c r="A1747" s="1">
        <v>41269</v>
      </c>
      <c r="B1747">
        <v>2.19828</v>
      </c>
      <c r="C1747">
        <v>3.2749999999999999</v>
      </c>
      <c r="D1747">
        <f>WEEKDAY(A1747,14)</f>
        <v>7</v>
      </c>
      <c r="E1747">
        <f>VLOOKUP(D1747,L$2:M$8,2,FALSE)</f>
        <v>0.25</v>
      </c>
      <c r="F1747">
        <f t="shared" si="81"/>
        <v>4</v>
      </c>
      <c r="G1747">
        <f>IF(F1747&gt;F1746,G1746+B1747*E1747,B1747*E1747)</f>
        <v>0.66032550000000001</v>
      </c>
      <c r="H1747">
        <f t="shared" si="82"/>
        <v>0.3</v>
      </c>
      <c r="I1747">
        <f t="shared" si="83"/>
        <v>0</v>
      </c>
    </row>
    <row r="1748" spans="1:9">
      <c r="A1748" s="1">
        <v>41270</v>
      </c>
      <c r="B1748">
        <v>2.1768000000000001</v>
      </c>
      <c r="C1748">
        <v>3.2650000000000001</v>
      </c>
      <c r="D1748">
        <f>WEEKDAY(A1748,14)</f>
        <v>1</v>
      </c>
      <c r="E1748">
        <f>VLOOKUP(D1748,L$2:M$8,2,FALSE)</f>
        <v>0</v>
      </c>
      <c r="F1748">
        <f t="shared" si="81"/>
        <v>1</v>
      </c>
      <c r="G1748">
        <f>IF(F1748&gt;F1747,G1747+B1748*E1748,B1748*E1748)</f>
        <v>0</v>
      </c>
      <c r="H1748">
        <f t="shared" si="82"/>
        <v>0</v>
      </c>
      <c r="I1748">
        <f t="shared" si="83"/>
        <v>2.201085</v>
      </c>
    </row>
    <row r="1749" spans="1:9">
      <c r="A1749" s="1">
        <v>41271</v>
      </c>
      <c r="B1749">
        <v>2.1854399999999998</v>
      </c>
      <c r="C1749">
        <v>3.2650000000000001</v>
      </c>
      <c r="D1749">
        <f>WEEKDAY(A1749,14)</f>
        <v>2</v>
      </c>
      <c r="E1749">
        <f>VLOOKUP(D1749,L$2:M$8,2,FALSE)</f>
        <v>0</v>
      </c>
      <c r="F1749">
        <f t="shared" si="81"/>
        <v>2</v>
      </c>
      <c r="G1749">
        <f>IF(F1749&gt;F1748,G1748+B1749*E1749,B1749*E1749)</f>
        <v>0</v>
      </c>
      <c r="H1749">
        <f t="shared" si="82"/>
        <v>0</v>
      </c>
      <c r="I1749">
        <f t="shared" si="83"/>
        <v>0</v>
      </c>
    </row>
    <row r="1750" spans="1:9">
      <c r="A1750" s="1">
        <v>41274</v>
      </c>
      <c r="B1750">
        <v>2.2000899999999999</v>
      </c>
      <c r="C1750">
        <v>3.2650000000000001</v>
      </c>
      <c r="D1750">
        <f>WEEKDAY(A1750,14)</f>
        <v>5</v>
      </c>
      <c r="E1750">
        <f>VLOOKUP(D1750,L$2:M$8,2,FALSE)</f>
        <v>0.05</v>
      </c>
      <c r="F1750">
        <f t="shared" si="81"/>
        <v>3</v>
      </c>
      <c r="G1750">
        <f>IF(F1750&gt;F1749,G1749+B1750*E1750,B1750*E1750)</f>
        <v>0.11000450000000001</v>
      </c>
      <c r="H1750">
        <f t="shared" si="82"/>
        <v>0.05</v>
      </c>
      <c r="I1750">
        <f t="shared" si="83"/>
        <v>0</v>
      </c>
    </row>
    <row r="1751" spans="1:9">
      <c r="A1751" s="1">
        <v>41276</v>
      </c>
      <c r="B1751">
        <v>2.2624200000000001</v>
      </c>
      <c r="C1751">
        <v>3.2650000000000001</v>
      </c>
      <c r="D1751">
        <f>WEEKDAY(A1751,14)</f>
        <v>7</v>
      </c>
      <c r="E1751">
        <f>VLOOKUP(D1751,L$2:M$8,2,FALSE)</f>
        <v>0.25</v>
      </c>
      <c r="F1751">
        <f t="shared" si="81"/>
        <v>4</v>
      </c>
      <c r="G1751">
        <f>IF(F1751&gt;F1750,G1750+B1751*E1751,B1751*E1751)</f>
        <v>0.67560949999999997</v>
      </c>
      <c r="H1751">
        <f t="shared" si="82"/>
        <v>0.3</v>
      </c>
      <c r="I1751">
        <f t="shared" si="83"/>
        <v>0</v>
      </c>
    </row>
    <row r="1752" spans="1:9">
      <c r="A1752" s="1">
        <v>41277</v>
      </c>
      <c r="B1752">
        <v>2.36511</v>
      </c>
      <c r="C1752">
        <v>3.3250000000000002</v>
      </c>
      <c r="D1752">
        <f>WEEKDAY(A1752,14)</f>
        <v>1</v>
      </c>
      <c r="E1752">
        <f>VLOOKUP(D1752,L$2:M$8,2,FALSE)</f>
        <v>0</v>
      </c>
      <c r="F1752">
        <f t="shared" si="81"/>
        <v>1</v>
      </c>
      <c r="G1752">
        <f>IF(F1752&gt;F1751,G1751+B1752*E1752,B1752*E1752)</f>
        <v>0</v>
      </c>
      <c r="H1752">
        <f t="shared" si="82"/>
        <v>0</v>
      </c>
      <c r="I1752">
        <f t="shared" si="83"/>
        <v>2.2520316666666669</v>
      </c>
    </row>
    <row r="1753" spans="1:9">
      <c r="A1753" s="1">
        <v>41278</v>
      </c>
      <c r="B1753">
        <v>2.3807200000000002</v>
      </c>
      <c r="C1753">
        <v>3.3250000000000002</v>
      </c>
      <c r="D1753">
        <f>WEEKDAY(A1753,14)</f>
        <v>2</v>
      </c>
      <c r="E1753">
        <f>VLOOKUP(D1753,L$2:M$8,2,FALSE)</f>
        <v>0</v>
      </c>
      <c r="F1753">
        <f t="shared" si="81"/>
        <v>2</v>
      </c>
      <c r="G1753">
        <f>IF(F1753&gt;F1752,G1752+B1753*E1753,B1753*E1753)</f>
        <v>0</v>
      </c>
      <c r="H1753">
        <f t="shared" si="82"/>
        <v>0</v>
      </c>
      <c r="I1753">
        <f t="shared" si="83"/>
        <v>0</v>
      </c>
    </row>
    <row r="1754" spans="1:9">
      <c r="A1754" s="1">
        <v>41281</v>
      </c>
      <c r="B1754">
        <v>2.3426300000000002</v>
      </c>
      <c r="C1754">
        <v>3.3250000000000002</v>
      </c>
      <c r="D1754">
        <f>WEEKDAY(A1754,14)</f>
        <v>5</v>
      </c>
      <c r="E1754">
        <f>VLOOKUP(D1754,L$2:M$8,2,FALSE)</f>
        <v>0.05</v>
      </c>
      <c r="F1754">
        <f t="shared" si="81"/>
        <v>3</v>
      </c>
      <c r="G1754">
        <f>IF(F1754&gt;F1753,G1753+B1754*E1754,B1754*E1754)</f>
        <v>0.11713150000000001</v>
      </c>
      <c r="H1754">
        <f t="shared" si="82"/>
        <v>0.05</v>
      </c>
      <c r="I1754">
        <f t="shared" si="83"/>
        <v>0</v>
      </c>
    </row>
    <row r="1755" spans="1:9">
      <c r="A1755" s="1">
        <v>41282</v>
      </c>
      <c r="B1755">
        <v>2.3170099999999998</v>
      </c>
      <c r="C1755">
        <v>3.3250000000000002</v>
      </c>
      <c r="D1755">
        <f>WEEKDAY(A1755,14)</f>
        <v>6</v>
      </c>
      <c r="E1755">
        <f>VLOOKUP(D1755,L$2:M$8,2,FALSE)</f>
        <v>0.7</v>
      </c>
      <c r="F1755">
        <f t="shared" si="81"/>
        <v>4</v>
      </c>
      <c r="G1755">
        <f>IF(F1755&gt;F1754,G1754+B1755*E1755,B1755*E1755)</f>
        <v>1.7390384999999997</v>
      </c>
      <c r="H1755">
        <f t="shared" si="82"/>
        <v>0.75</v>
      </c>
      <c r="I1755">
        <f t="shared" si="83"/>
        <v>0</v>
      </c>
    </row>
    <row r="1756" spans="1:9">
      <c r="A1756" s="1">
        <v>41283</v>
      </c>
      <c r="B1756">
        <v>2.2926299999999999</v>
      </c>
      <c r="C1756">
        <v>3.3250000000000002</v>
      </c>
      <c r="D1756">
        <f>WEEKDAY(A1756,14)</f>
        <v>7</v>
      </c>
      <c r="E1756">
        <f>VLOOKUP(D1756,L$2:M$8,2,FALSE)</f>
        <v>0.25</v>
      </c>
      <c r="F1756">
        <f t="shared" si="81"/>
        <v>5</v>
      </c>
      <c r="G1756">
        <f>IF(F1756&gt;F1755,G1755+B1756*E1756,B1756*E1756)</f>
        <v>2.3121959999999997</v>
      </c>
      <c r="H1756">
        <f t="shared" si="82"/>
        <v>1</v>
      </c>
      <c r="I1756">
        <f t="shared" si="83"/>
        <v>0</v>
      </c>
    </row>
    <row r="1757" spans="1:9">
      <c r="A1757" s="1">
        <v>41284</v>
      </c>
      <c r="B1757">
        <v>2.3291900000000001</v>
      </c>
      <c r="C1757">
        <v>3.3050000000000002</v>
      </c>
      <c r="D1757">
        <f>WEEKDAY(A1757,14)</f>
        <v>1</v>
      </c>
      <c r="E1757">
        <f>VLOOKUP(D1757,L$2:M$8,2,FALSE)</f>
        <v>0</v>
      </c>
      <c r="F1757">
        <f t="shared" si="81"/>
        <v>1</v>
      </c>
      <c r="G1757">
        <f>IF(F1757&gt;F1756,G1756+B1757*E1757,B1757*E1757)</f>
        <v>0</v>
      </c>
      <c r="H1757">
        <f t="shared" si="82"/>
        <v>0</v>
      </c>
      <c r="I1757">
        <f t="shared" si="83"/>
        <v>2.3121959999999997</v>
      </c>
    </row>
    <row r="1758" spans="1:9">
      <c r="A1758" s="1">
        <v>41285</v>
      </c>
      <c r="B1758">
        <v>2.3130799999999998</v>
      </c>
      <c r="C1758">
        <v>3.3050000000000002</v>
      </c>
      <c r="D1758">
        <f>WEEKDAY(A1758,14)</f>
        <v>2</v>
      </c>
      <c r="E1758">
        <f>VLOOKUP(D1758,L$2:M$8,2,FALSE)</f>
        <v>0</v>
      </c>
      <c r="F1758">
        <f t="shared" si="81"/>
        <v>2</v>
      </c>
      <c r="G1758">
        <f>IF(F1758&gt;F1757,G1757+B1758*E1758,B1758*E1758)</f>
        <v>0</v>
      </c>
      <c r="H1758">
        <f t="shared" si="82"/>
        <v>0</v>
      </c>
      <c r="I1758">
        <f t="shared" si="83"/>
        <v>0</v>
      </c>
    </row>
    <row r="1759" spans="1:9">
      <c r="A1759" s="1">
        <v>41288</v>
      </c>
      <c r="B1759">
        <v>2.2784</v>
      </c>
      <c r="C1759">
        <v>3.3050000000000002</v>
      </c>
      <c r="D1759">
        <f>WEEKDAY(A1759,14)</f>
        <v>5</v>
      </c>
      <c r="E1759">
        <f>VLOOKUP(D1759,L$2:M$8,2,FALSE)</f>
        <v>0.05</v>
      </c>
      <c r="F1759">
        <f t="shared" si="81"/>
        <v>3</v>
      </c>
      <c r="G1759">
        <f>IF(F1759&gt;F1758,G1758+B1759*E1759,B1759*E1759)</f>
        <v>0.11392000000000001</v>
      </c>
      <c r="H1759">
        <f t="shared" si="82"/>
        <v>0.05</v>
      </c>
      <c r="I1759">
        <f t="shared" si="83"/>
        <v>0</v>
      </c>
    </row>
    <row r="1760" spans="1:9">
      <c r="A1760" s="1">
        <v>41289</v>
      </c>
      <c r="B1760">
        <v>2.2938399999999999</v>
      </c>
      <c r="C1760">
        <v>3.3050000000000002</v>
      </c>
      <c r="D1760">
        <f>WEEKDAY(A1760,14)</f>
        <v>6</v>
      </c>
      <c r="E1760">
        <f>VLOOKUP(D1760,L$2:M$8,2,FALSE)</f>
        <v>0.7</v>
      </c>
      <c r="F1760">
        <f t="shared" si="81"/>
        <v>4</v>
      </c>
      <c r="G1760">
        <f>IF(F1760&gt;F1759,G1759+B1760*E1760,B1760*E1760)</f>
        <v>1.7196079999999998</v>
      </c>
      <c r="H1760">
        <f t="shared" si="82"/>
        <v>0.75</v>
      </c>
      <c r="I1760">
        <f t="shared" si="83"/>
        <v>0</v>
      </c>
    </row>
    <row r="1761" spans="1:9">
      <c r="A1761" s="1">
        <v>41290</v>
      </c>
      <c r="B1761">
        <v>2.2944100000000001</v>
      </c>
      <c r="C1761">
        <v>3.3050000000000002</v>
      </c>
      <c r="D1761">
        <f>WEEKDAY(A1761,14)</f>
        <v>7</v>
      </c>
      <c r="E1761">
        <f>VLOOKUP(D1761,L$2:M$8,2,FALSE)</f>
        <v>0.25</v>
      </c>
      <c r="F1761">
        <f t="shared" si="81"/>
        <v>5</v>
      </c>
      <c r="G1761">
        <f>IF(F1761&gt;F1760,G1760+B1761*E1761,B1761*E1761)</f>
        <v>2.2932104999999998</v>
      </c>
      <c r="H1761">
        <f t="shared" si="82"/>
        <v>1</v>
      </c>
      <c r="I1761">
        <f t="shared" si="83"/>
        <v>0</v>
      </c>
    </row>
    <row r="1762" spans="1:9">
      <c r="A1762" s="1">
        <v>41291</v>
      </c>
      <c r="B1762">
        <v>2.3689100000000001</v>
      </c>
      <c r="C1762">
        <v>3.3450000000000002</v>
      </c>
      <c r="D1762">
        <f>WEEKDAY(A1762,14)</f>
        <v>1</v>
      </c>
      <c r="E1762">
        <f>VLOOKUP(D1762,L$2:M$8,2,FALSE)</f>
        <v>0</v>
      </c>
      <c r="F1762">
        <f t="shared" si="81"/>
        <v>1</v>
      </c>
      <c r="G1762">
        <f>IF(F1762&gt;F1761,G1761+B1762*E1762,B1762*E1762)</f>
        <v>0</v>
      </c>
      <c r="H1762">
        <f t="shared" si="82"/>
        <v>0</v>
      </c>
      <c r="I1762">
        <f t="shared" si="83"/>
        <v>2.2932104999999998</v>
      </c>
    </row>
    <row r="1763" spans="1:9">
      <c r="A1763" s="1">
        <v>41292</v>
      </c>
      <c r="B1763">
        <v>2.3502800000000001</v>
      </c>
      <c r="C1763">
        <v>3.3450000000000002</v>
      </c>
      <c r="D1763">
        <f>WEEKDAY(A1763,14)</f>
        <v>2</v>
      </c>
      <c r="E1763">
        <f>VLOOKUP(D1763,L$2:M$8,2,FALSE)</f>
        <v>0</v>
      </c>
      <c r="F1763">
        <f t="shared" si="81"/>
        <v>2</v>
      </c>
      <c r="G1763">
        <f>IF(F1763&gt;F1762,G1762+B1763*E1763,B1763*E1763)</f>
        <v>0</v>
      </c>
      <c r="H1763">
        <f t="shared" si="82"/>
        <v>0</v>
      </c>
      <c r="I1763">
        <f t="shared" si="83"/>
        <v>0</v>
      </c>
    </row>
    <row r="1764" spans="1:9">
      <c r="A1764" s="1">
        <v>41296</v>
      </c>
      <c r="B1764">
        <v>2.3522099999999999</v>
      </c>
      <c r="C1764">
        <v>3.3450000000000002</v>
      </c>
      <c r="D1764">
        <f>WEEKDAY(A1764,14)</f>
        <v>6</v>
      </c>
      <c r="E1764">
        <f>VLOOKUP(D1764,L$2:M$8,2,FALSE)</f>
        <v>0.7</v>
      </c>
      <c r="F1764">
        <f t="shared" si="81"/>
        <v>3</v>
      </c>
      <c r="G1764">
        <f>IF(F1764&gt;F1763,G1763+B1764*E1764,B1764*E1764)</f>
        <v>1.6465469999999998</v>
      </c>
      <c r="H1764">
        <f t="shared" si="82"/>
        <v>0.7</v>
      </c>
      <c r="I1764">
        <f t="shared" si="83"/>
        <v>0</v>
      </c>
    </row>
    <row r="1765" spans="1:9">
      <c r="A1765" s="1">
        <v>41297</v>
      </c>
      <c r="B1765">
        <v>2.3433099999999998</v>
      </c>
      <c r="C1765">
        <v>3.3450000000000002</v>
      </c>
      <c r="D1765">
        <f>WEEKDAY(A1765,14)</f>
        <v>7</v>
      </c>
      <c r="E1765">
        <f>VLOOKUP(D1765,L$2:M$8,2,FALSE)</f>
        <v>0.25</v>
      </c>
      <c r="F1765">
        <f t="shared" si="81"/>
        <v>4</v>
      </c>
      <c r="G1765">
        <f>IF(F1765&gt;F1764,G1764+B1765*E1765,B1765*E1765)</f>
        <v>2.2323744999999997</v>
      </c>
      <c r="H1765">
        <f t="shared" si="82"/>
        <v>0.95</v>
      </c>
      <c r="I1765">
        <f t="shared" si="83"/>
        <v>0</v>
      </c>
    </row>
    <row r="1766" spans="1:9">
      <c r="A1766" s="1">
        <v>41298</v>
      </c>
      <c r="B1766">
        <v>2.3674200000000001</v>
      </c>
      <c r="C1766">
        <v>3.4550000000000001</v>
      </c>
      <c r="D1766">
        <f>WEEKDAY(A1766,14)</f>
        <v>1</v>
      </c>
      <c r="E1766">
        <f>VLOOKUP(D1766,L$2:M$8,2,FALSE)</f>
        <v>0</v>
      </c>
      <c r="F1766">
        <f t="shared" si="81"/>
        <v>1</v>
      </c>
      <c r="G1766">
        <f>IF(F1766&gt;F1765,G1765+B1766*E1766,B1766*E1766)</f>
        <v>0</v>
      </c>
      <c r="H1766">
        <f t="shared" si="82"/>
        <v>0</v>
      </c>
      <c r="I1766">
        <f t="shared" si="83"/>
        <v>2.3498678947368421</v>
      </c>
    </row>
    <row r="1767" spans="1:9">
      <c r="A1767" s="1">
        <v>41299</v>
      </c>
      <c r="B1767">
        <v>2.5053200000000002</v>
      </c>
      <c r="C1767">
        <v>3.4550000000000001</v>
      </c>
      <c r="D1767">
        <f>WEEKDAY(A1767,14)</f>
        <v>2</v>
      </c>
      <c r="E1767">
        <f>VLOOKUP(D1767,L$2:M$8,2,FALSE)</f>
        <v>0</v>
      </c>
      <c r="F1767">
        <f t="shared" si="81"/>
        <v>2</v>
      </c>
      <c r="G1767">
        <f>IF(F1767&gt;F1766,G1766+B1767*E1767,B1767*E1767)</f>
        <v>0</v>
      </c>
      <c r="H1767">
        <f t="shared" si="82"/>
        <v>0</v>
      </c>
      <c r="I1767">
        <f t="shared" si="83"/>
        <v>0</v>
      </c>
    </row>
    <row r="1768" spans="1:9">
      <c r="A1768" s="1">
        <v>41302</v>
      </c>
      <c r="B1768">
        <v>2.5393300000000001</v>
      </c>
      <c r="C1768">
        <v>3.4550000000000001</v>
      </c>
      <c r="D1768">
        <f>WEEKDAY(A1768,14)</f>
        <v>5</v>
      </c>
      <c r="E1768">
        <f>VLOOKUP(D1768,L$2:M$8,2,FALSE)</f>
        <v>0.05</v>
      </c>
      <c r="F1768">
        <f t="shared" si="81"/>
        <v>3</v>
      </c>
      <c r="G1768">
        <f>IF(F1768&gt;F1767,G1767+B1768*E1768,B1768*E1768)</f>
        <v>0.12696650000000001</v>
      </c>
      <c r="H1768">
        <f t="shared" si="82"/>
        <v>0.05</v>
      </c>
      <c r="I1768">
        <f t="shared" si="83"/>
        <v>0</v>
      </c>
    </row>
    <row r="1769" spans="1:9">
      <c r="A1769" s="1">
        <v>41303</v>
      </c>
      <c r="B1769">
        <v>2.5598100000000001</v>
      </c>
      <c r="C1769">
        <v>3.4550000000000001</v>
      </c>
      <c r="D1769">
        <f>WEEKDAY(A1769,14)</f>
        <v>6</v>
      </c>
      <c r="E1769">
        <f>VLOOKUP(D1769,L$2:M$8,2,FALSE)</f>
        <v>0.7</v>
      </c>
      <c r="F1769">
        <f t="shared" si="81"/>
        <v>4</v>
      </c>
      <c r="G1769">
        <f>IF(F1769&gt;F1768,G1768+B1769*E1769,B1769*E1769)</f>
        <v>1.9188334999999999</v>
      </c>
      <c r="H1769">
        <f t="shared" si="82"/>
        <v>0.75</v>
      </c>
      <c r="I1769">
        <f t="shared" si="83"/>
        <v>0</v>
      </c>
    </row>
    <row r="1770" spans="1:9">
      <c r="A1770" s="1">
        <v>41304</v>
      </c>
      <c r="B1770">
        <v>2.5772900000000001</v>
      </c>
      <c r="C1770">
        <v>3.4550000000000001</v>
      </c>
      <c r="D1770">
        <f>WEEKDAY(A1770,14)</f>
        <v>7</v>
      </c>
      <c r="E1770">
        <f>VLOOKUP(D1770,L$2:M$8,2,FALSE)</f>
        <v>0.25</v>
      </c>
      <c r="F1770">
        <f t="shared" si="81"/>
        <v>5</v>
      </c>
      <c r="G1770">
        <f>IF(F1770&gt;F1769,G1769+B1770*E1770,B1770*E1770)</f>
        <v>2.5631559999999998</v>
      </c>
      <c r="H1770">
        <f t="shared" si="82"/>
        <v>1</v>
      </c>
      <c r="I1770">
        <f t="shared" si="83"/>
        <v>0</v>
      </c>
    </row>
    <row r="1771" spans="1:9">
      <c r="A1771" s="1">
        <v>41305</v>
      </c>
      <c r="B1771">
        <v>2.5737700000000001</v>
      </c>
      <c r="C1771">
        <v>3.48</v>
      </c>
      <c r="D1771">
        <f>WEEKDAY(A1771,14)</f>
        <v>1</v>
      </c>
      <c r="E1771">
        <f>VLOOKUP(D1771,L$2:M$8,2,FALSE)</f>
        <v>0</v>
      </c>
      <c r="F1771">
        <f t="shared" si="81"/>
        <v>1</v>
      </c>
      <c r="G1771">
        <f>IF(F1771&gt;F1770,G1770+B1771*E1771,B1771*E1771)</f>
        <v>0</v>
      </c>
      <c r="H1771">
        <f t="shared" si="82"/>
        <v>0</v>
      </c>
      <c r="I1771">
        <f t="shared" si="83"/>
        <v>2.5631559999999998</v>
      </c>
    </row>
    <row r="1772" spans="1:9">
      <c r="A1772" s="1">
        <v>41306</v>
      </c>
      <c r="B1772">
        <v>2.5914100000000002</v>
      </c>
      <c r="C1772">
        <v>3.48</v>
      </c>
      <c r="D1772">
        <f>WEEKDAY(A1772,14)</f>
        <v>2</v>
      </c>
      <c r="E1772">
        <f>VLOOKUP(D1772,L$2:M$8,2,FALSE)</f>
        <v>0</v>
      </c>
      <c r="F1772">
        <f t="shared" si="81"/>
        <v>2</v>
      </c>
      <c r="G1772">
        <f>IF(F1772&gt;F1771,G1771+B1772*E1772,B1772*E1772)</f>
        <v>0</v>
      </c>
      <c r="H1772">
        <f t="shared" si="82"/>
        <v>0</v>
      </c>
      <c r="I1772">
        <f t="shared" si="83"/>
        <v>0</v>
      </c>
    </row>
    <row r="1773" spans="1:9">
      <c r="A1773" s="1">
        <v>41309</v>
      </c>
      <c r="B1773">
        <v>2.5556299999999998</v>
      </c>
      <c r="C1773">
        <v>3.48</v>
      </c>
      <c r="D1773">
        <f>WEEKDAY(A1773,14)</f>
        <v>5</v>
      </c>
      <c r="E1773">
        <f>VLOOKUP(D1773,L$2:M$8,2,FALSE)</f>
        <v>0.05</v>
      </c>
      <c r="F1773">
        <f t="shared" si="81"/>
        <v>3</v>
      </c>
      <c r="G1773">
        <f>IF(F1773&gt;F1772,G1772+B1773*E1773,B1773*E1773)</f>
        <v>0.12778149999999999</v>
      </c>
      <c r="H1773">
        <f t="shared" si="82"/>
        <v>0.05</v>
      </c>
      <c r="I1773">
        <f t="shared" si="83"/>
        <v>0</v>
      </c>
    </row>
    <row r="1774" spans="1:9">
      <c r="A1774" s="1">
        <v>41310</v>
      </c>
      <c r="B1774">
        <v>2.6005199999999999</v>
      </c>
      <c r="C1774">
        <v>3.48</v>
      </c>
      <c r="D1774">
        <f>WEEKDAY(A1774,14)</f>
        <v>6</v>
      </c>
      <c r="E1774">
        <f>VLOOKUP(D1774,L$2:M$8,2,FALSE)</f>
        <v>0.7</v>
      </c>
      <c r="F1774">
        <f t="shared" si="81"/>
        <v>4</v>
      </c>
      <c r="G1774">
        <f>IF(F1774&gt;F1773,G1773+B1774*E1774,B1774*E1774)</f>
        <v>1.9481454999999999</v>
      </c>
      <c r="H1774">
        <f t="shared" si="82"/>
        <v>0.75</v>
      </c>
      <c r="I1774">
        <f t="shared" si="83"/>
        <v>0</v>
      </c>
    </row>
    <row r="1775" spans="1:9">
      <c r="A1775" s="1">
        <v>41311</v>
      </c>
      <c r="B1775">
        <v>2.5594299999999999</v>
      </c>
      <c r="C1775">
        <v>3.48</v>
      </c>
      <c r="D1775">
        <f>WEEKDAY(A1775,14)</f>
        <v>7</v>
      </c>
      <c r="E1775">
        <f>VLOOKUP(D1775,L$2:M$8,2,FALSE)</f>
        <v>0.25</v>
      </c>
      <c r="F1775">
        <f t="shared" si="81"/>
        <v>5</v>
      </c>
      <c r="G1775">
        <f>IF(F1775&gt;F1774,G1774+B1775*E1775,B1775*E1775)</f>
        <v>2.5880029999999996</v>
      </c>
      <c r="H1775">
        <f t="shared" si="82"/>
        <v>1</v>
      </c>
      <c r="I1775">
        <f t="shared" si="83"/>
        <v>0</v>
      </c>
    </row>
    <row r="1776" spans="1:9">
      <c r="A1776" s="1">
        <v>41312</v>
      </c>
      <c r="B1776">
        <v>2.5513599999999999</v>
      </c>
      <c r="C1776">
        <v>3.48</v>
      </c>
      <c r="D1776">
        <f>WEEKDAY(A1776,14)</f>
        <v>1</v>
      </c>
      <c r="E1776">
        <f>VLOOKUP(D1776,L$2:M$8,2,FALSE)</f>
        <v>0</v>
      </c>
      <c r="F1776">
        <f t="shared" si="81"/>
        <v>1</v>
      </c>
      <c r="G1776">
        <f>IF(F1776&gt;F1775,G1775+B1776*E1776,B1776*E1776)</f>
        <v>0</v>
      </c>
      <c r="H1776">
        <f t="shared" si="82"/>
        <v>0</v>
      </c>
      <c r="I1776">
        <f t="shared" si="83"/>
        <v>2.5880029999999996</v>
      </c>
    </row>
    <row r="1777" spans="1:9">
      <c r="A1777" s="1">
        <v>41313</v>
      </c>
      <c r="B1777">
        <v>2.5731799999999998</v>
      </c>
      <c r="C1777">
        <v>3.48</v>
      </c>
      <c r="D1777">
        <f>WEEKDAY(A1777,14)</f>
        <v>2</v>
      </c>
      <c r="E1777">
        <f>VLOOKUP(D1777,L$2:M$8,2,FALSE)</f>
        <v>0</v>
      </c>
      <c r="F1777">
        <f t="shared" si="81"/>
        <v>2</v>
      </c>
      <c r="G1777">
        <f>IF(F1777&gt;F1776,G1776+B1777*E1777,B1777*E1777)</f>
        <v>0</v>
      </c>
      <c r="H1777">
        <f t="shared" si="82"/>
        <v>0</v>
      </c>
      <c r="I1777">
        <f t="shared" si="83"/>
        <v>0</v>
      </c>
    </row>
    <row r="1778" spans="1:9">
      <c r="A1778" s="1">
        <v>41316</v>
      </c>
      <c r="B1778">
        <v>2.5653100000000002</v>
      </c>
      <c r="C1778">
        <v>3.48</v>
      </c>
      <c r="D1778">
        <f>WEEKDAY(A1778,14)</f>
        <v>5</v>
      </c>
      <c r="E1778">
        <f>VLOOKUP(D1778,L$2:M$8,2,FALSE)</f>
        <v>0.05</v>
      </c>
      <c r="F1778">
        <f t="shared" si="81"/>
        <v>3</v>
      </c>
      <c r="G1778">
        <f>IF(F1778&gt;F1777,G1777+B1778*E1778,B1778*E1778)</f>
        <v>0.1282655</v>
      </c>
      <c r="H1778">
        <f t="shared" si="82"/>
        <v>0.05</v>
      </c>
      <c r="I1778">
        <f t="shared" si="83"/>
        <v>0</v>
      </c>
    </row>
    <row r="1779" spans="1:9">
      <c r="A1779" s="1">
        <v>41317</v>
      </c>
      <c r="B1779">
        <v>2.6070099999999998</v>
      </c>
      <c r="C1779">
        <v>3.48</v>
      </c>
      <c r="D1779">
        <f>WEEKDAY(A1779,14)</f>
        <v>6</v>
      </c>
      <c r="E1779">
        <f>VLOOKUP(D1779,L$2:M$8,2,FALSE)</f>
        <v>0.7</v>
      </c>
      <c r="F1779">
        <f t="shared" si="81"/>
        <v>4</v>
      </c>
      <c r="G1779">
        <f>IF(F1779&gt;F1778,G1778+B1779*E1779,B1779*E1779)</f>
        <v>1.9531724999999998</v>
      </c>
      <c r="H1779">
        <f t="shared" si="82"/>
        <v>0.75</v>
      </c>
      <c r="I1779">
        <f t="shared" si="83"/>
        <v>0</v>
      </c>
    </row>
    <row r="1780" spans="1:9">
      <c r="A1780" s="1">
        <v>41318</v>
      </c>
      <c r="B1780">
        <v>2.6537199999999999</v>
      </c>
      <c r="C1780">
        <v>3.48</v>
      </c>
      <c r="D1780">
        <f>WEEKDAY(A1780,14)</f>
        <v>7</v>
      </c>
      <c r="E1780">
        <f>VLOOKUP(D1780,L$2:M$8,2,FALSE)</f>
        <v>0.25</v>
      </c>
      <c r="F1780">
        <f t="shared" si="81"/>
        <v>5</v>
      </c>
      <c r="G1780">
        <f>IF(F1780&gt;F1779,G1779+B1780*E1780,B1780*E1780)</f>
        <v>2.6166024999999999</v>
      </c>
      <c r="H1780">
        <f t="shared" si="82"/>
        <v>1</v>
      </c>
      <c r="I1780">
        <f t="shared" si="83"/>
        <v>0</v>
      </c>
    </row>
    <row r="1781" spans="1:9">
      <c r="A1781" s="1">
        <v>41319</v>
      </c>
      <c r="B1781">
        <v>2.6085500000000001</v>
      </c>
      <c r="C1781">
        <v>3.51</v>
      </c>
      <c r="D1781">
        <f>WEEKDAY(A1781,14)</f>
        <v>1</v>
      </c>
      <c r="E1781">
        <f>VLOOKUP(D1781,L$2:M$8,2,FALSE)</f>
        <v>0</v>
      </c>
      <c r="F1781">
        <f t="shared" si="81"/>
        <v>1</v>
      </c>
      <c r="G1781">
        <f>IF(F1781&gt;F1780,G1780+B1781*E1781,B1781*E1781)</f>
        <v>0</v>
      </c>
      <c r="H1781">
        <f t="shared" si="82"/>
        <v>0</v>
      </c>
      <c r="I1781">
        <f t="shared" si="83"/>
        <v>2.6166024999999999</v>
      </c>
    </row>
    <row r="1782" spans="1:9">
      <c r="A1782" s="1">
        <v>41320</v>
      </c>
      <c r="B1782">
        <v>2.62079</v>
      </c>
      <c r="C1782">
        <v>3.51</v>
      </c>
      <c r="D1782">
        <f>WEEKDAY(A1782,14)</f>
        <v>2</v>
      </c>
      <c r="E1782">
        <f>VLOOKUP(D1782,L$2:M$8,2,FALSE)</f>
        <v>0</v>
      </c>
      <c r="F1782">
        <f t="shared" si="81"/>
        <v>2</v>
      </c>
      <c r="G1782">
        <f>IF(F1782&gt;F1781,G1781+B1782*E1782,B1782*E1782)</f>
        <v>0</v>
      </c>
      <c r="H1782">
        <f t="shared" si="82"/>
        <v>0</v>
      </c>
      <c r="I1782">
        <f t="shared" si="83"/>
        <v>0</v>
      </c>
    </row>
    <row r="1783" spans="1:9">
      <c r="A1783" s="1">
        <v>41324</v>
      </c>
      <c r="B1783">
        <v>2.63802</v>
      </c>
      <c r="C1783">
        <v>3.51</v>
      </c>
      <c r="D1783">
        <f>WEEKDAY(A1783,14)</f>
        <v>6</v>
      </c>
      <c r="E1783">
        <f>VLOOKUP(D1783,L$2:M$8,2,FALSE)</f>
        <v>0.7</v>
      </c>
      <c r="F1783">
        <f t="shared" si="81"/>
        <v>3</v>
      </c>
      <c r="G1783">
        <f>IF(F1783&gt;F1782,G1782+B1783*E1783,B1783*E1783)</f>
        <v>1.846614</v>
      </c>
      <c r="H1783">
        <f t="shared" si="82"/>
        <v>0.7</v>
      </c>
      <c r="I1783">
        <f t="shared" si="83"/>
        <v>0</v>
      </c>
    </row>
    <row r="1784" spans="1:9">
      <c r="A1784" s="1">
        <v>41325</v>
      </c>
      <c r="B1784">
        <v>2.6379700000000001</v>
      </c>
      <c r="C1784">
        <v>3.51</v>
      </c>
      <c r="D1784">
        <f>WEEKDAY(A1784,14)</f>
        <v>7</v>
      </c>
      <c r="E1784">
        <f>VLOOKUP(D1784,L$2:M$8,2,FALSE)</f>
        <v>0.25</v>
      </c>
      <c r="F1784">
        <f t="shared" si="81"/>
        <v>4</v>
      </c>
      <c r="G1784">
        <f>IF(F1784&gt;F1783,G1783+B1784*E1784,B1784*E1784)</f>
        <v>2.5061065</v>
      </c>
      <c r="H1784">
        <f t="shared" si="82"/>
        <v>0.95</v>
      </c>
      <c r="I1784">
        <f t="shared" si="83"/>
        <v>0</v>
      </c>
    </row>
    <row r="1785" spans="1:9">
      <c r="A1785" s="1">
        <v>41326</v>
      </c>
      <c r="B1785">
        <v>2.62574</v>
      </c>
      <c r="C1785">
        <v>3.46</v>
      </c>
      <c r="D1785">
        <f>WEEKDAY(A1785,14)</f>
        <v>1</v>
      </c>
      <c r="E1785">
        <f>VLOOKUP(D1785,L$2:M$8,2,FALSE)</f>
        <v>0</v>
      </c>
      <c r="F1785">
        <f t="shared" si="81"/>
        <v>1</v>
      </c>
      <c r="G1785">
        <f>IF(F1785&gt;F1784,G1784+B1785*E1785,B1785*E1785)</f>
        <v>0</v>
      </c>
      <c r="H1785">
        <f t="shared" si="82"/>
        <v>0</v>
      </c>
      <c r="I1785">
        <f t="shared" si="83"/>
        <v>2.6380068421052631</v>
      </c>
    </row>
    <row r="1786" spans="1:9">
      <c r="A1786" s="1">
        <v>41327</v>
      </c>
      <c r="B1786">
        <v>2.62514</v>
      </c>
      <c r="C1786">
        <v>3.46</v>
      </c>
      <c r="D1786">
        <f>WEEKDAY(A1786,14)</f>
        <v>2</v>
      </c>
      <c r="E1786">
        <f>VLOOKUP(D1786,L$2:M$8,2,FALSE)</f>
        <v>0</v>
      </c>
      <c r="F1786">
        <f t="shared" si="81"/>
        <v>2</v>
      </c>
      <c r="G1786">
        <f>IF(F1786&gt;F1785,G1785+B1786*E1786,B1786*E1786)</f>
        <v>0</v>
      </c>
      <c r="H1786">
        <f t="shared" si="82"/>
        <v>0</v>
      </c>
      <c r="I1786">
        <f t="shared" si="83"/>
        <v>0</v>
      </c>
    </row>
    <row r="1787" spans="1:9">
      <c r="A1787" s="1">
        <v>41330</v>
      </c>
      <c r="B1787">
        <v>2.5578599999999998</v>
      </c>
      <c r="C1787">
        <v>3.46</v>
      </c>
      <c r="D1787">
        <f>WEEKDAY(A1787,14)</f>
        <v>5</v>
      </c>
      <c r="E1787">
        <f>VLOOKUP(D1787,L$2:M$8,2,FALSE)</f>
        <v>0.05</v>
      </c>
      <c r="F1787">
        <f t="shared" si="81"/>
        <v>3</v>
      </c>
      <c r="G1787">
        <f>IF(F1787&gt;F1786,G1786+B1787*E1787,B1787*E1787)</f>
        <v>0.12789300000000001</v>
      </c>
      <c r="H1787">
        <f t="shared" si="82"/>
        <v>0.05</v>
      </c>
      <c r="I1787">
        <f t="shared" si="83"/>
        <v>0</v>
      </c>
    </row>
    <row r="1788" spans="1:9">
      <c r="A1788" s="1">
        <v>41331</v>
      </c>
      <c r="B1788">
        <v>2.5389599999999999</v>
      </c>
      <c r="C1788">
        <v>3.46</v>
      </c>
      <c r="D1788">
        <f>WEEKDAY(A1788,14)</f>
        <v>6</v>
      </c>
      <c r="E1788">
        <f>VLOOKUP(D1788,L$2:M$8,2,FALSE)</f>
        <v>0.7</v>
      </c>
      <c r="F1788">
        <f t="shared" si="81"/>
        <v>4</v>
      </c>
      <c r="G1788">
        <f>IF(F1788&gt;F1787,G1787+B1788*E1788,B1788*E1788)</f>
        <v>1.9051649999999998</v>
      </c>
      <c r="H1788">
        <f t="shared" si="82"/>
        <v>0.75</v>
      </c>
      <c r="I1788">
        <f t="shared" si="83"/>
        <v>0</v>
      </c>
    </row>
    <row r="1789" spans="1:9">
      <c r="A1789" s="1">
        <v>41332</v>
      </c>
      <c r="B1789">
        <v>2.5732200000000001</v>
      </c>
      <c r="C1789">
        <v>3.46</v>
      </c>
      <c r="D1789">
        <f>WEEKDAY(A1789,14)</f>
        <v>7</v>
      </c>
      <c r="E1789">
        <f>VLOOKUP(D1789,L$2:M$8,2,FALSE)</f>
        <v>0.25</v>
      </c>
      <c r="F1789">
        <f t="shared" si="81"/>
        <v>5</v>
      </c>
      <c r="G1789">
        <f>IF(F1789&gt;F1788,G1788+B1789*E1789,B1789*E1789)</f>
        <v>2.54847</v>
      </c>
      <c r="H1789">
        <f t="shared" si="82"/>
        <v>1</v>
      </c>
      <c r="I1789">
        <f t="shared" si="83"/>
        <v>0</v>
      </c>
    </row>
    <row r="1790" spans="1:9">
      <c r="A1790" s="1">
        <v>41333</v>
      </c>
      <c r="B1790">
        <v>2.5448400000000002</v>
      </c>
      <c r="C1790">
        <v>3.4449999999999998</v>
      </c>
      <c r="D1790">
        <f>WEEKDAY(A1790,14)</f>
        <v>1</v>
      </c>
      <c r="E1790">
        <f>VLOOKUP(D1790,L$2:M$8,2,FALSE)</f>
        <v>0</v>
      </c>
      <c r="F1790">
        <f t="shared" si="81"/>
        <v>1</v>
      </c>
      <c r="G1790">
        <f>IF(F1790&gt;F1789,G1789+B1790*E1790,B1790*E1790)</f>
        <v>0</v>
      </c>
      <c r="H1790">
        <f t="shared" si="82"/>
        <v>0</v>
      </c>
      <c r="I1790">
        <f t="shared" si="83"/>
        <v>2.54847</v>
      </c>
    </row>
    <row r="1791" spans="1:9">
      <c r="A1791" s="1">
        <v>41334</v>
      </c>
      <c r="B1791">
        <v>2.5299299999999998</v>
      </c>
      <c r="C1791">
        <v>3.4449999999999998</v>
      </c>
      <c r="D1791">
        <f>WEEKDAY(A1791,14)</f>
        <v>2</v>
      </c>
      <c r="E1791">
        <f>VLOOKUP(D1791,L$2:M$8,2,FALSE)</f>
        <v>0</v>
      </c>
      <c r="F1791">
        <f t="shared" si="81"/>
        <v>2</v>
      </c>
      <c r="G1791">
        <f>IF(F1791&gt;F1790,G1790+B1791*E1791,B1791*E1791)</f>
        <v>0</v>
      </c>
      <c r="H1791">
        <f t="shared" si="82"/>
        <v>0</v>
      </c>
      <c r="I1791">
        <f t="shared" si="83"/>
        <v>0</v>
      </c>
    </row>
    <row r="1792" spans="1:9">
      <c r="A1792" s="1">
        <v>41337</v>
      </c>
      <c r="B1792">
        <v>2.5457800000000002</v>
      </c>
      <c r="C1792">
        <v>3.4449999999999998</v>
      </c>
      <c r="D1792">
        <f>WEEKDAY(A1792,14)</f>
        <v>5</v>
      </c>
      <c r="E1792">
        <f>VLOOKUP(D1792,L$2:M$8,2,FALSE)</f>
        <v>0.05</v>
      </c>
      <c r="F1792">
        <f t="shared" si="81"/>
        <v>3</v>
      </c>
      <c r="G1792">
        <f>IF(F1792&gt;F1791,G1791+B1792*E1792,B1792*E1792)</f>
        <v>0.12728900000000001</v>
      </c>
      <c r="H1792">
        <f t="shared" si="82"/>
        <v>0.05</v>
      </c>
      <c r="I1792">
        <f t="shared" si="83"/>
        <v>0</v>
      </c>
    </row>
    <row r="1793" spans="1:9">
      <c r="A1793" s="1">
        <v>41338</v>
      </c>
      <c r="B1793">
        <v>2.5607600000000001</v>
      </c>
      <c r="C1793">
        <v>3.4449999999999998</v>
      </c>
      <c r="D1793">
        <f>WEEKDAY(A1793,14)</f>
        <v>6</v>
      </c>
      <c r="E1793">
        <f>VLOOKUP(D1793,L$2:M$8,2,FALSE)</f>
        <v>0.7</v>
      </c>
      <c r="F1793">
        <f t="shared" si="81"/>
        <v>4</v>
      </c>
      <c r="G1793">
        <f>IF(F1793&gt;F1792,G1792+B1793*E1793,B1793*E1793)</f>
        <v>1.919821</v>
      </c>
      <c r="H1793">
        <f t="shared" si="82"/>
        <v>0.75</v>
      </c>
      <c r="I1793">
        <f t="shared" si="83"/>
        <v>0</v>
      </c>
    </row>
    <row r="1794" spans="1:9">
      <c r="A1794" s="1">
        <v>41339</v>
      </c>
      <c r="B1794">
        <v>2.6125500000000001</v>
      </c>
      <c r="C1794">
        <v>3.4449999999999998</v>
      </c>
      <c r="D1794">
        <f>WEEKDAY(A1794,14)</f>
        <v>7</v>
      </c>
      <c r="E1794">
        <f>VLOOKUP(D1794,L$2:M$8,2,FALSE)</f>
        <v>0.25</v>
      </c>
      <c r="F1794">
        <f t="shared" si="81"/>
        <v>5</v>
      </c>
      <c r="G1794">
        <f>IF(F1794&gt;F1793,G1793+B1794*E1794,B1794*E1794)</f>
        <v>2.5729584999999999</v>
      </c>
      <c r="H1794">
        <f t="shared" si="82"/>
        <v>1</v>
      </c>
      <c r="I1794">
        <f t="shared" si="83"/>
        <v>0</v>
      </c>
    </row>
    <row r="1795" spans="1:9">
      <c r="A1795" s="1">
        <v>41340</v>
      </c>
      <c r="B1795">
        <v>2.6733099999999999</v>
      </c>
      <c r="C1795">
        <v>3.58</v>
      </c>
      <c r="D1795">
        <f>WEEKDAY(A1795,14)</f>
        <v>1</v>
      </c>
      <c r="E1795">
        <f>VLOOKUP(D1795,L$2:M$8,2,FALSE)</f>
        <v>0</v>
      </c>
      <c r="F1795">
        <f t="shared" ref="F1795:F1858" si="84">IF(AND(D1795&gt;D1794,F1794&lt;6),F1794+1,1)</f>
        <v>1</v>
      </c>
      <c r="G1795">
        <f>IF(F1795&gt;F1794,G1794+B1795*E1795,B1795*E1795)</f>
        <v>0</v>
      </c>
      <c r="H1795">
        <f t="shared" si="82"/>
        <v>0</v>
      </c>
      <c r="I1795">
        <f t="shared" si="83"/>
        <v>2.5729584999999999</v>
      </c>
    </row>
    <row r="1796" spans="1:9">
      <c r="A1796" s="1">
        <v>41341</v>
      </c>
      <c r="B1796">
        <v>2.7519200000000001</v>
      </c>
      <c r="C1796">
        <v>3.58</v>
      </c>
      <c r="D1796">
        <f>WEEKDAY(A1796,14)</f>
        <v>2</v>
      </c>
      <c r="E1796">
        <f>VLOOKUP(D1796,L$2:M$8,2,FALSE)</f>
        <v>0</v>
      </c>
      <c r="F1796">
        <f t="shared" si="84"/>
        <v>2</v>
      </c>
      <c r="G1796">
        <f>IF(F1796&gt;F1795,G1795+B1796*E1796,B1796*E1796)</f>
        <v>0</v>
      </c>
      <c r="H1796">
        <f t="shared" ref="H1796:H1859" si="85">IF(AND(F1796&lt;6,F1796&gt;F1795),E1796+H1795,E1796)</f>
        <v>0</v>
      </c>
      <c r="I1796">
        <f t="shared" ref="I1796:I1859" si="86">IF(F1795&gt;F1796,G1795/H1795,0)</f>
        <v>0</v>
      </c>
    </row>
    <row r="1797" spans="1:9">
      <c r="A1797" s="1">
        <v>41344</v>
      </c>
      <c r="B1797">
        <v>2.7399800000000001</v>
      </c>
      <c r="C1797">
        <v>3.58</v>
      </c>
      <c r="D1797">
        <f>WEEKDAY(A1797,14)</f>
        <v>5</v>
      </c>
      <c r="E1797">
        <f>VLOOKUP(D1797,L$2:M$8,2,FALSE)</f>
        <v>0.05</v>
      </c>
      <c r="F1797">
        <f t="shared" si="84"/>
        <v>3</v>
      </c>
      <c r="G1797">
        <f>IF(F1797&gt;F1796,G1796+B1797*E1797,B1797*E1797)</f>
        <v>0.13699900000000001</v>
      </c>
      <c r="H1797">
        <f t="shared" si="85"/>
        <v>0.05</v>
      </c>
      <c r="I1797">
        <f t="shared" si="86"/>
        <v>0</v>
      </c>
    </row>
    <row r="1798" spans="1:9">
      <c r="A1798" s="1">
        <v>41345</v>
      </c>
      <c r="B1798">
        <v>2.7064599999999999</v>
      </c>
      <c r="C1798">
        <v>3.58</v>
      </c>
      <c r="D1798">
        <f>WEEKDAY(A1798,14)</f>
        <v>6</v>
      </c>
      <c r="E1798">
        <f>VLOOKUP(D1798,L$2:M$8,2,FALSE)</f>
        <v>0.7</v>
      </c>
      <c r="F1798">
        <f t="shared" si="84"/>
        <v>4</v>
      </c>
      <c r="G1798">
        <f>IF(F1798&gt;F1797,G1797+B1798*E1798,B1798*E1798)</f>
        <v>2.0315209999999997</v>
      </c>
      <c r="H1798">
        <f t="shared" si="85"/>
        <v>0.75</v>
      </c>
      <c r="I1798">
        <f t="shared" si="86"/>
        <v>0</v>
      </c>
    </row>
    <row r="1799" spans="1:9">
      <c r="A1799" s="1">
        <v>41346</v>
      </c>
      <c r="B1799">
        <v>2.70044</v>
      </c>
      <c r="C1799">
        <v>3.58</v>
      </c>
      <c r="D1799">
        <f>WEEKDAY(A1799,14)</f>
        <v>7</v>
      </c>
      <c r="E1799">
        <f>VLOOKUP(D1799,L$2:M$8,2,FALSE)</f>
        <v>0.25</v>
      </c>
      <c r="F1799">
        <f t="shared" si="84"/>
        <v>5</v>
      </c>
      <c r="G1799">
        <f>IF(F1799&gt;F1798,G1798+B1799*E1799,B1799*E1799)</f>
        <v>2.7066309999999998</v>
      </c>
      <c r="H1799">
        <f t="shared" si="85"/>
        <v>1</v>
      </c>
      <c r="I1799">
        <f t="shared" si="86"/>
        <v>0</v>
      </c>
    </row>
    <row r="1800" spans="1:9">
      <c r="A1800" s="1">
        <v>41347</v>
      </c>
      <c r="B1800">
        <v>2.70546</v>
      </c>
      <c r="C1800">
        <v>3.49</v>
      </c>
      <c r="D1800">
        <f>WEEKDAY(A1800,14)</f>
        <v>1</v>
      </c>
      <c r="E1800">
        <f>VLOOKUP(D1800,L$2:M$8,2,FALSE)</f>
        <v>0</v>
      </c>
      <c r="F1800">
        <f t="shared" si="84"/>
        <v>1</v>
      </c>
      <c r="G1800">
        <f>IF(F1800&gt;F1799,G1799+B1800*E1800,B1800*E1800)</f>
        <v>0</v>
      </c>
      <c r="H1800">
        <f t="shared" si="85"/>
        <v>0</v>
      </c>
      <c r="I1800">
        <f t="shared" si="86"/>
        <v>2.7066309999999998</v>
      </c>
    </row>
    <row r="1801" spans="1:9">
      <c r="A1801" s="1">
        <v>41348</v>
      </c>
      <c r="B1801">
        <v>2.6643400000000002</v>
      </c>
      <c r="C1801">
        <v>3.49</v>
      </c>
      <c r="D1801">
        <f>WEEKDAY(A1801,14)</f>
        <v>2</v>
      </c>
      <c r="E1801">
        <f>VLOOKUP(D1801,L$2:M$8,2,FALSE)</f>
        <v>0</v>
      </c>
      <c r="F1801">
        <f t="shared" si="84"/>
        <v>2</v>
      </c>
      <c r="G1801">
        <f>IF(F1801&gt;F1800,G1800+B1801*E1801,B1801*E1801)</f>
        <v>0</v>
      </c>
      <c r="H1801">
        <f t="shared" si="85"/>
        <v>0</v>
      </c>
      <c r="I1801">
        <f t="shared" si="86"/>
        <v>0</v>
      </c>
    </row>
    <row r="1802" spans="1:9">
      <c r="A1802" s="1">
        <v>41351</v>
      </c>
      <c r="B1802">
        <v>2.6296300000000001</v>
      </c>
      <c r="C1802">
        <v>3.49</v>
      </c>
      <c r="D1802">
        <f>WEEKDAY(A1802,14)</f>
        <v>5</v>
      </c>
      <c r="E1802">
        <f>VLOOKUP(D1802,L$2:M$8,2,FALSE)</f>
        <v>0.05</v>
      </c>
      <c r="F1802">
        <f t="shared" si="84"/>
        <v>3</v>
      </c>
      <c r="G1802">
        <f>IF(F1802&gt;F1801,G1801+B1802*E1802,B1802*E1802)</f>
        <v>0.1314815</v>
      </c>
      <c r="H1802">
        <f t="shared" si="85"/>
        <v>0.05</v>
      </c>
      <c r="I1802">
        <f t="shared" si="86"/>
        <v>0</v>
      </c>
    </row>
    <row r="1803" spans="1:9">
      <c r="A1803" s="1">
        <v>41352</v>
      </c>
      <c r="B1803">
        <v>2.6068600000000002</v>
      </c>
      <c r="C1803">
        <v>3.49</v>
      </c>
      <c r="D1803">
        <f>WEEKDAY(A1803,14)</f>
        <v>6</v>
      </c>
      <c r="E1803">
        <f>VLOOKUP(D1803,L$2:M$8,2,FALSE)</f>
        <v>0.7</v>
      </c>
      <c r="F1803">
        <f t="shared" si="84"/>
        <v>4</v>
      </c>
      <c r="G1803">
        <f>IF(F1803&gt;F1802,G1802+B1803*E1803,B1803*E1803)</f>
        <v>1.9562835000000001</v>
      </c>
      <c r="H1803">
        <f t="shared" si="85"/>
        <v>0.75</v>
      </c>
      <c r="I1803">
        <f t="shared" si="86"/>
        <v>0</v>
      </c>
    </row>
    <row r="1804" spans="1:9">
      <c r="A1804" s="1">
        <v>41353</v>
      </c>
      <c r="B1804">
        <v>2.6469800000000001</v>
      </c>
      <c r="C1804">
        <v>3.49</v>
      </c>
      <c r="D1804">
        <f>WEEKDAY(A1804,14)</f>
        <v>7</v>
      </c>
      <c r="E1804">
        <f>VLOOKUP(D1804,L$2:M$8,2,FALSE)</f>
        <v>0.25</v>
      </c>
      <c r="F1804">
        <f t="shared" si="84"/>
        <v>5</v>
      </c>
      <c r="G1804">
        <f>IF(F1804&gt;F1803,G1803+B1804*E1804,B1804*E1804)</f>
        <v>2.6180285000000003</v>
      </c>
      <c r="H1804">
        <f t="shared" si="85"/>
        <v>1</v>
      </c>
      <c r="I1804">
        <f t="shared" si="86"/>
        <v>0</v>
      </c>
    </row>
    <row r="1805" spans="1:9">
      <c r="A1805" s="1">
        <v>41354</v>
      </c>
      <c r="B1805">
        <v>2.6762700000000001</v>
      </c>
      <c r="C1805">
        <v>3.52</v>
      </c>
      <c r="D1805">
        <f>WEEKDAY(A1805,14)</f>
        <v>1</v>
      </c>
      <c r="E1805">
        <f>VLOOKUP(D1805,L$2:M$8,2,FALSE)</f>
        <v>0</v>
      </c>
      <c r="F1805">
        <f t="shared" si="84"/>
        <v>1</v>
      </c>
      <c r="G1805">
        <f>IF(F1805&gt;F1804,G1804+B1805*E1805,B1805*E1805)</f>
        <v>0</v>
      </c>
      <c r="H1805">
        <f t="shared" si="85"/>
        <v>0</v>
      </c>
      <c r="I1805">
        <f t="shared" si="86"/>
        <v>2.6180285000000003</v>
      </c>
    </row>
    <row r="1806" spans="1:9">
      <c r="A1806" s="1">
        <v>41355</v>
      </c>
      <c r="B1806">
        <v>2.6414800000000001</v>
      </c>
      <c r="C1806">
        <v>3.52</v>
      </c>
      <c r="D1806">
        <f>WEEKDAY(A1806,14)</f>
        <v>2</v>
      </c>
      <c r="E1806">
        <f>VLOOKUP(D1806,L$2:M$8,2,FALSE)</f>
        <v>0</v>
      </c>
      <c r="F1806">
        <f t="shared" si="84"/>
        <v>2</v>
      </c>
      <c r="G1806">
        <f>IF(F1806&gt;F1805,G1805+B1806*E1806,B1806*E1806)</f>
        <v>0</v>
      </c>
      <c r="H1806">
        <f t="shared" si="85"/>
        <v>0</v>
      </c>
      <c r="I1806">
        <f t="shared" si="86"/>
        <v>0</v>
      </c>
    </row>
    <row r="1807" spans="1:9">
      <c r="A1807" s="1">
        <v>41358</v>
      </c>
      <c r="B1807">
        <v>2.6394799999999998</v>
      </c>
      <c r="C1807">
        <v>3.52</v>
      </c>
      <c r="D1807">
        <f>WEEKDAY(A1807,14)</f>
        <v>5</v>
      </c>
      <c r="E1807">
        <f>VLOOKUP(D1807,L$2:M$8,2,FALSE)</f>
        <v>0.05</v>
      </c>
      <c r="F1807">
        <f t="shared" si="84"/>
        <v>3</v>
      </c>
      <c r="G1807">
        <f>IF(F1807&gt;F1806,G1806+B1807*E1807,B1807*E1807)</f>
        <v>0.13197400000000001</v>
      </c>
      <c r="H1807">
        <f t="shared" si="85"/>
        <v>0.05</v>
      </c>
      <c r="I1807">
        <f t="shared" si="86"/>
        <v>0</v>
      </c>
    </row>
    <row r="1808" spans="1:9">
      <c r="A1808" s="1">
        <v>41359</v>
      </c>
      <c r="B1808">
        <v>2.64256</v>
      </c>
      <c r="C1808">
        <v>3.52</v>
      </c>
      <c r="D1808">
        <f>WEEKDAY(A1808,14)</f>
        <v>6</v>
      </c>
      <c r="E1808">
        <f>VLOOKUP(D1808,L$2:M$8,2,FALSE)</f>
        <v>0.7</v>
      </c>
      <c r="F1808">
        <f t="shared" si="84"/>
        <v>4</v>
      </c>
      <c r="G1808">
        <f>IF(F1808&gt;F1807,G1807+B1808*E1808,B1808*E1808)</f>
        <v>1.9817659999999999</v>
      </c>
      <c r="H1808">
        <f t="shared" si="85"/>
        <v>0.75</v>
      </c>
      <c r="I1808">
        <f t="shared" si="86"/>
        <v>0</v>
      </c>
    </row>
    <row r="1809" spans="1:9">
      <c r="A1809" s="1">
        <v>41360</v>
      </c>
      <c r="B1809">
        <v>2.6080700000000001</v>
      </c>
      <c r="C1809">
        <v>3.52</v>
      </c>
      <c r="D1809">
        <f>WEEKDAY(A1809,14)</f>
        <v>7</v>
      </c>
      <c r="E1809">
        <f>VLOOKUP(D1809,L$2:M$8,2,FALSE)</f>
        <v>0.25</v>
      </c>
      <c r="F1809">
        <f t="shared" si="84"/>
        <v>5</v>
      </c>
      <c r="G1809">
        <f>IF(F1809&gt;F1808,G1808+B1809*E1809,B1809*E1809)</f>
        <v>2.6337834999999998</v>
      </c>
      <c r="H1809">
        <f t="shared" si="85"/>
        <v>1</v>
      </c>
      <c r="I1809">
        <f t="shared" si="86"/>
        <v>0</v>
      </c>
    </row>
    <row r="1810" spans="1:9">
      <c r="A1810" s="1">
        <v>41361</v>
      </c>
      <c r="B1810">
        <v>2.6143299999999998</v>
      </c>
      <c r="C1810">
        <v>3.49</v>
      </c>
      <c r="D1810">
        <f>WEEKDAY(A1810,14)</f>
        <v>1</v>
      </c>
      <c r="E1810">
        <f>VLOOKUP(D1810,L$2:M$8,2,FALSE)</f>
        <v>0</v>
      </c>
      <c r="F1810">
        <f t="shared" si="84"/>
        <v>1</v>
      </c>
      <c r="G1810">
        <f>IF(F1810&gt;F1809,G1809+B1810*E1810,B1810*E1810)</f>
        <v>0</v>
      </c>
      <c r="H1810">
        <f t="shared" si="85"/>
        <v>0</v>
      </c>
      <c r="I1810">
        <f t="shared" si="86"/>
        <v>2.6337834999999998</v>
      </c>
    </row>
    <row r="1811" spans="1:9">
      <c r="A1811" s="1">
        <v>41365</v>
      </c>
      <c r="B1811">
        <v>2.5951300000000002</v>
      </c>
      <c r="C1811">
        <v>3.49</v>
      </c>
      <c r="D1811">
        <f>WEEKDAY(A1811,14)</f>
        <v>5</v>
      </c>
      <c r="E1811">
        <f>VLOOKUP(D1811,L$2:M$8,2,FALSE)</f>
        <v>0.05</v>
      </c>
      <c r="F1811">
        <f t="shared" si="84"/>
        <v>2</v>
      </c>
      <c r="G1811">
        <f>IF(F1811&gt;F1810,G1810+B1811*E1811,B1811*E1811)</f>
        <v>0.12975650000000002</v>
      </c>
      <c r="H1811">
        <f t="shared" si="85"/>
        <v>0.05</v>
      </c>
      <c r="I1811">
        <f t="shared" si="86"/>
        <v>0</v>
      </c>
    </row>
    <row r="1812" spans="1:9">
      <c r="A1812" s="1">
        <v>41366</v>
      </c>
      <c r="B1812">
        <v>2.6101999999999999</v>
      </c>
      <c r="C1812">
        <v>3.49</v>
      </c>
      <c r="D1812">
        <f>WEEKDAY(A1812,14)</f>
        <v>6</v>
      </c>
      <c r="E1812">
        <f>VLOOKUP(D1812,L$2:M$8,2,FALSE)</f>
        <v>0.7</v>
      </c>
      <c r="F1812">
        <f t="shared" si="84"/>
        <v>3</v>
      </c>
      <c r="G1812">
        <f>IF(F1812&gt;F1811,G1811+B1812*E1812,B1812*E1812)</f>
        <v>1.9568964999999998</v>
      </c>
      <c r="H1812">
        <f t="shared" si="85"/>
        <v>0.75</v>
      </c>
      <c r="I1812">
        <f t="shared" si="86"/>
        <v>0</v>
      </c>
    </row>
    <row r="1813" spans="1:9">
      <c r="A1813" s="1">
        <v>41367</v>
      </c>
      <c r="B1813">
        <v>2.5647199999999999</v>
      </c>
      <c r="C1813">
        <v>3.49</v>
      </c>
      <c r="D1813">
        <f>WEEKDAY(A1813,14)</f>
        <v>7</v>
      </c>
      <c r="E1813">
        <f>VLOOKUP(D1813,L$2:M$8,2,FALSE)</f>
        <v>0.25</v>
      </c>
      <c r="F1813">
        <f t="shared" si="84"/>
        <v>4</v>
      </c>
      <c r="G1813">
        <f>IF(F1813&gt;F1812,G1812+B1813*E1813,B1813*E1813)</f>
        <v>2.5980764999999999</v>
      </c>
      <c r="H1813">
        <f t="shared" si="85"/>
        <v>1</v>
      </c>
      <c r="I1813">
        <f t="shared" si="86"/>
        <v>0</v>
      </c>
    </row>
    <row r="1814" spans="1:9">
      <c r="A1814" s="1">
        <v>41368</v>
      </c>
      <c r="B1814">
        <v>2.4858699999999998</v>
      </c>
      <c r="C1814">
        <v>3.38</v>
      </c>
      <c r="D1814">
        <f>WEEKDAY(A1814,14)</f>
        <v>1</v>
      </c>
      <c r="E1814">
        <f>VLOOKUP(D1814,L$2:M$8,2,FALSE)</f>
        <v>0</v>
      </c>
      <c r="F1814">
        <f t="shared" si="84"/>
        <v>1</v>
      </c>
      <c r="G1814">
        <f>IF(F1814&gt;F1813,G1813+B1814*E1814,B1814*E1814)</f>
        <v>0</v>
      </c>
      <c r="H1814">
        <f t="shared" si="85"/>
        <v>0</v>
      </c>
      <c r="I1814">
        <f t="shared" si="86"/>
        <v>2.5980764999999999</v>
      </c>
    </row>
    <row r="1815" spans="1:9">
      <c r="A1815" s="1">
        <v>41369</v>
      </c>
      <c r="B1815">
        <v>2.4173800000000001</v>
      </c>
      <c r="C1815">
        <v>3.38</v>
      </c>
      <c r="D1815">
        <f>WEEKDAY(A1815,14)</f>
        <v>2</v>
      </c>
      <c r="E1815">
        <f>VLOOKUP(D1815,L$2:M$8,2,FALSE)</f>
        <v>0</v>
      </c>
      <c r="F1815">
        <f t="shared" si="84"/>
        <v>2</v>
      </c>
      <c r="G1815">
        <f>IF(F1815&gt;F1814,G1814+B1815*E1815,B1815*E1815)</f>
        <v>0</v>
      </c>
      <c r="H1815">
        <f t="shared" si="85"/>
        <v>0</v>
      </c>
      <c r="I1815">
        <f t="shared" si="86"/>
        <v>0</v>
      </c>
    </row>
    <row r="1816" spans="1:9">
      <c r="A1816" s="1">
        <v>41372</v>
      </c>
      <c r="B1816">
        <v>2.47695</v>
      </c>
      <c r="C1816">
        <v>3.38</v>
      </c>
      <c r="D1816">
        <f>WEEKDAY(A1816,14)</f>
        <v>5</v>
      </c>
      <c r="E1816">
        <f>VLOOKUP(D1816,L$2:M$8,2,FALSE)</f>
        <v>0.05</v>
      </c>
      <c r="F1816">
        <f t="shared" si="84"/>
        <v>3</v>
      </c>
      <c r="G1816">
        <f>IF(F1816&gt;F1815,G1815+B1816*E1816,B1816*E1816)</f>
        <v>0.1238475</v>
      </c>
      <c r="H1816">
        <f t="shared" si="85"/>
        <v>0.05</v>
      </c>
      <c r="I1816">
        <f t="shared" si="86"/>
        <v>0</v>
      </c>
    </row>
    <row r="1817" spans="1:9">
      <c r="A1817" s="1">
        <v>41373</v>
      </c>
      <c r="B1817">
        <v>2.4893800000000001</v>
      </c>
      <c r="C1817">
        <v>3.38</v>
      </c>
      <c r="D1817">
        <f>WEEKDAY(A1817,14)</f>
        <v>6</v>
      </c>
      <c r="E1817">
        <f>VLOOKUP(D1817,L$2:M$8,2,FALSE)</f>
        <v>0.7</v>
      </c>
      <c r="F1817">
        <f t="shared" si="84"/>
        <v>4</v>
      </c>
      <c r="G1817">
        <f>IF(F1817&gt;F1816,G1816+B1817*E1817,B1817*E1817)</f>
        <v>1.8664135000000002</v>
      </c>
      <c r="H1817">
        <f t="shared" si="85"/>
        <v>0.75</v>
      </c>
      <c r="I1817">
        <f t="shared" si="86"/>
        <v>0</v>
      </c>
    </row>
    <row r="1818" spans="1:9">
      <c r="A1818" s="1">
        <v>41374</v>
      </c>
      <c r="B1818">
        <v>2.5447899999999999</v>
      </c>
      <c r="C1818">
        <v>3.38</v>
      </c>
      <c r="D1818">
        <f>WEEKDAY(A1818,14)</f>
        <v>7</v>
      </c>
      <c r="E1818">
        <f>VLOOKUP(D1818,L$2:M$8,2,FALSE)</f>
        <v>0.25</v>
      </c>
      <c r="F1818">
        <f t="shared" si="84"/>
        <v>5</v>
      </c>
      <c r="G1818">
        <f>IF(F1818&gt;F1817,G1817+B1818*E1818,B1818*E1818)</f>
        <v>2.5026109999999999</v>
      </c>
      <c r="H1818">
        <f t="shared" si="85"/>
        <v>1</v>
      </c>
      <c r="I1818">
        <f t="shared" si="86"/>
        <v>0</v>
      </c>
    </row>
    <row r="1819" spans="1:9">
      <c r="A1819" s="1">
        <v>41375</v>
      </c>
      <c r="B1819">
        <v>2.5180799999999999</v>
      </c>
      <c r="C1819">
        <v>3.335</v>
      </c>
      <c r="D1819">
        <f>WEEKDAY(A1819,14)</f>
        <v>1</v>
      </c>
      <c r="E1819">
        <f>VLOOKUP(D1819,L$2:M$8,2,FALSE)</f>
        <v>0</v>
      </c>
      <c r="F1819">
        <f t="shared" si="84"/>
        <v>1</v>
      </c>
      <c r="G1819">
        <f>IF(F1819&gt;F1818,G1818+B1819*E1819,B1819*E1819)</f>
        <v>0</v>
      </c>
      <c r="H1819">
        <f t="shared" si="85"/>
        <v>0</v>
      </c>
      <c r="I1819">
        <f t="shared" si="86"/>
        <v>2.5026109999999999</v>
      </c>
    </row>
    <row r="1820" spans="1:9">
      <c r="A1820" s="1">
        <v>41376</v>
      </c>
      <c r="B1820">
        <v>2.4532400000000001</v>
      </c>
      <c r="C1820">
        <v>3.335</v>
      </c>
      <c r="D1820">
        <f>WEEKDAY(A1820,14)</f>
        <v>2</v>
      </c>
      <c r="E1820">
        <f>VLOOKUP(D1820,L$2:M$8,2,FALSE)</f>
        <v>0</v>
      </c>
      <c r="F1820">
        <f t="shared" si="84"/>
        <v>2</v>
      </c>
      <c r="G1820">
        <f>IF(F1820&gt;F1819,G1819+B1820*E1820,B1820*E1820)</f>
        <v>0</v>
      </c>
      <c r="H1820">
        <f t="shared" si="85"/>
        <v>0</v>
      </c>
      <c r="I1820">
        <f t="shared" si="86"/>
        <v>0</v>
      </c>
    </row>
    <row r="1821" spans="1:9">
      <c r="A1821" s="1">
        <v>41379</v>
      </c>
      <c r="B1821">
        <v>2.43066</v>
      </c>
      <c r="C1821">
        <v>3.335</v>
      </c>
      <c r="D1821">
        <f>WEEKDAY(A1821,14)</f>
        <v>5</v>
      </c>
      <c r="E1821">
        <f>VLOOKUP(D1821,L$2:M$8,2,FALSE)</f>
        <v>0.05</v>
      </c>
      <c r="F1821">
        <f t="shared" si="84"/>
        <v>3</v>
      </c>
      <c r="G1821">
        <f>IF(F1821&gt;F1820,G1820+B1821*E1821,B1821*E1821)</f>
        <v>0.121533</v>
      </c>
      <c r="H1821">
        <f t="shared" si="85"/>
        <v>0.05</v>
      </c>
      <c r="I1821">
        <f t="shared" si="86"/>
        <v>0</v>
      </c>
    </row>
    <row r="1822" spans="1:9">
      <c r="A1822" s="1">
        <v>41380</v>
      </c>
      <c r="B1822">
        <v>2.45465</v>
      </c>
      <c r="C1822">
        <v>3.335</v>
      </c>
      <c r="D1822">
        <f>WEEKDAY(A1822,14)</f>
        <v>6</v>
      </c>
      <c r="E1822">
        <f>VLOOKUP(D1822,L$2:M$8,2,FALSE)</f>
        <v>0.7</v>
      </c>
      <c r="F1822">
        <f t="shared" si="84"/>
        <v>4</v>
      </c>
      <c r="G1822">
        <f>IF(F1822&gt;F1821,G1821+B1822*E1822,B1822*E1822)</f>
        <v>1.839788</v>
      </c>
      <c r="H1822">
        <f t="shared" si="85"/>
        <v>0.75</v>
      </c>
      <c r="I1822">
        <f t="shared" si="86"/>
        <v>0</v>
      </c>
    </row>
    <row r="1823" spans="1:9">
      <c r="A1823" s="1">
        <v>41381</v>
      </c>
      <c r="B1823">
        <v>2.4500500000000001</v>
      </c>
      <c r="C1823">
        <v>3.335</v>
      </c>
      <c r="D1823">
        <f>WEEKDAY(A1823,14)</f>
        <v>7</v>
      </c>
      <c r="E1823">
        <f>VLOOKUP(D1823,L$2:M$8,2,FALSE)</f>
        <v>0.25</v>
      </c>
      <c r="F1823">
        <f t="shared" si="84"/>
        <v>5</v>
      </c>
      <c r="G1823">
        <f>IF(F1823&gt;F1822,G1822+B1823*E1823,B1823*E1823)</f>
        <v>2.4523004999999998</v>
      </c>
      <c r="H1823">
        <f t="shared" si="85"/>
        <v>1</v>
      </c>
      <c r="I1823">
        <f t="shared" si="86"/>
        <v>0</v>
      </c>
    </row>
    <row r="1824" spans="1:9">
      <c r="A1824" s="1">
        <v>41382</v>
      </c>
      <c r="B1824">
        <v>2.4319199999999999</v>
      </c>
      <c r="C1824">
        <v>3.35</v>
      </c>
      <c r="D1824">
        <f>WEEKDAY(A1824,14)</f>
        <v>1</v>
      </c>
      <c r="E1824">
        <f>VLOOKUP(D1824,L$2:M$8,2,FALSE)</f>
        <v>0</v>
      </c>
      <c r="F1824">
        <f t="shared" si="84"/>
        <v>1</v>
      </c>
      <c r="G1824">
        <f>IF(F1824&gt;F1823,G1823+B1824*E1824,B1824*E1824)</f>
        <v>0</v>
      </c>
      <c r="H1824">
        <f t="shared" si="85"/>
        <v>0</v>
      </c>
      <c r="I1824">
        <f t="shared" si="86"/>
        <v>2.4523004999999998</v>
      </c>
    </row>
    <row r="1825" spans="1:9">
      <c r="A1825" s="1">
        <v>41383</v>
      </c>
      <c r="B1825">
        <v>2.4478300000000002</v>
      </c>
      <c r="C1825">
        <v>3.35</v>
      </c>
      <c r="D1825">
        <f>WEEKDAY(A1825,14)</f>
        <v>2</v>
      </c>
      <c r="E1825">
        <f>VLOOKUP(D1825,L$2:M$8,2,FALSE)</f>
        <v>0</v>
      </c>
      <c r="F1825">
        <f t="shared" si="84"/>
        <v>2</v>
      </c>
      <c r="G1825">
        <f>IF(F1825&gt;F1824,G1824+B1825*E1825,B1825*E1825)</f>
        <v>0</v>
      </c>
      <c r="H1825">
        <f t="shared" si="85"/>
        <v>0</v>
      </c>
      <c r="I1825">
        <f t="shared" si="86"/>
        <v>0</v>
      </c>
    </row>
    <row r="1826" spans="1:9">
      <c r="A1826" s="1">
        <v>41386</v>
      </c>
      <c r="B1826">
        <v>2.4460999999999999</v>
      </c>
      <c r="C1826">
        <v>3.35</v>
      </c>
      <c r="D1826">
        <f>WEEKDAY(A1826,14)</f>
        <v>5</v>
      </c>
      <c r="E1826">
        <f>VLOOKUP(D1826,L$2:M$8,2,FALSE)</f>
        <v>0.05</v>
      </c>
      <c r="F1826">
        <f t="shared" si="84"/>
        <v>3</v>
      </c>
      <c r="G1826">
        <f>IF(F1826&gt;F1825,G1825+B1826*E1826,B1826*E1826)</f>
        <v>0.122305</v>
      </c>
      <c r="H1826">
        <f t="shared" si="85"/>
        <v>0.05</v>
      </c>
      <c r="I1826">
        <f t="shared" si="86"/>
        <v>0</v>
      </c>
    </row>
    <row r="1827" spans="1:9">
      <c r="A1827" s="1">
        <v>41387</v>
      </c>
      <c r="B1827">
        <v>2.4375300000000002</v>
      </c>
      <c r="C1827">
        <v>3.35</v>
      </c>
      <c r="D1827">
        <f>WEEKDAY(A1827,14)</f>
        <v>6</v>
      </c>
      <c r="E1827">
        <f>VLOOKUP(D1827,L$2:M$8,2,FALSE)</f>
        <v>0.7</v>
      </c>
      <c r="F1827">
        <f t="shared" si="84"/>
        <v>4</v>
      </c>
      <c r="G1827">
        <f>IF(F1827&gt;F1826,G1826+B1827*E1827,B1827*E1827)</f>
        <v>1.828576</v>
      </c>
      <c r="H1827">
        <f t="shared" si="85"/>
        <v>0.75</v>
      </c>
      <c r="I1827">
        <f t="shared" si="86"/>
        <v>0</v>
      </c>
    </row>
    <row r="1828" spans="1:9">
      <c r="A1828" s="1">
        <v>41388</v>
      </c>
      <c r="B1828">
        <v>2.4323899999999998</v>
      </c>
      <c r="C1828">
        <v>3.35</v>
      </c>
      <c r="D1828">
        <f>WEEKDAY(A1828,14)</f>
        <v>7</v>
      </c>
      <c r="E1828">
        <f>VLOOKUP(D1828,L$2:M$8,2,FALSE)</f>
        <v>0.25</v>
      </c>
      <c r="F1828">
        <f t="shared" si="84"/>
        <v>5</v>
      </c>
      <c r="G1828">
        <f>IF(F1828&gt;F1827,G1827+B1828*E1828,B1828*E1828)</f>
        <v>2.4366734999999999</v>
      </c>
      <c r="H1828">
        <f t="shared" si="85"/>
        <v>1</v>
      </c>
      <c r="I1828">
        <f t="shared" si="86"/>
        <v>0</v>
      </c>
    </row>
    <row r="1829" spans="1:9">
      <c r="A1829" s="1">
        <v>41389</v>
      </c>
      <c r="B1829">
        <v>2.43235</v>
      </c>
      <c r="C1829">
        <v>3.2749999999999999</v>
      </c>
      <c r="D1829">
        <f>WEEKDAY(A1829,14)</f>
        <v>1</v>
      </c>
      <c r="E1829">
        <f>VLOOKUP(D1829,L$2:M$8,2,FALSE)</f>
        <v>0</v>
      </c>
      <c r="F1829">
        <f t="shared" si="84"/>
        <v>1</v>
      </c>
      <c r="G1829">
        <f>IF(F1829&gt;F1828,G1828+B1829*E1829,B1829*E1829)</f>
        <v>0</v>
      </c>
      <c r="H1829">
        <f t="shared" si="85"/>
        <v>0</v>
      </c>
      <c r="I1829">
        <f t="shared" si="86"/>
        <v>2.4366734999999999</v>
      </c>
    </row>
    <row r="1830" spans="1:9">
      <c r="A1830" s="1">
        <v>41390</v>
      </c>
      <c r="B1830">
        <v>2.3795099999999998</v>
      </c>
      <c r="C1830">
        <v>3.2749999999999999</v>
      </c>
      <c r="D1830">
        <f>WEEKDAY(A1830,14)</f>
        <v>2</v>
      </c>
      <c r="E1830">
        <f>VLOOKUP(D1830,L$2:M$8,2,FALSE)</f>
        <v>0</v>
      </c>
      <c r="F1830">
        <f t="shared" si="84"/>
        <v>2</v>
      </c>
      <c r="G1830">
        <f>IF(F1830&gt;F1829,G1829+B1830*E1830,B1830*E1830)</f>
        <v>0</v>
      </c>
      <c r="H1830">
        <f t="shared" si="85"/>
        <v>0</v>
      </c>
      <c r="I1830">
        <f t="shared" si="86"/>
        <v>0</v>
      </c>
    </row>
    <row r="1831" spans="1:9">
      <c r="A1831" s="1">
        <v>41393</v>
      </c>
      <c r="B1831">
        <v>2.3744800000000001</v>
      </c>
      <c r="C1831">
        <v>3.2749999999999999</v>
      </c>
      <c r="D1831">
        <f>WEEKDAY(A1831,14)</f>
        <v>5</v>
      </c>
      <c r="E1831">
        <f>VLOOKUP(D1831,L$2:M$8,2,FALSE)</f>
        <v>0.05</v>
      </c>
      <c r="F1831">
        <f t="shared" si="84"/>
        <v>3</v>
      </c>
      <c r="G1831">
        <f>IF(F1831&gt;F1830,G1830+B1831*E1831,B1831*E1831)</f>
        <v>0.11872400000000001</v>
      </c>
      <c r="H1831">
        <f t="shared" si="85"/>
        <v>0.05</v>
      </c>
      <c r="I1831">
        <f t="shared" si="86"/>
        <v>0</v>
      </c>
    </row>
    <row r="1832" spans="1:9">
      <c r="A1832" s="1">
        <v>41394</v>
      </c>
      <c r="B1832">
        <v>2.3535400000000002</v>
      </c>
      <c r="C1832">
        <v>3.2749999999999999</v>
      </c>
      <c r="D1832">
        <f>WEEKDAY(A1832,14)</f>
        <v>6</v>
      </c>
      <c r="E1832">
        <f>VLOOKUP(D1832,L$2:M$8,2,FALSE)</f>
        <v>0.7</v>
      </c>
      <c r="F1832">
        <f t="shared" si="84"/>
        <v>4</v>
      </c>
      <c r="G1832">
        <f>IF(F1832&gt;F1831,G1831+B1832*E1832,B1832*E1832)</f>
        <v>1.766202</v>
      </c>
      <c r="H1832">
        <f t="shared" si="85"/>
        <v>0.75</v>
      </c>
      <c r="I1832">
        <f t="shared" si="86"/>
        <v>0</v>
      </c>
    </row>
    <row r="1833" spans="1:9">
      <c r="A1833" s="1">
        <v>41395</v>
      </c>
      <c r="B1833">
        <v>2.3103600000000002</v>
      </c>
      <c r="C1833">
        <v>3.2749999999999999</v>
      </c>
      <c r="D1833">
        <f>WEEKDAY(A1833,14)</f>
        <v>7</v>
      </c>
      <c r="E1833">
        <f>VLOOKUP(D1833,L$2:M$8,2,FALSE)</f>
        <v>0.25</v>
      </c>
      <c r="F1833">
        <f t="shared" si="84"/>
        <v>5</v>
      </c>
      <c r="G1833">
        <f>IF(F1833&gt;F1832,G1832+B1833*E1833,B1833*E1833)</f>
        <v>2.3437920000000001</v>
      </c>
      <c r="H1833">
        <f t="shared" si="85"/>
        <v>1</v>
      </c>
      <c r="I1833">
        <f t="shared" si="86"/>
        <v>0</v>
      </c>
    </row>
    <row r="1834" spans="1:9">
      <c r="A1834" s="1">
        <v>41396</v>
      </c>
      <c r="B1834">
        <v>2.3420999999999998</v>
      </c>
      <c r="C1834">
        <v>3.3450000000000002</v>
      </c>
      <c r="D1834">
        <f>WEEKDAY(A1834,14)</f>
        <v>1</v>
      </c>
      <c r="E1834">
        <f>VLOOKUP(D1834,L$2:M$8,2,FALSE)</f>
        <v>0</v>
      </c>
      <c r="F1834">
        <f t="shared" si="84"/>
        <v>1</v>
      </c>
      <c r="G1834">
        <f>IF(F1834&gt;F1833,G1833+B1834*E1834,B1834*E1834)</f>
        <v>0</v>
      </c>
      <c r="H1834">
        <f t="shared" si="85"/>
        <v>0</v>
      </c>
      <c r="I1834">
        <f t="shared" si="86"/>
        <v>2.3437920000000001</v>
      </c>
    </row>
    <row r="1835" spans="1:9">
      <c r="A1835" s="1">
        <v>41397</v>
      </c>
      <c r="B1835">
        <v>2.4561500000000001</v>
      </c>
      <c r="C1835">
        <v>3.3450000000000002</v>
      </c>
      <c r="D1835">
        <f>WEEKDAY(A1835,14)</f>
        <v>2</v>
      </c>
      <c r="E1835">
        <f>VLOOKUP(D1835,L$2:M$8,2,FALSE)</f>
        <v>0</v>
      </c>
      <c r="F1835">
        <f t="shared" si="84"/>
        <v>2</v>
      </c>
      <c r="G1835">
        <f>IF(F1835&gt;F1834,G1834+B1835*E1835,B1835*E1835)</f>
        <v>0</v>
      </c>
      <c r="H1835">
        <f t="shared" si="85"/>
        <v>0</v>
      </c>
      <c r="I1835">
        <f t="shared" si="86"/>
        <v>0</v>
      </c>
    </row>
    <row r="1836" spans="1:9">
      <c r="A1836" s="1">
        <v>41400</v>
      </c>
      <c r="B1836">
        <v>2.4723999999999999</v>
      </c>
      <c r="C1836">
        <v>3.3450000000000002</v>
      </c>
      <c r="D1836">
        <f>WEEKDAY(A1836,14)</f>
        <v>5</v>
      </c>
      <c r="E1836">
        <f>VLOOKUP(D1836,L$2:M$8,2,FALSE)</f>
        <v>0.05</v>
      </c>
      <c r="F1836">
        <f t="shared" si="84"/>
        <v>3</v>
      </c>
      <c r="G1836">
        <f>IF(F1836&gt;F1835,G1835+B1836*E1836,B1836*E1836)</f>
        <v>0.12362000000000001</v>
      </c>
      <c r="H1836">
        <f t="shared" si="85"/>
        <v>0.05</v>
      </c>
      <c r="I1836">
        <f t="shared" si="86"/>
        <v>0</v>
      </c>
    </row>
    <row r="1837" spans="1:9">
      <c r="A1837" s="1">
        <v>41401</v>
      </c>
      <c r="B1837">
        <v>2.4889399999999999</v>
      </c>
      <c r="C1837">
        <v>3.3450000000000002</v>
      </c>
      <c r="D1837">
        <f>WEEKDAY(A1837,14)</f>
        <v>6</v>
      </c>
      <c r="E1837">
        <f>VLOOKUP(D1837,L$2:M$8,2,FALSE)</f>
        <v>0.7</v>
      </c>
      <c r="F1837">
        <f t="shared" si="84"/>
        <v>4</v>
      </c>
      <c r="G1837">
        <f>IF(F1837&gt;F1836,G1836+B1837*E1837,B1837*E1837)</f>
        <v>1.8658779999999999</v>
      </c>
      <c r="H1837">
        <f t="shared" si="85"/>
        <v>0.75</v>
      </c>
      <c r="I1837">
        <f t="shared" si="86"/>
        <v>0</v>
      </c>
    </row>
    <row r="1838" spans="1:9">
      <c r="A1838" s="1">
        <v>41402</v>
      </c>
      <c r="B1838">
        <v>2.4724499999999998</v>
      </c>
      <c r="C1838">
        <v>3.3450000000000002</v>
      </c>
      <c r="D1838">
        <f>WEEKDAY(A1838,14)</f>
        <v>7</v>
      </c>
      <c r="E1838">
        <f>VLOOKUP(D1838,L$2:M$8,2,FALSE)</f>
        <v>0.25</v>
      </c>
      <c r="F1838">
        <f t="shared" si="84"/>
        <v>5</v>
      </c>
      <c r="G1838">
        <f>IF(F1838&gt;F1837,G1837+B1838*E1838,B1838*E1838)</f>
        <v>2.4839905</v>
      </c>
      <c r="H1838">
        <f t="shared" si="85"/>
        <v>1</v>
      </c>
      <c r="I1838">
        <f t="shared" si="86"/>
        <v>0</v>
      </c>
    </row>
    <row r="1839" spans="1:9">
      <c r="A1839" s="1">
        <v>41403</v>
      </c>
      <c r="B1839">
        <v>2.4966499999999998</v>
      </c>
      <c r="C1839">
        <v>3.4350000000000001</v>
      </c>
      <c r="D1839">
        <f>WEEKDAY(A1839,14)</f>
        <v>1</v>
      </c>
      <c r="E1839">
        <f>VLOOKUP(D1839,L$2:M$8,2,FALSE)</f>
        <v>0</v>
      </c>
      <c r="F1839">
        <f t="shared" si="84"/>
        <v>1</v>
      </c>
      <c r="G1839">
        <f>IF(F1839&gt;F1838,G1838+B1839*E1839,B1839*E1839)</f>
        <v>0</v>
      </c>
      <c r="H1839">
        <f t="shared" si="85"/>
        <v>0</v>
      </c>
      <c r="I1839">
        <f t="shared" si="86"/>
        <v>2.4839905</v>
      </c>
    </row>
    <row r="1840" spans="1:9">
      <c r="A1840" s="1">
        <v>41404</v>
      </c>
      <c r="B1840">
        <v>2.5868600000000002</v>
      </c>
      <c r="C1840">
        <v>3.4350000000000001</v>
      </c>
      <c r="D1840">
        <f>WEEKDAY(A1840,14)</f>
        <v>2</v>
      </c>
      <c r="E1840">
        <f>VLOOKUP(D1840,L$2:M$8,2,FALSE)</f>
        <v>0</v>
      </c>
      <c r="F1840">
        <f t="shared" si="84"/>
        <v>2</v>
      </c>
      <c r="G1840">
        <f>IF(F1840&gt;F1839,G1839+B1840*E1840,B1840*E1840)</f>
        <v>0</v>
      </c>
      <c r="H1840">
        <f t="shared" si="85"/>
        <v>0</v>
      </c>
      <c r="I1840">
        <f t="shared" si="86"/>
        <v>0</v>
      </c>
    </row>
    <row r="1841" spans="1:9">
      <c r="A1841" s="1">
        <v>41407</v>
      </c>
      <c r="B1841">
        <v>2.621</v>
      </c>
      <c r="C1841">
        <v>3.4350000000000001</v>
      </c>
      <c r="D1841">
        <f>WEEKDAY(A1841,14)</f>
        <v>5</v>
      </c>
      <c r="E1841">
        <f>VLOOKUP(D1841,L$2:M$8,2,FALSE)</f>
        <v>0.05</v>
      </c>
      <c r="F1841">
        <f t="shared" si="84"/>
        <v>3</v>
      </c>
      <c r="G1841">
        <f>IF(F1841&gt;F1840,G1840+B1841*E1841,B1841*E1841)</f>
        <v>0.13105</v>
      </c>
      <c r="H1841">
        <f t="shared" si="85"/>
        <v>0.05</v>
      </c>
      <c r="I1841">
        <f t="shared" si="86"/>
        <v>0</v>
      </c>
    </row>
    <row r="1842" spans="1:9">
      <c r="A1842" s="1">
        <v>41408</v>
      </c>
      <c r="B1842">
        <v>2.6627200000000002</v>
      </c>
      <c r="C1842">
        <v>3.4350000000000001</v>
      </c>
      <c r="D1842">
        <f>WEEKDAY(A1842,14)</f>
        <v>6</v>
      </c>
      <c r="E1842">
        <f>VLOOKUP(D1842,L$2:M$8,2,FALSE)</f>
        <v>0.7</v>
      </c>
      <c r="F1842">
        <f t="shared" si="84"/>
        <v>4</v>
      </c>
      <c r="G1842">
        <f>IF(F1842&gt;F1841,G1841+B1842*E1842,B1842*E1842)</f>
        <v>1.9949539999999999</v>
      </c>
      <c r="H1842">
        <f t="shared" si="85"/>
        <v>0.75</v>
      </c>
      <c r="I1842">
        <f t="shared" si="86"/>
        <v>0</v>
      </c>
    </row>
    <row r="1843" spans="1:9">
      <c r="A1843" s="1">
        <v>41409</v>
      </c>
      <c r="B1843">
        <v>2.66187</v>
      </c>
      <c r="C1843">
        <v>3.4350000000000001</v>
      </c>
      <c r="D1843">
        <f>WEEKDAY(A1843,14)</f>
        <v>7</v>
      </c>
      <c r="E1843">
        <f>VLOOKUP(D1843,L$2:M$8,2,FALSE)</f>
        <v>0.25</v>
      </c>
      <c r="F1843">
        <f t="shared" si="84"/>
        <v>5</v>
      </c>
      <c r="G1843">
        <f>IF(F1843&gt;F1842,G1842+B1843*E1843,B1843*E1843)</f>
        <v>2.6604215</v>
      </c>
      <c r="H1843">
        <f t="shared" si="85"/>
        <v>1</v>
      </c>
      <c r="I1843">
        <f t="shared" si="86"/>
        <v>0</v>
      </c>
    </row>
    <row r="1844" spans="1:9">
      <c r="A1844" s="1">
        <v>41410</v>
      </c>
      <c r="B1844">
        <v>2.5638800000000002</v>
      </c>
      <c r="C1844">
        <v>3.5150000000000001</v>
      </c>
      <c r="D1844">
        <f>WEEKDAY(A1844,14)</f>
        <v>1</v>
      </c>
      <c r="E1844">
        <f>VLOOKUP(D1844,L$2:M$8,2,FALSE)</f>
        <v>0</v>
      </c>
      <c r="F1844">
        <f t="shared" si="84"/>
        <v>1</v>
      </c>
      <c r="G1844">
        <f>IF(F1844&gt;F1843,G1843+B1844*E1844,B1844*E1844)</f>
        <v>0</v>
      </c>
      <c r="H1844">
        <f t="shared" si="85"/>
        <v>0</v>
      </c>
      <c r="I1844">
        <f t="shared" si="86"/>
        <v>2.6604215</v>
      </c>
    </row>
    <row r="1845" spans="1:9">
      <c r="A1845" s="1">
        <v>41411</v>
      </c>
      <c r="B1845">
        <v>2.68581</v>
      </c>
      <c r="C1845">
        <v>3.5150000000000001</v>
      </c>
      <c r="D1845">
        <f>WEEKDAY(A1845,14)</f>
        <v>2</v>
      </c>
      <c r="E1845">
        <f>VLOOKUP(D1845,L$2:M$8,2,FALSE)</f>
        <v>0</v>
      </c>
      <c r="F1845">
        <f t="shared" si="84"/>
        <v>2</v>
      </c>
      <c r="G1845">
        <f>IF(F1845&gt;F1844,G1844+B1845*E1845,B1845*E1845)</f>
        <v>0</v>
      </c>
      <c r="H1845">
        <f t="shared" si="85"/>
        <v>0</v>
      </c>
      <c r="I1845">
        <f t="shared" si="86"/>
        <v>0</v>
      </c>
    </row>
    <row r="1846" spans="1:9">
      <c r="A1846" s="1">
        <v>41414</v>
      </c>
      <c r="B1846">
        <v>2.7128800000000002</v>
      </c>
      <c r="C1846">
        <v>3.5150000000000001</v>
      </c>
      <c r="D1846">
        <f>WEEKDAY(A1846,14)</f>
        <v>5</v>
      </c>
      <c r="E1846">
        <f>VLOOKUP(D1846,L$2:M$8,2,FALSE)</f>
        <v>0.05</v>
      </c>
      <c r="F1846">
        <f t="shared" si="84"/>
        <v>3</v>
      </c>
      <c r="G1846">
        <f>IF(F1846&gt;F1845,G1845+B1846*E1846,B1846*E1846)</f>
        <v>0.13564400000000001</v>
      </c>
      <c r="H1846">
        <f t="shared" si="85"/>
        <v>0.05</v>
      </c>
      <c r="I1846">
        <f t="shared" si="86"/>
        <v>0</v>
      </c>
    </row>
    <row r="1847" spans="1:9">
      <c r="A1847" s="1">
        <v>41415</v>
      </c>
      <c r="B1847">
        <v>2.6645300000000001</v>
      </c>
      <c r="C1847">
        <v>3.5150000000000001</v>
      </c>
      <c r="D1847">
        <f>WEEKDAY(A1847,14)</f>
        <v>6</v>
      </c>
      <c r="E1847">
        <f>VLOOKUP(D1847,L$2:M$8,2,FALSE)</f>
        <v>0.7</v>
      </c>
      <c r="F1847">
        <f t="shared" si="84"/>
        <v>4</v>
      </c>
      <c r="G1847">
        <f>IF(F1847&gt;F1846,G1846+B1847*E1847,B1847*E1847)</f>
        <v>2.0008149999999998</v>
      </c>
      <c r="H1847">
        <f t="shared" si="85"/>
        <v>0.75</v>
      </c>
      <c r="I1847">
        <f t="shared" si="86"/>
        <v>0</v>
      </c>
    </row>
    <row r="1848" spans="1:9">
      <c r="A1848" s="1">
        <v>41416</v>
      </c>
      <c r="B1848">
        <v>2.78844</v>
      </c>
      <c r="C1848">
        <v>3.5150000000000001</v>
      </c>
      <c r="D1848">
        <f>WEEKDAY(A1848,14)</f>
        <v>7</v>
      </c>
      <c r="E1848">
        <f>VLOOKUP(D1848,L$2:M$8,2,FALSE)</f>
        <v>0.25</v>
      </c>
      <c r="F1848">
        <f t="shared" si="84"/>
        <v>5</v>
      </c>
      <c r="G1848">
        <f>IF(F1848&gt;F1847,G1847+B1848*E1848,B1848*E1848)</f>
        <v>2.6979249999999997</v>
      </c>
      <c r="H1848">
        <f t="shared" si="85"/>
        <v>1</v>
      </c>
      <c r="I1848">
        <f t="shared" si="86"/>
        <v>0</v>
      </c>
    </row>
    <row r="1849" spans="1:9">
      <c r="A1849" s="1">
        <v>41417</v>
      </c>
      <c r="B1849">
        <v>2.8219099999999999</v>
      </c>
      <c r="C1849">
        <v>3.76</v>
      </c>
      <c r="D1849">
        <f>WEEKDAY(A1849,14)</f>
        <v>1</v>
      </c>
      <c r="E1849">
        <f>VLOOKUP(D1849,L$2:M$8,2,FALSE)</f>
        <v>0</v>
      </c>
      <c r="F1849">
        <f t="shared" si="84"/>
        <v>1</v>
      </c>
      <c r="G1849">
        <f>IF(F1849&gt;F1848,G1848+B1849*E1849,B1849*E1849)</f>
        <v>0</v>
      </c>
      <c r="H1849">
        <f t="shared" si="85"/>
        <v>0</v>
      </c>
      <c r="I1849">
        <f t="shared" si="86"/>
        <v>2.6979249999999997</v>
      </c>
    </row>
    <row r="1850" spans="1:9">
      <c r="A1850" s="1">
        <v>41418</v>
      </c>
      <c r="B1850">
        <v>2.8149700000000002</v>
      </c>
      <c r="C1850">
        <v>3.76</v>
      </c>
      <c r="D1850">
        <f>WEEKDAY(A1850,14)</f>
        <v>2</v>
      </c>
      <c r="E1850">
        <f>VLOOKUP(D1850,L$2:M$8,2,FALSE)</f>
        <v>0</v>
      </c>
      <c r="F1850">
        <f t="shared" si="84"/>
        <v>2</v>
      </c>
      <c r="G1850">
        <f>IF(F1850&gt;F1849,G1849+B1850*E1850,B1850*E1850)</f>
        <v>0</v>
      </c>
      <c r="H1850">
        <f t="shared" si="85"/>
        <v>0</v>
      </c>
      <c r="I1850">
        <f t="shared" si="86"/>
        <v>0</v>
      </c>
    </row>
    <row r="1851" spans="1:9">
      <c r="A1851" s="1">
        <v>41422</v>
      </c>
      <c r="B1851">
        <v>2.9439600000000001</v>
      </c>
      <c r="C1851">
        <v>3.76</v>
      </c>
      <c r="D1851">
        <f>WEEKDAY(A1851,14)</f>
        <v>6</v>
      </c>
      <c r="E1851">
        <f>VLOOKUP(D1851,L$2:M$8,2,FALSE)</f>
        <v>0.7</v>
      </c>
      <c r="F1851">
        <f t="shared" si="84"/>
        <v>3</v>
      </c>
      <c r="G1851">
        <f>IF(F1851&gt;F1850,G1850+B1851*E1851,B1851*E1851)</f>
        <v>2.060772</v>
      </c>
      <c r="H1851">
        <f t="shared" si="85"/>
        <v>0.7</v>
      </c>
      <c r="I1851">
        <f t="shared" si="86"/>
        <v>0</v>
      </c>
    </row>
    <row r="1852" spans="1:9">
      <c r="A1852" s="1">
        <v>41423</v>
      </c>
      <c r="B1852">
        <v>2.9196900000000001</v>
      </c>
      <c r="C1852">
        <v>3.76</v>
      </c>
      <c r="D1852">
        <f>WEEKDAY(A1852,14)</f>
        <v>7</v>
      </c>
      <c r="E1852">
        <f>VLOOKUP(D1852,L$2:M$8,2,FALSE)</f>
        <v>0.25</v>
      </c>
      <c r="F1852">
        <f t="shared" si="84"/>
        <v>4</v>
      </c>
      <c r="G1852">
        <f>IF(F1852&gt;F1851,G1851+B1852*E1852,B1852*E1852)</f>
        <v>2.7906944999999999</v>
      </c>
      <c r="H1852">
        <f t="shared" si="85"/>
        <v>0.95</v>
      </c>
      <c r="I1852">
        <f t="shared" si="86"/>
        <v>0</v>
      </c>
    </row>
    <row r="1853" spans="1:9">
      <c r="A1853" s="1">
        <v>41424</v>
      </c>
      <c r="B1853">
        <v>2.9046500000000002</v>
      </c>
      <c r="C1853">
        <v>3.835</v>
      </c>
      <c r="D1853">
        <f>WEEKDAY(A1853,14)</f>
        <v>1</v>
      </c>
      <c r="E1853">
        <f>VLOOKUP(D1853,L$2:M$8,2,FALSE)</f>
        <v>0</v>
      </c>
      <c r="F1853">
        <f t="shared" si="84"/>
        <v>1</v>
      </c>
      <c r="G1853">
        <f>IF(F1853&gt;F1852,G1852+B1853*E1853,B1853*E1853)</f>
        <v>0</v>
      </c>
      <c r="H1853">
        <f t="shared" si="85"/>
        <v>0</v>
      </c>
      <c r="I1853">
        <f t="shared" si="86"/>
        <v>2.9375731578947368</v>
      </c>
    </row>
    <row r="1854" spans="1:9">
      <c r="A1854" s="1">
        <v>41425</v>
      </c>
      <c r="B1854">
        <v>2.9573100000000001</v>
      </c>
      <c r="C1854">
        <v>3.835</v>
      </c>
      <c r="D1854">
        <f>WEEKDAY(A1854,14)</f>
        <v>2</v>
      </c>
      <c r="E1854">
        <f>VLOOKUP(D1854,L$2:M$8,2,FALSE)</f>
        <v>0</v>
      </c>
      <c r="F1854">
        <f t="shared" si="84"/>
        <v>2</v>
      </c>
      <c r="G1854">
        <f>IF(F1854&gt;F1853,G1853+B1854*E1854,B1854*E1854)</f>
        <v>0</v>
      </c>
      <c r="H1854">
        <f t="shared" si="85"/>
        <v>0</v>
      </c>
      <c r="I1854">
        <f t="shared" si="86"/>
        <v>0</v>
      </c>
    </row>
    <row r="1855" spans="1:9">
      <c r="A1855" s="1">
        <v>41428</v>
      </c>
      <c r="B1855">
        <v>2.9603199999999998</v>
      </c>
      <c r="C1855">
        <v>3.835</v>
      </c>
      <c r="D1855">
        <f>WEEKDAY(A1855,14)</f>
        <v>5</v>
      </c>
      <c r="E1855">
        <f>VLOOKUP(D1855,L$2:M$8,2,FALSE)</f>
        <v>0.05</v>
      </c>
      <c r="F1855">
        <f t="shared" si="84"/>
        <v>3</v>
      </c>
      <c r="G1855">
        <f>IF(F1855&gt;F1854,G1854+B1855*E1855,B1855*E1855)</f>
        <v>0.14801600000000001</v>
      </c>
      <c r="H1855">
        <f t="shared" si="85"/>
        <v>0.05</v>
      </c>
      <c r="I1855">
        <f t="shared" si="86"/>
        <v>0</v>
      </c>
    </row>
    <row r="1856" spans="1:9">
      <c r="A1856" s="1">
        <v>41429</v>
      </c>
      <c r="B1856">
        <v>2.9897399999999998</v>
      </c>
      <c r="C1856">
        <v>3.835</v>
      </c>
      <c r="D1856">
        <f>WEEKDAY(A1856,14)</f>
        <v>6</v>
      </c>
      <c r="E1856">
        <f>VLOOKUP(D1856,L$2:M$8,2,FALSE)</f>
        <v>0.7</v>
      </c>
      <c r="F1856">
        <f t="shared" si="84"/>
        <v>4</v>
      </c>
      <c r="G1856">
        <f>IF(F1856&gt;F1855,G1855+B1856*E1856,B1856*E1856)</f>
        <v>2.240834</v>
      </c>
      <c r="H1856">
        <f t="shared" si="85"/>
        <v>0.75</v>
      </c>
      <c r="I1856">
        <f t="shared" si="86"/>
        <v>0</v>
      </c>
    </row>
    <row r="1857" spans="1:9">
      <c r="A1857" s="1">
        <v>41430</v>
      </c>
      <c r="B1857">
        <v>2.9737200000000001</v>
      </c>
      <c r="C1857">
        <v>3.835</v>
      </c>
      <c r="D1857">
        <f>WEEKDAY(A1857,14)</f>
        <v>7</v>
      </c>
      <c r="E1857">
        <f>VLOOKUP(D1857,L$2:M$8,2,FALSE)</f>
        <v>0.25</v>
      </c>
      <c r="F1857">
        <f t="shared" si="84"/>
        <v>5</v>
      </c>
      <c r="G1857">
        <f>IF(F1857&gt;F1856,G1856+B1857*E1857,B1857*E1857)</f>
        <v>2.984264</v>
      </c>
      <c r="H1857">
        <f t="shared" si="85"/>
        <v>1</v>
      </c>
      <c r="I1857">
        <f t="shared" si="86"/>
        <v>0</v>
      </c>
    </row>
    <row r="1858" spans="1:9">
      <c r="A1858" s="1">
        <v>41431</v>
      </c>
      <c r="B1858">
        <v>2.9363899999999998</v>
      </c>
      <c r="C1858">
        <v>3.9049999999999998</v>
      </c>
      <c r="D1858">
        <f>WEEKDAY(A1858,14)</f>
        <v>1</v>
      </c>
      <c r="E1858">
        <f>VLOOKUP(D1858,L$2:M$8,2,FALSE)</f>
        <v>0</v>
      </c>
      <c r="F1858">
        <f t="shared" si="84"/>
        <v>1</v>
      </c>
      <c r="G1858">
        <f>IF(F1858&gt;F1857,G1857+B1858*E1858,B1858*E1858)</f>
        <v>0</v>
      </c>
      <c r="H1858">
        <f t="shared" si="85"/>
        <v>0</v>
      </c>
      <c r="I1858">
        <f t="shared" si="86"/>
        <v>2.984264</v>
      </c>
    </row>
    <row r="1859" spans="1:9">
      <c r="A1859" s="1">
        <v>41432</v>
      </c>
      <c r="B1859">
        <v>2.9931199999999998</v>
      </c>
      <c r="C1859">
        <v>3.9049999999999998</v>
      </c>
      <c r="D1859">
        <f>WEEKDAY(A1859,14)</f>
        <v>2</v>
      </c>
      <c r="E1859">
        <f>VLOOKUP(D1859,L$2:M$8,2,FALSE)</f>
        <v>0</v>
      </c>
      <c r="F1859">
        <f t="shared" ref="F1859:F1922" si="87">IF(AND(D1859&gt;D1858,F1858&lt;6),F1858+1,1)</f>
        <v>2</v>
      </c>
      <c r="G1859">
        <f>IF(F1859&gt;F1858,G1858+B1859*E1859,B1859*E1859)</f>
        <v>0</v>
      </c>
      <c r="H1859">
        <f t="shared" si="85"/>
        <v>0</v>
      </c>
      <c r="I1859">
        <f t="shared" si="86"/>
        <v>0</v>
      </c>
    </row>
    <row r="1860" spans="1:9">
      <c r="A1860" s="1">
        <v>41435</v>
      </c>
      <c r="B1860">
        <v>3.0187499999999998</v>
      </c>
      <c r="C1860">
        <v>3.9049999999999998</v>
      </c>
      <c r="D1860">
        <f>WEEKDAY(A1860,14)</f>
        <v>5</v>
      </c>
      <c r="E1860">
        <f>VLOOKUP(D1860,L$2:M$8,2,FALSE)</f>
        <v>0.05</v>
      </c>
      <c r="F1860">
        <f t="shared" si="87"/>
        <v>3</v>
      </c>
      <c r="G1860">
        <f>IF(F1860&gt;F1859,G1859+B1860*E1860,B1860*E1860)</f>
        <v>0.1509375</v>
      </c>
      <c r="H1860">
        <f t="shared" ref="H1860:H1923" si="88">IF(AND(F1860&lt;6,F1860&gt;F1859),E1860+H1859,E1860)</f>
        <v>0.05</v>
      </c>
      <c r="I1860">
        <f t="shared" ref="I1860:I1923" si="89">IF(F1859&gt;F1860,G1859/H1859,0)</f>
        <v>0</v>
      </c>
    </row>
    <row r="1861" spans="1:9">
      <c r="A1861" s="1">
        <v>41436</v>
      </c>
      <c r="B1861">
        <v>2.9886200000000001</v>
      </c>
      <c r="C1861">
        <v>3.9049999999999998</v>
      </c>
      <c r="D1861">
        <f>WEEKDAY(A1861,14)</f>
        <v>6</v>
      </c>
      <c r="E1861">
        <f>VLOOKUP(D1861,L$2:M$8,2,FALSE)</f>
        <v>0.7</v>
      </c>
      <c r="F1861">
        <f t="shared" si="87"/>
        <v>4</v>
      </c>
      <c r="G1861">
        <f>IF(F1861&gt;F1860,G1860+B1861*E1861,B1861*E1861)</f>
        <v>2.2429714999999999</v>
      </c>
      <c r="H1861">
        <f t="shared" si="88"/>
        <v>0.75</v>
      </c>
      <c r="I1861">
        <f t="shared" si="89"/>
        <v>0</v>
      </c>
    </row>
    <row r="1862" spans="1:9">
      <c r="A1862" s="1">
        <v>41437</v>
      </c>
      <c r="B1862">
        <v>3.0173000000000001</v>
      </c>
      <c r="C1862">
        <v>3.9049999999999998</v>
      </c>
      <c r="D1862">
        <f>WEEKDAY(A1862,14)</f>
        <v>7</v>
      </c>
      <c r="E1862">
        <f>VLOOKUP(D1862,L$2:M$8,2,FALSE)</f>
        <v>0.25</v>
      </c>
      <c r="F1862">
        <f t="shared" si="87"/>
        <v>5</v>
      </c>
      <c r="G1862">
        <f>IF(F1862&gt;F1861,G1861+B1862*E1862,B1862*E1862)</f>
        <v>2.9972965</v>
      </c>
      <c r="H1862">
        <f t="shared" si="88"/>
        <v>1</v>
      </c>
      <c r="I1862">
        <f t="shared" si="89"/>
        <v>0</v>
      </c>
    </row>
    <row r="1863" spans="1:9">
      <c r="A1863" s="1">
        <v>41438</v>
      </c>
      <c r="B1863">
        <v>2.97052</v>
      </c>
      <c r="C1863">
        <v>3.88</v>
      </c>
      <c r="D1863">
        <f>WEEKDAY(A1863,14)</f>
        <v>1</v>
      </c>
      <c r="E1863">
        <f>VLOOKUP(D1863,L$2:M$8,2,FALSE)</f>
        <v>0</v>
      </c>
      <c r="F1863">
        <f t="shared" si="87"/>
        <v>1</v>
      </c>
      <c r="G1863">
        <f>IF(F1863&gt;F1862,G1862+B1863*E1863,B1863*E1863)</f>
        <v>0</v>
      </c>
      <c r="H1863">
        <f t="shared" si="88"/>
        <v>0</v>
      </c>
      <c r="I1863">
        <f t="shared" si="89"/>
        <v>2.9972965</v>
      </c>
    </row>
    <row r="1864" spans="1:9">
      <c r="A1864" s="1">
        <v>41439</v>
      </c>
      <c r="B1864">
        <v>2.93282</v>
      </c>
      <c r="C1864">
        <v>3.88</v>
      </c>
      <c r="D1864">
        <f>WEEKDAY(A1864,14)</f>
        <v>2</v>
      </c>
      <c r="E1864">
        <f>VLOOKUP(D1864,L$2:M$8,2,FALSE)</f>
        <v>0</v>
      </c>
      <c r="F1864">
        <f t="shared" si="87"/>
        <v>2</v>
      </c>
      <c r="G1864">
        <f>IF(F1864&gt;F1863,G1863+B1864*E1864,B1864*E1864)</f>
        <v>0</v>
      </c>
      <c r="H1864">
        <f t="shared" si="88"/>
        <v>0</v>
      </c>
      <c r="I1864">
        <f t="shared" si="89"/>
        <v>0</v>
      </c>
    </row>
    <row r="1865" spans="1:9">
      <c r="A1865" s="1">
        <v>41442</v>
      </c>
      <c r="B1865">
        <v>2.9838499999999999</v>
      </c>
      <c r="C1865">
        <v>3.88</v>
      </c>
      <c r="D1865">
        <f>WEEKDAY(A1865,14)</f>
        <v>5</v>
      </c>
      <c r="E1865">
        <f>VLOOKUP(D1865,L$2:M$8,2,FALSE)</f>
        <v>0.05</v>
      </c>
      <c r="F1865">
        <f t="shared" si="87"/>
        <v>3</v>
      </c>
      <c r="G1865">
        <f>IF(F1865&gt;F1864,G1864+B1865*E1865,B1865*E1865)</f>
        <v>0.14919250000000001</v>
      </c>
      <c r="H1865">
        <f t="shared" si="88"/>
        <v>0.05</v>
      </c>
      <c r="I1865">
        <f t="shared" si="89"/>
        <v>0</v>
      </c>
    </row>
    <row r="1866" spans="1:9">
      <c r="A1866" s="1">
        <v>41443</v>
      </c>
      <c r="B1866">
        <v>2.9821300000000002</v>
      </c>
      <c r="C1866">
        <v>3.88</v>
      </c>
      <c r="D1866">
        <f>WEEKDAY(A1866,14)</f>
        <v>6</v>
      </c>
      <c r="E1866">
        <f>VLOOKUP(D1866,L$2:M$8,2,FALSE)</f>
        <v>0.7</v>
      </c>
      <c r="F1866">
        <f t="shared" si="87"/>
        <v>4</v>
      </c>
      <c r="G1866">
        <f>IF(F1866&gt;F1865,G1865+B1866*E1866,B1866*E1866)</f>
        <v>2.2366834999999998</v>
      </c>
      <c r="H1866">
        <f t="shared" si="88"/>
        <v>0.75</v>
      </c>
      <c r="I1866">
        <f t="shared" si="89"/>
        <v>0</v>
      </c>
    </row>
    <row r="1867" spans="1:9">
      <c r="A1867" s="1">
        <v>41444</v>
      </c>
      <c r="B1867">
        <v>3.12738</v>
      </c>
      <c r="C1867">
        <v>3.88</v>
      </c>
      <c r="D1867">
        <f>WEEKDAY(A1867,14)</f>
        <v>7</v>
      </c>
      <c r="E1867">
        <f>VLOOKUP(D1867,L$2:M$8,2,FALSE)</f>
        <v>0.25</v>
      </c>
      <c r="F1867">
        <f t="shared" si="87"/>
        <v>5</v>
      </c>
      <c r="G1867">
        <f>IF(F1867&gt;F1866,G1866+B1867*E1867,B1867*E1867)</f>
        <v>3.0185284999999999</v>
      </c>
      <c r="H1867">
        <f t="shared" si="88"/>
        <v>1</v>
      </c>
      <c r="I1867">
        <f t="shared" si="89"/>
        <v>0</v>
      </c>
    </row>
    <row r="1868" spans="1:9">
      <c r="A1868" s="1">
        <v>41445</v>
      </c>
      <c r="B1868">
        <v>3.27319</v>
      </c>
      <c r="C1868">
        <v>4.41</v>
      </c>
      <c r="D1868">
        <f>WEEKDAY(A1868,14)</f>
        <v>1</v>
      </c>
      <c r="E1868">
        <f>VLOOKUP(D1868,L$2:M$8,2,FALSE)</f>
        <v>0</v>
      </c>
      <c r="F1868">
        <f t="shared" si="87"/>
        <v>1</v>
      </c>
      <c r="G1868">
        <f>IF(F1868&gt;F1867,G1867+B1868*E1868,B1868*E1868)</f>
        <v>0</v>
      </c>
      <c r="H1868">
        <f t="shared" si="88"/>
        <v>0</v>
      </c>
      <c r="I1868">
        <f t="shared" si="89"/>
        <v>3.0185284999999999</v>
      </c>
    </row>
    <row r="1869" spans="1:9">
      <c r="A1869" s="1">
        <v>41446</v>
      </c>
      <c r="B1869">
        <v>3.4290600000000002</v>
      </c>
      <c r="C1869">
        <v>4.41</v>
      </c>
      <c r="D1869">
        <f>WEEKDAY(A1869,14)</f>
        <v>2</v>
      </c>
      <c r="E1869">
        <f>VLOOKUP(D1869,L$2:M$8,2,FALSE)</f>
        <v>0</v>
      </c>
      <c r="F1869">
        <f t="shared" si="87"/>
        <v>2</v>
      </c>
      <c r="G1869">
        <f>IF(F1869&gt;F1868,G1868+B1869*E1869,B1869*E1869)</f>
        <v>0</v>
      </c>
      <c r="H1869">
        <f t="shared" si="88"/>
        <v>0</v>
      </c>
      <c r="I1869">
        <f t="shared" si="89"/>
        <v>0</v>
      </c>
    </row>
    <row r="1870" spans="1:9">
      <c r="A1870" s="1">
        <v>41449</v>
      </c>
      <c r="B1870">
        <v>3.48428</v>
      </c>
      <c r="C1870">
        <v>4.41</v>
      </c>
      <c r="D1870">
        <f>WEEKDAY(A1870,14)</f>
        <v>5</v>
      </c>
      <c r="E1870">
        <f>VLOOKUP(D1870,L$2:M$8,2,FALSE)</f>
        <v>0.05</v>
      </c>
      <c r="F1870">
        <f t="shared" si="87"/>
        <v>3</v>
      </c>
      <c r="G1870">
        <f>IF(F1870&gt;F1869,G1869+B1870*E1870,B1870*E1870)</f>
        <v>0.17421400000000001</v>
      </c>
      <c r="H1870">
        <f t="shared" si="88"/>
        <v>0.05</v>
      </c>
      <c r="I1870">
        <f t="shared" si="89"/>
        <v>0</v>
      </c>
    </row>
    <row r="1871" spans="1:9">
      <c r="A1871" s="1">
        <v>41450</v>
      </c>
      <c r="B1871">
        <v>3.4979100000000001</v>
      </c>
      <c r="C1871">
        <v>4.41</v>
      </c>
      <c r="D1871">
        <f>WEEKDAY(A1871,14)</f>
        <v>6</v>
      </c>
      <c r="E1871">
        <f>VLOOKUP(D1871,L$2:M$8,2,FALSE)</f>
        <v>0.7</v>
      </c>
      <c r="F1871">
        <f t="shared" si="87"/>
        <v>4</v>
      </c>
      <c r="G1871">
        <f>IF(F1871&gt;F1870,G1870+B1871*E1871,B1871*E1871)</f>
        <v>2.6227510000000001</v>
      </c>
      <c r="H1871">
        <f t="shared" si="88"/>
        <v>0.75</v>
      </c>
      <c r="I1871">
        <f t="shared" si="89"/>
        <v>0</v>
      </c>
    </row>
    <row r="1872" spans="1:9">
      <c r="A1872" s="1">
        <v>41451</v>
      </c>
      <c r="B1872">
        <v>3.4427500000000002</v>
      </c>
      <c r="C1872">
        <v>4.2149999999999999</v>
      </c>
      <c r="D1872">
        <f>WEEKDAY(A1872,14)</f>
        <v>7</v>
      </c>
      <c r="E1872">
        <f>VLOOKUP(D1872,L$2:M$8,2,FALSE)</f>
        <v>0.25</v>
      </c>
      <c r="F1872">
        <f t="shared" si="87"/>
        <v>5</v>
      </c>
      <c r="G1872">
        <f>IF(F1872&gt;F1871,G1871+B1872*E1872,B1872*E1872)</f>
        <v>3.4834385000000001</v>
      </c>
      <c r="H1872">
        <f t="shared" si="88"/>
        <v>1</v>
      </c>
      <c r="I1872">
        <f t="shared" si="89"/>
        <v>0</v>
      </c>
    </row>
    <row r="1873" spans="1:9">
      <c r="A1873" s="1">
        <v>41452</v>
      </c>
      <c r="B1873">
        <v>3.3206600000000002</v>
      </c>
      <c r="C1873">
        <v>4.2149999999999999</v>
      </c>
      <c r="D1873">
        <f>WEEKDAY(A1873,14)</f>
        <v>1</v>
      </c>
      <c r="E1873">
        <f>VLOOKUP(D1873,L$2:M$8,2,FALSE)</f>
        <v>0</v>
      </c>
      <c r="F1873">
        <f t="shared" si="87"/>
        <v>1</v>
      </c>
      <c r="G1873">
        <f>IF(F1873&gt;F1872,G1872+B1873*E1873,B1873*E1873)</f>
        <v>0</v>
      </c>
      <c r="H1873">
        <f t="shared" si="88"/>
        <v>0</v>
      </c>
      <c r="I1873">
        <f t="shared" si="89"/>
        <v>3.4834385000000001</v>
      </c>
    </row>
    <row r="1874" spans="1:9">
      <c r="A1874" s="1">
        <v>41453</v>
      </c>
      <c r="B1874">
        <v>3.30945</v>
      </c>
      <c r="C1874">
        <v>4.2149999999999999</v>
      </c>
      <c r="D1874">
        <f>WEEKDAY(A1874,14)</f>
        <v>2</v>
      </c>
      <c r="E1874">
        <f>VLOOKUP(D1874,L$2:M$8,2,FALSE)</f>
        <v>0</v>
      </c>
      <c r="F1874">
        <f t="shared" si="87"/>
        <v>2</v>
      </c>
      <c r="G1874">
        <f>IF(F1874&gt;F1873,G1873+B1874*E1874,B1874*E1874)</f>
        <v>0</v>
      </c>
      <c r="H1874">
        <f t="shared" si="88"/>
        <v>0</v>
      </c>
      <c r="I1874">
        <f t="shared" si="89"/>
        <v>0</v>
      </c>
    </row>
    <row r="1875" spans="1:9">
      <c r="A1875" s="1">
        <v>41456</v>
      </c>
      <c r="B1875">
        <v>3.2979500000000002</v>
      </c>
      <c r="C1875">
        <v>4.2149999999999999</v>
      </c>
      <c r="D1875">
        <f>WEEKDAY(A1875,14)</f>
        <v>5</v>
      </c>
      <c r="E1875">
        <f>VLOOKUP(D1875,L$2:M$8,2,FALSE)</f>
        <v>0.05</v>
      </c>
      <c r="F1875">
        <f t="shared" si="87"/>
        <v>3</v>
      </c>
      <c r="G1875">
        <f>IF(F1875&gt;F1874,G1874+B1875*E1875,B1875*E1875)</f>
        <v>0.16489750000000003</v>
      </c>
      <c r="H1875">
        <f t="shared" si="88"/>
        <v>0.05</v>
      </c>
      <c r="I1875">
        <f t="shared" si="89"/>
        <v>0</v>
      </c>
    </row>
    <row r="1876" spans="1:9">
      <c r="A1876" s="1">
        <v>41457</v>
      </c>
      <c r="B1876">
        <v>3.31182</v>
      </c>
      <c r="C1876">
        <v>4.2149999999999999</v>
      </c>
      <c r="D1876">
        <f>WEEKDAY(A1876,14)</f>
        <v>6</v>
      </c>
      <c r="E1876">
        <f>VLOOKUP(D1876,L$2:M$8,2,FALSE)</f>
        <v>0.7</v>
      </c>
      <c r="F1876">
        <f t="shared" si="87"/>
        <v>4</v>
      </c>
      <c r="G1876">
        <f>IF(F1876&gt;F1875,G1875+B1876*E1876,B1876*E1876)</f>
        <v>2.4831714999999996</v>
      </c>
      <c r="H1876">
        <f t="shared" si="88"/>
        <v>0.75</v>
      </c>
      <c r="I1876">
        <f t="shared" si="89"/>
        <v>0</v>
      </c>
    </row>
    <row r="1877" spans="1:9">
      <c r="A1877" s="1">
        <v>41458</v>
      </c>
      <c r="B1877">
        <v>3.3689200000000001</v>
      </c>
      <c r="C1877">
        <v>4.2149999999999999</v>
      </c>
      <c r="D1877">
        <f>WEEKDAY(A1877,14)</f>
        <v>7</v>
      </c>
      <c r="E1877">
        <f>VLOOKUP(D1877,L$2:M$8,2,FALSE)</f>
        <v>0.25</v>
      </c>
      <c r="F1877">
        <f t="shared" si="87"/>
        <v>5</v>
      </c>
      <c r="G1877">
        <f>IF(F1877&gt;F1876,G1876+B1877*E1877,B1877*E1877)</f>
        <v>3.3254014999999999</v>
      </c>
      <c r="H1877">
        <f t="shared" si="88"/>
        <v>1</v>
      </c>
      <c r="I1877">
        <f t="shared" si="89"/>
        <v>0</v>
      </c>
    </row>
    <row r="1878" spans="1:9">
      <c r="A1878" s="1">
        <v>41460</v>
      </c>
      <c r="B1878">
        <v>3.6732499999999999</v>
      </c>
      <c r="C1878">
        <v>4.46</v>
      </c>
      <c r="D1878">
        <f>WEEKDAY(A1878,14)</f>
        <v>2</v>
      </c>
      <c r="E1878">
        <f>VLOOKUP(D1878,L$2:M$8,2,FALSE)</f>
        <v>0</v>
      </c>
      <c r="F1878">
        <f t="shared" si="87"/>
        <v>1</v>
      </c>
      <c r="G1878">
        <f>IF(F1878&gt;F1877,G1877+B1878*E1878,B1878*E1878)</f>
        <v>0</v>
      </c>
      <c r="H1878">
        <f t="shared" si="88"/>
        <v>0</v>
      </c>
      <c r="I1878">
        <f t="shared" si="89"/>
        <v>3.3254014999999999</v>
      </c>
    </row>
    <row r="1879" spans="1:9">
      <c r="A1879" s="1">
        <v>41463</v>
      </c>
      <c r="B1879">
        <v>3.5446399999999998</v>
      </c>
      <c r="C1879">
        <v>4.46</v>
      </c>
      <c r="D1879">
        <f>WEEKDAY(A1879,14)</f>
        <v>5</v>
      </c>
      <c r="E1879">
        <f>VLOOKUP(D1879,L$2:M$8,2,FALSE)</f>
        <v>0.05</v>
      </c>
      <c r="F1879">
        <f t="shared" si="87"/>
        <v>2</v>
      </c>
      <c r="G1879">
        <f>IF(F1879&gt;F1878,G1878+B1879*E1879,B1879*E1879)</f>
        <v>0.177232</v>
      </c>
      <c r="H1879">
        <f t="shared" si="88"/>
        <v>0.05</v>
      </c>
      <c r="I1879">
        <f t="shared" si="89"/>
        <v>0</v>
      </c>
    </row>
    <row r="1880" spans="1:9">
      <c r="A1880" s="1">
        <v>41464</v>
      </c>
      <c r="B1880">
        <v>3.4880200000000001</v>
      </c>
      <c r="C1880">
        <v>4.46</v>
      </c>
      <c r="D1880">
        <f>WEEKDAY(A1880,14)</f>
        <v>6</v>
      </c>
      <c r="E1880">
        <f>VLOOKUP(D1880,L$2:M$8,2,FALSE)</f>
        <v>0.7</v>
      </c>
      <c r="F1880">
        <f t="shared" si="87"/>
        <v>3</v>
      </c>
      <c r="G1880">
        <f>IF(F1880&gt;F1879,G1879+B1880*E1880,B1880*E1880)</f>
        <v>2.618846</v>
      </c>
      <c r="H1880">
        <f t="shared" si="88"/>
        <v>0.75</v>
      </c>
      <c r="I1880">
        <f t="shared" si="89"/>
        <v>0</v>
      </c>
    </row>
    <row r="1881" spans="1:9">
      <c r="A1881" s="1">
        <v>41465</v>
      </c>
      <c r="B1881">
        <v>3.5853700000000002</v>
      </c>
      <c r="C1881">
        <v>4.46</v>
      </c>
      <c r="D1881">
        <f>WEEKDAY(A1881,14)</f>
        <v>7</v>
      </c>
      <c r="E1881">
        <f>VLOOKUP(D1881,L$2:M$8,2,FALSE)</f>
        <v>0.25</v>
      </c>
      <c r="F1881">
        <f t="shared" si="87"/>
        <v>4</v>
      </c>
      <c r="G1881">
        <f>IF(F1881&gt;F1880,G1880+B1881*E1881,B1881*E1881)</f>
        <v>3.5151884999999998</v>
      </c>
      <c r="H1881">
        <f t="shared" si="88"/>
        <v>1</v>
      </c>
      <c r="I1881">
        <f t="shared" si="89"/>
        <v>0</v>
      </c>
    </row>
    <row r="1882" spans="1:9">
      <c r="A1882" s="1">
        <v>41466</v>
      </c>
      <c r="B1882">
        <v>3.4679700000000002</v>
      </c>
      <c r="C1882">
        <v>4.2949999999999999</v>
      </c>
      <c r="D1882">
        <f>WEEKDAY(A1882,14)</f>
        <v>1</v>
      </c>
      <c r="E1882">
        <f>VLOOKUP(D1882,L$2:M$8,2,FALSE)</f>
        <v>0</v>
      </c>
      <c r="F1882">
        <f t="shared" si="87"/>
        <v>1</v>
      </c>
      <c r="G1882">
        <f>IF(F1882&gt;F1881,G1881+B1882*E1882,B1882*E1882)</f>
        <v>0</v>
      </c>
      <c r="H1882">
        <f t="shared" si="88"/>
        <v>0</v>
      </c>
      <c r="I1882">
        <f t="shared" si="89"/>
        <v>3.5151884999999998</v>
      </c>
    </row>
    <row r="1883" spans="1:9">
      <c r="A1883" s="1">
        <v>41467</v>
      </c>
      <c r="B1883">
        <v>3.4748199999999998</v>
      </c>
      <c r="C1883">
        <v>4.2949999999999999</v>
      </c>
      <c r="D1883">
        <f>WEEKDAY(A1883,14)</f>
        <v>2</v>
      </c>
      <c r="E1883">
        <f>VLOOKUP(D1883,L$2:M$8,2,FALSE)</f>
        <v>0</v>
      </c>
      <c r="F1883">
        <f t="shared" si="87"/>
        <v>2</v>
      </c>
      <c r="G1883">
        <f>IF(F1883&gt;F1882,G1882+B1883*E1883,B1883*E1883)</f>
        <v>0</v>
      </c>
      <c r="H1883">
        <f t="shared" si="88"/>
        <v>0</v>
      </c>
      <c r="I1883">
        <f t="shared" si="89"/>
        <v>0</v>
      </c>
    </row>
    <row r="1884" spans="1:9">
      <c r="A1884" s="1">
        <v>41470</v>
      </c>
      <c r="B1884">
        <v>3.40503</v>
      </c>
      <c r="C1884">
        <v>4.2949999999999999</v>
      </c>
      <c r="D1884">
        <f>WEEKDAY(A1884,14)</f>
        <v>5</v>
      </c>
      <c r="E1884">
        <f>VLOOKUP(D1884,L$2:M$8,2,FALSE)</f>
        <v>0.05</v>
      </c>
      <c r="F1884">
        <f t="shared" si="87"/>
        <v>3</v>
      </c>
      <c r="G1884">
        <f>IF(F1884&gt;F1883,G1883+B1884*E1884,B1884*E1884)</f>
        <v>0.1702515</v>
      </c>
      <c r="H1884">
        <f t="shared" si="88"/>
        <v>0.05</v>
      </c>
      <c r="I1884">
        <f t="shared" si="89"/>
        <v>0</v>
      </c>
    </row>
    <row r="1885" spans="1:9">
      <c r="A1885" s="1">
        <v>41471</v>
      </c>
      <c r="B1885">
        <v>3.39147</v>
      </c>
      <c r="C1885">
        <v>4.2949999999999999</v>
      </c>
      <c r="D1885">
        <f>WEEKDAY(A1885,14)</f>
        <v>6</v>
      </c>
      <c r="E1885">
        <f>VLOOKUP(D1885,L$2:M$8,2,FALSE)</f>
        <v>0.7</v>
      </c>
      <c r="F1885">
        <f t="shared" si="87"/>
        <v>4</v>
      </c>
      <c r="G1885">
        <f>IF(F1885&gt;F1884,G1884+B1885*E1885,B1885*E1885)</f>
        <v>2.5442804999999997</v>
      </c>
      <c r="H1885">
        <f t="shared" si="88"/>
        <v>0.75</v>
      </c>
      <c r="I1885">
        <f t="shared" si="89"/>
        <v>0</v>
      </c>
    </row>
    <row r="1886" spans="1:9">
      <c r="A1886" s="1">
        <v>41472</v>
      </c>
      <c r="B1886">
        <v>3.3438699999999999</v>
      </c>
      <c r="C1886">
        <v>4.2949999999999999</v>
      </c>
      <c r="D1886">
        <f>WEEKDAY(A1886,14)</f>
        <v>7</v>
      </c>
      <c r="E1886">
        <f>VLOOKUP(D1886,L$2:M$8,2,FALSE)</f>
        <v>0.25</v>
      </c>
      <c r="F1886">
        <f t="shared" si="87"/>
        <v>5</v>
      </c>
      <c r="G1886">
        <f>IF(F1886&gt;F1885,G1885+B1886*E1886,B1886*E1886)</f>
        <v>3.3802479999999999</v>
      </c>
      <c r="H1886">
        <f t="shared" si="88"/>
        <v>1</v>
      </c>
      <c r="I1886">
        <f t="shared" si="89"/>
        <v>0</v>
      </c>
    </row>
    <row r="1887" spans="1:9">
      <c r="A1887" s="1">
        <v>41473</v>
      </c>
      <c r="B1887">
        <v>3.3888500000000001</v>
      </c>
      <c r="C1887">
        <v>4.26</v>
      </c>
      <c r="D1887">
        <f>WEEKDAY(A1887,14)</f>
        <v>1</v>
      </c>
      <c r="E1887">
        <f>VLOOKUP(D1887,L$2:M$8,2,FALSE)</f>
        <v>0</v>
      </c>
      <c r="F1887">
        <f t="shared" si="87"/>
        <v>1</v>
      </c>
      <c r="G1887">
        <f>IF(F1887&gt;F1886,G1886+B1887*E1887,B1887*E1887)</f>
        <v>0</v>
      </c>
      <c r="H1887">
        <f t="shared" si="88"/>
        <v>0</v>
      </c>
      <c r="I1887">
        <f t="shared" si="89"/>
        <v>3.3802479999999999</v>
      </c>
    </row>
    <row r="1888" spans="1:9">
      <c r="A1888" s="1">
        <v>41474</v>
      </c>
      <c r="B1888">
        <v>3.3313899999999999</v>
      </c>
      <c r="C1888">
        <v>4.26</v>
      </c>
      <c r="D1888">
        <f>WEEKDAY(A1888,14)</f>
        <v>2</v>
      </c>
      <c r="E1888">
        <f>VLOOKUP(D1888,L$2:M$8,2,FALSE)</f>
        <v>0</v>
      </c>
      <c r="F1888">
        <f t="shared" si="87"/>
        <v>2</v>
      </c>
      <c r="G1888">
        <f>IF(F1888&gt;F1887,G1887+B1888*E1888,B1888*E1888)</f>
        <v>0</v>
      </c>
      <c r="H1888">
        <f t="shared" si="88"/>
        <v>0</v>
      </c>
      <c r="I1888">
        <f t="shared" si="89"/>
        <v>0</v>
      </c>
    </row>
    <row r="1889" spans="1:9">
      <c r="A1889" s="1">
        <v>41477</v>
      </c>
      <c r="B1889">
        <v>3.3220800000000001</v>
      </c>
      <c r="C1889">
        <v>4.26</v>
      </c>
      <c r="D1889">
        <f>WEEKDAY(A1889,14)</f>
        <v>5</v>
      </c>
      <c r="E1889">
        <f>VLOOKUP(D1889,L$2:M$8,2,FALSE)</f>
        <v>0.05</v>
      </c>
      <c r="F1889">
        <f t="shared" si="87"/>
        <v>3</v>
      </c>
      <c r="G1889">
        <f>IF(F1889&gt;F1888,G1888+B1889*E1889,B1889*E1889)</f>
        <v>0.16610400000000003</v>
      </c>
      <c r="H1889">
        <f t="shared" si="88"/>
        <v>0.05</v>
      </c>
      <c r="I1889">
        <f t="shared" si="89"/>
        <v>0</v>
      </c>
    </row>
    <row r="1890" spans="1:9">
      <c r="A1890" s="1">
        <v>41478</v>
      </c>
      <c r="B1890">
        <v>3.3639100000000002</v>
      </c>
      <c r="C1890">
        <v>4.26</v>
      </c>
      <c r="D1890">
        <f>WEEKDAY(A1890,14)</f>
        <v>6</v>
      </c>
      <c r="E1890">
        <f>VLOOKUP(D1890,L$2:M$8,2,FALSE)</f>
        <v>0.7</v>
      </c>
      <c r="F1890">
        <f t="shared" si="87"/>
        <v>4</v>
      </c>
      <c r="G1890">
        <f>IF(F1890&gt;F1889,G1889+B1890*E1890,B1890*E1890)</f>
        <v>2.5208409999999999</v>
      </c>
      <c r="H1890">
        <f t="shared" si="88"/>
        <v>0.75</v>
      </c>
      <c r="I1890">
        <f t="shared" si="89"/>
        <v>0</v>
      </c>
    </row>
    <row r="1891" spans="1:9">
      <c r="A1891" s="1">
        <v>41479</v>
      </c>
      <c r="B1891">
        <v>3.4296799999999998</v>
      </c>
      <c r="C1891">
        <v>4.26</v>
      </c>
      <c r="D1891">
        <f>WEEKDAY(A1891,14)</f>
        <v>7</v>
      </c>
      <c r="E1891">
        <f>VLOOKUP(D1891,L$2:M$8,2,FALSE)</f>
        <v>0.25</v>
      </c>
      <c r="F1891">
        <f t="shared" si="87"/>
        <v>5</v>
      </c>
      <c r="G1891">
        <f>IF(F1891&gt;F1890,G1890+B1891*E1891,B1891*E1891)</f>
        <v>3.3782609999999997</v>
      </c>
      <c r="H1891">
        <f t="shared" si="88"/>
        <v>1</v>
      </c>
      <c r="I1891">
        <f t="shared" si="89"/>
        <v>0</v>
      </c>
    </row>
    <row r="1892" spans="1:9">
      <c r="A1892" s="1">
        <v>41480</v>
      </c>
      <c r="B1892">
        <v>3.4407899999999998</v>
      </c>
      <c r="C1892">
        <v>4.3150000000000004</v>
      </c>
      <c r="D1892">
        <f>WEEKDAY(A1892,14)</f>
        <v>1</v>
      </c>
      <c r="E1892">
        <f>VLOOKUP(D1892,L$2:M$8,2,FALSE)</f>
        <v>0</v>
      </c>
      <c r="F1892">
        <f t="shared" si="87"/>
        <v>1</v>
      </c>
      <c r="G1892">
        <f>IF(F1892&gt;F1891,G1891+B1892*E1892,B1892*E1892)</f>
        <v>0</v>
      </c>
      <c r="H1892">
        <f t="shared" si="88"/>
        <v>0</v>
      </c>
      <c r="I1892">
        <f t="shared" si="89"/>
        <v>3.3782609999999997</v>
      </c>
    </row>
    <row r="1893" spans="1:9">
      <c r="A1893" s="1">
        <v>41481</v>
      </c>
      <c r="B1893">
        <v>3.3953199999999999</v>
      </c>
      <c r="C1893">
        <v>4.3150000000000004</v>
      </c>
      <c r="D1893">
        <f>WEEKDAY(A1893,14)</f>
        <v>2</v>
      </c>
      <c r="E1893">
        <f>VLOOKUP(D1893,L$2:M$8,2,FALSE)</f>
        <v>0</v>
      </c>
      <c r="F1893">
        <f t="shared" si="87"/>
        <v>2</v>
      </c>
      <c r="G1893">
        <f>IF(F1893&gt;F1892,G1892+B1893*E1893,B1893*E1893)</f>
        <v>0</v>
      </c>
      <c r="H1893">
        <f t="shared" si="88"/>
        <v>0</v>
      </c>
      <c r="I1893">
        <f t="shared" si="89"/>
        <v>0</v>
      </c>
    </row>
    <row r="1894" spans="1:9">
      <c r="A1894" s="1">
        <v>41484</v>
      </c>
      <c r="B1894">
        <v>3.4061499999999998</v>
      </c>
      <c r="C1894">
        <v>4.3150000000000004</v>
      </c>
      <c r="D1894">
        <f>WEEKDAY(A1894,14)</f>
        <v>5</v>
      </c>
      <c r="E1894">
        <f>VLOOKUP(D1894,L$2:M$8,2,FALSE)</f>
        <v>0.05</v>
      </c>
      <c r="F1894">
        <f t="shared" si="87"/>
        <v>3</v>
      </c>
      <c r="G1894">
        <f>IF(F1894&gt;F1893,G1893+B1894*E1894,B1894*E1894)</f>
        <v>0.1703075</v>
      </c>
      <c r="H1894">
        <f t="shared" si="88"/>
        <v>0.05</v>
      </c>
      <c r="I1894">
        <f t="shared" si="89"/>
        <v>0</v>
      </c>
    </row>
    <row r="1895" spans="1:9">
      <c r="A1895" s="1">
        <v>41485</v>
      </c>
      <c r="B1895">
        <v>3.4285999999999999</v>
      </c>
      <c r="C1895">
        <v>4.3150000000000004</v>
      </c>
      <c r="D1895">
        <f>WEEKDAY(A1895,14)</f>
        <v>6</v>
      </c>
      <c r="E1895">
        <f>VLOOKUP(D1895,L$2:M$8,2,FALSE)</f>
        <v>0.7</v>
      </c>
      <c r="F1895">
        <f t="shared" si="87"/>
        <v>4</v>
      </c>
      <c r="G1895">
        <f>IF(F1895&gt;F1894,G1894+B1895*E1895,B1895*E1895)</f>
        <v>2.5703274999999994</v>
      </c>
      <c r="H1895">
        <f t="shared" si="88"/>
        <v>0.75</v>
      </c>
      <c r="I1895">
        <f t="shared" si="89"/>
        <v>0</v>
      </c>
    </row>
    <row r="1896" spans="1:9">
      <c r="A1896" s="1">
        <v>41486</v>
      </c>
      <c r="B1896">
        <v>3.4095399999999998</v>
      </c>
      <c r="C1896">
        <v>4.3150000000000004</v>
      </c>
      <c r="D1896">
        <f>WEEKDAY(A1896,14)</f>
        <v>7</v>
      </c>
      <c r="E1896">
        <f>VLOOKUP(D1896,L$2:M$8,2,FALSE)</f>
        <v>0.25</v>
      </c>
      <c r="F1896">
        <f t="shared" si="87"/>
        <v>5</v>
      </c>
      <c r="G1896">
        <f>IF(F1896&gt;F1895,G1895+B1896*E1896,B1896*E1896)</f>
        <v>3.4227124999999994</v>
      </c>
      <c r="H1896">
        <f t="shared" si="88"/>
        <v>1</v>
      </c>
      <c r="I1896">
        <f t="shared" si="89"/>
        <v>0</v>
      </c>
    </row>
    <row r="1897" spans="1:9">
      <c r="A1897" s="1">
        <v>41487</v>
      </c>
      <c r="B1897">
        <v>3.53287</v>
      </c>
      <c r="C1897">
        <v>4.3250000000000002</v>
      </c>
      <c r="D1897">
        <f>WEEKDAY(A1897,14)</f>
        <v>1</v>
      </c>
      <c r="E1897">
        <f>VLOOKUP(D1897,L$2:M$8,2,FALSE)</f>
        <v>0</v>
      </c>
      <c r="F1897">
        <f t="shared" si="87"/>
        <v>1</v>
      </c>
      <c r="G1897">
        <f>IF(F1897&gt;F1896,G1896+B1897*E1897,B1897*E1897)</f>
        <v>0</v>
      </c>
      <c r="H1897">
        <f t="shared" si="88"/>
        <v>0</v>
      </c>
      <c r="I1897">
        <f t="shared" si="89"/>
        <v>3.4227124999999994</v>
      </c>
    </row>
    <row r="1898" spans="1:9">
      <c r="A1898" s="1">
        <v>41488</v>
      </c>
      <c r="B1898">
        <v>3.4035700000000002</v>
      </c>
      <c r="C1898">
        <v>4.3250000000000002</v>
      </c>
      <c r="D1898">
        <f>WEEKDAY(A1898,14)</f>
        <v>2</v>
      </c>
      <c r="E1898">
        <f>VLOOKUP(D1898,L$2:M$8,2,FALSE)</f>
        <v>0</v>
      </c>
      <c r="F1898">
        <f t="shared" si="87"/>
        <v>2</v>
      </c>
      <c r="G1898">
        <f>IF(F1898&gt;F1897,G1897+B1898*E1898,B1898*E1898)</f>
        <v>0</v>
      </c>
      <c r="H1898">
        <f t="shared" si="88"/>
        <v>0</v>
      </c>
      <c r="I1898">
        <f t="shared" si="89"/>
        <v>0</v>
      </c>
    </row>
    <row r="1899" spans="1:9">
      <c r="A1899" s="1">
        <v>41491</v>
      </c>
      <c r="B1899">
        <v>3.4178099999999998</v>
      </c>
      <c r="C1899">
        <v>4.3250000000000002</v>
      </c>
      <c r="D1899">
        <f>WEEKDAY(A1899,14)</f>
        <v>5</v>
      </c>
      <c r="E1899">
        <f>VLOOKUP(D1899,L$2:M$8,2,FALSE)</f>
        <v>0.05</v>
      </c>
      <c r="F1899">
        <f t="shared" si="87"/>
        <v>3</v>
      </c>
      <c r="G1899">
        <f>IF(F1899&gt;F1898,G1898+B1899*E1899,B1899*E1899)</f>
        <v>0.1708905</v>
      </c>
      <c r="H1899">
        <f t="shared" si="88"/>
        <v>0.05</v>
      </c>
      <c r="I1899">
        <f t="shared" si="89"/>
        <v>0</v>
      </c>
    </row>
    <row r="1900" spans="1:9">
      <c r="A1900" s="1">
        <v>41492</v>
      </c>
      <c r="B1900">
        <v>3.4430900000000002</v>
      </c>
      <c r="C1900">
        <v>4.3250000000000002</v>
      </c>
      <c r="D1900">
        <f>WEEKDAY(A1900,14)</f>
        <v>6</v>
      </c>
      <c r="E1900">
        <f>VLOOKUP(D1900,L$2:M$8,2,FALSE)</f>
        <v>0.7</v>
      </c>
      <c r="F1900">
        <f t="shared" si="87"/>
        <v>4</v>
      </c>
      <c r="G1900">
        <f>IF(F1900&gt;F1899,G1899+B1900*E1900,B1900*E1900)</f>
        <v>2.5810534999999999</v>
      </c>
      <c r="H1900">
        <f t="shared" si="88"/>
        <v>0.75</v>
      </c>
      <c r="I1900">
        <f t="shared" si="89"/>
        <v>0</v>
      </c>
    </row>
    <row r="1901" spans="1:9">
      <c r="A1901" s="1">
        <v>41493</v>
      </c>
      <c r="B1901">
        <v>3.4095300000000002</v>
      </c>
      <c r="C1901">
        <v>4.3250000000000002</v>
      </c>
      <c r="D1901">
        <f>WEEKDAY(A1901,14)</f>
        <v>7</v>
      </c>
      <c r="E1901">
        <f>VLOOKUP(D1901,L$2:M$8,2,FALSE)</f>
        <v>0.25</v>
      </c>
      <c r="F1901">
        <f t="shared" si="87"/>
        <v>5</v>
      </c>
      <c r="G1901">
        <f>IF(F1901&gt;F1900,G1900+B1901*E1901,B1901*E1901)</f>
        <v>3.4334359999999999</v>
      </c>
      <c r="H1901">
        <f t="shared" si="88"/>
        <v>1</v>
      </c>
      <c r="I1901">
        <f t="shared" si="89"/>
        <v>0</v>
      </c>
    </row>
    <row r="1902" spans="1:9">
      <c r="A1902" s="1">
        <v>41494</v>
      </c>
      <c r="B1902">
        <v>3.3814899999999999</v>
      </c>
      <c r="C1902">
        <v>4.3250000000000002</v>
      </c>
      <c r="D1902">
        <f>WEEKDAY(A1902,14)</f>
        <v>1</v>
      </c>
      <c r="E1902">
        <f>VLOOKUP(D1902,L$2:M$8,2,FALSE)</f>
        <v>0</v>
      </c>
      <c r="F1902">
        <f t="shared" si="87"/>
        <v>1</v>
      </c>
      <c r="G1902">
        <f>IF(F1902&gt;F1901,G1901+B1902*E1902,B1902*E1902)</f>
        <v>0</v>
      </c>
      <c r="H1902">
        <f t="shared" si="88"/>
        <v>0</v>
      </c>
      <c r="I1902">
        <f t="shared" si="89"/>
        <v>3.4334359999999999</v>
      </c>
    </row>
    <row r="1903" spans="1:9">
      <c r="A1903" s="1">
        <v>41495</v>
      </c>
      <c r="B1903">
        <v>3.36395</v>
      </c>
      <c r="C1903">
        <v>4.3250000000000002</v>
      </c>
      <c r="D1903">
        <f>WEEKDAY(A1903,14)</f>
        <v>2</v>
      </c>
      <c r="E1903">
        <f>VLOOKUP(D1903,L$2:M$8,2,FALSE)</f>
        <v>0</v>
      </c>
      <c r="F1903">
        <f t="shared" si="87"/>
        <v>2</v>
      </c>
      <c r="G1903">
        <f>IF(F1903&gt;F1902,G1902+B1903*E1903,B1903*E1903)</f>
        <v>0</v>
      </c>
      <c r="H1903">
        <f t="shared" si="88"/>
        <v>0</v>
      </c>
      <c r="I1903">
        <f t="shared" si="89"/>
        <v>0</v>
      </c>
    </row>
    <row r="1904" spans="1:9">
      <c r="A1904" s="1">
        <v>41498</v>
      </c>
      <c r="B1904">
        <v>3.38388</v>
      </c>
      <c r="C1904">
        <v>4.3250000000000002</v>
      </c>
      <c r="D1904">
        <f>WEEKDAY(A1904,14)</f>
        <v>5</v>
      </c>
      <c r="E1904">
        <f>VLOOKUP(D1904,L$2:M$8,2,FALSE)</f>
        <v>0.05</v>
      </c>
      <c r="F1904">
        <f t="shared" si="87"/>
        <v>3</v>
      </c>
      <c r="G1904">
        <f>IF(F1904&gt;F1903,G1903+B1904*E1904,B1904*E1904)</f>
        <v>0.16919400000000001</v>
      </c>
      <c r="H1904">
        <f t="shared" si="88"/>
        <v>0.05</v>
      </c>
      <c r="I1904">
        <f t="shared" si="89"/>
        <v>0</v>
      </c>
    </row>
    <row r="1905" spans="1:9">
      <c r="A1905" s="1">
        <v>41499</v>
      </c>
      <c r="B1905">
        <v>3.4866000000000001</v>
      </c>
      <c r="C1905">
        <v>4.3250000000000002</v>
      </c>
      <c r="D1905">
        <f>WEEKDAY(A1905,14)</f>
        <v>6</v>
      </c>
      <c r="E1905">
        <f>VLOOKUP(D1905,L$2:M$8,2,FALSE)</f>
        <v>0.7</v>
      </c>
      <c r="F1905">
        <f t="shared" si="87"/>
        <v>4</v>
      </c>
      <c r="G1905">
        <f>IF(F1905&gt;F1904,G1904+B1905*E1905,B1905*E1905)</f>
        <v>2.6098140000000001</v>
      </c>
      <c r="H1905">
        <f t="shared" si="88"/>
        <v>0.75</v>
      </c>
      <c r="I1905">
        <f t="shared" si="89"/>
        <v>0</v>
      </c>
    </row>
    <row r="1906" spans="1:9">
      <c r="A1906" s="1">
        <v>41500</v>
      </c>
      <c r="B1906">
        <v>3.4840900000000001</v>
      </c>
      <c r="C1906">
        <v>4.3250000000000002</v>
      </c>
      <c r="D1906">
        <f>WEEKDAY(A1906,14)</f>
        <v>7</v>
      </c>
      <c r="E1906">
        <f>VLOOKUP(D1906,L$2:M$8,2,FALSE)</f>
        <v>0.25</v>
      </c>
      <c r="F1906">
        <f t="shared" si="87"/>
        <v>5</v>
      </c>
      <c r="G1906">
        <f>IF(F1906&gt;F1905,G1905+B1906*E1906,B1906*E1906)</f>
        <v>3.4808365000000001</v>
      </c>
      <c r="H1906">
        <f t="shared" si="88"/>
        <v>1</v>
      </c>
      <c r="I1906">
        <f t="shared" si="89"/>
        <v>0</v>
      </c>
    </row>
    <row r="1907" spans="1:9">
      <c r="A1907" s="1">
        <v>41501</v>
      </c>
      <c r="B1907">
        <v>3.5424600000000002</v>
      </c>
      <c r="C1907">
        <v>4.53</v>
      </c>
      <c r="D1907">
        <f>WEEKDAY(A1907,14)</f>
        <v>1</v>
      </c>
      <c r="E1907">
        <f>VLOOKUP(D1907,L$2:M$8,2,FALSE)</f>
        <v>0</v>
      </c>
      <c r="F1907">
        <f t="shared" si="87"/>
        <v>1</v>
      </c>
      <c r="G1907">
        <f>IF(F1907&gt;F1906,G1906+B1907*E1907,B1907*E1907)</f>
        <v>0</v>
      </c>
      <c r="H1907">
        <f t="shared" si="88"/>
        <v>0</v>
      </c>
      <c r="I1907">
        <f t="shared" si="89"/>
        <v>3.4808365000000001</v>
      </c>
    </row>
    <row r="1908" spans="1:9">
      <c r="A1908" s="1">
        <v>41502</v>
      </c>
      <c r="B1908">
        <v>3.6342300000000001</v>
      </c>
      <c r="C1908">
        <v>4.53</v>
      </c>
      <c r="D1908">
        <f>WEEKDAY(A1908,14)</f>
        <v>2</v>
      </c>
      <c r="E1908">
        <f>VLOOKUP(D1908,L$2:M$8,2,FALSE)</f>
        <v>0</v>
      </c>
      <c r="F1908">
        <f t="shared" si="87"/>
        <v>2</v>
      </c>
      <c r="G1908">
        <f>IF(F1908&gt;F1907,G1907+B1908*E1908,B1908*E1908)</f>
        <v>0</v>
      </c>
      <c r="H1908">
        <f t="shared" si="88"/>
        <v>0</v>
      </c>
      <c r="I1908">
        <f t="shared" si="89"/>
        <v>0</v>
      </c>
    </row>
    <row r="1909" spans="1:9">
      <c r="A1909" s="1">
        <v>41505</v>
      </c>
      <c r="B1909">
        <v>3.7110500000000002</v>
      </c>
      <c r="C1909">
        <v>4.53</v>
      </c>
      <c r="D1909">
        <f>WEEKDAY(A1909,14)</f>
        <v>5</v>
      </c>
      <c r="E1909">
        <f>VLOOKUP(D1909,L$2:M$8,2,FALSE)</f>
        <v>0.05</v>
      </c>
      <c r="F1909">
        <f t="shared" si="87"/>
        <v>3</v>
      </c>
      <c r="G1909">
        <f>IF(F1909&gt;F1908,G1908+B1909*E1909,B1909*E1909)</f>
        <v>0.18555250000000001</v>
      </c>
      <c r="H1909">
        <f t="shared" si="88"/>
        <v>0.05</v>
      </c>
      <c r="I1909">
        <f t="shared" si="89"/>
        <v>0</v>
      </c>
    </row>
    <row r="1910" spans="1:9">
      <c r="A1910" s="1">
        <v>41506</v>
      </c>
      <c r="B1910">
        <v>3.6306799999999999</v>
      </c>
      <c r="C1910">
        <v>4.53</v>
      </c>
      <c r="D1910">
        <f>WEEKDAY(A1910,14)</f>
        <v>6</v>
      </c>
      <c r="E1910">
        <f>VLOOKUP(D1910,L$2:M$8,2,FALSE)</f>
        <v>0.7</v>
      </c>
      <c r="F1910">
        <f t="shared" si="87"/>
        <v>4</v>
      </c>
      <c r="G1910">
        <f>IF(F1910&gt;F1909,G1909+B1910*E1910,B1910*E1910)</f>
        <v>2.7270284999999999</v>
      </c>
      <c r="H1910">
        <f t="shared" si="88"/>
        <v>0.75</v>
      </c>
      <c r="I1910">
        <f t="shared" si="89"/>
        <v>0</v>
      </c>
    </row>
    <row r="1911" spans="1:9">
      <c r="A1911" s="1">
        <v>41507</v>
      </c>
      <c r="B1911">
        <v>3.6746400000000001</v>
      </c>
      <c r="C1911">
        <v>4.53</v>
      </c>
      <c r="D1911">
        <f>WEEKDAY(A1911,14)</f>
        <v>7</v>
      </c>
      <c r="E1911">
        <f>VLOOKUP(D1911,L$2:M$8,2,FALSE)</f>
        <v>0.25</v>
      </c>
      <c r="F1911">
        <f t="shared" si="87"/>
        <v>5</v>
      </c>
      <c r="G1911">
        <f>IF(F1911&gt;F1910,G1910+B1911*E1911,B1911*E1911)</f>
        <v>3.6456884999999999</v>
      </c>
      <c r="H1911">
        <f t="shared" si="88"/>
        <v>1</v>
      </c>
      <c r="I1911">
        <f t="shared" si="89"/>
        <v>0</v>
      </c>
    </row>
    <row r="1912" spans="1:9">
      <c r="A1912" s="1">
        <v>41508</v>
      </c>
      <c r="B1912">
        <v>3.7101899999999999</v>
      </c>
      <c r="C1912">
        <v>4.4349999999999996</v>
      </c>
      <c r="D1912">
        <f>WEEKDAY(A1912,14)</f>
        <v>1</v>
      </c>
      <c r="E1912">
        <f>VLOOKUP(D1912,L$2:M$8,2,FALSE)</f>
        <v>0</v>
      </c>
      <c r="F1912">
        <f t="shared" si="87"/>
        <v>1</v>
      </c>
      <c r="G1912">
        <f>IF(F1912&gt;F1911,G1911+B1912*E1912,B1912*E1912)</f>
        <v>0</v>
      </c>
      <c r="H1912">
        <f t="shared" si="88"/>
        <v>0</v>
      </c>
      <c r="I1912">
        <f t="shared" si="89"/>
        <v>3.6456884999999999</v>
      </c>
    </row>
    <row r="1913" spans="1:9">
      <c r="A1913" s="1">
        <v>41509</v>
      </c>
      <c r="B1913">
        <v>3.6014599999999999</v>
      </c>
      <c r="C1913">
        <v>4.4349999999999996</v>
      </c>
      <c r="D1913">
        <f>WEEKDAY(A1913,14)</f>
        <v>2</v>
      </c>
      <c r="E1913">
        <f>VLOOKUP(D1913,L$2:M$8,2,FALSE)</f>
        <v>0</v>
      </c>
      <c r="F1913">
        <f t="shared" si="87"/>
        <v>2</v>
      </c>
      <c r="G1913">
        <f>IF(F1913&gt;F1912,G1912+B1913*E1913,B1913*E1913)</f>
        <v>0</v>
      </c>
      <c r="H1913">
        <f t="shared" si="88"/>
        <v>0</v>
      </c>
      <c r="I1913">
        <f t="shared" si="89"/>
        <v>0</v>
      </c>
    </row>
    <row r="1914" spans="1:9">
      <c r="A1914" s="1">
        <v>41512</v>
      </c>
      <c r="B1914">
        <v>3.56494</v>
      </c>
      <c r="C1914">
        <v>4.4349999999999996</v>
      </c>
      <c r="D1914">
        <f>WEEKDAY(A1914,14)</f>
        <v>5</v>
      </c>
      <c r="E1914">
        <f>VLOOKUP(D1914,L$2:M$8,2,FALSE)</f>
        <v>0.05</v>
      </c>
      <c r="F1914">
        <f t="shared" si="87"/>
        <v>3</v>
      </c>
      <c r="G1914">
        <f>IF(F1914&gt;F1913,G1913+B1914*E1914,B1914*E1914)</f>
        <v>0.17824700000000002</v>
      </c>
      <c r="H1914">
        <f t="shared" si="88"/>
        <v>0.05</v>
      </c>
      <c r="I1914">
        <f t="shared" si="89"/>
        <v>0</v>
      </c>
    </row>
    <row r="1915" spans="1:9">
      <c r="A1915" s="1">
        <v>41513</v>
      </c>
      <c r="B1915">
        <v>3.4950100000000002</v>
      </c>
      <c r="C1915">
        <v>4.4349999999999996</v>
      </c>
      <c r="D1915">
        <f>WEEKDAY(A1915,14)</f>
        <v>6</v>
      </c>
      <c r="E1915">
        <f>VLOOKUP(D1915,L$2:M$8,2,FALSE)</f>
        <v>0.7</v>
      </c>
      <c r="F1915">
        <f t="shared" si="87"/>
        <v>4</v>
      </c>
      <c r="G1915">
        <f>IF(F1915&gt;F1914,G1914+B1915*E1915,B1915*E1915)</f>
        <v>2.6247539999999998</v>
      </c>
      <c r="H1915">
        <f t="shared" si="88"/>
        <v>0.75</v>
      </c>
      <c r="I1915">
        <f t="shared" si="89"/>
        <v>0</v>
      </c>
    </row>
    <row r="1916" spans="1:9">
      <c r="A1916" s="1">
        <v>41514</v>
      </c>
      <c r="B1916">
        <v>3.5645199999999999</v>
      </c>
      <c r="C1916">
        <v>4.4349999999999996</v>
      </c>
      <c r="D1916">
        <f>WEEKDAY(A1916,14)</f>
        <v>7</v>
      </c>
      <c r="E1916">
        <f>VLOOKUP(D1916,L$2:M$8,2,FALSE)</f>
        <v>0.25</v>
      </c>
      <c r="F1916">
        <f t="shared" si="87"/>
        <v>5</v>
      </c>
      <c r="G1916">
        <f>IF(F1916&gt;F1915,G1915+B1916*E1916,B1916*E1916)</f>
        <v>3.5158839999999998</v>
      </c>
      <c r="H1916">
        <f t="shared" si="88"/>
        <v>1</v>
      </c>
      <c r="I1916">
        <f t="shared" si="89"/>
        <v>0</v>
      </c>
    </row>
    <row r="1917" spans="1:9">
      <c r="A1917" s="1">
        <v>41515</v>
      </c>
      <c r="B1917">
        <v>3.5164</v>
      </c>
      <c r="C1917">
        <v>4.4950000000000001</v>
      </c>
      <c r="D1917">
        <f>WEEKDAY(A1917,14)</f>
        <v>1</v>
      </c>
      <c r="E1917">
        <f>VLOOKUP(D1917,L$2:M$8,2,FALSE)</f>
        <v>0</v>
      </c>
      <c r="F1917">
        <f t="shared" si="87"/>
        <v>1</v>
      </c>
      <c r="G1917">
        <f>IF(F1917&gt;F1916,G1916+B1917*E1917,B1917*E1917)</f>
        <v>0</v>
      </c>
      <c r="H1917">
        <f t="shared" si="88"/>
        <v>0</v>
      </c>
      <c r="I1917">
        <f t="shared" si="89"/>
        <v>3.5158839999999998</v>
      </c>
    </row>
    <row r="1918" spans="1:9">
      <c r="A1918" s="1">
        <v>41516</v>
      </c>
      <c r="B1918">
        <v>3.5181100000000001</v>
      </c>
      <c r="C1918">
        <v>4.4950000000000001</v>
      </c>
      <c r="D1918">
        <f>WEEKDAY(A1918,14)</f>
        <v>2</v>
      </c>
      <c r="E1918">
        <f>VLOOKUP(D1918,L$2:M$8,2,FALSE)</f>
        <v>0</v>
      </c>
      <c r="F1918">
        <f t="shared" si="87"/>
        <v>2</v>
      </c>
      <c r="G1918">
        <f>IF(F1918&gt;F1917,G1917+B1918*E1918,B1918*E1918)</f>
        <v>0</v>
      </c>
      <c r="H1918">
        <f t="shared" si="88"/>
        <v>0</v>
      </c>
      <c r="I1918">
        <f t="shared" si="89"/>
        <v>0</v>
      </c>
    </row>
    <row r="1919" spans="1:9">
      <c r="A1919" s="1">
        <v>41520</v>
      </c>
      <c r="B1919">
        <v>3.62303</v>
      </c>
      <c r="C1919">
        <v>4.4950000000000001</v>
      </c>
      <c r="D1919">
        <f>WEEKDAY(A1919,14)</f>
        <v>6</v>
      </c>
      <c r="E1919">
        <f>VLOOKUP(D1919,L$2:M$8,2,FALSE)</f>
        <v>0.7</v>
      </c>
      <c r="F1919">
        <f t="shared" si="87"/>
        <v>3</v>
      </c>
      <c r="G1919">
        <f>IF(F1919&gt;F1918,G1918+B1919*E1919,B1919*E1919)</f>
        <v>2.5361209999999996</v>
      </c>
      <c r="H1919">
        <f t="shared" si="88"/>
        <v>0.7</v>
      </c>
      <c r="I1919">
        <f t="shared" si="89"/>
        <v>0</v>
      </c>
    </row>
    <row r="1920" spans="1:9">
      <c r="A1920" s="1">
        <v>41521</v>
      </c>
      <c r="B1920">
        <v>3.67957</v>
      </c>
      <c r="C1920">
        <v>4.4950000000000001</v>
      </c>
      <c r="D1920">
        <f>WEEKDAY(A1920,14)</f>
        <v>7</v>
      </c>
      <c r="E1920">
        <f>VLOOKUP(D1920,L$2:M$8,2,FALSE)</f>
        <v>0.25</v>
      </c>
      <c r="F1920">
        <f t="shared" si="87"/>
        <v>4</v>
      </c>
      <c r="G1920">
        <f>IF(F1920&gt;F1919,G1919+B1920*E1920,B1920*E1920)</f>
        <v>3.4560134999999996</v>
      </c>
      <c r="H1920">
        <f t="shared" si="88"/>
        <v>0.95</v>
      </c>
      <c r="I1920">
        <f t="shared" si="89"/>
        <v>0</v>
      </c>
    </row>
    <row r="1921" spans="1:9">
      <c r="A1921" s="1">
        <v>41522</v>
      </c>
      <c r="B1921">
        <v>3.7867000000000002</v>
      </c>
      <c r="C1921">
        <v>4.5199999999999996</v>
      </c>
      <c r="D1921">
        <f>WEEKDAY(A1921,14)</f>
        <v>1</v>
      </c>
      <c r="E1921">
        <f>VLOOKUP(D1921,L$2:M$8,2,FALSE)</f>
        <v>0</v>
      </c>
      <c r="F1921">
        <f t="shared" si="87"/>
        <v>1</v>
      </c>
      <c r="G1921">
        <f>IF(F1921&gt;F1920,G1920+B1921*E1921,B1921*E1921)</f>
        <v>0</v>
      </c>
      <c r="H1921">
        <f t="shared" si="88"/>
        <v>0</v>
      </c>
      <c r="I1921">
        <f t="shared" si="89"/>
        <v>3.637908947368421</v>
      </c>
    </row>
    <row r="1922" spans="1:9">
      <c r="A1922" s="1">
        <v>41523</v>
      </c>
      <c r="B1922">
        <v>3.7212399999999999</v>
      </c>
      <c r="C1922">
        <v>4.5199999999999996</v>
      </c>
      <c r="D1922">
        <f>WEEKDAY(A1922,14)</f>
        <v>2</v>
      </c>
      <c r="E1922">
        <f>VLOOKUP(D1922,L$2:M$8,2,FALSE)</f>
        <v>0</v>
      </c>
      <c r="F1922">
        <f t="shared" si="87"/>
        <v>2</v>
      </c>
      <c r="G1922">
        <f>IF(F1922&gt;F1921,G1921+B1922*E1922,B1922*E1922)</f>
        <v>0</v>
      </c>
      <c r="H1922">
        <f t="shared" si="88"/>
        <v>0</v>
      </c>
      <c r="I1922">
        <f t="shared" si="89"/>
        <v>0</v>
      </c>
    </row>
    <row r="1923" spans="1:9">
      <c r="A1923" s="1">
        <v>41526</v>
      </c>
      <c r="B1923">
        <v>3.6494900000000001</v>
      </c>
      <c r="C1923">
        <v>4.5199999999999996</v>
      </c>
      <c r="D1923">
        <f>WEEKDAY(A1923,14)</f>
        <v>5</v>
      </c>
      <c r="E1923">
        <f>VLOOKUP(D1923,L$2:M$8,2,FALSE)</f>
        <v>0.05</v>
      </c>
      <c r="F1923">
        <f t="shared" ref="F1923:F1986" si="90">IF(AND(D1923&gt;D1922,F1922&lt;6),F1922+1,1)</f>
        <v>3</v>
      </c>
      <c r="G1923">
        <f>IF(F1923&gt;F1922,G1922+B1923*E1923,B1923*E1923)</f>
        <v>0.18247450000000001</v>
      </c>
      <c r="H1923">
        <f t="shared" si="88"/>
        <v>0.05</v>
      </c>
      <c r="I1923">
        <f t="shared" si="89"/>
        <v>0</v>
      </c>
    </row>
    <row r="1924" spans="1:9">
      <c r="A1924" s="1">
        <v>41527</v>
      </c>
      <c r="B1924">
        <v>3.7025600000000001</v>
      </c>
      <c r="C1924">
        <v>4.5199999999999996</v>
      </c>
      <c r="D1924">
        <f>WEEKDAY(A1924,14)</f>
        <v>6</v>
      </c>
      <c r="E1924">
        <f>VLOOKUP(D1924,L$2:M$8,2,FALSE)</f>
        <v>0.7</v>
      </c>
      <c r="F1924">
        <f t="shared" si="90"/>
        <v>4</v>
      </c>
      <c r="G1924">
        <f>IF(F1924&gt;F1923,G1923+B1924*E1924,B1924*E1924)</f>
        <v>2.7742665</v>
      </c>
      <c r="H1924">
        <f t="shared" ref="H1924:H1987" si="91">IF(AND(F1924&lt;6,F1924&gt;F1923),E1924+H1923,E1924)</f>
        <v>0.75</v>
      </c>
      <c r="I1924">
        <f t="shared" ref="I1924:I1987" si="92">IF(F1923&gt;F1924,G1923/H1923,0)</f>
        <v>0</v>
      </c>
    </row>
    <row r="1925" spans="1:9">
      <c r="A1925" s="1">
        <v>41528</v>
      </c>
      <c r="B1925">
        <v>3.6671800000000001</v>
      </c>
      <c r="C1925">
        <v>4.5199999999999996</v>
      </c>
      <c r="D1925">
        <f>WEEKDAY(A1925,14)</f>
        <v>7</v>
      </c>
      <c r="E1925">
        <f>VLOOKUP(D1925,L$2:M$8,2,FALSE)</f>
        <v>0.25</v>
      </c>
      <c r="F1925">
        <f t="shared" si="90"/>
        <v>5</v>
      </c>
      <c r="G1925">
        <f>IF(F1925&gt;F1924,G1924+B1925*E1925,B1925*E1925)</f>
        <v>3.6910615</v>
      </c>
      <c r="H1925">
        <f t="shared" si="91"/>
        <v>1</v>
      </c>
      <c r="I1925">
        <f t="shared" si="92"/>
        <v>0</v>
      </c>
    </row>
    <row r="1926" spans="1:9">
      <c r="A1926" s="1">
        <v>41529</v>
      </c>
      <c r="B1926">
        <v>3.6663000000000001</v>
      </c>
      <c r="C1926">
        <v>4.4249999999999998</v>
      </c>
      <c r="D1926">
        <f>WEEKDAY(A1926,14)</f>
        <v>1</v>
      </c>
      <c r="E1926">
        <f>VLOOKUP(D1926,L$2:M$8,2,FALSE)</f>
        <v>0</v>
      </c>
      <c r="F1926">
        <f t="shared" si="90"/>
        <v>1</v>
      </c>
      <c r="G1926">
        <f>IF(F1926&gt;F1925,G1925+B1926*E1926,B1926*E1926)</f>
        <v>0</v>
      </c>
      <c r="H1926">
        <f t="shared" si="91"/>
        <v>0</v>
      </c>
      <c r="I1926">
        <f t="shared" si="92"/>
        <v>3.6910615</v>
      </c>
    </row>
    <row r="1927" spans="1:9">
      <c r="A1927" s="1">
        <v>41530</v>
      </c>
      <c r="B1927">
        <v>3.6507299999999998</v>
      </c>
      <c r="C1927">
        <v>4.4249999999999998</v>
      </c>
      <c r="D1927">
        <f>WEEKDAY(A1927,14)</f>
        <v>2</v>
      </c>
      <c r="E1927">
        <f>VLOOKUP(D1927,L$2:M$8,2,FALSE)</f>
        <v>0</v>
      </c>
      <c r="F1927">
        <f t="shared" si="90"/>
        <v>2</v>
      </c>
      <c r="G1927">
        <f>IF(F1927&gt;F1926,G1926+B1927*E1927,B1927*E1927)</f>
        <v>0</v>
      </c>
      <c r="H1927">
        <f t="shared" si="91"/>
        <v>0</v>
      </c>
      <c r="I1927">
        <f t="shared" si="92"/>
        <v>0</v>
      </c>
    </row>
    <row r="1928" spans="1:9">
      <c r="A1928" s="1">
        <v>41533</v>
      </c>
      <c r="B1928">
        <v>3.6050300000000002</v>
      </c>
      <c r="C1928">
        <v>4.4249999999999998</v>
      </c>
      <c r="D1928">
        <f>WEEKDAY(A1928,14)</f>
        <v>5</v>
      </c>
      <c r="E1928">
        <f>VLOOKUP(D1928,L$2:M$8,2,FALSE)</f>
        <v>0.05</v>
      </c>
      <c r="F1928">
        <f t="shared" si="90"/>
        <v>3</v>
      </c>
      <c r="G1928">
        <f>IF(F1928&gt;F1927,G1927+B1928*E1928,B1928*E1928)</f>
        <v>0.18025150000000001</v>
      </c>
      <c r="H1928">
        <f t="shared" si="91"/>
        <v>0.05</v>
      </c>
      <c r="I1928">
        <f t="shared" si="92"/>
        <v>0</v>
      </c>
    </row>
    <row r="1929" spans="1:9">
      <c r="A1929" s="1">
        <v>41534</v>
      </c>
      <c r="B1929">
        <v>3.5863</v>
      </c>
      <c r="C1929">
        <v>4.4249999999999998</v>
      </c>
      <c r="D1929">
        <f>WEEKDAY(A1929,14)</f>
        <v>6</v>
      </c>
      <c r="E1929">
        <f>VLOOKUP(D1929,L$2:M$8,2,FALSE)</f>
        <v>0.7</v>
      </c>
      <c r="F1929">
        <f t="shared" si="90"/>
        <v>4</v>
      </c>
      <c r="G1929">
        <f>IF(F1929&gt;F1928,G1928+B1929*E1929,B1929*E1929)</f>
        <v>2.6906615</v>
      </c>
      <c r="H1929">
        <f t="shared" si="91"/>
        <v>0.75</v>
      </c>
      <c r="I1929">
        <f t="shared" si="92"/>
        <v>0</v>
      </c>
    </row>
    <row r="1930" spans="1:9">
      <c r="A1930" s="1">
        <v>41535</v>
      </c>
      <c r="B1930">
        <v>3.4041100000000002</v>
      </c>
      <c r="C1930">
        <v>4.4249999999999998</v>
      </c>
      <c r="D1930">
        <f>WEEKDAY(A1930,14)</f>
        <v>7</v>
      </c>
      <c r="E1930">
        <f>VLOOKUP(D1930,L$2:M$8,2,FALSE)</f>
        <v>0.25</v>
      </c>
      <c r="F1930">
        <f t="shared" si="90"/>
        <v>5</v>
      </c>
      <c r="G1930">
        <f>IF(F1930&gt;F1929,G1929+B1930*E1930,B1930*E1930)</f>
        <v>3.5416889999999999</v>
      </c>
      <c r="H1930">
        <f t="shared" si="91"/>
        <v>1</v>
      </c>
      <c r="I1930">
        <f t="shared" si="92"/>
        <v>0</v>
      </c>
    </row>
    <row r="1931" spans="1:9">
      <c r="A1931" s="1">
        <v>41536</v>
      </c>
      <c r="B1931">
        <v>3.4234800000000001</v>
      </c>
      <c r="C1931">
        <v>4.2450000000000001</v>
      </c>
      <c r="D1931">
        <f>WEEKDAY(A1931,14)</f>
        <v>1</v>
      </c>
      <c r="E1931">
        <f>VLOOKUP(D1931,L$2:M$8,2,FALSE)</f>
        <v>0</v>
      </c>
      <c r="F1931">
        <f t="shared" si="90"/>
        <v>1</v>
      </c>
      <c r="G1931">
        <f>IF(F1931&gt;F1930,G1930+B1931*E1931,B1931*E1931)</f>
        <v>0</v>
      </c>
      <c r="H1931">
        <f t="shared" si="91"/>
        <v>0</v>
      </c>
      <c r="I1931">
        <f t="shared" si="92"/>
        <v>3.5416889999999999</v>
      </c>
    </row>
    <row r="1932" spans="1:9">
      <c r="A1932" s="1">
        <v>41537</v>
      </c>
      <c r="B1932">
        <v>3.43161</v>
      </c>
      <c r="C1932">
        <v>4.2450000000000001</v>
      </c>
      <c r="D1932">
        <f>WEEKDAY(A1932,14)</f>
        <v>2</v>
      </c>
      <c r="E1932">
        <f>VLOOKUP(D1932,L$2:M$8,2,FALSE)</f>
        <v>0</v>
      </c>
      <c r="F1932">
        <f t="shared" si="90"/>
        <v>2</v>
      </c>
      <c r="G1932">
        <f>IF(F1932&gt;F1931,G1931+B1932*E1932,B1932*E1932)</f>
        <v>0</v>
      </c>
      <c r="H1932">
        <f t="shared" si="91"/>
        <v>0</v>
      </c>
      <c r="I1932">
        <f t="shared" si="92"/>
        <v>0</v>
      </c>
    </row>
    <row r="1933" spans="1:9">
      <c r="A1933" s="1">
        <v>41540</v>
      </c>
      <c r="B1933">
        <v>3.4028999999999998</v>
      </c>
      <c r="C1933">
        <v>4.2450000000000001</v>
      </c>
      <c r="D1933">
        <f>WEEKDAY(A1933,14)</f>
        <v>5</v>
      </c>
      <c r="E1933">
        <f>VLOOKUP(D1933,L$2:M$8,2,FALSE)</f>
        <v>0.05</v>
      </c>
      <c r="F1933">
        <f t="shared" si="90"/>
        <v>3</v>
      </c>
      <c r="G1933">
        <f>IF(F1933&gt;F1932,G1932+B1933*E1933,B1933*E1933)</f>
        <v>0.17014499999999999</v>
      </c>
      <c r="H1933">
        <f t="shared" si="91"/>
        <v>0.05</v>
      </c>
      <c r="I1933">
        <f t="shared" si="92"/>
        <v>0</v>
      </c>
    </row>
    <row r="1934" spans="1:9">
      <c r="A1934" s="1">
        <v>41541</v>
      </c>
      <c r="B1934">
        <v>3.3406899999999999</v>
      </c>
      <c r="C1934">
        <v>4.2450000000000001</v>
      </c>
      <c r="D1934">
        <f>WEEKDAY(A1934,14)</f>
        <v>6</v>
      </c>
      <c r="E1934">
        <f>VLOOKUP(D1934,L$2:M$8,2,FALSE)</f>
        <v>0.7</v>
      </c>
      <c r="F1934">
        <f t="shared" si="90"/>
        <v>4</v>
      </c>
      <c r="G1934">
        <f>IF(F1934&gt;F1933,G1933+B1934*E1934,B1934*E1934)</f>
        <v>2.5086279999999999</v>
      </c>
      <c r="H1934">
        <f t="shared" si="91"/>
        <v>0.75</v>
      </c>
      <c r="I1934">
        <f t="shared" si="92"/>
        <v>0</v>
      </c>
    </row>
    <row r="1935" spans="1:9">
      <c r="A1935" s="1">
        <v>41542</v>
      </c>
      <c r="B1935">
        <v>3.29616</v>
      </c>
      <c r="C1935">
        <v>4.2450000000000001</v>
      </c>
      <c r="D1935">
        <f>WEEKDAY(A1935,14)</f>
        <v>7</v>
      </c>
      <c r="E1935">
        <f>VLOOKUP(D1935,L$2:M$8,2,FALSE)</f>
        <v>0.25</v>
      </c>
      <c r="F1935">
        <f t="shared" si="90"/>
        <v>5</v>
      </c>
      <c r="G1935">
        <f>IF(F1935&gt;F1934,G1934+B1935*E1935,B1935*E1935)</f>
        <v>3.332668</v>
      </c>
      <c r="H1935">
        <f t="shared" si="91"/>
        <v>1</v>
      </c>
      <c r="I1935">
        <f t="shared" si="92"/>
        <v>0</v>
      </c>
    </row>
    <row r="1936" spans="1:9">
      <c r="A1936" s="1">
        <v>41543</v>
      </c>
      <c r="B1936">
        <v>3.32335</v>
      </c>
      <c r="C1936">
        <v>4.1449999999999996</v>
      </c>
      <c r="D1936">
        <f>WEEKDAY(A1936,14)</f>
        <v>1</v>
      </c>
      <c r="E1936">
        <f>VLOOKUP(D1936,L$2:M$8,2,FALSE)</f>
        <v>0</v>
      </c>
      <c r="F1936">
        <f t="shared" si="90"/>
        <v>1</v>
      </c>
      <c r="G1936">
        <f>IF(F1936&gt;F1935,G1935+B1936*E1936,B1936*E1936)</f>
        <v>0</v>
      </c>
      <c r="H1936">
        <f t="shared" si="91"/>
        <v>0</v>
      </c>
      <c r="I1936">
        <f t="shared" si="92"/>
        <v>3.332668</v>
      </c>
    </row>
    <row r="1937" spans="1:9">
      <c r="A1937" s="1">
        <v>41544</v>
      </c>
      <c r="B1937">
        <v>3.2948900000000001</v>
      </c>
      <c r="C1937">
        <v>4.1449999999999996</v>
      </c>
      <c r="D1937">
        <f>WEEKDAY(A1937,14)</f>
        <v>2</v>
      </c>
      <c r="E1937">
        <f>VLOOKUP(D1937,L$2:M$8,2,FALSE)</f>
        <v>0</v>
      </c>
      <c r="F1937">
        <f t="shared" si="90"/>
        <v>2</v>
      </c>
      <c r="G1937">
        <f>IF(F1937&gt;F1936,G1936+B1937*E1937,B1937*E1937)</f>
        <v>0</v>
      </c>
      <c r="H1937">
        <f t="shared" si="91"/>
        <v>0</v>
      </c>
      <c r="I1937">
        <f t="shared" si="92"/>
        <v>0</v>
      </c>
    </row>
    <row r="1938" spans="1:9">
      <c r="A1938" s="1">
        <v>41547</v>
      </c>
      <c r="B1938">
        <v>3.2952499999999998</v>
      </c>
      <c r="C1938">
        <v>4.1449999999999996</v>
      </c>
      <c r="D1938">
        <f>WEEKDAY(A1938,14)</f>
        <v>5</v>
      </c>
      <c r="E1938">
        <f>VLOOKUP(D1938,L$2:M$8,2,FALSE)</f>
        <v>0.05</v>
      </c>
      <c r="F1938">
        <f t="shared" si="90"/>
        <v>3</v>
      </c>
      <c r="G1938">
        <f>IF(F1938&gt;F1937,G1937+B1938*E1938,B1938*E1938)</f>
        <v>0.16476250000000001</v>
      </c>
      <c r="H1938">
        <f t="shared" si="91"/>
        <v>0.05</v>
      </c>
      <c r="I1938">
        <f t="shared" si="92"/>
        <v>0</v>
      </c>
    </row>
    <row r="1939" spans="1:9">
      <c r="A1939" s="1">
        <v>41548</v>
      </c>
      <c r="B1939">
        <v>3.3154400000000002</v>
      </c>
      <c r="C1939">
        <v>4.1449999999999996</v>
      </c>
      <c r="D1939">
        <f>WEEKDAY(A1939,14)</f>
        <v>6</v>
      </c>
      <c r="E1939">
        <f>VLOOKUP(D1939,L$2:M$8,2,FALSE)</f>
        <v>0.7</v>
      </c>
      <c r="F1939">
        <f t="shared" si="90"/>
        <v>4</v>
      </c>
      <c r="G1939">
        <f>IF(F1939&gt;F1938,G1938+B1939*E1939,B1939*E1939)</f>
        <v>2.4855705000000001</v>
      </c>
      <c r="H1939">
        <f t="shared" si="91"/>
        <v>0.75</v>
      </c>
      <c r="I1939">
        <f t="shared" si="92"/>
        <v>0</v>
      </c>
    </row>
    <row r="1940" spans="1:9">
      <c r="A1940" s="1">
        <v>41549</v>
      </c>
      <c r="B1940">
        <v>3.3078699999999999</v>
      </c>
      <c r="C1940">
        <v>4.1449999999999996</v>
      </c>
      <c r="D1940">
        <f>WEEKDAY(A1940,14)</f>
        <v>7</v>
      </c>
      <c r="E1940">
        <f>VLOOKUP(D1940,L$2:M$8,2,FALSE)</f>
        <v>0.25</v>
      </c>
      <c r="F1940">
        <f t="shared" si="90"/>
        <v>5</v>
      </c>
      <c r="G1940">
        <f>IF(F1940&gt;F1939,G1939+B1940*E1940,B1940*E1940)</f>
        <v>3.312538</v>
      </c>
      <c r="H1940">
        <f t="shared" si="91"/>
        <v>1</v>
      </c>
      <c r="I1940">
        <f t="shared" si="92"/>
        <v>0</v>
      </c>
    </row>
    <row r="1941" spans="1:9">
      <c r="A1941" s="1">
        <v>41550</v>
      </c>
      <c r="B1941">
        <v>3.2850799999999998</v>
      </c>
      <c r="C1941">
        <v>4.1550000000000002</v>
      </c>
      <c r="D1941">
        <f>WEEKDAY(A1941,14)</f>
        <v>1</v>
      </c>
      <c r="E1941">
        <f>VLOOKUP(D1941,L$2:M$8,2,FALSE)</f>
        <v>0</v>
      </c>
      <c r="F1941">
        <f t="shared" si="90"/>
        <v>1</v>
      </c>
      <c r="G1941">
        <f>IF(F1941&gt;F1940,G1940+B1941*E1941,B1941*E1941)</f>
        <v>0</v>
      </c>
      <c r="H1941">
        <f t="shared" si="91"/>
        <v>0</v>
      </c>
      <c r="I1941">
        <f t="shared" si="92"/>
        <v>3.312538</v>
      </c>
    </row>
    <row r="1942" spans="1:9">
      <c r="A1942" s="1">
        <v>41551</v>
      </c>
      <c r="B1942">
        <v>3.3143899999999999</v>
      </c>
      <c r="C1942">
        <v>4.1550000000000002</v>
      </c>
      <c r="D1942">
        <f>WEEKDAY(A1942,14)</f>
        <v>2</v>
      </c>
      <c r="E1942">
        <f>VLOOKUP(D1942,L$2:M$8,2,FALSE)</f>
        <v>0</v>
      </c>
      <c r="F1942">
        <f t="shared" si="90"/>
        <v>2</v>
      </c>
      <c r="G1942">
        <f>IF(F1942&gt;F1941,G1941+B1942*E1942,B1942*E1942)</f>
        <v>0</v>
      </c>
      <c r="H1942">
        <f t="shared" si="91"/>
        <v>0</v>
      </c>
      <c r="I1942">
        <f t="shared" si="92"/>
        <v>0</v>
      </c>
    </row>
    <row r="1943" spans="1:9">
      <c r="A1943" s="1">
        <v>41554</v>
      </c>
      <c r="B1943">
        <v>3.3152200000000001</v>
      </c>
      <c r="C1943">
        <v>4.1550000000000002</v>
      </c>
      <c r="D1943">
        <f>WEEKDAY(A1943,14)</f>
        <v>5</v>
      </c>
      <c r="E1943">
        <f>VLOOKUP(D1943,L$2:M$8,2,FALSE)</f>
        <v>0.05</v>
      </c>
      <c r="F1943">
        <f t="shared" si="90"/>
        <v>3</v>
      </c>
      <c r="G1943">
        <f>IF(F1943&gt;F1942,G1942+B1943*E1943,B1943*E1943)</f>
        <v>0.16576100000000002</v>
      </c>
      <c r="H1943">
        <f t="shared" si="91"/>
        <v>0.05</v>
      </c>
      <c r="I1943">
        <f t="shared" si="92"/>
        <v>0</v>
      </c>
    </row>
    <row r="1944" spans="1:9">
      <c r="A1944" s="1">
        <v>41555</v>
      </c>
      <c r="B1944">
        <v>3.3290099999999998</v>
      </c>
      <c r="C1944">
        <v>4.1550000000000002</v>
      </c>
      <c r="D1944">
        <f>WEEKDAY(A1944,14)</f>
        <v>6</v>
      </c>
      <c r="E1944">
        <f>VLOOKUP(D1944,L$2:M$8,2,FALSE)</f>
        <v>0.7</v>
      </c>
      <c r="F1944">
        <f t="shared" si="90"/>
        <v>4</v>
      </c>
      <c r="G1944">
        <f>IF(F1944&gt;F1943,G1943+B1944*E1944,B1944*E1944)</f>
        <v>2.4960679999999997</v>
      </c>
      <c r="H1944">
        <f t="shared" si="91"/>
        <v>0.75</v>
      </c>
      <c r="I1944">
        <f t="shared" si="92"/>
        <v>0</v>
      </c>
    </row>
    <row r="1945" spans="1:9">
      <c r="A1945" s="1">
        <v>41556</v>
      </c>
      <c r="B1945">
        <v>3.33121</v>
      </c>
      <c r="C1945">
        <v>4.1550000000000002</v>
      </c>
      <c r="D1945">
        <f>WEEKDAY(A1945,14)</f>
        <v>7</v>
      </c>
      <c r="E1945">
        <f>VLOOKUP(D1945,L$2:M$8,2,FALSE)</f>
        <v>0.25</v>
      </c>
      <c r="F1945">
        <f t="shared" si="90"/>
        <v>5</v>
      </c>
      <c r="G1945">
        <f>IF(F1945&gt;F1944,G1944+B1945*E1945,B1945*E1945)</f>
        <v>3.3288704999999998</v>
      </c>
      <c r="H1945">
        <f t="shared" si="91"/>
        <v>1</v>
      </c>
      <c r="I1945">
        <f t="shared" si="92"/>
        <v>0</v>
      </c>
    </row>
    <row r="1946" spans="1:9">
      <c r="A1946" s="1">
        <v>41557</v>
      </c>
      <c r="B1946">
        <v>3.3459300000000001</v>
      </c>
      <c r="C1946">
        <v>4.2050000000000001</v>
      </c>
      <c r="D1946">
        <f>WEEKDAY(A1946,14)</f>
        <v>1</v>
      </c>
      <c r="E1946">
        <f>VLOOKUP(D1946,L$2:M$8,2,FALSE)</f>
        <v>0</v>
      </c>
      <c r="F1946">
        <f t="shared" si="90"/>
        <v>1</v>
      </c>
      <c r="G1946">
        <f>IF(F1946&gt;F1945,G1945+B1946*E1946,B1946*E1946)</f>
        <v>0</v>
      </c>
      <c r="H1946">
        <f t="shared" si="91"/>
        <v>0</v>
      </c>
      <c r="I1946">
        <f t="shared" si="92"/>
        <v>3.3288704999999998</v>
      </c>
    </row>
    <row r="1947" spans="1:9">
      <c r="A1947" s="1">
        <v>41558</v>
      </c>
      <c r="B1947">
        <v>3.3488799999999999</v>
      </c>
      <c r="C1947">
        <v>4.2050000000000001</v>
      </c>
      <c r="D1947">
        <f>WEEKDAY(A1947,14)</f>
        <v>2</v>
      </c>
      <c r="E1947">
        <f>VLOOKUP(D1947,L$2:M$8,2,FALSE)</f>
        <v>0</v>
      </c>
      <c r="F1947">
        <f t="shared" si="90"/>
        <v>2</v>
      </c>
      <c r="G1947">
        <f>IF(F1947&gt;F1946,G1946+B1947*E1947,B1947*E1947)</f>
        <v>0</v>
      </c>
      <c r="H1947">
        <f t="shared" si="91"/>
        <v>0</v>
      </c>
      <c r="I1947">
        <f t="shared" si="92"/>
        <v>0</v>
      </c>
    </row>
    <row r="1948" spans="1:9">
      <c r="A1948" s="1">
        <v>41562</v>
      </c>
      <c r="B1948">
        <v>3.3897300000000001</v>
      </c>
      <c r="C1948">
        <v>4.2050000000000001</v>
      </c>
      <c r="D1948">
        <f>WEEKDAY(A1948,14)</f>
        <v>6</v>
      </c>
      <c r="E1948">
        <f>VLOOKUP(D1948,L$2:M$8,2,FALSE)</f>
        <v>0.7</v>
      </c>
      <c r="F1948">
        <f t="shared" si="90"/>
        <v>3</v>
      </c>
      <c r="G1948">
        <f>IF(F1948&gt;F1947,G1947+B1948*E1948,B1948*E1948)</f>
        <v>2.372811</v>
      </c>
      <c r="H1948">
        <f t="shared" si="91"/>
        <v>0.7</v>
      </c>
      <c r="I1948">
        <f t="shared" si="92"/>
        <v>0</v>
      </c>
    </row>
    <row r="1949" spans="1:9">
      <c r="A1949" s="1">
        <v>41563</v>
      </c>
      <c r="B1949">
        <v>3.3453300000000001</v>
      </c>
      <c r="C1949">
        <v>4.2050000000000001</v>
      </c>
      <c r="D1949">
        <f>WEEKDAY(A1949,14)</f>
        <v>7</v>
      </c>
      <c r="E1949">
        <f>VLOOKUP(D1949,L$2:M$8,2,FALSE)</f>
        <v>0.25</v>
      </c>
      <c r="F1949">
        <f t="shared" si="90"/>
        <v>4</v>
      </c>
      <c r="G1949">
        <f>IF(F1949&gt;F1948,G1948+B1949*E1949,B1949*E1949)</f>
        <v>3.2091435000000001</v>
      </c>
      <c r="H1949">
        <f t="shared" si="91"/>
        <v>0.95</v>
      </c>
      <c r="I1949">
        <f t="shared" si="92"/>
        <v>0</v>
      </c>
    </row>
    <row r="1950" spans="1:9">
      <c r="A1950" s="1">
        <v>41564</v>
      </c>
      <c r="B1950">
        <v>3.25461</v>
      </c>
      <c r="C1950">
        <v>4.08</v>
      </c>
      <c r="D1950">
        <f>WEEKDAY(A1950,14)</f>
        <v>1</v>
      </c>
      <c r="E1950">
        <f>VLOOKUP(D1950,L$2:M$8,2,FALSE)</f>
        <v>0</v>
      </c>
      <c r="F1950">
        <f t="shared" si="90"/>
        <v>1</v>
      </c>
      <c r="G1950">
        <f>IF(F1950&gt;F1949,G1949+B1950*E1950,B1950*E1950)</f>
        <v>0</v>
      </c>
      <c r="H1950">
        <f t="shared" si="91"/>
        <v>0</v>
      </c>
      <c r="I1950">
        <f t="shared" si="92"/>
        <v>3.3780457894736844</v>
      </c>
    </row>
    <row r="1951" spans="1:9">
      <c r="A1951" s="1">
        <v>41565</v>
      </c>
      <c r="B1951">
        <v>3.2585700000000002</v>
      </c>
      <c r="C1951">
        <v>4.08</v>
      </c>
      <c r="D1951">
        <f>WEEKDAY(A1951,14)</f>
        <v>2</v>
      </c>
      <c r="E1951">
        <f>VLOOKUP(D1951,L$2:M$8,2,FALSE)</f>
        <v>0</v>
      </c>
      <c r="F1951">
        <f t="shared" si="90"/>
        <v>2</v>
      </c>
      <c r="G1951">
        <f>IF(F1951&gt;F1950,G1950+B1951*E1951,B1951*E1951)</f>
        <v>0</v>
      </c>
      <c r="H1951">
        <f t="shared" si="91"/>
        <v>0</v>
      </c>
      <c r="I1951">
        <f t="shared" si="92"/>
        <v>0</v>
      </c>
    </row>
    <row r="1952" spans="1:9">
      <c r="A1952" s="1">
        <v>41568</v>
      </c>
      <c r="B1952">
        <v>3.2809499999999998</v>
      </c>
      <c r="C1952">
        <v>4.08</v>
      </c>
      <c r="D1952">
        <f>WEEKDAY(A1952,14)</f>
        <v>5</v>
      </c>
      <c r="E1952">
        <f>VLOOKUP(D1952,L$2:M$8,2,FALSE)</f>
        <v>0.05</v>
      </c>
      <c r="F1952">
        <f t="shared" si="90"/>
        <v>3</v>
      </c>
      <c r="G1952">
        <f>IF(F1952&gt;F1951,G1951+B1952*E1952,B1952*E1952)</f>
        <v>0.16404750000000001</v>
      </c>
      <c r="H1952">
        <f t="shared" si="91"/>
        <v>0.05</v>
      </c>
      <c r="I1952">
        <f t="shared" si="92"/>
        <v>0</v>
      </c>
    </row>
    <row r="1953" spans="1:9">
      <c r="A1953" s="1">
        <v>41569</v>
      </c>
      <c r="B1953">
        <v>3.1836600000000002</v>
      </c>
      <c r="C1953">
        <v>4.08</v>
      </c>
      <c r="D1953">
        <f>WEEKDAY(A1953,14)</f>
        <v>6</v>
      </c>
      <c r="E1953">
        <f>VLOOKUP(D1953,L$2:M$8,2,FALSE)</f>
        <v>0.7</v>
      </c>
      <c r="F1953">
        <f t="shared" si="90"/>
        <v>4</v>
      </c>
      <c r="G1953">
        <f>IF(F1953&gt;F1952,G1952+B1953*E1953,B1953*E1953)</f>
        <v>2.3926095000000003</v>
      </c>
      <c r="H1953">
        <f t="shared" si="91"/>
        <v>0.75</v>
      </c>
      <c r="I1953">
        <f t="shared" si="92"/>
        <v>0</v>
      </c>
    </row>
    <row r="1954" spans="1:9">
      <c r="A1954" s="1">
        <v>41570</v>
      </c>
      <c r="B1954">
        <v>3.1541700000000001</v>
      </c>
      <c r="C1954">
        <v>4.08</v>
      </c>
      <c r="D1954">
        <f>WEEKDAY(A1954,14)</f>
        <v>7</v>
      </c>
      <c r="E1954">
        <f>VLOOKUP(D1954,L$2:M$8,2,FALSE)</f>
        <v>0.25</v>
      </c>
      <c r="F1954">
        <f t="shared" si="90"/>
        <v>5</v>
      </c>
      <c r="G1954">
        <f>IF(F1954&gt;F1953,G1953+B1954*E1954,B1954*E1954)</f>
        <v>3.1811520000000004</v>
      </c>
      <c r="H1954">
        <f t="shared" si="91"/>
        <v>1</v>
      </c>
      <c r="I1954">
        <f t="shared" si="92"/>
        <v>0</v>
      </c>
    </row>
    <row r="1955" spans="1:9">
      <c r="A1955" s="1">
        <v>41571</v>
      </c>
      <c r="B1955">
        <v>3.1772300000000002</v>
      </c>
      <c r="C1955">
        <v>4.0250000000000004</v>
      </c>
      <c r="D1955">
        <f>WEEKDAY(A1955,14)</f>
        <v>1</v>
      </c>
      <c r="E1955">
        <f>VLOOKUP(D1955,L$2:M$8,2,FALSE)</f>
        <v>0</v>
      </c>
      <c r="F1955">
        <f t="shared" si="90"/>
        <v>1</v>
      </c>
      <c r="G1955">
        <f>IF(F1955&gt;F1954,G1954+B1955*E1955,B1955*E1955)</f>
        <v>0</v>
      </c>
      <c r="H1955">
        <f t="shared" si="91"/>
        <v>0</v>
      </c>
      <c r="I1955">
        <f t="shared" si="92"/>
        <v>3.1811520000000004</v>
      </c>
    </row>
    <row r="1956" spans="1:9">
      <c r="A1956" s="1">
        <v>41572</v>
      </c>
      <c r="B1956">
        <v>3.15212</v>
      </c>
      <c r="C1956">
        <v>4.0250000000000004</v>
      </c>
      <c r="D1956">
        <f>WEEKDAY(A1956,14)</f>
        <v>2</v>
      </c>
      <c r="E1956">
        <f>VLOOKUP(D1956,L$2:M$8,2,FALSE)</f>
        <v>0</v>
      </c>
      <c r="F1956">
        <f t="shared" si="90"/>
        <v>2</v>
      </c>
      <c r="G1956">
        <f>IF(F1956&gt;F1955,G1955+B1956*E1956,B1956*E1956)</f>
        <v>0</v>
      </c>
      <c r="H1956">
        <f t="shared" si="91"/>
        <v>0</v>
      </c>
      <c r="I1956">
        <f t="shared" si="92"/>
        <v>0</v>
      </c>
    </row>
    <row r="1957" spans="1:9">
      <c r="A1957" s="1">
        <v>41575</v>
      </c>
      <c r="B1957">
        <v>3.1593200000000001</v>
      </c>
      <c r="C1957">
        <v>4.0250000000000004</v>
      </c>
      <c r="D1957">
        <f>WEEKDAY(A1957,14)</f>
        <v>5</v>
      </c>
      <c r="E1957">
        <f>VLOOKUP(D1957,L$2:M$8,2,FALSE)</f>
        <v>0.05</v>
      </c>
      <c r="F1957">
        <f t="shared" si="90"/>
        <v>3</v>
      </c>
      <c r="G1957">
        <f>IF(F1957&gt;F1956,G1956+B1957*E1957,B1957*E1957)</f>
        <v>0.15796600000000002</v>
      </c>
      <c r="H1957">
        <f t="shared" si="91"/>
        <v>0.05</v>
      </c>
      <c r="I1957">
        <f t="shared" si="92"/>
        <v>0</v>
      </c>
    </row>
    <row r="1958" spans="1:9">
      <c r="A1958" s="1">
        <v>41576</v>
      </c>
      <c r="B1958">
        <v>3.1543199999999998</v>
      </c>
      <c r="C1958">
        <v>4.0250000000000004</v>
      </c>
      <c r="D1958">
        <f>WEEKDAY(A1958,14)</f>
        <v>6</v>
      </c>
      <c r="E1958">
        <f>VLOOKUP(D1958,L$2:M$8,2,FALSE)</f>
        <v>0.7</v>
      </c>
      <c r="F1958">
        <f t="shared" si="90"/>
        <v>4</v>
      </c>
      <c r="G1958">
        <f>IF(F1958&gt;F1957,G1957+B1958*E1958,B1958*E1958)</f>
        <v>2.3659899999999996</v>
      </c>
      <c r="H1958">
        <f t="shared" si="91"/>
        <v>0.75</v>
      </c>
      <c r="I1958">
        <f t="shared" si="92"/>
        <v>0</v>
      </c>
    </row>
    <row r="1959" spans="1:9">
      <c r="A1959" s="1">
        <v>41577</v>
      </c>
      <c r="B1959">
        <v>3.1611400000000001</v>
      </c>
      <c r="C1959">
        <v>4.0250000000000004</v>
      </c>
      <c r="D1959">
        <f>WEEKDAY(A1959,14)</f>
        <v>7</v>
      </c>
      <c r="E1959">
        <f>VLOOKUP(D1959,L$2:M$8,2,FALSE)</f>
        <v>0.25</v>
      </c>
      <c r="F1959">
        <f t="shared" si="90"/>
        <v>5</v>
      </c>
      <c r="G1959">
        <f>IF(F1959&gt;F1958,G1958+B1959*E1959,B1959*E1959)</f>
        <v>3.1562749999999995</v>
      </c>
      <c r="H1959">
        <f t="shared" si="91"/>
        <v>1</v>
      </c>
      <c r="I1959">
        <f t="shared" si="92"/>
        <v>0</v>
      </c>
    </row>
    <row r="1960" spans="1:9">
      <c r="A1960" s="1">
        <v>41578</v>
      </c>
      <c r="B1960">
        <v>3.1803599999999999</v>
      </c>
      <c r="C1960">
        <v>4.1100000000000003</v>
      </c>
      <c r="D1960">
        <f>WEEKDAY(A1960,14)</f>
        <v>1</v>
      </c>
      <c r="E1960">
        <f>VLOOKUP(D1960,L$2:M$8,2,FALSE)</f>
        <v>0</v>
      </c>
      <c r="F1960">
        <f t="shared" si="90"/>
        <v>1</v>
      </c>
      <c r="G1960">
        <f>IF(F1960&gt;F1959,G1959+B1960*E1960,B1960*E1960)</f>
        <v>0</v>
      </c>
      <c r="H1960">
        <f t="shared" si="91"/>
        <v>0</v>
      </c>
      <c r="I1960">
        <f t="shared" si="92"/>
        <v>3.1562749999999995</v>
      </c>
    </row>
    <row r="1961" spans="1:9">
      <c r="A1961" s="1">
        <v>41579</v>
      </c>
      <c r="B1961">
        <v>3.25928</v>
      </c>
      <c r="C1961">
        <v>4.1100000000000003</v>
      </c>
      <c r="D1961">
        <f>WEEKDAY(A1961,14)</f>
        <v>2</v>
      </c>
      <c r="E1961">
        <f>VLOOKUP(D1961,L$2:M$8,2,FALSE)</f>
        <v>0</v>
      </c>
      <c r="F1961">
        <f t="shared" si="90"/>
        <v>2</v>
      </c>
      <c r="G1961">
        <f>IF(F1961&gt;F1960,G1960+B1961*E1961,B1961*E1961)</f>
        <v>0</v>
      </c>
      <c r="H1961">
        <f t="shared" si="91"/>
        <v>0</v>
      </c>
      <c r="I1961">
        <f t="shared" si="92"/>
        <v>0</v>
      </c>
    </row>
    <row r="1962" spans="1:9">
      <c r="A1962" s="1">
        <v>41582</v>
      </c>
      <c r="B1962">
        <v>3.2387600000000001</v>
      </c>
      <c r="C1962">
        <v>4.1100000000000003</v>
      </c>
      <c r="D1962">
        <f>WEEKDAY(A1962,14)</f>
        <v>5</v>
      </c>
      <c r="E1962">
        <f>VLOOKUP(D1962,L$2:M$8,2,FALSE)</f>
        <v>0.05</v>
      </c>
      <c r="F1962">
        <f t="shared" si="90"/>
        <v>3</v>
      </c>
      <c r="G1962">
        <f>IF(F1962&gt;F1961,G1961+B1962*E1962,B1962*E1962)</f>
        <v>0.16193800000000003</v>
      </c>
      <c r="H1962">
        <f t="shared" si="91"/>
        <v>0.05</v>
      </c>
      <c r="I1962">
        <f t="shared" si="92"/>
        <v>0</v>
      </c>
    </row>
    <row r="1963" spans="1:9">
      <c r="A1963" s="1">
        <v>41583</v>
      </c>
      <c r="B1963">
        <v>3.3120099999999999</v>
      </c>
      <c r="C1963">
        <v>4.1100000000000003</v>
      </c>
      <c r="D1963">
        <f>WEEKDAY(A1963,14)</f>
        <v>6</v>
      </c>
      <c r="E1963">
        <f>VLOOKUP(D1963,L$2:M$8,2,FALSE)</f>
        <v>0.7</v>
      </c>
      <c r="F1963">
        <f t="shared" si="90"/>
        <v>4</v>
      </c>
      <c r="G1963">
        <f>IF(F1963&gt;F1962,G1962+B1963*E1963,B1963*E1963)</f>
        <v>2.4803449999999998</v>
      </c>
      <c r="H1963">
        <f t="shared" si="91"/>
        <v>0.75</v>
      </c>
      <c r="I1963">
        <f t="shared" si="92"/>
        <v>0</v>
      </c>
    </row>
    <row r="1964" spans="1:9">
      <c r="A1964" s="1">
        <v>41584</v>
      </c>
      <c r="B1964">
        <v>3.2997299999999998</v>
      </c>
      <c r="C1964">
        <v>4.1100000000000003</v>
      </c>
      <c r="D1964">
        <f>WEEKDAY(A1964,14)</f>
        <v>7</v>
      </c>
      <c r="E1964">
        <f>VLOOKUP(D1964,L$2:M$8,2,FALSE)</f>
        <v>0.25</v>
      </c>
      <c r="F1964">
        <f t="shared" si="90"/>
        <v>5</v>
      </c>
      <c r="G1964">
        <f>IF(F1964&gt;F1963,G1963+B1964*E1964,B1964*E1964)</f>
        <v>3.3052774999999999</v>
      </c>
      <c r="H1964">
        <f t="shared" si="91"/>
        <v>1</v>
      </c>
      <c r="I1964">
        <f t="shared" si="92"/>
        <v>0</v>
      </c>
    </row>
    <row r="1965" spans="1:9">
      <c r="A1965" s="1">
        <v>41585</v>
      </c>
      <c r="B1965">
        <v>3.2915299999999998</v>
      </c>
      <c r="C1965">
        <v>4.2750000000000004</v>
      </c>
      <c r="D1965">
        <f>WEEKDAY(A1965,14)</f>
        <v>1</v>
      </c>
      <c r="E1965">
        <f>VLOOKUP(D1965,L$2:M$8,2,FALSE)</f>
        <v>0</v>
      </c>
      <c r="F1965">
        <f t="shared" si="90"/>
        <v>1</v>
      </c>
      <c r="G1965">
        <f>IF(F1965&gt;F1964,G1964+B1965*E1965,B1965*E1965)</f>
        <v>0</v>
      </c>
      <c r="H1965">
        <f t="shared" si="91"/>
        <v>0</v>
      </c>
      <c r="I1965">
        <f t="shared" si="92"/>
        <v>3.3052774999999999</v>
      </c>
    </row>
    <row r="1966" spans="1:9">
      <c r="A1966" s="1">
        <v>41586</v>
      </c>
      <c r="B1966">
        <v>3.4185300000000001</v>
      </c>
      <c r="C1966">
        <v>4.2750000000000004</v>
      </c>
      <c r="D1966">
        <f>WEEKDAY(A1966,14)</f>
        <v>2</v>
      </c>
      <c r="E1966">
        <f>VLOOKUP(D1966,L$2:M$8,2,FALSE)</f>
        <v>0</v>
      </c>
      <c r="F1966">
        <f t="shared" si="90"/>
        <v>2</v>
      </c>
      <c r="G1966">
        <f>IF(F1966&gt;F1965,G1965+B1966*E1966,B1966*E1966)</f>
        <v>0</v>
      </c>
      <c r="H1966">
        <f t="shared" si="91"/>
        <v>0</v>
      </c>
      <c r="I1966">
        <f t="shared" si="92"/>
        <v>0</v>
      </c>
    </row>
    <row r="1967" spans="1:9">
      <c r="A1967" s="1">
        <v>41590</v>
      </c>
      <c r="B1967">
        <v>3.42394</v>
      </c>
      <c r="C1967">
        <v>4.2750000000000004</v>
      </c>
      <c r="D1967">
        <f>WEEKDAY(A1967,14)</f>
        <v>6</v>
      </c>
      <c r="E1967">
        <f>VLOOKUP(D1967,L$2:M$8,2,FALSE)</f>
        <v>0.7</v>
      </c>
      <c r="F1967">
        <f t="shared" si="90"/>
        <v>3</v>
      </c>
      <c r="G1967">
        <f>IF(F1967&gt;F1966,G1966+B1967*E1967,B1967*E1967)</f>
        <v>2.3967579999999997</v>
      </c>
      <c r="H1967">
        <f t="shared" si="91"/>
        <v>0.7</v>
      </c>
      <c r="I1967">
        <f t="shared" si="92"/>
        <v>0</v>
      </c>
    </row>
    <row r="1968" spans="1:9">
      <c r="A1968" s="1">
        <v>41591</v>
      </c>
      <c r="B1968">
        <v>3.3863300000000001</v>
      </c>
      <c r="C1968">
        <v>4.2750000000000004</v>
      </c>
      <c r="D1968">
        <f>WEEKDAY(A1968,14)</f>
        <v>7</v>
      </c>
      <c r="E1968">
        <f>VLOOKUP(D1968,L$2:M$8,2,FALSE)</f>
        <v>0.25</v>
      </c>
      <c r="F1968">
        <f t="shared" si="90"/>
        <v>4</v>
      </c>
      <c r="G1968">
        <f>IF(F1968&gt;F1967,G1967+B1968*E1968,B1968*E1968)</f>
        <v>3.2433404999999995</v>
      </c>
      <c r="H1968">
        <f t="shared" si="91"/>
        <v>0.95</v>
      </c>
      <c r="I1968">
        <f t="shared" si="92"/>
        <v>0</v>
      </c>
    </row>
    <row r="1969" spans="1:9">
      <c r="A1969" s="1">
        <v>41592</v>
      </c>
      <c r="B1969">
        <v>3.3344</v>
      </c>
      <c r="C1969">
        <v>4.1449999999999996</v>
      </c>
      <c r="D1969">
        <f>WEEKDAY(A1969,14)</f>
        <v>1</v>
      </c>
      <c r="E1969">
        <f>VLOOKUP(D1969,L$2:M$8,2,FALSE)</f>
        <v>0</v>
      </c>
      <c r="F1969">
        <f t="shared" si="90"/>
        <v>1</v>
      </c>
      <c r="G1969">
        <f>IF(F1969&gt;F1968,G1968+B1969*E1969,B1969*E1969)</f>
        <v>0</v>
      </c>
      <c r="H1969">
        <f t="shared" si="91"/>
        <v>0</v>
      </c>
      <c r="I1969">
        <f t="shared" si="92"/>
        <v>3.4140426315789472</v>
      </c>
    </row>
    <row r="1970" spans="1:9">
      <c r="A1970" s="1">
        <v>41593</v>
      </c>
      <c r="B1970">
        <v>3.3275000000000001</v>
      </c>
      <c r="C1970">
        <v>4.1449999999999996</v>
      </c>
      <c r="D1970">
        <f>WEEKDAY(A1970,14)</f>
        <v>2</v>
      </c>
      <c r="E1970">
        <f>VLOOKUP(D1970,L$2:M$8,2,FALSE)</f>
        <v>0</v>
      </c>
      <c r="F1970">
        <f t="shared" si="90"/>
        <v>2</v>
      </c>
      <c r="G1970">
        <f>IF(F1970&gt;F1969,G1969+B1970*E1970,B1970*E1970)</f>
        <v>0</v>
      </c>
      <c r="H1970">
        <f t="shared" si="91"/>
        <v>0</v>
      </c>
      <c r="I1970">
        <f t="shared" si="92"/>
        <v>0</v>
      </c>
    </row>
    <row r="1971" spans="1:9">
      <c r="A1971" s="1">
        <v>41596</v>
      </c>
      <c r="B1971">
        <v>3.2892199999999998</v>
      </c>
      <c r="C1971">
        <v>4.1449999999999996</v>
      </c>
      <c r="D1971">
        <f>WEEKDAY(A1971,14)</f>
        <v>5</v>
      </c>
      <c r="E1971">
        <f>VLOOKUP(D1971,L$2:M$8,2,FALSE)</f>
        <v>0.05</v>
      </c>
      <c r="F1971">
        <f t="shared" si="90"/>
        <v>3</v>
      </c>
      <c r="G1971">
        <f>IF(F1971&gt;F1970,G1970+B1971*E1971,B1971*E1971)</f>
        <v>0.164461</v>
      </c>
      <c r="H1971">
        <f t="shared" si="91"/>
        <v>0.05</v>
      </c>
      <c r="I1971">
        <f t="shared" si="92"/>
        <v>0</v>
      </c>
    </row>
    <row r="1972" spans="1:9">
      <c r="A1972" s="1">
        <v>41598</v>
      </c>
      <c r="B1972">
        <v>3.3953899999999999</v>
      </c>
      <c r="C1972">
        <v>4.1449999999999996</v>
      </c>
      <c r="D1972">
        <f>WEEKDAY(A1972,14)</f>
        <v>7</v>
      </c>
      <c r="E1972">
        <f>VLOOKUP(D1972,L$2:M$8,2,FALSE)</f>
        <v>0.25</v>
      </c>
      <c r="F1972">
        <f t="shared" si="90"/>
        <v>4</v>
      </c>
      <c r="G1972">
        <f>IF(F1972&gt;F1971,G1971+B1972*E1972,B1972*E1972)</f>
        <v>1.0133084999999999</v>
      </c>
      <c r="H1972">
        <f t="shared" si="91"/>
        <v>0.3</v>
      </c>
      <c r="I1972">
        <f t="shared" si="92"/>
        <v>0</v>
      </c>
    </row>
    <row r="1973" spans="1:9">
      <c r="A1973" s="1">
        <v>41599</v>
      </c>
      <c r="B1973">
        <v>3.3902199999999998</v>
      </c>
      <c r="C1973">
        <v>4.2149999999999999</v>
      </c>
      <c r="D1973">
        <f>WEEKDAY(A1973,14)</f>
        <v>1</v>
      </c>
      <c r="E1973">
        <f>VLOOKUP(D1973,L$2:M$8,2,FALSE)</f>
        <v>0</v>
      </c>
      <c r="F1973">
        <f t="shared" si="90"/>
        <v>1</v>
      </c>
      <c r="G1973">
        <f>IF(F1973&gt;F1972,G1972+B1973*E1973,B1973*E1973)</f>
        <v>0</v>
      </c>
      <c r="H1973">
        <f t="shared" si="91"/>
        <v>0</v>
      </c>
      <c r="I1973">
        <f t="shared" si="92"/>
        <v>3.3776950000000001</v>
      </c>
    </row>
    <row r="1974" spans="1:9">
      <c r="A1974" s="1">
        <v>41600</v>
      </c>
      <c r="B1974">
        <v>3.3765700000000001</v>
      </c>
      <c r="C1974">
        <v>4.2149999999999999</v>
      </c>
      <c r="D1974">
        <f>WEEKDAY(A1974,14)</f>
        <v>2</v>
      </c>
      <c r="E1974">
        <f>VLOOKUP(D1974,L$2:M$8,2,FALSE)</f>
        <v>0</v>
      </c>
      <c r="F1974">
        <f t="shared" si="90"/>
        <v>2</v>
      </c>
      <c r="G1974">
        <f>IF(F1974&gt;F1973,G1973+B1974*E1974,B1974*E1974)</f>
        <v>0</v>
      </c>
      <c r="H1974">
        <f t="shared" si="91"/>
        <v>0</v>
      </c>
      <c r="I1974">
        <f t="shared" si="92"/>
        <v>0</v>
      </c>
    </row>
    <row r="1975" spans="1:9">
      <c r="A1975" s="1">
        <v>41611</v>
      </c>
      <c r="B1975">
        <v>3.4820099999999998</v>
      </c>
      <c r="C1975">
        <v>4.2149999999999999</v>
      </c>
      <c r="D1975">
        <f>WEEKDAY(A1975,14)</f>
        <v>6</v>
      </c>
      <c r="E1975">
        <f>VLOOKUP(D1975,L$2:M$8,2,FALSE)</f>
        <v>0.7</v>
      </c>
      <c r="F1975">
        <f t="shared" si="90"/>
        <v>3</v>
      </c>
      <c r="G1975">
        <f>IF(F1975&gt;F1974,G1974+B1975*E1975,B1975*E1975)</f>
        <v>2.4374069999999999</v>
      </c>
      <c r="H1975">
        <f t="shared" si="91"/>
        <v>0.7</v>
      </c>
      <c r="I1975">
        <f t="shared" si="92"/>
        <v>0</v>
      </c>
    </row>
    <row r="1976" spans="1:9">
      <c r="A1976" s="1">
        <v>41612</v>
      </c>
      <c r="B1976">
        <v>3.53796</v>
      </c>
      <c r="C1976">
        <v>4.2149999999999999</v>
      </c>
      <c r="D1976">
        <f>WEEKDAY(A1976,14)</f>
        <v>7</v>
      </c>
      <c r="E1976">
        <f>VLOOKUP(D1976,L$2:M$8,2,FALSE)</f>
        <v>0.25</v>
      </c>
      <c r="F1976">
        <f t="shared" si="90"/>
        <v>4</v>
      </c>
      <c r="G1976">
        <f>IF(F1976&gt;F1975,G1975+B1976*E1976,B1976*E1976)</f>
        <v>3.3218969999999999</v>
      </c>
      <c r="H1976">
        <f t="shared" si="91"/>
        <v>0.95</v>
      </c>
      <c r="I1976">
        <f t="shared" si="92"/>
        <v>0</v>
      </c>
    </row>
    <row r="1977" spans="1:9">
      <c r="A1977" s="1">
        <v>41613</v>
      </c>
      <c r="B1977">
        <v>3.55213</v>
      </c>
      <c r="C1977">
        <v>4.3449999999999998</v>
      </c>
      <c r="D1977">
        <f>WEEKDAY(A1977,14)</f>
        <v>1</v>
      </c>
      <c r="E1977">
        <f>VLOOKUP(D1977,L$2:M$8,2,FALSE)</f>
        <v>0</v>
      </c>
      <c r="F1977">
        <f t="shared" si="90"/>
        <v>1</v>
      </c>
      <c r="G1977">
        <f>IF(F1977&gt;F1976,G1976+B1977*E1977,B1977*E1977)</f>
        <v>0</v>
      </c>
      <c r="H1977">
        <f t="shared" si="91"/>
        <v>0</v>
      </c>
      <c r="I1977">
        <f t="shared" si="92"/>
        <v>3.4967336842105263</v>
      </c>
    </row>
    <row r="1978" spans="1:9">
      <c r="A1978" s="1">
        <v>41614</v>
      </c>
      <c r="B1978">
        <v>3.5357699999999999</v>
      </c>
      <c r="C1978">
        <v>4.3449999999999998</v>
      </c>
      <c r="D1978">
        <f>WEEKDAY(A1978,14)</f>
        <v>2</v>
      </c>
      <c r="E1978">
        <f>VLOOKUP(D1978,L$2:M$8,2,FALSE)</f>
        <v>0</v>
      </c>
      <c r="F1978">
        <f t="shared" si="90"/>
        <v>2</v>
      </c>
      <c r="G1978">
        <f>IF(F1978&gt;F1977,G1977+B1978*E1978,B1978*E1978)</f>
        <v>0</v>
      </c>
      <c r="H1978">
        <f t="shared" si="91"/>
        <v>0</v>
      </c>
      <c r="I1978">
        <f t="shared" si="92"/>
        <v>0</v>
      </c>
    </row>
    <row r="1979" spans="1:9">
      <c r="A1979" s="1">
        <v>41617</v>
      </c>
      <c r="B1979">
        <v>3.5044900000000001</v>
      </c>
      <c r="C1979">
        <v>4.3449999999999998</v>
      </c>
      <c r="D1979">
        <f>WEEKDAY(A1979,14)</f>
        <v>5</v>
      </c>
      <c r="E1979">
        <f>VLOOKUP(D1979,L$2:M$8,2,FALSE)</f>
        <v>0.05</v>
      </c>
      <c r="F1979">
        <f t="shared" si="90"/>
        <v>3</v>
      </c>
      <c r="G1979">
        <f>IF(F1979&gt;F1978,G1978+B1979*E1979,B1979*E1979)</f>
        <v>0.17522450000000001</v>
      </c>
      <c r="H1979">
        <f t="shared" si="91"/>
        <v>0.05</v>
      </c>
      <c r="I1979">
        <f t="shared" si="92"/>
        <v>0</v>
      </c>
    </row>
    <row r="1980" spans="1:9">
      <c r="A1980" s="1">
        <v>41618</v>
      </c>
      <c r="B1980">
        <v>3.4647600000000001</v>
      </c>
      <c r="C1980">
        <v>4.3449999999999998</v>
      </c>
      <c r="D1980">
        <f>WEEKDAY(A1980,14)</f>
        <v>6</v>
      </c>
      <c r="E1980">
        <f>VLOOKUP(D1980,L$2:M$8,2,FALSE)</f>
        <v>0.7</v>
      </c>
      <c r="F1980">
        <f t="shared" si="90"/>
        <v>4</v>
      </c>
      <c r="G1980">
        <f>IF(F1980&gt;F1979,G1979+B1980*E1980,B1980*E1980)</f>
        <v>2.6005565000000002</v>
      </c>
      <c r="H1980">
        <f t="shared" si="91"/>
        <v>0.75</v>
      </c>
      <c r="I1980">
        <f t="shared" si="92"/>
        <v>0</v>
      </c>
    </row>
    <row r="1981" spans="1:9">
      <c r="A1981" s="1">
        <v>41619</v>
      </c>
      <c r="B1981">
        <v>3.5156900000000002</v>
      </c>
      <c r="C1981">
        <v>4.3449999999999998</v>
      </c>
      <c r="D1981">
        <f>WEEKDAY(A1981,14)</f>
        <v>7</v>
      </c>
      <c r="E1981">
        <f>VLOOKUP(D1981,L$2:M$8,2,FALSE)</f>
        <v>0.25</v>
      </c>
      <c r="F1981">
        <f t="shared" si="90"/>
        <v>5</v>
      </c>
      <c r="G1981">
        <f>IF(F1981&gt;F1980,G1980+B1981*E1981,B1981*E1981)</f>
        <v>3.4794790000000004</v>
      </c>
      <c r="H1981">
        <f t="shared" si="91"/>
        <v>1</v>
      </c>
      <c r="I1981">
        <f t="shared" si="92"/>
        <v>0</v>
      </c>
    </row>
    <row r="1982" spans="1:9">
      <c r="A1982" s="1">
        <v>41620</v>
      </c>
      <c r="B1982">
        <v>3.5427499999999998</v>
      </c>
      <c r="C1982">
        <v>4.3949999999999996</v>
      </c>
      <c r="D1982">
        <f>WEEKDAY(A1982,14)</f>
        <v>1</v>
      </c>
      <c r="E1982">
        <f>VLOOKUP(D1982,L$2:M$8,2,FALSE)</f>
        <v>0</v>
      </c>
      <c r="F1982">
        <f t="shared" si="90"/>
        <v>1</v>
      </c>
      <c r="G1982">
        <f>IF(F1982&gt;F1981,G1981+B1982*E1982,B1982*E1982)</f>
        <v>0</v>
      </c>
      <c r="H1982">
        <f t="shared" si="91"/>
        <v>0</v>
      </c>
      <c r="I1982">
        <f t="shared" si="92"/>
        <v>3.4794790000000004</v>
      </c>
    </row>
    <row r="1983" spans="1:9">
      <c r="A1983" s="1">
        <v>41621</v>
      </c>
      <c r="B1983">
        <v>3.5291000000000001</v>
      </c>
      <c r="C1983">
        <v>4.3949999999999996</v>
      </c>
      <c r="D1983">
        <f>WEEKDAY(A1983,14)</f>
        <v>2</v>
      </c>
      <c r="E1983">
        <f>VLOOKUP(D1983,L$2:M$8,2,FALSE)</f>
        <v>0</v>
      </c>
      <c r="F1983">
        <f t="shared" si="90"/>
        <v>2</v>
      </c>
      <c r="G1983">
        <f>IF(F1983&gt;F1982,G1982+B1983*E1983,B1983*E1983)</f>
        <v>0</v>
      </c>
      <c r="H1983">
        <f t="shared" si="91"/>
        <v>0</v>
      </c>
      <c r="I1983">
        <f t="shared" si="92"/>
        <v>0</v>
      </c>
    </row>
    <row r="1984" spans="1:9">
      <c r="A1984" s="1">
        <v>41624</v>
      </c>
      <c r="B1984">
        <v>3.5307200000000001</v>
      </c>
      <c r="C1984">
        <v>4.3949999999999996</v>
      </c>
      <c r="D1984">
        <f>WEEKDAY(A1984,14)</f>
        <v>5</v>
      </c>
      <c r="E1984">
        <f>VLOOKUP(D1984,L$2:M$8,2,FALSE)</f>
        <v>0.05</v>
      </c>
      <c r="F1984">
        <f t="shared" si="90"/>
        <v>3</v>
      </c>
      <c r="G1984">
        <f>IF(F1984&gt;F1983,G1983+B1984*E1984,B1984*E1984)</f>
        <v>0.17653600000000003</v>
      </c>
      <c r="H1984">
        <f t="shared" si="91"/>
        <v>0.05</v>
      </c>
      <c r="I1984">
        <f t="shared" si="92"/>
        <v>0</v>
      </c>
    </row>
    <row r="1985" spans="1:9">
      <c r="A1985" s="1">
        <v>41625</v>
      </c>
      <c r="B1985">
        <v>3.4998900000000002</v>
      </c>
      <c r="C1985">
        <v>4.3949999999999996</v>
      </c>
      <c r="D1985">
        <f>WEEKDAY(A1985,14)</f>
        <v>6</v>
      </c>
      <c r="E1985">
        <f>VLOOKUP(D1985,L$2:M$8,2,FALSE)</f>
        <v>0.7</v>
      </c>
      <c r="F1985">
        <f t="shared" si="90"/>
        <v>4</v>
      </c>
      <c r="G1985">
        <f>IF(F1985&gt;F1984,G1984+B1985*E1985,B1985*E1985)</f>
        <v>2.6264590000000001</v>
      </c>
      <c r="H1985">
        <f t="shared" si="91"/>
        <v>0.75</v>
      </c>
      <c r="I1985">
        <f t="shared" si="92"/>
        <v>0</v>
      </c>
    </row>
    <row r="1986" spans="1:9">
      <c r="A1986" s="1">
        <v>41626</v>
      </c>
      <c r="B1986">
        <v>3.5422799999999999</v>
      </c>
      <c r="C1986">
        <v>4.3949999999999996</v>
      </c>
      <c r="D1986">
        <f>WEEKDAY(A1986,14)</f>
        <v>7</v>
      </c>
      <c r="E1986">
        <f>VLOOKUP(D1986,L$2:M$8,2,FALSE)</f>
        <v>0.25</v>
      </c>
      <c r="F1986">
        <f t="shared" si="90"/>
        <v>5</v>
      </c>
      <c r="G1986">
        <f>IF(F1986&gt;F1985,G1985+B1986*E1986,B1986*E1986)</f>
        <v>3.5120290000000001</v>
      </c>
      <c r="H1986">
        <f t="shared" si="91"/>
        <v>1</v>
      </c>
      <c r="I1986">
        <f t="shared" si="92"/>
        <v>0</v>
      </c>
    </row>
    <row r="1987" spans="1:9">
      <c r="A1987" s="1">
        <v>41627</v>
      </c>
      <c r="B1987">
        <v>3.5894599999999999</v>
      </c>
      <c r="C1987">
        <v>4.4050000000000002</v>
      </c>
      <c r="D1987">
        <f>WEEKDAY(A1987,14)</f>
        <v>1</v>
      </c>
      <c r="E1987">
        <f>VLOOKUP(D1987,L$2:M$8,2,FALSE)</f>
        <v>0</v>
      </c>
      <c r="F1987">
        <f t="shared" ref="F1987:F2050" si="93">IF(AND(D1987&gt;D1986,F1986&lt;6),F1986+1,1)</f>
        <v>1</v>
      </c>
      <c r="G1987">
        <f>IF(F1987&gt;F1986,G1986+B1987*E1987,B1987*E1987)</f>
        <v>0</v>
      </c>
      <c r="H1987">
        <f t="shared" si="91"/>
        <v>0</v>
      </c>
      <c r="I1987">
        <f t="shared" si="92"/>
        <v>3.5120290000000001</v>
      </c>
    </row>
    <row r="1988" spans="1:9">
      <c r="A1988" s="1">
        <v>41628</v>
      </c>
      <c r="B1988">
        <v>3.5207199999999998</v>
      </c>
      <c r="C1988">
        <v>4.4050000000000002</v>
      </c>
      <c r="D1988">
        <f>WEEKDAY(A1988,14)</f>
        <v>2</v>
      </c>
      <c r="E1988">
        <f>VLOOKUP(D1988,L$2:M$8,2,FALSE)</f>
        <v>0</v>
      </c>
      <c r="F1988">
        <f t="shared" si="93"/>
        <v>2</v>
      </c>
      <c r="G1988">
        <f>IF(F1988&gt;F1987,G1987+B1988*E1988,B1988*E1988)</f>
        <v>0</v>
      </c>
      <c r="H1988">
        <f t="shared" ref="H1988:H2051" si="94">IF(AND(F1988&lt;6,F1988&gt;F1987),E1988+H1987,E1988)</f>
        <v>0</v>
      </c>
      <c r="I1988">
        <f t="shared" ref="I1988:I2051" si="95">IF(F1987&gt;F1988,G1987/H1987,0)</f>
        <v>0</v>
      </c>
    </row>
    <row r="1989" spans="1:9">
      <c r="A1989" s="1">
        <v>41631</v>
      </c>
      <c r="B1989">
        <v>3.5422500000000001</v>
      </c>
      <c r="C1989">
        <v>4.4050000000000002</v>
      </c>
      <c r="D1989">
        <f>WEEKDAY(A1989,14)</f>
        <v>5</v>
      </c>
      <c r="E1989">
        <f>VLOOKUP(D1989,L$2:M$8,2,FALSE)</f>
        <v>0.05</v>
      </c>
      <c r="F1989">
        <f t="shared" si="93"/>
        <v>3</v>
      </c>
      <c r="G1989">
        <f>IF(F1989&gt;F1988,G1988+B1989*E1989,B1989*E1989)</f>
        <v>0.17711250000000001</v>
      </c>
      <c r="H1989">
        <f t="shared" si="94"/>
        <v>0.05</v>
      </c>
      <c r="I1989">
        <f t="shared" si="95"/>
        <v>0</v>
      </c>
    </row>
    <row r="1990" spans="1:9">
      <c r="A1990" s="1">
        <v>41632</v>
      </c>
      <c r="B1990">
        <v>3.6100599999999998</v>
      </c>
      <c r="C1990">
        <v>4.4050000000000002</v>
      </c>
      <c r="D1990">
        <f>WEEKDAY(A1990,14)</f>
        <v>6</v>
      </c>
      <c r="E1990">
        <f>VLOOKUP(D1990,L$2:M$8,2,FALSE)</f>
        <v>0.7</v>
      </c>
      <c r="F1990">
        <f t="shared" si="93"/>
        <v>4</v>
      </c>
      <c r="G1990">
        <f>IF(F1990&gt;F1989,G1989+B1990*E1990,B1990*E1990)</f>
        <v>2.7041544999999996</v>
      </c>
      <c r="H1990">
        <f t="shared" si="94"/>
        <v>0.75</v>
      </c>
      <c r="I1990">
        <f t="shared" si="95"/>
        <v>0</v>
      </c>
    </row>
    <row r="1991" spans="1:9">
      <c r="A1991" s="1">
        <v>41634</v>
      </c>
      <c r="B1991">
        <v>3.6110799999999998</v>
      </c>
      <c r="C1991">
        <v>4.4800000000000004</v>
      </c>
      <c r="D1991">
        <f>WEEKDAY(A1991,14)</f>
        <v>1</v>
      </c>
      <c r="E1991">
        <f>VLOOKUP(D1991,L$2:M$8,2,FALSE)</f>
        <v>0</v>
      </c>
      <c r="F1991">
        <f t="shared" si="93"/>
        <v>1</v>
      </c>
      <c r="G1991">
        <f>IF(F1991&gt;F1990,G1990+B1991*E1991,B1991*E1991)</f>
        <v>0</v>
      </c>
      <c r="H1991">
        <f t="shared" si="94"/>
        <v>0</v>
      </c>
      <c r="I1991">
        <f t="shared" si="95"/>
        <v>3.6055393333333328</v>
      </c>
    </row>
    <row r="1992" spans="1:9">
      <c r="A1992" s="1">
        <v>41635</v>
      </c>
      <c r="B1992">
        <v>3.6093799999999998</v>
      </c>
      <c r="C1992">
        <v>4.4800000000000004</v>
      </c>
      <c r="D1992">
        <f>WEEKDAY(A1992,14)</f>
        <v>2</v>
      </c>
      <c r="E1992">
        <f>VLOOKUP(D1992,L$2:M$8,2,FALSE)</f>
        <v>0</v>
      </c>
      <c r="F1992">
        <f t="shared" si="93"/>
        <v>2</v>
      </c>
      <c r="G1992">
        <f>IF(F1992&gt;F1991,G1991+B1992*E1992,B1992*E1992)</f>
        <v>0</v>
      </c>
      <c r="H1992">
        <f t="shared" si="94"/>
        <v>0</v>
      </c>
      <c r="I1992">
        <f t="shared" si="95"/>
        <v>0</v>
      </c>
    </row>
    <row r="1993" spans="1:9">
      <c r="A1993" s="1">
        <v>41638</v>
      </c>
      <c r="B1993">
        <v>3.5746699999999998</v>
      </c>
      <c r="C1993">
        <v>4.4800000000000004</v>
      </c>
      <c r="D1993">
        <f>WEEKDAY(A1993,14)</f>
        <v>5</v>
      </c>
      <c r="E1993">
        <f>VLOOKUP(D1993,L$2:M$8,2,FALSE)</f>
        <v>0.05</v>
      </c>
      <c r="F1993">
        <f t="shared" si="93"/>
        <v>3</v>
      </c>
      <c r="G1993">
        <f>IF(F1993&gt;F1992,G1992+B1993*E1993,B1993*E1993)</f>
        <v>0.17873349999999999</v>
      </c>
      <c r="H1993">
        <f t="shared" si="94"/>
        <v>0.05</v>
      </c>
      <c r="I1993">
        <f t="shared" si="95"/>
        <v>0</v>
      </c>
    </row>
    <row r="1994" spans="1:9">
      <c r="A1994" s="1">
        <v>41641</v>
      </c>
      <c r="B1994">
        <v>3.5996999999999999</v>
      </c>
      <c r="C1994">
        <v>4.4349999999999996</v>
      </c>
      <c r="D1994">
        <f>WEEKDAY(A1994,14)</f>
        <v>1</v>
      </c>
      <c r="E1994">
        <f>VLOOKUP(D1994,L$2:M$8,2,FALSE)</f>
        <v>0</v>
      </c>
      <c r="F1994">
        <f t="shared" si="93"/>
        <v>1</v>
      </c>
      <c r="G1994">
        <f>IF(F1994&gt;F1993,G1993+B1994*E1994,B1994*E1994)</f>
        <v>0</v>
      </c>
      <c r="H1994">
        <f t="shared" si="94"/>
        <v>0</v>
      </c>
      <c r="I1994">
        <f t="shared" si="95"/>
        <v>3.5746699999999998</v>
      </c>
    </row>
    <row r="1995" spans="1:9">
      <c r="A1995" s="1">
        <v>41642</v>
      </c>
      <c r="B1995">
        <v>3.6032600000000001</v>
      </c>
      <c r="C1995">
        <v>4.4349999999999996</v>
      </c>
      <c r="D1995">
        <f>WEEKDAY(A1995,14)</f>
        <v>2</v>
      </c>
      <c r="E1995">
        <f>VLOOKUP(D1995,L$2:M$8,2,FALSE)</f>
        <v>0</v>
      </c>
      <c r="F1995">
        <f t="shared" si="93"/>
        <v>2</v>
      </c>
      <c r="G1995">
        <f>IF(F1995&gt;F1994,G1994+B1995*E1995,B1995*E1995)</f>
        <v>0</v>
      </c>
      <c r="H1995">
        <f t="shared" si="94"/>
        <v>0</v>
      </c>
      <c r="I1995">
        <f t="shared" si="95"/>
        <v>0</v>
      </c>
    </row>
    <row r="1996" spans="1:9">
      <c r="A1996" s="1">
        <v>41645</v>
      </c>
      <c r="B1996">
        <v>3.5763500000000001</v>
      </c>
      <c r="C1996">
        <v>4.4349999999999996</v>
      </c>
      <c r="D1996">
        <f>WEEKDAY(A1996,14)</f>
        <v>5</v>
      </c>
      <c r="E1996">
        <f>VLOOKUP(D1996,L$2:M$8,2,FALSE)</f>
        <v>0.05</v>
      </c>
      <c r="F1996">
        <f t="shared" si="93"/>
        <v>3</v>
      </c>
      <c r="G1996">
        <f>IF(F1996&gt;F1995,G1995+B1996*E1996,B1996*E1996)</f>
        <v>0.17881750000000002</v>
      </c>
      <c r="H1996">
        <f t="shared" si="94"/>
        <v>0.05</v>
      </c>
      <c r="I1996">
        <f t="shared" si="95"/>
        <v>0</v>
      </c>
    </row>
    <row r="1997" spans="1:9">
      <c r="A1997" s="1">
        <v>41646</v>
      </c>
      <c r="B1997">
        <v>3.5428500000000001</v>
      </c>
      <c r="C1997">
        <v>4.4349999999999996</v>
      </c>
      <c r="D1997">
        <f>WEEKDAY(A1997,14)</f>
        <v>6</v>
      </c>
      <c r="E1997">
        <f>VLOOKUP(D1997,L$2:M$8,2,FALSE)</f>
        <v>0.7</v>
      </c>
      <c r="F1997">
        <f t="shared" si="93"/>
        <v>4</v>
      </c>
      <c r="G1997">
        <f>IF(F1997&gt;F1996,G1996+B1997*E1997,B1997*E1997)</f>
        <v>2.6588124999999998</v>
      </c>
      <c r="H1997">
        <f t="shared" si="94"/>
        <v>0.75</v>
      </c>
      <c r="I1997">
        <f t="shared" si="95"/>
        <v>0</v>
      </c>
    </row>
    <row r="1998" spans="1:9">
      <c r="A1998" s="1">
        <v>41647</v>
      </c>
      <c r="B1998">
        <v>3.5963699999999998</v>
      </c>
      <c r="C1998">
        <v>4.4349999999999996</v>
      </c>
      <c r="D1998">
        <f>WEEKDAY(A1998,14)</f>
        <v>7</v>
      </c>
      <c r="E1998">
        <f>VLOOKUP(D1998,L$2:M$8,2,FALSE)</f>
        <v>0.25</v>
      </c>
      <c r="F1998">
        <f t="shared" si="93"/>
        <v>5</v>
      </c>
      <c r="G1998">
        <f>IF(F1998&gt;F1997,G1997+B1998*E1998,B1998*E1998)</f>
        <v>3.5579049999999999</v>
      </c>
      <c r="H1998">
        <f t="shared" si="94"/>
        <v>1</v>
      </c>
      <c r="I1998">
        <f t="shared" si="95"/>
        <v>0</v>
      </c>
    </row>
    <row r="1999" spans="1:9">
      <c r="A1999" s="1">
        <v>41648</v>
      </c>
      <c r="B1999">
        <v>3.5749399999999998</v>
      </c>
      <c r="C1999">
        <v>4.335</v>
      </c>
      <c r="D1999">
        <f>WEEKDAY(A1999,14)</f>
        <v>1</v>
      </c>
      <c r="E1999">
        <f>VLOOKUP(D1999,L$2:M$8,2,FALSE)</f>
        <v>0</v>
      </c>
      <c r="F1999">
        <f t="shared" si="93"/>
        <v>1</v>
      </c>
      <c r="G1999">
        <f>IF(F1999&gt;F1998,G1998+B1999*E1999,B1999*E1999)</f>
        <v>0</v>
      </c>
      <c r="H1999">
        <f t="shared" si="94"/>
        <v>0</v>
      </c>
      <c r="I1999">
        <f t="shared" si="95"/>
        <v>3.5579049999999999</v>
      </c>
    </row>
    <row r="2000" spans="1:9">
      <c r="A2000" s="1">
        <v>41649</v>
      </c>
      <c r="B2000">
        <v>3.4718399999999998</v>
      </c>
      <c r="C2000">
        <v>4.335</v>
      </c>
      <c r="D2000">
        <f>WEEKDAY(A2000,14)</f>
        <v>2</v>
      </c>
      <c r="E2000">
        <f>VLOOKUP(D2000,L$2:M$8,2,FALSE)</f>
        <v>0</v>
      </c>
      <c r="F2000">
        <f t="shared" si="93"/>
        <v>2</v>
      </c>
      <c r="G2000">
        <f>IF(F2000&gt;F1999,G1999+B2000*E2000,B2000*E2000)</f>
        <v>0</v>
      </c>
      <c r="H2000">
        <f t="shared" si="94"/>
        <v>0</v>
      </c>
      <c r="I2000">
        <f t="shared" si="95"/>
        <v>0</v>
      </c>
    </row>
    <row r="2001" spans="1:9">
      <c r="A2001" s="1">
        <v>41652</v>
      </c>
      <c r="B2001">
        <v>3.4264600000000001</v>
      </c>
      <c r="C2001">
        <v>4.335</v>
      </c>
      <c r="D2001">
        <f>WEEKDAY(A2001,14)</f>
        <v>5</v>
      </c>
      <c r="E2001">
        <f>VLOOKUP(D2001,L$2:M$8,2,FALSE)</f>
        <v>0.05</v>
      </c>
      <c r="F2001">
        <f t="shared" si="93"/>
        <v>3</v>
      </c>
      <c r="G2001">
        <f>IF(F2001&gt;F2000,G2000+B2001*E2001,B2001*E2001)</f>
        <v>0.171323</v>
      </c>
      <c r="H2001">
        <f t="shared" si="94"/>
        <v>0.05</v>
      </c>
      <c r="I2001">
        <f t="shared" si="95"/>
        <v>0</v>
      </c>
    </row>
    <row r="2002" spans="1:9">
      <c r="A2002" s="1">
        <v>41653</v>
      </c>
      <c r="B2002">
        <v>3.4834100000000001</v>
      </c>
      <c r="C2002">
        <v>4.335</v>
      </c>
      <c r="D2002">
        <f>WEEKDAY(A2002,14)</f>
        <v>6</v>
      </c>
      <c r="E2002">
        <f>VLOOKUP(D2002,L$2:M$8,2,FALSE)</f>
        <v>0.7</v>
      </c>
      <c r="F2002">
        <f t="shared" si="93"/>
        <v>4</v>
      </c>
      <c r="G2002">
        <f>IF(F2002&gt;F2001,G2001+B2002*E2002,B2002*E2002)</f>
        <v>2.6097100000000002</v>
      </c>
      <c r="H2002">
        <f t="shared" si="94"/>
        <v>0.75</v>
      </c>
      <c r="I2002">
        <f t="shared" si="95"/>
        <v>0</v>
      </c>
    </row>
    <row r="2003" spans="1:9">
      <c r="A2003" s="1">
        <v>41654</v>
      </c>
      <c r="B2003">
        <v>3.49478</v>
      </c>
      <c r="C2003">
        <v>4.335</v>
      </c>
      <c r="D2003">
        <f>WEEKDAY(A2003,14)</f>
        <v>7</v>
      </c>
      <c r="E2003">
        <f>VLOOKUP(D2003,L$2:M$8,2,FALSE)</f>
        <v>0.25</v>
      </c>
      <c r="F2003">
        <f t="shared" si="93"/>
        <v>5</v>
      </c>
      <c r="G2003">
        <f>IF(F2003&gt;F2002,G2002+B2003*E2003,B2003*E2003)</f>
        <v>3.4834050000000003</v>
      </c>
      <c r="H2003">
        <f t="shared" si="94"/>
        <v>1</v>
      </c>
      <c r="I2003">
        <f t="shared" si="95"/>
        <v>0</v>
      </c>
    </row>
    <row r="2004" spans="1:9">
      <c r="A2004" s="1">
        <v>41655</v>
      </c>
      <c r="B2004">
        <v>3.4570599999999998</v>
      </c>
      <c r="C2004">
        <v>4.3150000000000004</v>
      </c>
      <c r="D2004">
        <f>WEEKDAY(A2004,14)</f>
        <v>1</v>
      </c>
      <c r="E2004">
        <f>VLOOKUP(D2004,L$2:M$8,2,FALSE)</f>
        <v>0</v>
      </c>
      <c r="F2004">
        <f t="shared" si="93"/>
        <v>1</v>
      </c>
      <c r="G2004">
        <f>IF(F2004&gt;F2003,G2003+B2004*E2004,B2004*E2004)</f>
        <v>0</v>
      </c>
      <c r="H2004">
        <f t="shared" si="94"/>
        <v>0</v>
      </c>
      <c r="I2004">
        <f t="shared" si="95"/>
        <v>3.4834050000000003</v>
      </c>
    </row>
    <row r="2005" spans="1:9">
      <c r="A2005" s="1">
        <v>41656</v>
      </c>
      <c r="B2005">
        <v>3.4370799999999999</v>
      </c>
      <c r="C2005">
        <v>4.3150000000000004</v>
      </c>
      <c r="D2005">
        <f>WEEKDAY(A2005,14)</f>
        <v>2</v>
      </c>
      <c r="E2005">
        <f>VLOOKUP(D2005,L$2:M$8,2,FALSE)</f>
        <v>0</v>
      </c>
      <c r="F2005">
        <f t="shared" si="93"/>
        <v>2</v>
      </c>
      <c r="G2005">
        <f>IF(F2005&gt;F2004,G2004+B2005*E2005,B2005*E2005)</f>
        <v>0</v>
      </c>
      <c r="H2005">
        <f t="shared" si="94"/>
        <v>0</v>
      </c>
      <c r="I2005">
        <f t="shared" si="95"/>
        <v>0</v>
      </c>
    </row>
    <row r="2006" spans="1:9">
      <c r="A2006" s="1">
        <v>41660</v>
      </c>
      <c r="B2006">
        <v>3.4306199999999998</v>
      </c>
      <c r="C2006">
        <v>4.3150000000000004</v>
      </c>
      <c r="D2006">
        <f>WEEKDAY(A2006,14)</f>
        <v>6</v>
      </c>
      <c r="E2006">
        <f>VLOOKUP(D2006,L$2:M$8,2,FALSE)</f>
        <v>0.7</v>
      </c>
      <c r="F2006">
        <f t="shared" si="93"/>
        <v>3</v>
      </c>
      <c r="G2006">
        <f>IF(F2006&gt;F2005,G2005+B2006*E2006,B2006*E2006)</f>
        <v>2.4014339999999996</v>
      </c>
      <c r="H2006">
        <f t="shared" si="94"/>
        <v>0.7</v>
      </c>
      <c r="I2006">
        <f t="shared" si="95"/>
        <v>0</v>
      </c>
    </row>
    <row r="2007" spans="1:9">
      <c r="A2007" s="1">
        <v>41661</v>
      </c>
      <c r="B2007">
        <v>3.4813000000000001</v>
      </c>
      <c r="C2007">
        <v>4.3150000000000004</v>
      </c>
      <c r="D2007">
        <f>WEEKDAY(A2007,14)</f>
        <v>7</v>
      </c>
      <c r="E2007">
        <f>VLOOKUP(D2007,L$2:M$8,2,FALSE)</f>
        <v>0.25</v>
      </c>
      <c r="F2007">
        <f t="shared" si="93"/>
        <v>4</v>
      </c>
      <c r="G2007">
        <f>IF(F2007&gt;F2006,G2006+B2007*E2007,B2007*E2007)</f>
        <v>3.2717589999999994</v>
      </c>
      <c r="H2007">
        <f t="shared" si="94"/>
        <v>0.95</v>
      </c>
      <c r="I2007">
        <f t="shared" si="95"/>
        <v>0</v>
      </c>
    </row>
    <row r="2008" spans="1:9">
      <c r="A2008" s="1">
        <v>41662</v>
      </c>
      <c r="B2008">
        <v>3.42598</v>
      </c>
      <c r="C2008">
        <v>4.2450000000000001</v>
      </c>
      <c r="D2008">
        <f>WEEKDAY(A2008,14)</f>
        <v>1</v>
      </c>
      <c r="E2008">
        <f>VLOOKUP(D2008,L$2:M$8,2,FALSE)</f>
        <v>0</v>
      </c>
      <c r="F2008">
        <f t="shared" si="93"/>
        <v>1</v>
      </c>
      <c r="G2008">
        <f>IF(F2008&gt;F2007,G2007+B2008*E2008,B2008*E2008)</f>
        <v>0</v>
      </c>
      <c r="H2008">
        <f t="shared" si="94"/>
        <v>0</v>
      </c>
      <c r="I2008">
        <f t="shared" si="95"/>
        <v>3.4439568421052629</v>
      </c>
    </row>
    <row r="2009" spans="1:9">
      <c r="A2009" s="1">
        <v>41663</v>
      </c>
      <c r="B2009">
        <v>3.38218</v>
      </c>
      <c r="C2009">
        <v>4.2450000000000001</v>
      </c>
      <c r="D2009">
        <f>WEEKDAY(A2009,14)</f>
        <v>2</v>
      </c>
      <c r="E2009">
        <f>VLOOKUP(D2009,L$2:M$8,2,FALSE)</f>
        <v>0</v>
      </c>
      <c r="F2009">
        <f t="shared" si="93"/>
        <v>2</v>
      </c>
      <c r="G2009">
        <f>IF(F2009&gt;F2008,G2008+B2009*E2009,B2009*E2009)</f>
        <v>0</v>
      </c>
      <c r="H2009">
        <f t="shared" si="94"/>
        <v>0</v>
      </c>
      <c r="I2009">
        <f t="shared" si="95"/>
        <v>0</v>
      </c>
    </row>
    <row r="2010" spans="1:9">
      <c r="A2010" s="1">
        <v>41666</v>
      </c>
      <c r="B2010">
        <v>3.42489</v>
      </c>
      <c r="C2010">
        <v>4.2450000000000001</v>
      </c>
      <c r="D2010">
        <f>WEEKDAY(A2010,14)</f>
        <v>5</v>
      </c>
      <c r="E2010">
        <f>VLOOKUP(D2010,L$2:M$8,2,FALSE)</f>
        <v>0.05</v>
      </c>
      <c r="F2010">
        <f t="shared" si="93"/>
        <v>3</v>
      </c>
      <c r="G2010">
        <f>IF(F2010&gt;F2009,G2009+B2010*E2010,B2010*E2010)</f>
        <v>0.17124450000000002</v>
      </c>
      <c r="H2010">
        <f t="shared" si="94"/>
        <v>0.05</v>
      </c>
      <c r="I2010">
        <f t="shared" si="95"/>
        <v>0</v>
      </c>
    </row>
    <row r="2011" spans="1:9">
      <c r="A2011" s="1">
        <v>41667</v>
      </c>
      <c r="B2011">
        <v>3.4146700000000001</v>
      </c>
      <c r="C2011">
        <v>4.2450000000000001</v>
      </c>
      <c r="D2011">
        <f>WEEKDAY(A2011,14)</f>
        <v>6</v>
      </c>
      <c r="E2011">
        <f>VLOOKUP(D2011,L$2:M$8,2,FALSE)</f>
        <v>0.7</v>
      </c>
      <c r="F2011">
        <f t="shared" si="93"/>
        <v>4</v>
      </c>
      <c r="G2011">
        <f>IF(F2011&gt;F2010,G2010+B2011*E2011,B2011*E2011)</f>
        <v>2.5615135000000002</v>
      </c>
      <c r="H2011">
        <f t="shared" si="94"/>
        <v>0.75</v>
      </c>
      <c r="I2011">
        <f t="shared" si="95"/>
        <v>0</v>
      </c>
    </row>
    <row r="2012" spans="1:9">
      <c r="A2012" s="1">
        <v>41668</v>
      </c>
      <c r="B2012">
        <v>3.3611499999999999</v>
      </c>
      <c r="C2012">
        <v>4.2450000000000001</v>
      </c>
      <c r="D2012">
        <f>WEEKDAY(A2012,14)</f>
        <v>7</v>
      </c>
      <c r="E2012">
        <f>VLOOKUP(D2012,L$2:M$8,2,FALSE)</f>
        <v>0.25</v>
      </c>
      <c r="F2012">
        <f t="shared" si="93"/>
        <v>5</v>
      </c>
      <c r="G2012">
        <f>IF(F2012&gt;F2011,G2011+B2012*E2012,B2012*E2012)</f>
        <v>3.4018010000000003</v>
      </c>
      <c r="H2012">
        <f t="shared" si="94"/>
        <v>1</v>
      </c>
      <c r="I2012">
        <f t="shared" si="95"/>
        <v>0</v>
      </c>
    </row>
    <row r="2013" spans="1:9">
      <c r="A2013" s="1">
        <v>41669</v>
      </c>
      <c r="B2013">
        <v>3.3710300000000002</v>
      </c>
      <c r="C2013">
        <v>4.1550000000000002</v>
      </c>
      <c r="D2013">
        <f>WEEKDAY(A2013,14)</f>
        <v>1</v>
      </c>
      <c r="E2013">
        <f>VLOOKUP(D2013,L$2:M$8,2,FALSE)</f>
        <v>0</v>
      </c>
      <c r="F2013">
        <f t="shared" si="93"/>
        <v>1</v>
      </c>
      <c r="G2013">
        <f>IF(F2013&gt;F2012,G2012+B2013*E2013,B2013*E2013)</f>
        <v>0</v>
      </c>
      <c r="H2013">
        <f t="shared" si="94"/>
        <v>0</v>
      </c>
      <c r="I2013">
        <f t="shared" si="95"/>
        <v>3.4018010000000003</v>
      </c>
    </row>
    <row r="2014" spans="1:9">
      <c r="A2014" s="1">
        <v>41670</v>
      </c>
      <c r="B2014">
        <v>3.3406799999999999</v>
      </c>
      <c r="C2014">
        <v>4.1550000000000002</v>
      </c>
      <c r="D2014">
        <f>WEEKDAY(A2014,14)</f>
        <v>2</v>
      </c>
      <c r="E2014">
        <f>VLOOKUP(D2014,L$2:M$8,2,FALSE)</f>
        <v>0</v>
      </c>
      <c r="F2014">
        <f t="shared" si="93"/>
        <v>2</v>
      </c>
      <c r="G2014">
        <f>IF(F2014&gt;F2013,G2013+B2014*E2014,B2014*E2014)</f>
        <v>0</v>
      </c>
      <c r="H2014">
        <f t="shared" si="94"/>
        <v>0</v>
      </c>
      <c r="I2014">
        <f t="shared" si="95"/>
        <v>0</v>
      </c>
    </row>
    <row r="2015" spans="1:9">
      <c r="A2015" s="1">
        <v>41673</v>
      </c>
      <c r="B2015">
        <v>3.2711000000000001</v>
      </c>
      <c r="C2015">
        <v>4.1550000000000002</v>
      </c>
      <c r="D2015">
        <f>WEEKDAY(A2015,14)</f>
        <v>5</v>
      </c>
      <c r="E2015">
        <f>VLOOKUP(D2015,L$2:M$8,2,FALSE)</f>
        <v>0.05</v>
      </c>
      <c r="F2015">
        <f t="shared" si="93"/>
        <v>3</v>
      </c>
      <c r="G2015">
        <f>IF(F2015&gt;F2014,G2014+B2015*E2015,B2015*E2015)</f>
        <v>0.16355500000000001</v>
      </c>
      <c r="H2015">
        <f t="shared" si="94"/>
        <v>0.05</v>
      </c>
      <c r="I2015">
        <f t="shared" si="95"/>
        <v>0</v>
      </c>
    </row>
    <row r="2016" spans="1:9">
      <c r="A2016" s="1">
        <v>41674</v>
      </c>
      <c r="B2016">
        <v>3.3111600000000001</v>
      </c>
      <c r="C2016">
        <v>4.1550000000000002</v>
      </c>
      <c r="D2016">
        <f>WEEKDAY(A2016,14)</f>
        <v>6</v>
      </c>
      <c r="E2016">
        <f>VLOOKUP(D2016,L$2:M$8,2,FALSE)</f>
        <v>0.7</v>
      </c>
      <c r="F2016">
        <f t="shared" si="93"/>
        <v>4</v>
      </c>
      <c r="G2016">
        <f>IF(F2016&gt;F2015,G2015+B2016*E2016,B2016*E2016)</f>
        <v>2.4813670000000001</v>
      </c>
      <c r="H2016">
        <f t="shared" si="94"/>
        <v>0.75</v>
      </c>
      <c r="I2016">
        <f t="shared" si="95"/>
        <v>0</v>
      </c>
    </row>
    <row r="2017" spans="1:9">
      <c r="A2017" s="1">
        <v>41675</v>
      </c>
      <c r="B2017">
        <v>3.3584100000000001</v>
      </c>
      <c r="C2017">
        <v>4.1550000000000002</v>
      </c>
      <c r="D2017">
        <f>WEEKDAY(A2017,14)</f>
        <v>7</v>
      </c>
      <c r="E2017">
        <f>VLOOKUP(D2017,L$2:M$8,2,FALSE)</f>
        <v>0.25</v>
      </c>
      <c r="F2017">
        <f t="shared" si="93"/>
        <v>5</v>
      </c>
      <c r="G2017">
        <f>IF(F2017&gt;F2016,G2016+B2017*E2017,B2017*E2017)</f>
        <v>3.3209695000000004</v>
      </c>
      <c r="H2017">
        <f t="shared" si="94"/>
        <v>1</v>
      </c>
      <c r="I2017">
        <f t="shared" si="95"/>
        <v>0</v>
      </c>
    </row>
    <row r="2018" spans="1:9">
      <c r="A2018" s="1">
        <v>41676</v>
      </c>
      <c r="B2018">
        <v>3.3799299999999999</v>
      </c>
      <c r="C2018">
        <v>4.2050000000000001</v>
      </c>
      <c r="D2018">
        <f>WEEKDAY(A2018,14)</f>
        <v>1</v>
      </c>
      <c r="E2018">
        <f>VLOOKUP(D2018,L$2:M$8,2,FALSE)</f>
        <v>0</v>
      </c>
      <c r="F2018">
        <f t="shared" si="93"/>
        <v>1</v>
      </c>
      <c r="G2018">
        <f>IF(F2018&gt;F2017,G2017+B2018*E2018,B2018*E2018)</f>
        <v>0</v>
      </c>
      <c r="H2018">
        <f t="shared" si="94"/>
        <v>0</v>
      </c>
      <c r="I2018">
        <f t="shared" si="95"/>
        <v>3.3209695000000004</v>
      </c>
    </row>
    <row r="2019" spans="1:9">
      <c r="A2019" s="1">
        <v>41677</v>
      </c>
      <c r="B2019">
        <v>3.343</v>
      </c>
      <c r="C2019">
        <v>4.2050000000000001</v>
      </c>
      <c r="D2019">
        <f>WEEKDAY(A2019,14)</f>
        <v>2</v>
      </c>
      <c r="E2019">
        <f>VLOOKUP(D2019,L$2:M$8,2,FALSE)</f>
        <v>0</v>
      </c>
      <c r="F2019">
        <f t="shared" si="93"/>
        <v>2</v>
      </c>
      <c r="G2019">
        <f>IF(F2019&gt;F2018,G2018+B2019*E2019,B2019*E2019)</f>
        <v>0</v>
      </c>
      <c r="H2019">
        <f t="shared" si="94"/>
        <v>0</v>
      </c>
      <c r="I2019">
        <f t="shared" si="95"/>
        <v>0</v>
      </c>
    </row>
    <row r="2020" spans="1:9">
      <c r="A2020" s="1">
        <v>41680</v>
      </c>
      <c r="B2020">
        <v>3.34761</v>
      </c>
      <c r="C2020">
        <v>4.2050000000000001</v>
      </c>
      <c r="D2020">
        <f>WEEKDAY(A2020,14)</f>
        <v>5</v>
      </c>
      <c r="E2020">
        <f>VLOOKUP(D2020,L$2:M$8,2,FALSE)</f>
        <v>0.05</v>
      </c>
      <c r="F2020">
        <f t="shared" si="93"/>
        <v>3</v>
      </c>
      <c r="G2020">
        <f>IF(F2020&gt;F2019,G2019+B2020*E2020,B2020*E2020)</f>
        <v>0.16738050000000002</v>
      </c>
      <c r="H2020">
        <f t="shared" si="94"/>
        <v>0.05</v>
      </c>
      <c r="I2020">
        <f t="shared" si="95"/>
        <v>0</v>
      </c>
    </row>
    <row r="2021" spans="1:9">
      <c r="A2021" s="1">
        <v>41681</v>
      </c>
      <c r="B2021">
        <v>3.3874</v>
      </c>
      <c r="C2021">
        <v>4.2050000000000001</v>
      </c>
      <c r="D2021">
        <f>WEEKDAY(A2021,14)</f>
        <v>6</v>
      </c>
      <c r="E2021">
        <f>VLOOKUP(D2021,L$2:M$8,2,FALSE)</f>
        <v>0.7</v>
      </c>
      <c r="F2021">
        <f t="shared" si="93"/>
        <v>4</v>
      </c>
      <c r="G2021">
        <f>IF(F2021&gt;F2020,G2020+B2021*E2021,B2021*E2021)</f>
        <v>2.5385605</v>
      </c>
      <c r="H2021">
        <f t="shared" si="94"/>
        <v>0.75</v>
      </c>
      <c r="I2021">
        <f t="shared" si="95"/>
        <v>0</v>
      </c>
    </row>
    <row r="2022" spans="1:9">
      <c r="A2022" s="1">
        <v>41682</v>
      </c>
      <c r="B2022">
        <v>3.4367800000000002</v>
      </c>
      <c r="C2022">
        <v>4.2050000000000001</v>
      </c>
      <c r="D2022">
        <f>WEEKDAY(A2022,14)</f>
        <v>7</v>
      </c>
      <c r="E2022">
        <f>VLOOKUP(D2022,L$2:M$8,2,FALSE)</f>
        <v>0.25</v>
      </c>
      <c r="F2022">
        <f t="shared" si="93"/>
        <v>5</v>
      </c>
      <c r="G2022">
        <f>IF(F2022&gt;F2021,G2021+B2022*E2022,B2022*E2022)</f>
        <v>3.3977555000000002</v>
      </c>
      <c r="H2022">
        <f t="shared" si="94"/>
        <v>1</v>
      </c>
      <c r="I2022">
        <f t="shared" si="95"/>
        <v>0</v>
      </c>
    </row>
    <row r="2023" spans="1:9">
      <c r="A2023" s="1">
        <v>41683</v>
      </c>
      <c r="B2023">
        <v>3.3963800000000002</v>
      </c>
      <c r="C2023">
        <v>4.2549999999999999</v>
      </c>
      <c r="D2023">
        <f>WEEKDAY(A2023,14)</f>
        <v>1</v>
      </c>
      <c r="E2023">
        <f>VLOOKUP(D2023,L$2:M$8,2,FALSE)</f>
        <v>0</v>
      </c>
      <c r="F2023">
        <f t="shared" si="93"/>
        <v>1</v>
      </c>
      <c r="G2023">
        <f>IF(F2023&gt;F2022,G2022+B2023*E2023,B2023*E2023)</f>
        <v>0</v>
      </c>
      <c r="H2023">
        <f t="shared" si="94"/>
        <v>0</v>
      </c>
      <c r="I2023">
        <f t="shared" si="95"/>
        <v>3.3977555000000002</v>
      </c>
    </row>
    <row r="2024" spans="1:9">
      <c r="A2024" s="1">
        <v>41684</v>
      </c>
      <c r="B2024">
        <v>3.4240499999999998</v>
      </c>
      <c r="C2024">
        <v>4.2549999999999999</v>
      </c>
      <c r="D2024">
        <f>WEEKDAY(A2024,14)</f>
        <v>2</v>
      </c>
      <c r="E2024">
        <f>VLOOKUP(D2024,L$2:M$8,2,FALSE)</f>
        <v>0</v>
      </c>
      <c r="F2024">
        <f t="shared" si="93"/>
        <v>2</v>
      </c>
      <c r="G2024">
        <f>IF(F2024&gt;F2023,G2023+B2024*E2024,B2024*E2024)</f>
        <v>0</v>
      </c>
      <c r="H2024">
        <f t="shared" si="94"/>
        <v>0</v>
      </c>
      <c r="I2024">
        <f t="shared" si="95"/>
        <v>0</v>
      </c>
    </row>
    <row r="2025" spans="1:9">
      <c r="A2025" s="1">
        <v>41688</v>
      </c>
      <c r="B2025">
        <v>3.40225</v>
      </c>
      <c r="C2025">
        <v>4.2549999999999999</v>
      </c>
      <c r="D2025">
        <f>WEEKDAY(A2025,14)</f>
        <v>6</v>
      </c>
      <c r="E2025">
        <f>VLOOKUP(D2025,L$2:M$8,2,FALSE)</f>
        <v>0.7</v>
      </c>
      <c r="F2025">
        <f t="shared" si="93"/>
        <v>3</v>
      </c>
      <c r="G2025">
        <f>IF(F2025&gt;F2024,G2024+B2025*E2025,B2025*E2025)</f>
        <v>2.3815749999999998</v>
      </c>
      <c r="H2025">
        <f t="shared" si="94"/>
        <v>0.7</v>
      </c>
      <c r="I2025">
        <f t="shared" si="95"/>
        <v>0</v>
      </c>
    </row>
    <row r="2026" spans="1:9">
      <c r="A2026" s="1">
        <v>41689</v>
      </c>
      <c r="B2026">
        <v>3.4208500000000002</v>
      </c>
      <c r="C2026">
        <v>4.2549999999999999</v>
      </c>
      <c r="D2026">
        <f>WEEKDAY(A2026,14)</f>
        <v>7</v>
      </c>
      <c r="E2026">
        <f>VLOOKUP(D2026,L$2:M$8,2,FALSE)</f>
        <v>0.25</v>
      </c>
      <c r="F2026">
        <f t="shared" si="93"/>
        <v>4</v>
      </c>
      <c r="G2026">
        <f>IF(F2026&gt;F2025,G2025+B2026*E2026,B2026*E2026)</f>
        <v>3.2367874999999997</v>
      </c>
      <c r="H2026">
        <f t="shared" si="94"/>
        <v>0.95</v>
      </c>
      <c r="I2026">
        <f t="shared" si="95"/>
        <v>0</v>
      </c>
    </row>
    <row r="2027" spans="1:9">
      <c r="A2027" s="1">
        <v>41690</v>
      </c>
      <c r="B2027">
        <v>3.4409900000000002</v>
      </c>
      <c r="C2027">
        <v>4.2949999999999999</v>
      </c>
      <c r="D2027">
        <f>WEEKDAY(A2027,14)</f>
        <v>1</v>
      </c>
      <c r="E2027">
        <f>VLOOKUP(D2027,L$2:M$8,2,FALSE)</f>
        <v>0</v>
      </c>
      <c r="F2027">
        <f t="shared" si="93"/>
        <v>1</v>
      </c>
      <c r="G2027">
        <f>IF(F2027&gt;F2026,G2026+B2027*E2027,B2027*E2027)</f>
        <v>0</v>
      </c>
      <c r="H2027">
        <f t="shared" si="94"/>
        <v>0</v>
      </c>
      <c r="I2027">
        <f t="shared" si="95"/>
        <v>3.4071447368421053</v>
      </c>
    </row>
    <row r="2028" spans="1:9">
      <c r="A2028" s="1">
        <v>41691</v>
      </c>
      <c r="B2028">
        <v>3.4238200000000001</v>
      </c>
      <c r="C2028">
        <v>4.2949999999999999</v>
      </c>
      <c r="D2028">
        <f>WEEKDAY(A2028,14)</f>
        <v>2</v>
      </c>
      <c r="E2028">
        <f>VLOOKUP(D2028,L$2:M$8,2,FALSE)</f>
        <v>0</v>
      </c>
      <c r="F2028">
        <f t="shared" si="93"/>
        <v>2</v>
      </c>
      <c r="G2028">
        <f>IF(F2028&gt;F2027,G2027+B2028*E2028,B2028*E2028)</f>
        <v>0</v>
      </c>
      <c r="H2028">
        <f t="shared" si="94"/>
        <v>0</v>
      </c>
      <c r="I2028">
        <f t="shared" si="95"/>
        <v>0</v>
      </c>
    </row>
    <row r="2029" spans="1:9">
      <c r="A2029" s="1">
        <v>41694</v>
      </c>
      <c r="B2029">
        <v>3.4298799999999998</v>
      </c>
      <c r="C2029">
        <v>4.2949999999999999</v>
      </c>
      <c r="D2029">
        <f>WEEKDAY(A2029,14)</f>
        <v>5</v>
      </c>
      <c r="E2029">
        <f>VLOOKUP(D2029,L$2:M$8,2,FALSE)</f>
        <v>0.05</v>
      </c>
      <c r="F2029">
        <f t="shared" si="93"/>
        <v>3</v>
      </c>
      <c r="G2029">
        <f>IF(F2029&gt;F2028,G2028+B2029*E2029,B2029*E2029)</f>
        <v>0.17149400000000001</v>
      </c>
      <c r="H2029">
        <f t="shared" si="94"/>
        <v>0.05</v>
      </c>
      <c r="I2029">
        <f t="shared" si="95"/>
        <v>0</v>
      </c>
    </row>
    <row r="2030" spans="1:9">
      <c r="A2030" s="1">
        <v>41695</v>
      </c>
      <c r="B2030">
        <v>3.3762500000000002</v>
      </c>
      <c r="C2030">
        <v>4.2949999999999999</v>
      </c>
      <c r="D2030">
        <f>WEEKDAY(A2030,14)</f>
        <v>6</v>
      </c>
      <c r="E2030">
        <f>VLOOKUP(D2030,L$2:M$8,2,FALSE)</f>
        <v>0.7</v>
      </c>
      <c r="F2030">
        <f t="shared" si="93"/>
        <v>4</v>
      </c>
      <c r="G2030">
        <f>IF(F2030&gt;F2029,G2029+B2030*E2030,B2030*E2030)</f>
        <v>2.534869</v>
      </c>
      <c r="H2030">
        <f t="shared" si="94"/>
        <v>0.75</v>
      </c>
      <c r="I2030">
        <f t="shared" si="95"/>
        <v>0</v>
      </c>
    </row>
    <row r="2031" spans="1:9">
      <c r="A2031" s="1">
        <v>41696</v>
      </c>
      <c r="B2031">
        <v>3.3618600000000001</v>
      </c>
      <c r="C2031">
        <v>4.2949999999999999</v>
      </c>
      <c r="D2031">
        <f>WEEKDAY(A2031,14)</f>
        <v>7</v>
      </c>
      <c r="E2031">
        <f>VLOOKUP(D2031,L$2:M$8,2,FALSE)</f>
        <v>0.25</v>
      </c>
      <c r="F2031">
        <f t="shared" si="93"/>
        <v>5</v>
      </c>
      <c r="G2031">
        <f>IF(F2031&gt;F2030,G2030+B2031*E2031,B2031*E2031)</f>
        <v>3.3753340000000001</v>
      </c>
      <c r="H2031">
        <f t="shared" si="94"/>
        <v>1</v>
      </c>
      <c r="I2031">
        <f t="shared" si="95"/>
        <v>0</v>
      </c>
    </row>
    <row r="2032" spans="1:9">
      <c r="A2032" s="1">
        <v>41697</v>
      </c>
      <c r="B2032">
        <v>3.3370199999999999</v>
      </c>
      <c r="C2032">
        <v>4.2050000000000001</v>
      </c>
      <c r="D2032">
        <f>WEEKDAY(A2032,14)</f>
        <v>1</v>
      </c>
      <c r="E2032">
        <f>VLOOKUP(D2032,L$2:M$8,2,FALSE)</f>
        <v>0</v>
      </c>
      <c r="F2032">
        <f t="shared" si="93"/>
        <v>1</v>
      </c>
      <c r="G2032">
        <f>IF(F2032&gt;F2031,G2031+B2032*E2032,B2032*E2032)</f>
        <v>0</v>
      </c>
      <c r="H2032">
        <f t="shared" si="94"/>
        <v>0</v>
      </c>
      <c r="I2032">
        <f t="shared" si="95"/>
        <v>3.3753340000000001</v>
      </c>
    </row>
    <row r="2033" spans="1:9">
      <c r="A2033" s="1">
        <v>41698</v>
      </c>
      <c r="B2033">
        <v>3.3514900000000001</v>
      </c>
      <c r="C2033">
        <v>4.2050000000000001</v>
      </c>
      <c r="D2033">
        <f>WEEKDAY(A2033,14)</f>
        <v>2</v>
      </c>
      <c r="E2033">
        <f>VLOOKUP(D2033,L$2:M$8,2,FALSE)</f>
        <v>0</v>
      </c>
      <c r="F2033">
        <f t="shared" si="93"/>
        <v>2</v>
      </c>
      <c r="G2033">
        <f>IF(F2033&gt;F2032,G2032+B2033*E2033,B2033*E2033)</f>
        <v>0</v>
      </c>
      <c r="H2033">
        <f t="shared" si="94"/>
        <v>0</v>
      </c>
      <c r="I2033">
        <f t="shared" si="95"/>
        <v>0</v>
      </c>
    </row>
    <row r="2034" spans="1:9">
      <c r="A2034" s="1">
        <v>41701</v>
      </c>
      <c r="B2034">
        <v>3.3252999999999999</v>
      </c>
      <c r="C2034">
        <v>4.2050000000000001</v>
      </c>
      <c r="D2034">
        <f>WEEKDAY(A2034,14)</f>
        <v>5</v>
      </c>
      <c r="E2034">
        <f>VLOOKUP(D2034,L$2:M$8,2,FALSE)</f>
        <v>0.05</v>
      </c>
      <c r="F2034">
        <f t="shared" si="93"/>
        <v>3</v>
      </c>
      <c r="G2034">
        <f>IF(F2034&gt;F2033,G2033+B2034*E2034,B2034*E2034)</f>
        <v>0.166265</v>
      </c>
      <c r="H2034">
        <f t="shared" si="94"/>
        <v>0.05</v>
      </c>
      <c r="I2034">
        <f t="shared" si="95"/>
        <v>0</v>
      </c>
    </row>
    <row r="2035" spans="1:9">
      <c r="A2035" s="1">
        <v>41702</v>
      </c>
      <c r="B2035">
        <v>3.3983099999999999</v>
      </c>
      <c r="C2035">
        <v>4.2050000000000001</v>
      </c>
      <c r="D2035">
        <f>WEEKDAY(A2035,14)</f>
        <v>6</v>
      </c>
      <c r="E2035">
        <f>VLOOKUP(D2035,L$2:M$8,2,FALSE)</f>
        <v>0.7</v>
      </c>
      <c r="F2035">
        <f t="shared" si="93"/>
        <v>4</v>
      </c>
      <c r="G2035">
        <f>IF(F2035&gt;F2034,G2034+B2035*E2035,B2035*E2035)</f>
        <v>2.5450819999999998</v>
      </c>
      <c r="H2035">
        <f t="shared" si="94"/>
        <v>0.75</v>
      </c>
      <c r="I2035">
        <f t="shared" si="95"/>
        <v>0</v>
      </c>
    </row>
    <row r="2036" spans="1:9">
      <c r="A2036" s="1">
        <v>41703</v>
      </c>
      <c r="B2036">
        <v>3.4015200000000001</v>
      </c>
      <c r="C2036">
        <v>4.2050000000000001</v>
      </c>
      <c r="D2036">
        <f>WEEKDAY(A2036,14)</f>
        <v>7</v>
      </c>
      <c r="E2036">
        <f>VLOOKUP(D2036,L$2:M$8,2,FALSE)</f>
        <v>0.25</v>
      </c>
      <c r="F2036">
        <f t="shared" si="93"/>
        <v>5</v>
      </c>
      <c r="G2036">
        <f>IF(F2036&gt;F2035,G2035+B2036*E2036,B2036*E2036)</f>
        <v>3.3954619999999998</v>
      </c>
      <c r="H2036">
        <f t="shared" si="94"/>
        <v>1</v>
      </c>
      <c r="I2036">
        <f t="shared" si="95"/>
        <v>0</v>
      </c>
    </row>
    <row r="2037" spans="1:9">
      <c r="A2037" s="1">
        <v>41704</v>
      </c>
      <c r="B2037">
        <v>3.4237000000000002</v>
      </c>
      <c r="C2037">
        <v>4.2699999999999996</v>
      </c>
      <c r="D2037">
        <f>WEEKDAY(A2037,14)</f>
        <v>1</v>
      </c>
      <c r="E2037">
        <f>VLOOKUP(D2037,L$2:M$8,2,FALSE)</f>
        <v>0</v>
      </c>
      <c r="F2037">
        <f t="shared" si="93"/>
        <v>1</v>
      </c>
      <c r="G2037">
        <f>IF(F2037&gt;F2036,G2036+B2037*E2037,B2037*E2037)</f>
        <v>0</v>
      </c>
      <c r="H2037">
        <f t="shared" si="94"/>
        <v>0</v>
      </c>
      <c r="I2037">
        <f t="shared" si="95"/>
        <v>3.3954619999999998</v>
      </c>
    </row>
    <row r="2038" spans="1:9">
      <c r="A2038" s="1">
        <v>41705</v>
      </c>
      <c r="B2038">
        <v>3.4613700000000001</v>
      </c>
      <c r="C2038">
        <v>4.2699999999999996</v>
      </c>
      <c r="D2038">
        <f>WEEKDAY(A2038,14)</f>
        <v>2</v>
      </c>
      <c r="E2038">
        <f>VLOOKUP(D2038,L$2:M$8,2,FALSE)</f>
        <v>0</v>
      </c>
      <c r="F2038">
        <f t="shared" si="93"/>
        <v>2</v>
      </c>
      <c r="G2038">
        <f>IF(F2038&gt;F2037,G2037+B2038*E2038,B2038*E2038)</f>
        <v>0</v>
      </c>
      <c r="H2038">
        <f t="shared" si="94"/>
        <v>0</v>
      </c>
      <c r="I2038">
        <f t="shared" si="95"/>
        <v>0</v>
      </c>
    </row>
    <row r="2039" spans="1:9">
      <c r="A2039" s="1">
        <v>41708</v>
      </c>
      <c r="B2039">
        <v>3.4465699999999999</v>
      </c>
      <c r="C2039">
        <v>4.2699999999999996</v>
      </c>
      <c r="D2039">
        <f>WEEKDAY(A2039,14)</f>
        <v>5</v>
      </c>
      <c r="E2039">
        <f>VLOOKUP(D2039,L$2:M$8,2,FALSE)</f>
        <v>0.05</v>
      </c>
      <c r="F2039">
        <f t="shared" si="93"/>
        <v>3</v>
      </c>
      <c r="G2039">
        <f>IF(F2039&gt;F2038,G2038+B2039*E2039,B2039*E2039)</f>
        <v>0.1723285</v>
      </c>
      <c r="H2039">
        <f t="shared" si="94"/>
        <v>0.05</v>
      </c>
      <c r="I2039">
        <f t="shared" si="95"/>
        <v>0</v>
      </c>
    </row>
    <row r="2040" spans="1:9">
      <c r="A2040" s="1">
        <v>41709</v>
      </c>
      <c r="B2040">
        <v>3.4438499999999999</v>
      </c>
      <c r="C2040">
        <v>4.2699999999999996</v>
      </c>
      <c r="D2040">
        <f>WEEKDAY(A2040,14)</f>
        <v>6</v>
      </c>
      <c r="E2040">
        <f>VLOOKUP(D2040,L$2:M$8,2,FALSE)</f>
        <v>0.7</v>
      </c>
      <c r="F2040">
        <f t="shared" si="93"/>
        <v>4</v>
      </c>
      <c r="G2040">
        <f>IF(F2040&gt;F2039,G2039+B2040*E2040,B2040*E2040)</f>
        <v>2.5830234999999995</v>
      </c>
      <c r="H2040">
        <f t="shared" si="94"/>
        <v>0.75</v>
      </c>
      <c r="I2040">
        <f t="shared" si="95"/>
        <v>0</v>
      </c>
    </row>
    <row r="2041" spans="1:9">
      <c r="A2041" s="1">
        <v>41710</v>
      </c>
      <c r="B2041">
        <v>3.4085899999999998</v>
      </c>
      <c r="C2041">
        <v>4.2699999999999996</v>
      </c>
      <c r="D2041">
        <f>WEEKDAY(A2041,14)</f>
        <v>7</v>
      </c>
      <c r="E2041">
        <f>VLOOKUP(D2041,L$2:M$8,2,FALSE)</f>
        <v>0.25</v>
      </c>
      <c r="F2041">
        <f t="shared" si="93"/>
        <v>5</v>
      </c>
      <c r="G2041">
        <f>IF(F2041&gt;F2040,G2040+B2041*E2041,B2041*E2041)</f>
        <v>3.4351709999999995</v>
      </c>
      <c r="H2041">
        <f t="shared" si="94"/>
        <v>1</v>
      </c>
      <c r="I2041">
        <f t="shared" si="95"/>
        <v>0</v>
      </c>
    </row>
    <row r="2042" spans="1:9">
      <c r="A2042" s="1">
        <v>41711</v>
      </c>
      <c r="B2042">
        <v>3.3484400000000001</v>
      </c>
      <c r="C2042">
        <v>4.22</v>
      </c>
      <c r="D2042">
        <f>WEEKDAY(A2042,14)</f>
        <v>1</v>
      </c>
      <c r="E2042">
        <f>VLOOKUP(D2042,L$2:M$8,2,FALSE)</f>
        <v>0</v>
      </c>
      <c r="F2042">
        <f t="shared" si="93"/>
        <v>1</v>
      </c>
      <c r="G2042">
        <f>IF(F2042&gt;F2041,G2041+B2042*E2042,B2042*E2042)</f>
        <v>0</v>
      </c>
      <c r="H2042">
        <f t="shared" si="94"/>
        <v>0</v>
      </c>
      <c r="I2042">
        <f t="shared" si="95"/>
        <v>3.4351709999999995</v>
      </c>
    </row>
    <row r="2043" spans="1:9">
      <c r="A2043" s="1">
        <v>41712</v>
      </c>
      <c r="B2043">
        <v>3.3634900000000001</v>
      </c>
      <c r="C2043">
        <v>4.22</v>
      </c>
      <c r="D2043">
        <f>WEEKDAY(A2043,14)</f>
        <v>2</v>
      </c>
      <c r="E2043">
        <f>VLOOKUP(D2043,L$2:M$8,2,FALSE)</f>
        <v>0</v>
      </c>
      <c r="F2043">
        <f t="shared" si="93"/>
        <v>2</v>
      </c>
      <c r="G2043">
        <f>IF(F2043&gt;F2042,G2042+B2043*E2043,B2043*E2043)</f>
        <v>0</v>
      </c>
      <c r="H2043">
        <f t="shared" si="94"/>
        <v>0</v>
      </c>
      <c r="I2043">
        <f t="shared" si="95"/>
        <v>0</v>
      </c>
    </row>
    <row r="2044" spans="1:9">
      <c r="A2044" s="1">
        <v>41715</v>
      </c>
      <c r="B2044">
        <v>3.4174600000000002</v>
      </c>
      <c r="C2044">
        <v>4.22</v>
      </c>
      <c r="D2044">
        <f>WEEKDAY(A2044,14)</f>
        <v>5</v>
      </c>
      <c r="E2044">
        <f>VLOOKUP(D2044,L$2:M$8,2,FALSE)</f>
        <v>0.05</v>
      </c>
      <c r="F2044">
        <f t="shared" si="93"/>
        <v>3</v>
      </c>
      <c r="G2044">
        <f>IF(F2044&gt;F2043,G2043+B2044*E2044,B2044*E2044)</f>
        <v>0.17087300000000002</v>
      </c>
      <c r="H2044">
        <f t="shared" si="94"/>
        <v>0.05</v>
      </c>
      <c r="I2044">
        <f t="shared" si="95"/>
        <v>0</v>
      </c>
    </row>
    <row r="2045" spans="1:9">
      <c r="A2045" s="1">
        <v>41716</v>
      </c>
      <c r="B2045">
        <v>3.3942299999999999</v>
      </c>
      <c r="C2045">
        <v>4.22</v>
      </c>
      <c r="D2045">
        <f>WEEKDAY(A2045,14)</f>
        <v>6</v>
      </c>
      <c r="E2045">
        <f>VLOOKUP(D2045,L$2:M$8,2,FALSE)</f>
        <v>0.7</v>
      </c>
      <c r="F2045">
        <f t="shared" si="93"/>
        <v>4</v>
      </c>
      <c r="G2045">
        <f>IF(F2045&gt;F2044,G2044+B2045*E2045,B2045*E2045)</f>
        <v>2.5468339999999996</v>
      </c>
      <c r="H2045">
        <f t="shared" si="94"/>
        <v>0.75</v>
      </c>
      <c r="I2045">
        <f t="shared" si="95"/>
        <v>0</v>
      </c>
    </row>
    <row r="2046" spans="1:9">
      <c r="A2046" s="1">
        <v>41717</v>
      </c>
      <c r="B2046">
        <v>3.47241</v>
      </c>
      <c r="C2046">
        <v>4.22</v>
      </c>
      <c r="D2046">
        <f>WEEKDAY(A2046,14)</f>
        <v>7</v>
      </c>
      <c r="E2046">
        <f>VLOOKUP(D2046,L$2:M$8,2,FALSE)</f>
        <v>0.25</v>
      </c>
      <c r="F2046">
        <f t="shared" si="93"/>
        <v>5</v>
      </c>
      <c r="G2046">
        <f>IF(F2046&gt;F2045,G2045+B2046*E2046,B2046*E2046)</f>
        <v>3.4149364999999996</v>
      </c>
      <c r="H2046">
        <f t="shared" si="94"/>
        <v>1</v>
      </c>
      <c r="I2046">
        <f t="shared" si="95"/>
        <v>0</v>
      </c>
    </row>
    <row r="2047" spans="1:9">
      <c r="A2047" s="1">
        <v>41718</v>
      </c>
      <c r="B2047">
        <v>3.4858099999999999</v>
      </c>
      <c r="C2047">
        <v>4.3</v>
      </c>
      <c r="D2047">
        <f>WEEKDAY(A2047,14)</f>
        <v>1</v>
      </c>
      <c r="E2047">
        <f>VLOOKUP(D2047,L$2:M$8,2,FALSE)</f>
        <v>0</v>
      </c>
      <c r="F2047">
        <f t="shared" si="93"/>
        <v>1</v>
      </c>
      <c r="G2047">
        <f>IF(F2047&gt;F2046,G2046+B2047*E2047,B2047*E2047)</f>
        <v>0</v>
      </c>
      <c r="H2047">
        <f t="shared" si="94"/>
        <v>0</v>
      </c>
      <c r="I2047">
        <f t="shared" si="95"/>
        <v>3.4149364999999996</v>
      </c>
    </row>
    <row r="2048" spans="1:9">
      <c r="A2048" s="1">
        <v>41719</v>
      </c>
      <c r="B2048">
        <v>3.45235</v>
      </c>
      <c r="C2048">
        <v>4.3</v>
      </c>
      <c r="D2048">
        <f>WEEKDAY(A2048,14)</f>
        <v>2</v>
      </c>
      <c r="E2048">
        <f>VLOOKUP(D2048,L$2:M$8,2,FALSE)</f>
        <v>0</v>
      </c>
      <c r="F2048">
        <f t="shared" si="93"/>
        <v>2</v>
      </c>
      <c r="G2048">
        <f>IF(F2048&gt;F2047,G2047+B2048*E2048,B2048*E2048)</f>
        <v>0</v>
      </c>
      <c r="H2048">
        <f t="shared" si="94"/>
        <v>0</v>
      </c>
      <c r="I2048">
        <f t="shared" si="95"/>
        <v>0</v>
      </c>
    </row>
    <row r="2049" spans="1:9">
      <c r="A2049" s="1">
        <v>41722</v>
      </c>
      <c r="B2049">
        <v>3.4526699999999999</v>
      </c>
      <c r="C2049">
        <v>4.3</v>
      </c>
      <c r="D2049">
        <f>WEEKDAY(A2049,14)</f>
        <v>5</v>
      </c>
      <c r="E2049">
        <f>VLOOKUP(D2049,L$2:M$8,2,FALSE)</f>
        <v>0.05</v>
      </c>
      <c r="F2049">
        <f t="shared" si="93"/>
        <v>3</v>
      </c>
      <c r="G2049">
        <f>IF(F2049&gt;F2048,G2048+B2049*E2049,B2049*E2049)</f>
        <v>0.1726335</v>
      </c>
      <c r="H2049">
        <f t="shared" si="94"/>
        <v>0.05</v>
      </c>
      <c r="I2049">
        <f t="shared" si="95"/>
        <v>0</v>
      </c>
    </row>
    <row r="2050" spans="1:9">
      <c r="A2050" s="1">
        <v>41723</v>
      </c>
      <c r="B2050">
        <v>3.4519700000000002</v>
      </c>
      <c r="C2050">
        <v>4.3</v>
      </c>
      <c r="D2050">
        <f>WEEKDAY(A2050,14)</f>
        <v>6</v>
      </c>
      <c r="E2050">
        <f>VLOOKUP(D2050,L$2:M$8,2,FALSE)</f>
        <v>0.7</v>
      </c>
      <c r="F2050">
        <f t="shared" si="93"/>
        <v>4</v>
      </c>
      <c r="G2050">
        <f>IF(F2050&gt;F2049,G2049+B2050*E2050,B2050*E2050)</f>
        <v>2.5890124999999999</v>
      </c>
      <c r="H2050">
        <f t="shared" si="94"/>
        <v>0.75</v>
      </c>
      <c r="I2050">
        <f t="shared" si="95"/>
        <v>0</v>
      </c>
    </row>
    <row r="2051" spans="1:9">
      <c r="A2051" s="1">
        <v>41724</v>
      </c>
      <c r="B2051">
        <v>3.4217399999999998</v>
      </c>
      <c r="C2051">
        <v>4.3</v>
      </c>
      <c r="D2051">
        <f>WEEKDAY(A2051,14)</f>
        <v>7</v>
      </c>
      <c r="E2051">
        <f>VLOOKUP(D2051,L$2:M$8,2,FALSE)</f>
        <v>0.25</v>
      </c>
      <c r="F2051">
        <f t="shared" ref="F2051:F2114" si="96">IF(AND(D2051&gt;D2050,F2050&lt;6),F2050+1,1)</f>
        <v>5</v>
      </c>
      <c r="G2051">
        <f>IF(F2051&gt;F2050,G2050+B2051*E2051,B2051*E2051)</f>
        <v>3.4444474999999999</v>
      </c>
      <c r="H2051">
        <f t="shared" si="94"/>
        <v>1</v>
      </c>
      <c r="I2051">
        <f t="shared" si="95"/>
        <v>0</v>
      </c>
    </row>
    <row r="2052" spans="1:9">
      <c r="A2052" s="1">
        <v>41725</v>
      </c>
      <c r="B2052">
        <v>3.4052699999999998</v>
      </c>
      <c r="C2052">
        <v>4.335</v>
      </c>
      <c r="D2052">
        <f>WEEKDAY(A2052,14)</f>
        <v>1</v>
      </c>
      <c r="E2052">
        <f>VLOOKUP(D2052,L$2:M$8,2,FALSE)</f>
        <v>0</v>
      </c>
      <c r="F2052">
        <f t="shared" si="96"/>
        <v>1</v>
      </c>
      <c r="G2052">
        <f>IF(F2052&gt;F2051,G2051+B2052*E2052,B2052*E2052)</f>
        <v>0</v>
      </c>
      <c r="H2052">
        <f t="shared" ref="H2052:H2115" si="97">IF(AND(F2052&lt;6,F2052&gt;F2051),E2052+H2051,E2052)</f>
        <v>0</v>
      </c>
      <c r="I2052">
        <f t="shared" ref="I2052:I2115" si="98">IF(F2051&gt;F2052,G2051/H2051,0)</f>
        <v>3.4444474999999999</v>
      </c>
    </row>
    <row r="2053" spans="1:9">
      <c r="A2053" s="1">
        <v>41726</v>
      </c>
      <c r="B2053">
        <v>3.4306100000000002</v>
      </c>
      <c r="C2053">
        <v>4.335</v>
      </c>
      <c r="D2053">
        <f>WEEKDAY(A2053,14)</f>
        <v>2</v>
      </c>
      <c r="E2053">
        <f>VLOOKUP(D2053,L$2:M$8,2,FALSE)</f>
        <v>0</v>
      </c>
      <c r="F2053">
        <f t="shared" si="96"/>
        <v>2</v>
      </c>
      <c r="G2053">
        <f>IF(F2053&gt;F2052,G2052+B2053*E2053,B2053*E2053)</f>
        <v>0</v>
      </c>
      <c r="H2053">
        <f t="shared" si="97"/>
        <v>0</v>
      </c>
      <c r="I2053">
        <f t="shared" si="98"/>
        <v>0</v>
      </c>
    </row>
    <row r="2054" spans="1:9">
      <c r="A2054" s="1">
        <v>41729</v>
      </c>
      <c r="B2054">
        <v>3.44686</v>
      </c>
      <c r="C2054">
        <v>4.335</v>
      </c>
      <c r="D2054">
        <f>WEEKDAY(A2054,14)</f>
        <v>5</v>
      </c>
      <c r="E2054">
        <f>VLOOKUP(D2054,L$2:M$8,2,FALSE)</f>
        <v>0.05</v>
      </c>
      <c r="F2054">
        <f t="shared" si="96"/>
        <v>3</v>
      </c>
      <c r="G2054">
        <f>IF(F2054&gt;F2053,G2053+B2054*E2054,B2054*E2054)</f>
        <v>0.17234300000000002</v>
      </c>
      <c r="H2054">
        <f t="shared" si="97"/>
        <v>0.05</v>
      </c>
      <c r="I2054">
        <f t="shared" si="98"/>
        <v>0</v>
      </c>
    </row>
    <row r="2055" spans="1:9">
      <c r="A2055" s="1">
        <v>41730</v>
      </c>
      <c r="B2055">
        <v>3.4727000000000001</v>
      </c>
      <c r="C2055">
        <v>4.335</v>
      </c>
      <c r="D2055">
        <f>WEEKDAY(A2055,14)</f>
        <v>6</v>
      </c>
      <c r="E2055">
        <f>VLOOKUP(D2055,L$2:M$8,2,FALSE)</f>
        <v>0.7</v>
      </c>
      <c r="F2055">
        <f t="shared" si="96"/>
        <v>4</v>
      </c>
      <c r="G2055">
        <f>IF(F2055&gt;F2054,G2054+B2055*E2055,B2055*E2055)</f>
        <v>2.6032329999999999</v>
      </c>
      <c r="H2055">
        <f t="shared" si="97"/>
        <v>0.75</v>
      </c>
      <c r="I2055">
        <f t="shared" si="98"/>
        <v>0</v>
      </c>
    </row>
    <row r="2056" spans="1:9">
      <c r="A2056" s="1">
        <v>41731</v>
      </c>
      <c r="B2056">
        <v>3.5066299999999999</v>
      </c>
      <c r="C2056">
        <v>4.335</v>
      </c>
      <c r="D2056">
        <f>WEEKDAY(A2056,14)</f>
        <v>7</v>
      </c>
      <c r="E2056">
        <f>VLOOKUP(D2056,L$2:M$8,2,FALSE)</f>
        <v>0.25</v>
      </c>
      <c r="F2056">
        <f t="shared" si="96"/>
        <v>5</v>
      </c>
      <c r="G2056">
        <f>IF(F2056&gt;F2055,G2055+B2056*E2056,B2056*E2056)</f>
        <v>3.4798904999999998</v>
      </c>
      <c r="H2056">
        <f t="shared" si="97"/>
        <v>1</v>
      </c>
      <c r="I2056">
        <f t="shared" si="98"/>
        <v>0</v>
      </c>
    </row>
    <row r="2057" spans="1:9">
      <c r="A2057" s="1">
        <v>41732</v>
      </c>
      <c r="B2057">
        <v>3.4840300000000002</v>
      </c>
      <c r="C2057">
        <v>4.2649999999999997</v>
      </c>
      <c r="D2057">
        <f>WEEKDAY(A2057,14)</f>
        <v>1</v>
      </c>
      <c r="E2057">
        <f>VLOOKUP(D2057,L$2:M$8,2,FALSE)</f>
        <v>0</v>
      </c>
      <c r="F2057">
        <f t="shared" si="96"/>
        <v>1</v>
      </c>
      <c r="G2057">
        <f>IF(F2057&gt;F2056,G2056+B2057*E2057,B2057*E2057)</f>
        <v>0</v>
      </c>
      <c r="H2057">
        <f t="shared" si="97"/>
        <v>0</v>
      </c>
      <c r="I2057">
        <f t="shared" si="98"/>
        <v>3.4798904999999998</v>
      </c>
    </row>
    <row r="2058" spans="1:9">
      <c r="A2058" s="1">
        <v>41733</v>
      </c>
      <c r="B2058">
        <v>3.4295599999999999</v>
      </c>
      <c r="C2058">
        <v>4.2649999999999997</v>
      </c>
      <c r="D2058">
        <f>WEEKDAY(A2058,14)</f>
        <v>2</v>
      </c>
      <c r="E2058">
        <f>VLOOKUP(D2058,L$2:M$8,2,FALSE)</f>
        <v>0</v>
      </c>
      <c r="F2058">
        <f t="shared" si="96"/>
        <v>2</v>
      </c>
      <c r="G2058">
        <f>IF(F2058&gt;F2057,G2057+B2058*E2058,B2058*E2058)</f>
        <v>0</v>
      </c>
      <c r="H2058">
        <f t="shared" si="97"/>
        <v>0</v>
      </c>
      <c r="I2058">
        <f t="shared" si="98"/>
        <v>0</v>
      </c>
    </row>
    <row r="2059" spans="1:9">
      <c r="A2059" s="1">
        <v>41736</v>
      </c>
      <c r="B2059">
        <v>3.3950999999999998</v>
      </c>
      <c r="C2059">
        <v>4.2649999999999997</v>
      </c>
      <c r="D2059">
        <f>WEEKDAY(A2059,14)</f>
        <v>5</v>
      </c>
      <c r="E2059">
        <f>VLOOKUP(D2059,L$2:M$8,2,FALSE)</f>
        <v>0.05</v>
      </c>
      <c r="F2059">
        <f t="shared" si="96"/>
        <v>3</v>
      </c>
      <c r="G2059">
        <f>IF(F2059&gt;F2058,G2058+B2059*E2059,B2059*E2059)</f>
        <v>0.16975499999999999</v>
      </c>
      <c r="H2059">
        <f t="shared" si="97"/>
        <v>0.05</v>
      </c>
      <c r="I2059">
        <f t="shared" si="98"/>
        <v>0</v>
      </c>
    </row>
    <row r="2060" spans="1:9">
      <c r="A2060" s="1">
        <v>41737</v>
      </c>
      <c r="B2060">
        <v>3.3731800000000001</v>
      </c>
      <c r="C2060">
        <v>4.2649999999999997</v>
      </c>
      <c r="D2060">
        <f>WEEKDAY(A2060,14)</f>
        <v>6</v>
      </c>
      <c r="E2060">
        <f>VLOOKUP(D2060,L$2:M$8,2,FALSE)</f>
        <v>0.7</v>
      </c>
      <c r="F2060">
        <f t="shared" si="96"/>
        <v>4</v>
      </c>
      <c r="G2060">
        <f>IF(F2060&gt;F2059,G2059+B2060*E2060,B2060*E2060)</f>
        <v>2.5309809999999997</v>
      </c>
      <c r="H2060">
        <f t="shared" si="97"/>
        <v>0.75</v>
      </c>
      <c r="I2060">
        <f t="shared" si="98"/>
        <v>0</v>
      </c>
    </row>
    <row r="2061" spans="1:9">
      <c r="A2061" s="1">
        <v>41738</v>
      </c>
      <c r="B2061">
        <v>3.3750900000000001</v>
      </c>
      <c r="C2061">
        <v>4.2649999999999997</v>
      </c>
      <c r="D2061">
        <f>WEEKDAY(A2061,14)</f>
        <v>7</v>
      </c>
      <c r="E2061">
        <f>VLOOKUP(D2061,L$2:M$8,2,FALSE)</f>
        <v>0.25</v>
      </c>
      <c r="F2061">
        <f t="shared" si="96"/>
        <v>5</v>
      </c>
      <c r="G2061">
        <f>IF(F2061&gt;F2060,G2060+B2061*E2061,B2061*E2061)</f>
        <v>3.3747534999999997</v>
      </c>
      <c r="H2061">
        <f t="shared" si="97"/>
        <v>1</v>
      </c>
      <c r="I2061">
        <f t="shared" si="98"/>
        <v>0</v>
      </c>
    </row>
    <row r="2062" spans="1:9">
      <c r="A2062" s="1">
        <v>41739</v>
      </c>
      <c r="B2062">
        <v>3.3155199999999998</v>
      </c>
      <c r="C2062">
        <v>4.1950000000000003</v>
      </c>
      <c r="D2062">
        <f>WEEKDAY(A2062,14)</f>
        <v>1</v>
      </c>
      <c r="E2062">
        <f>VLOOKUP(D2062,L$2:M$8,2,FALSE)</f>
        <v>0</v>
      </c>
      <c r="F2062">
        <f t="shared" si="96"/>
        <v>1</v>
      </c>
      <c r="G2062">
        <f>IF(F2062&gt;F2061,G2061+B2062*E2062,B2062*E2062)</f>
        <v>0</v>
      </c>
      <c r="H2062">
        <f t="shared" si="97"/>
        <v>0</v>
      </c>
      <c r="I2062">
        <f t="shared" si="98"/>
        <v>3.3747534999999997</v>
      </c>
    </row>
    <row r="2063" spans="1:9">
      <c r="A2063" s="1">
        <v>41740</v>
      </c>
      <c r="B2063">
        <v>3.3161700000000001</v>
      </c>
      <c r="C2063">
        <v>4.1950000000000003</v>
      </c>
      <c r="D2063">
        <f>WEEKDAY(A2063,14)</f>
        <v>2</v>
      </c>
      <c r="E2063">
        <f>VLOOKUP(D2063,L$2:M$8,2,FALSE)</f>
        <v>0</v>
      </c>
      <c r="F2063">
        <f t="shared" si="96"/>
        <v>2</v>
      </c>
      <c r="G2063">
        <f>IF(F2063&gt;F2062,G2062+B2063*E2063,B2063*E2063)</f>
        <v>0</v>
      </c>
      <c r="H2063">
        <f t="shared" si="97"/>
        <v>0</v>
      </c>
      <c r="I2063">
        <f t="shared" si="98"/>
        <v>0</v>
      </c>
    </row>
    <row r="2064" spans="1:9">
      <c r="A2064" s="1">
        <v>41743</v>
      </c>
      <c r="B2064">
        <v>3.34083</v>
      </c>
      <c r="C2064">
        <v>4.1950000000000003</v>
      </c>
      <c r="D2064">
        <f>WEEKDAY(A2064,14)</f>
        <v>5</v>
      </c>
      <c r="E2064">
        <f>VLOOKUP(D2064,L$2:M$8,2,FALSE)</f>
        <v>0.05</v>
      </c>
      <c r="F2064">
        <f t="shared" si="96"/>
        <v>3</v>
      </c>
      <c r="G2064">
        <f>IF(F2064&gt;F2063,G2063+B2064*E2064,B2064*E2064)</f>
        <v>0.16704150000000001</v>
      </c>
      <c r="H2064">
        <f t="shared" si="97"/>
        <v>0.05</v>
      </c>
      <c r="I2064">
        <f t="shared" si="98"/>
        <v>0</v>
      </c>
    </row>
    <row r="2065" spans="1:9">
      <c r="A2065" s="1">
        <v>41744</v>
      </c>
      <c r="B2065">
        <v>3.3379300000000001</v>
      </c>
      <c r="C2065">
        <v>4.1950000000000003</v>
      </c>
      <c r="D2065">
        <f>WEEKDAY(A2065,14)</f>
        <v>6</v>
      </c>
      <c r="E2065">
        <f>VLOOKUP(D2065,L$2:M$8,2,FALSE)</f>
        <v>0.7</v>
      </c>
      <c r="F2065">
        <f t="shared" si="96"/>
        <v>4</v>
      </c>
      <c r="G2065">
        <f>IF(F2065&gt;F2064,G2064+B2065*E2065,B2065*E2065)</f>
        <v>2.5035924999999999</v>
      </c>
      <c r="H2065">
        <f t="shared" si="97"/>
        <v>0.75</v>
      </c>
      <c r="I2065">
        <f t="shared" si="98"/>
        <v>0</v>
      </c>
    </row>
    <row r="2066" spans="1:9">
      <c r="A2066" s="1">
        <v>41745</v>
      </c>
      <c r="B2066">
        <v>3.3508</v>
      </c>
      <c r="C2066">
        <v>4.1950000000000003</v>
      </c>
      <c r="D2066">
        <f>WEEKDAY(A2066,14)</f>
        <v>7</v>
      </c>
      <c r="E2066">
        <f>VLOOKUP(D2066,L$2:M$8,2,FALSE)</f>
        <v>0.25</v>
      </c>
      <c r="F2066">
        <f t="shared" si="96"/>
        <v>5</v>
      </c>
      <c r="G2066">
        <f>IF(F2066&gt;F2065,G2065+B2066*E2066,B2066*E2066)</f>
        <v>3.3412924999999998</v>
      </c>
      <c r="H2066">
        <f t="shared" si="97"/>
        <v>1</v>
      </c>
      <c r="I2066">
        <f t="shared" si="98"/>
        <v>0</v>
      </c>
    </row>
    <row r="2067" spans="1:9">
      <c r="A2067" s="1">
        <v>41746</v>
      </c>
      <c r="B2067">
        <v>3.40802</v>
      </c>
      <c r="C2067">
        <v>4.2300000000000004</v>
      </c>
      <c r="D2067">
        <f>WEEKDAY(A2067,14)</f>
        <v>1</v>
      </c>
      <c r="E2067">
        <f>VLOOKUP(D2067,L$2:M$8,2,FALSE)</f>
        <v>0</v>
      </c>
      <c r="F2067">
        <f t="shared" si="96"/>
        <v>1</v>
      </c>
      <c r="G2067">
        <f>IF(F2067&gt;F2066,G2066+B2067*E2067,B2067*E2067)</f>
        <v>0</v>
      </c>
      <c r="H2067">
        <f t="shared" si="97"/>
        <v>0</v>
      </c>
      <c r="I2067">
        <f t="shared" si="98"/>
        <v>3.3412924999999998</v>
      </c>
    </row>
    <row r="2068" spans="1:9">
      <c r="A2068" s="1">
        <v>41750</v>
      </c>
      <c r="B2068">
        <v>3.4214899999999999</v>
      </c>
      <c r="C2068">
        <v>4.2300000000000004</v>
      </c>
      <c r="D2068">
        <f>WEEKDAY(A2068,14)</f>
        <v>5</v>
      </c>
      <c r="E2068">
        <f>VLOOKUP(D2068,L$2:M$8,2,FALSE)</f>
        <v>0.05</v>
      </c>
      <c r="F2068">
        <f t="shared" si="96"/>
        <v>2</v>
      </c>
      <c r="G2068">
        <f>IF(F2068&gt;F2067,G2067+B2068*E2068,B2068*E2068)</f>
        <v>0.17107450000000002</v>
      </c>
      <c r="H2068">
        <f t="shared" si="97"/>
        <v>0.05</v>
      </c>
      <c r="I2068">
        <f t="shared" si="98"/>
        <v>0</v>
      </c>
    </row>
    <row r="2069" spans="1:9">
      <c r="A2069" s="1">
        <v>41751</v>
      </c>
      <c r="B2069">
        <v>3.41581</v>
      </c>
      <c r="C2069">
        <v>4.2300000000000004</v>
      </c>
      <c r="D2069">
        <f>WEEKDAY(A2069,14)</f>
        <v>6</v>
      </c>
      <c r="E2069">
        <f>VLOOKUP(D2069,L$2:M$8,2,FALSE)</f>
        <v>0.7</v>
      </c>
      <c r="F2069">
        <f t="shared" si="96"/>
        <v>3</v>
      </c>
      <c r="G2069">
        <f>IF(F2069&gt;F2068,G2068+B2069*E2069,B2069*E2069)</f>
        <v>2.5621415000000001</v>
      </c>
      <c r="H2069">
        <f t="shared" si="97"/>
        <v>0.75</v>
      </c>
      <c r="I2069">
        <f t="shared" si="98"/>
        <v>0</v>
      </c>
    </row>
    <row r="2070" spans="1:9">
      <c r="A2070" s="1">
        <v>41752</v>
      </c>
      <c r="B2070">
        <v>3.3712599999999999</v>
      </c>
      <c r="C2070">
        <v>4.2300000000000004</v>
      </c>
      <c r="D2070">
        <f>WEEKDAY(A2070,14)</f>
        <v>7</v>
      </c>
      <c r="E2070">
        <f>VLOOKUP(D2070,L$2:M$8,2,FALSE)</f>
        <v>0.25</v>
      </c>
      <c r="F2070">
        <f t="shared" si="96"/>
        <v>4</v>
      </c>
      <c r="G2070">
        <f>IF(F2070&gt;F2069,G2069+B2070*E2070,B2070*E2070)</f>
        <v>3.4049564999999999</v>
      </c>
      <c r="H2070">
        <f t="shared" si="97"/>
        <v>1</v>
      </c>
      <c r="I2070">
        <f t="shared" si="98"/>
        <v>0</v>
      </c>
    </row>
    <row r="2071" spans="1:9">
      <c r="A2071" s="1">
        <v>41753</v>
      </c>
      <c r="B2071">
        <v>3.36531</v>
      </c>
      <c r="C2071">
        <v>4.2149999999999999</v>
      </c>
      <c r="D2071">
        <f>WEEKDAY(A2071,14)</f>
        <v>1</v>
      </c>
      <c r="E2071">
        <f>VLOOKUP(D2071,L$2:M$8,2,FALSE)</f>
        <v>0</v>
      </c>
      <c r="F2071">
        <f t="shared" si="96"/>
        <v>1</v>
      </c>
      <c r="G2071">
        <f>IF(F2071&gt;F2070,G2070+B2071*E2071,B2071*E2071)</f>
        <v>0</v>
      </c>
      <c r="H2071">
        <f t="shared" si="97"/>
        <v>0</v>
      </c>
      <c r="I2071">
        <f t="shared" si="98"/>
        <v>3.4049564999999999</v>
      </c>
    </row>
    <row r="2072" spans="1:9">
      <c r="A2072" s="1">
        <v>41754</v>
      </c>
      <c r="B2072">
        <v>3.3440699999999999</v>
      </c>
      <c r="C2072">
        <v>4.2149999999999999</v>
      </c>
      <c r="D2072">
        <f>WEEKDAY(A2072,14)</f>
        <v>2</v>
      </c>
      <c r="E2072">
        <f>VLOOKUP(D2072,L$2:M$8,2,FALSE)</f>
        <v>0</v>
      </c>
      <c r="F2072">
        <f t="shared" si="96"/>
        <v>2</v>
      </c>
      <c r="G2072">
        <f>IF(F2072&gt;F2071,G2071+B2072*E2072,B2072*E2072)</f>
        <v>0</v>
      </c>
      <c r="H2072">
        <f t="shared" si="97"/>
        <v>0</v>
      </c>
      <c r="I2072">
        <f t="shared" si="98"/>
        <v>0</v>
      </c>
    </row>
    <row r="2073" spans="1:9">
      <c r="A2073" s="1">
        <v>41757</v>
      </c>
      <c r="B2073">
        <v>3.3514599999999999</v>
      </c>
      <c r="C2073">
        <v>4.2149999999999999</v>
      </c>
      <c r="D2073">
        <f>WEEKDAY(A2073,14)</f>
        <v>5</v>
      </c>
      <c r="E2073">
        <f>VLOOKUP(D2073,L$2:M$8,2,FALSE)</f>
        <v>0.05</v>
      </c>
      <c r="F2073">
        <f t="shared" si="96"/>
        <v>3</v>
      </c>
      <c r="G2073">
        <f>IF(F2073&gt;F2072,G2072+B2073*E2073,B2073*E2073)</f>
        <v>0.167573</v>
      </c>
      <c r="H2073">
        <f t="shared" si="97"/>
        <v>0.05</v>
      </c>
      <c r="I2073">
        <f t="shared" si="98"/>
        <v>0</v>
      </c>
    </row>
    <row r="2074" spans="1:9">
      <c r="A2074" s="1">
        <v>41758</v>
      </c>
      <c r="B2074">
        <v>3.37337</v>
      </c>
      <c r="C2074">
        <v>4.2149999999999999</v>
      </c>
      <c r="D2074">
        <f>WEEKDAY(A2074,14)</f>
        <v>6</v>
      </c>
      <c r="E2074">
        <f>VLOOKUP(D2074,L$2:M$8,2,FALSE)</f>
        <v>0.7</v>
      </c>
      <c r="F2074">
        <f t="shared" si="96"/>
        <v>4</v>
      </c>
      <c r="G2074">
        <f>IF(F2074&gt;F2073,G2073+B2074*E2074,B2074*E2074)</f>
        <v>2.5289319999999997</v>
      </c>
      <c r="H2074">
        <f t="shared" si="97"/>
        <v>0.75</v>
      </c>
      <c r="I2074">
        <f t="shared" si="98"/>
        <v>0</v>
      </c>
    </row>
    <row r="2075" spans="1:9">
      <c r="A2075" s="1">
        <v>41759</v>
      </c>
      <c r="B2075">
        <v>3.3274300000000001</v>
      </c>
      <c r="C2075">
        <v>4.2149999999999999</v>
      </c>
      <c r="D2075">
        <f>WEEKDAY(A2075,14)</f>
        <v>7</v>
      </c>
      <c r="E2075">
        <f>VLOOKUP(D2075,L$2:M$8,2,FALSE)</f>
        <v>0.25</v>
      </c>
      <c r="F2075">
        <f t="shared" si="96"/>
        <v>5</v>
      </c>
      <c r="G2075">
        <f>IF(F2075&gt;F2074,G2074+B2075*E2075,B2075*E2075)</f>
        <v>3.3607894999999997</v>
      </c>
      <c r="H2075">
        <f t="shared" si="97"/>
        <v>1</v>
      </c>
      <c r="I2075">
        <f t="shared" si="98"/>
        <v>0</v>
      </c>
    </row>
    <row r="2076" spans="1:9">
      <c r="A2076" s="1">
        <v>41760</v>
      </c>
      <c r="B2076">
        <v>3.2875299999999998</v>
      </c>
      <c r="C2076">
        <v>4.1100000000000003</v>
      </c>
      <c r="D2076">
        <f>WEEKDAY(A2076,14)</f>
        <v>1</v>
      </c>
      <c r="E2076">
        <f>VLOOKUP(D2076,L$2:M$8,2,FALSE)</f>
        <v>0</v>
      </c>
      <c r="F2076">
        <f t="shared" si="96"/>
        <v>1</v>
      </c>
      <c r="G2076">
        <f>IF(F2076&gt;F2075,G2075+B2076*E2076,B2076*E2076)</f>
        <v>0</v>
      </c>
      <c r="H2076">
        <f t="shared" si="97"/>
        <v>0</v>
      </c>
      <c r="I2076">
        <f t="shared" si="98"/>
        <v>3.3607894999999997</v>
      </c>
    </row>
    <row r="2077" spans="1:9">
      <c r="A2077" s="1">
        <v>41761</v>
      </c>
      <c r="B2077">
        <v>3.27582</v>
      </c>
      <c r="C2077">
        <v>4.1100000000000003</v>
      </c>
      <c r="D2077">
        <f>WEEKDAY(A2077,14)</f>
        <v>2</v>
      </c>
      <c r="E2077">
        <f>VLOOKUP(D2077,L$2:M$8,2,FALSE)</f>
        <v>0</v>
      </c>
      <c r="F2077">
        <f t="shared" si="96"/>
        <v>2</v>
      </c>
      <c r="G2077">
        <f>IF(F2077&gt;F2076,G2076+B2077*E2077,B2077*E2077)</f>
        <v>0</v>
      </c>
      <c r="H2077">
        <f t="shared" si="97"/>
        <v>0</v>
      </c>
      <c r="I2077">
        <f t="shared" si="98"/>
        <v>0</v>
      </c>
    </row>
    <row r="2078" spans="1:9">
      <c r="A2078" s="1">
        <v>41764</v>
      </c>
      <c r="B2078">
        <v>3.2885</v>
      </c>
      <c r="C2078">
        <v>4.1100000000000003</v>
      </c>
      <c r="D2078">
        <f>WEEKDAY(A2078,14)</f>
        <v>5</v>
      </c>
      <c r="E2078">
        <f>VLOOKUP(D2078,L$2:M$8,2,FALSE)</f>
        <v>0.05</v>
      </c>
      <c r="F2078">
        <f t="shared" si="96"/>
        <v>3</v>
      </c>
      <c r="G2078">
        <f>IF(F2078&gt;F2077,G2077+B2078*E2078,B2078*E2078)</f>
        <v>0.16442500000000002</v>
      </c>
      <c r="H2078">
        <f t="shared" si="97"/>
        <v>0.05</v>
      </c>
      <c r="I2078">
        <f t="shared" si="98"/>
        <v>0</v>
      </c>
    </row>
    <row r="2079" spans="1:9">
      <c r="A2079" s="1">
        <v>41765</v>
      </c>
      <c r="B2079">
        <v>3.26769</v>
      </c>
      <c r="C2079">
        <v>4.1100000000000003</v>
      </c>
      <c r="D2079">
        <f>WEEKDAY(A2079,14)</f>
        <v>6</v>
      </c>
      <c r="E2079">
        <f>VLOOKUP(D2079,L$2:M$8,2,FALSE)</f>
        <v>0.7</v>
      </c>
      <c r="F2079">
        <f t="shared" si="96"/>
        <v>4</v>
      </c>
      <c r="G2079">
        <f>IF(F2079&gt;F2078,G2078+B2079*E2079,B2079*E2079)</f>
        <v>2.4518079999999998</v>
      </c>
      <c r="H2079">
        <f t="shared" si="97"/>
        <v>0.75</v>
      </c>
      <c r="I2079">
        <f t="shared" si="98"/>
        <v>0</v>
      </c>
    </row>
    <row r="2080" spans="1:9">
      <c r="A2080" s="1">
        <v>41766</v>
      </c>
      <c r="B2080">
        <v>3.2365599999999999</v>
      </c>
      <c r="C2080">
        <v>4.1100000000000003</v>
      </c>
      <c r="D2080">
        <f>WEEKDAY(A2080,14)</f>
        <v>7</v>
      </c>
      <c r="E2080">
        <f>VLOOKUP(D2080,L$2:M$8,2,FALSE)</f>
        <v>0.25</v>
      </c>
      <c r="F2080">
        <f t="shared" si="96"/>
        <v>5</v>
      </c>
      <c r="G2080">
        <f>IF(F2080&gt;F2079,G2079+B2080*E2080,B2080*E2080)</f>
        <v>3.260948</v>
      </c>
      <c r="H2080">
        <f t="shared" si="97"/>
        <v>1</v>
      </c>
      <c r="I2080">
        <f t="shared" si="98"/>
        <v>0</v>
      </c>
    </row>
    <row r="2081" spans="1:9">
      <c r="A2081" s="1">
        <v>41767</v>
      </c>
      <c r="B2081">
        <v>3.2302</v>
      </c>
      <c r="C2081">
        <v>4.0999999999999996</v>
      </c>
      <c r="D2081">
        <f>WEEKDAY(A2081,14)</f>
        <v>1</v>
      </c>
      <c r="E2081">
        <f>VLOOKUP(D2081,L$2:M$8,2,FALSE)</f>
        <v>0</v>
      </c>
      <c r="F2081">
        <f t="shared" si="96"/>
        <v>1</v>
      </c>
      <c r="G2081">
        <f>IF(F2081&gt;F2080,G2080+B2081*E2081,B2081*E2081)</f>
        <v>0</v>
      </c>
      <c r="H2081">
        <f t="shared" si="97"/>
        <v>0</v>
      </c>
      <c r="I2081">
        <f t="shared" si="98"/>
        <v>3.260948</v>
      </c>
    </row>
    <row r="2082" spans="1:9">
      <c r="A2082" s="1">
        <v>41768</v>
      </c>
      <c r="B2082">
        <v>3.2679299999999998</v>
      </c>
      <c r="C2082">
        <v>4.0999999999999996</v>
      </c>
      <c r="D2082">
        <f>WEEKDAY(A2082,14)</f>
        <v>2</v>
      </c>
      <c r="E2082">
        <f>VLOOKUP(D2082,L$2:M$8,2,FALSE)</f>
        <v>0</v>
      </c>
      <c r="F2082">
        <f t="shared" si="96"/>
        <v>2</v>
      </c>
      <c r="G2082">
        <f>IF(F2082&gt;F2081,G2081+B2082*E2082,B2082*E2082)</f>
        <v>0</v>
      </c>
      <c r="H2082">
        <f t="shared" si="97"/>
        <v>0</v>
      </c>
      <c r="I2082">
        <f t="shared" si="98"/>
        <v>0</v>
      </c>
    </row>
    <row r="2083" spans="1:9">
      <c r="A2083" s="1">
        <v>41771</v>
      </c>
      <c r="B2083">
        <v>3.2957299999999998</v>
      </c>
      <c r="C2083">
        <v>4.0999999999999996</v>
      </c>
      <c r="D2083">
        <f>WEEKDAY(A2083,14)</f>
        <v>5</v>
      </c>
      <c r="E2083">
        <f>VLOOKUP(D2083,L$2:M$8,2,FALSE)</f>
        <v>0.05</v>
      </c>
      <c r="F2083">
        <f t="shared" si="96"/>
        <v>3</v>
      </c>
      <c r="G2083">
        <f>IF(F2083&gt;F2082,G2082+B2083*E2083,B2083*E2083)</f>
        <v>0.1647865</v>
      </c>
      <c r="H2083">
        <f t="shared" si="97"/>
        <v>0.05</v>
      </c>
      <c r="I2083">
        <f t="shared" si="98"/>
        <v>0</v>
      </c>
    </row>
    <row r="2084" spans="1:9">
      <c r="A2084" s="1">
        <v>41772</v>
      </c>
      <c r="B2084">
        <v>3.2728000000000002</v>
      </c>
      <c r="C2084">
        <v>4.0999999999999996</v>
      </c>
      <c r="D2084">
        <f>WEEKDAY(A2084,14)</f>
        <v>6</v>
      </c>
      <c r="E2084">
        <f>VLOOKUP(D2084,L$2:M$8,2,FALSE)</f>
        <v>0.7</v>
      </c>
      <c r="F2084">
        <f t="shared" si="96"/>
        <v>4</v>
      </c>
      <c r="G2084">
        <f>IF(F2084&gt;F2083,G2083+B2084*E2084,B2084*E2084)</f>
        <v>2.4557465000000001</v>
      </c>
      <c r="H2084">
        <f t="shared" si="97"/>
        <v>0.75</v>
      </c>
      <c r="I2084">
        <f t="shared" si="98"/>
        <v>0</v>
      </c>
    </row>
    <row r="2085" spans="1:9">
      <c r="A2085" s="1">
        <v>41773</v>
      </c>
      <c r="B2085">
        <v>3.1970900000000002</v>
      </c>
      <c r="C2085">
        <v>4.0999999999999996</v>
      </c>
      <c r="D2085">
        <f>WEEKDAY(A2085,14)</f>
        <v>7</v>
      </c>
      <c r="E2085">
        <f>VLOOKUP(D2085,L$2:M$8,2,FALSE)</f>
        <v>0.25</v>
      </c>
      <c r="F2085">
        <f t="shared" si="96"/>
        <v>5</v>
      </c>
      <c r="G2085">
        <f>IF(F2085&gt;F2084,G2084+B2085*E2085,B2085*E2085)</f>
        <v>3.2550189999999999</v>
      </c>
      <c r="H2085">
        <f t="shared" si="97"/>
        <v>1</v>
      </c>
      <c r="I2085">
        <f t="shared" si="98"/>
        <v>0</v>
      </c>
    </row>
    <row r="2086" spans="1:9">
      <c r="A2086" s="1">
        <v>41774</v>
      </c>
      <c r="B2086">
        <v>3.1795100000000001</v>
      </c>
      <c r="C2086">
        <v>4.04</v>
      </c>
      <c r="D2086">
        <f>WEEKDAY(A2086,14)</f>
        <v>1</v>
      </c>
      <c r="E2086">
        <f>VLOOKUP(D2086,L$2:M$8,2,FALSE)</f>
        <v>0</v>
      </c>
      <c r="F2086">
        <f t="shared" si="96"/>
        <v>1</v>
      </c>
      <c r="G2086">
        <f>IF(F2086&gt;F2085,G2085+B2086*E2086,B2086*E2086)</f>
        <v>0</v>
      </c>
      <c r="H2086">
        <f t="shared" si="97"/>
        <v>0</v>
      </c>
      <c r="I2086">
        <f t="shared" si="98"/>
        <v>3.2550189999999999</v>
      </c>
    </row>
    <row r="2087" spans="1:9">
      <c r="A2087" s="1">
        <v>41775</v>
      </c>
      <c r="B2087">
        <v>3.2071700000000001</v>
      </c>
      <c r="C2087">
        <v>4.04</v>
      </c>
      <c r="D2087">
        <f>WEEKDAY(A2087,14)</f>
        <v>2</v>
      </c>
      <c r="E2087">
        <f>VLOOKUP(D2087,L$2:M$8,2,FALSE)</f>
        <v>0</v>
      </c>
      <c r="F2087">
        <f t="shared" si="96"/>
        <v>2</v>
      </c>
      <c r="G2087">
        <f>IF(F2087&gt;F2086,G2086+B2087*E2087,B2087*E2087)</f>
        <v>0</v>
      </c>
      <c r="H2087">
        <f t="shared" si="97"/>
        <v>0</v>
      </c>
      <c r="I2087">
        <f t="shared" si="98"/>
        <v>0</v>
      </c>
    </row>
    <row r="2088" spans="1:9">
      <c r="A2088" s="1">
        <v>41778</v>
      </c>
      <c r="B2088">
        <v>3.2249699999999999</v>
      </c>
      <c r="C2088">
        <v>4.04</v>
      </c>
      <c r="D2088">
        <f>WEEKDAY(A2088,14)</f>
        <v>5</v>
      </c>
      <c r="E2088">
        <f>VLOOKUP(D2088,L$2:M$8,2,FALSE)</f>
        <v>0.05</v>
      </c>
      <c r="F2088">
        <f t="shared" si="96"/>
        <v>3</v>
      </c>
      <c r="G2088">
        <f>IF(F2088&gt;F2087,G2087+B2088*E2088,B2088*E2088)</f>
        <v>0.16124850000000002</v>
      </c>
      <c r="H2088">
        <f t="shared" si="97"/>
        <v>0.05</v>
      </c>
      <c r="I2088">
        <f t="shared" si="98"/>
        <v>0</v>
      </c>
    </row>
    <row r="2089" spans="1:9">
      <c r="A2089" s="1">
        <v>41779</v>
      </c>
      <c r="B2089">
        <v>3.19062</v>
      </c>
      <c r="C2089">
        <v>4.04</v>
      </c>
      <c r="D2089">
        <f>WEEKDAY(A2089,14)</f>
        <v>6</v>
      </c>
      <c r="E2089">
        <f>VLOOKUP(D2089,L$2:M$8,2,FALSE)</f>
        <v>0.7</v>
      </c>
      <c r="F2089">
        <f t="shared" si="96"/>
        <v>4</v>
      </c>
      <c r="G2089">
        <f>IF(F2089&gt;F2088,G2088+B2089*E2089,B2089*E2089)</f>
        <v>2.3946825</v>
      </c>
      <c r="H2089">
        <f t="shared" si="97"/>
        <v>0.75</v>
      </c>
      <c r="I2089">
        <f t="shared" si="98"/>
        <v>0</v>
      </c>
    </row>
    <row r="2090" spans="1:9">
      <c r="A2090" s="1">
        <v>41780</v>
      </c>
      <c r="B2090">
        <v>3.2003699999999999</v>
      </c>
      <c r="C2090">
        <v>4.04</v>
      </c>
      <c r="D2090">
        <f>WEEKDAY(A2090,14)</f>
        <v>7</v>
      </c>
      <c r="E2090">
        <f>VLOOKUP(D2090,L$2:M$8,2,FALSE)</f>
        <v>0.25</v>
      </c>
      <c r="F2090">
        <f t="shared" si="96"/>
        <v>5</v>
      </c>
      <c r="G2090">
        <f>IF(F2090&gt;F2089,G2089+B2090*E2090,B2090*E2090)</f>
        <v>3.1947749999999999</v>
      </c>
      <c r="H2090">
        <f t="shared" si="97"/>
        <v>1</v>
      </c>
      <c r="I2090">
        <f t="shared" si="98"/>
        <v>0</v>
      </c>
    </row>
    <row r="2091" spans="1:9">
      <c r="A2091" s="1">
        <v>41781</v>
      </c>
      <c r="B2091">
        <v>3.2144300000000001</v>
      </c>
      <c r="C2091">
        <v>4.0199999999999996</v>
      </c>
      <c r="D2091">
        <f>WEEKDAY(A2091,14)</f>
        <v>1</v>
      </c>
      <c r="E2091">
        <f>VLOOKUP(D2091,L$2:M$8,2,FALSE)</f>
        <v>0</v>
      </c>
      <c r="F2091">
        <f t="shared" si="96"/>
        <v>1</v>
      </c>
      <c r="G2091">
        <f>IF(F2091&gt;F2090,G2090+B2091*E2091,B2091*E2091)</f>
        <v>0</v>
      </c>
      <c r="H2091">
        <f t="shared" si="97"/>
        <v>0</v>
      </c>
      <c r="I2091">
        <f t="shared" si="98"/>
        <v>3.1947749999999999</v>
      </c>
    </row>
    <row r="2092" spans="1:9">
      <c r="A2092" s="1">
        <v>41782</v>
      </c>
      <c r="B2092">
        <v>3.2062900000000001</v>
      </c>
      <c r="C2092">
        <v>4.0199999999999996</v>
      </c>
      <c r="D2092">
        <f>WEEKDAY(A2092,14)</f>
        <v>2</v>
      </c>
      <c r="E2092">
        <f>VLOOKUP(D2092,L$2:M$8,2,FALSE)</f>
        <v>0</v>
      </c>
      <c r="F2092">
        <f t="shared" si="96"/>
        <v>2</v>
      </c>
      <c r="G2092">
        <f>IF(F2092&gt;F2091,G2091+B2092*E2092,B2092*E2092)</f>
        <v>0</v>
      </c>
      <c r="H2092">
        <f t="shared" si="97"/>
        <v>0</v>
      </c>
      <c r="I2092">
        <f t="shared" si="98"/>
        <v>0</v>
      </c>
    </row>
    <row r="2093" spans="1:9">
      <c r="A2093" s="1">
        <v>41786</v>
      </c>
      <c r="B2093">
        <v>3.18634</v>
      </c>
      <c r="C2093">
        <v>4.0199999999999996</v>
      </c>
      <c r="D2093">
        <f>WEEKDAY(A2093,14)</f>
        <v>6</v>
      </c>
      <c r="E2093">
        <f>VLOOKUP(D2093,L$2:M$8,2,FALSE)</f>
        <v>0.7</v>
      </c>
      <c r="F2093">
        <f t="shared" si="96"/>
        <v>3</v>
      </c>
      <c r="G2093">
        <f>IF(F2093&gt;F2092,G2092+B2093*E2093,B2093*E2093)</f>
        <v>2.2304379999999999</v>
      </c>
      <c r="H2093">
        <f t="shared" si="97"/>
        <v>0.7</v>
      </c>
      <c r="I2093">
        <f t="shared" si="98"/>
        <v>0</v>
      </c>
    </row>
    <row r="2094" spans="1:9">
      <c r="A2094" s="1">
        <v>41787</v>
      </c>
      <c r="B2094">
        <v>3.0965799999999999</v>
      </c>
      <c r="C2094">
        <v>4.0199999999999996</v>
      </c>
      <c r="D2094">
        <f>WEEKDAY(A2094,14)</f>
        <v>7</v>
      </c>
      <c r="E2094">
        <f>VLOOKUP(D2094,L$2:M$8,2,FALSE)</f>
        <v>0.25</v>
      </c>
      <c r="F2094">
        <f t="shared" si="96"/>
        <v>4</v>
      </c>
      <c r="G2094">
        <f>IF(F2094&gt;F2093,G2093+B2094*E2094,B2094*E2094)</f>
        <v>3.0045829999999998</v>
      </c>
      <c r="H2094">
        <f t="shared" si="97"/>
        <v>0.95</v>
      </c>
      <c r="I2094">
        <f t="shared" si="98"/>
        <v>0</v>
      </c>
    </row>
    <row r="2095" spans="1:9">
      <c r="A2095" s="1">
        <v>41788</v>
      </c>
      <c r="B2095">
        <v>3.1236000000000002</v>
      </c>
      <c r="C2095">
        <v>4.0149999999999997</v>
      </c>
      <c r="D2095">
        <f>WEEKDAY(A2095,14)</f>
        <v>1</v>
      </c>
      <c r="E2095">
        <f>VLOOKUP(D2095,L$2:M$8,2,FALSE)</f>
        <v>0</v>
      </c>
      <c r="F2095">
        <f t="shared" si="96"/>
        <v>1</v>
      </c>
      <c r="G2095">
        <f>IF(F2095&gt;F2094,G2094+B2095*E2095,B2095*E2095)</f>
        <v>0</v>
      </c>
      <c r="H2095">
        <f t="shared" si="97"/>
        <v>0</v>
      </c>
      <c r="I2095">
        <f t="shared" si="98"/>
        <v>3.162718947368421</v>
      </c>
    </row>
    <row r="2096" spans="1:9">
      <c r="A2096" s="1">
        <v>41789</v>
      </c>
      <c r="B2096">
        <v>3.1327199999999999</v>
      </c>
      <c r="C2096">
        <v>4.0149999999999997</v>
      </c>
      <c r="D2096">
        <f>WEEKDAY(A2096,14)</f>
        <v>2</v>
      </c>
      <c r="E2096">
        <f>VLOOKUP(D2096,L$2:M$8,2,FALSE)</f>
        <v>0</v>
      </c>
      <c r="F2096">
        <f t="shared" si="96"/>
        <v>2</v>
      </c>
      <c r="G2096">
        <f>IF(F2096&gt;F2095,G2095+B2096*E2096,B2096*E2096)</f>
        <v>0</v>
      </c>
      <c r="H2096">
        <f t="shared" si="97"/>
        <v>0</v>
      </c>
      <c r="I2096">
        <f t="shared" si="98"/>
        <v>0</v>
      </c>
    </row>
    <row r="2097" spans="1:9">
      <c r="A2097" s="1">
        <v>41792</v>
      </c>
      <c r="B2097">
        <v>3.2077399999999998</v>
      </c>
      <c r="C2097">
        <v>4.0149999999999997</v>
      </c>
      <c r="D2097">
        <f>WEEKDAY(A2097,14)</f>
        <v>5</v>
      </c>
      <c r="E2097">
        <f>VLOOKUP(D2097,L$2:M$8,2,FALSE)</f>
        <v>0.05</v>
      </c>
      <c r="F2097">
        <f t="shared" si="96"/>
        <v>3</v>
      </c>
      <c r="G2097">
        <f>IF(F2097&gt;F2096,G2096+B2097*E2097,B2097*E2097)</f>
        <v>0.160387</v>
      </c>
      <c r="H2097">
        <f t="shared" si="97"/>
        <v>0.05</v>
      </c>
      <c r="I2097">
        <f t="shared" si="98"/>
        <v>0</v>
      </c>
    </row>
    <row r="2098" spans="1:9">
      <c r="A2098" s="1">
        <v>41793</v>
      </c>
      <c r="B2098">
        <v>3.2594599999999998</v>
      </c>
      <c r="C2098">
        <v>4.0149999999999997</v>
      </c>
      <c r="D2098">
        <f>WEEKDAY(A2098,14)</f>
        <v>6</v>
      </c>
      <c r="E2098">
        <f>VLOOKUP(D2098,L$2:M$8,2,FALSE)</f>
        <v>0.7</v>
      </c>
      <c r="F2098">
        <f t="shared" si="96"/>
        <v>4</v>
      </c>
      <c r="G2098">
        <f>IF(F2098&gt;F2097,G2097+B2098*E2098,B2098*E2098)</f>
        <v>2.4420089999999997</v>
      </c>
      <c r="H2098">
        <f t="shared" si="97"/>
        <v>0.75</v>
      </c>
      <c r="I2098">
        <f t="shared" si="98"/>
        <v>0</v>
      </c>
    </row>
    <row r="2099" spans="1:9">
      <c r="A2099" s="1">
        <v>41794</v>
      </c>
      <c r="B2099">
        <v>3.2635299999999998</v>
      </c>
      <c r="C2099">
        <v>4.0149999999999997</v>
      </c>
      <c r="D2099">
        <f>WEEKDAY(A2099,14)</f>
        <v>7</v>
      </c>
      <c r="E2099">
        <f>VLOOKUP(D2099,L$2:M$8,2,FALSE)</f>
        <v>0.25</v>
      </c>
      <c r="F2099">
        <f t="shared" si="96"/>
        <v>5</v>
      </c>
      <c r="G2099">
        <f>IF(F2099&gt;F2098,G2098+B2099*E2099,B2099*E2099)</f>
        <v>3.2578914999999995</v>
      </c>
      <c r="H2099">
        <f t="shared" si="97"/>
        <v>1</v>
      </c>
      <c r="I2099">
        <f t="shared" si="98"/>
        <v>0</v>
      </c>
    </row>
    <row r="2100" spans="1:9">
      <c r="A2100" s="1">
        <v>41795</v>
      </c>
      <c r="B2100">
        <v>3.2377600000000002</v>
      </c>
      <c r="C2100">
        <v>4.0999999999999996</v>
      </c>
      <c r="D2100">
        <f>WEEKDAY(A2100,14)</f>
        <v>1</v>
      </c>
      <c r="E2100">
        <f>VLOOKUP(D2100,L$2:M$8,2,FALSE)</f>
        <v>0</v>
      </c>
      <c r="F2100">
        <f t="shared" si="96"/>
        <v>1</v>
      </c>
      <c r="G2100">
        <f>IF(F2100&gt;F2099,G2099+B2100*E2100,B2100*E2100)</f>
        <v>0</v>
      </c>
      <c r="H2100">
        <f t="shared" si="97"/>
        <v>0</v>
      </c>
      <c r="I2100">
        <f t="shared" si="98"/>
        <v>3.2578914999999995</v>
      </c>
    </row>
    <row r="2101" spans="1:9">
      <c r="A2101" s="1">
        <v>41796</v>
      </c>
      <c r="B2101">
        <v>3.24953</v>
      </c>
      <c r="C2101">
        <v>4.0999999999999996</v>
      </c>
      <c r="D2101">
        <f>WEEKDAY(A2101,14)</f>
        <v>2</v>
      </c>
      <c r="E2101">
        <f>VLOOKUP(D2101,L$2:M$8,2,FALSE)</f>
        <v>0</v>
      </c>
      <c r="F2101">
        <f t="shared" si="96"/>
        <v>2</v>
      </c>
      <c r="G2101">
        <f>IF(F2101&gt;F2100,G2100+B2101*E2101,B2101*E2101)</f>
        <v>0</v>
      </c>
      <c r="H2101">
        <f t="shared" si="97"/>
        <v>0</v>
      </c>
      <c r="I2101">
        <f t="shared" si="98"/>
        <v>0</v>
      </c>
    </row>
    <row r="2102" spans="1:9">
      <c r="A2102" s="1">
        <v>41799</v>
      </c>
      <c r="B2102">
        <v>3.26478</v>
      </c>
      <c r="C2102">
        <v>4.0999999999999996</v>
      </c>
      <c r="D2102">
        <f>WEEKDAY(A2102,14)</f>
        <v>5</v>
      </c>
      <c r="E2102">
        <f>VLOOKUP(D2102,L$2:M$8,2,FALSE)</f>
        <v>0.05</v>
      </c>
      <c r="F2102">
        <f t="shared" si="96"/>
        <v>3</v>
      </c>
      <c r="G2102">
        <f>IF(F2102&gt;F2101,G2101+B2102*E2102,B2102*E2102)</f>
        <v>0.16323900000000002</v>
      </c>
      <c r="H2102">
        <f t="shared" si="97"/>
        <v>0.05</v>
      </c>
      <c r="I2102">
        <f t="shared" si="98"/>
        <v>0</v>
      </c>
    </row>
    <row r="2103" spans="1:9">
      <c r="A2103" s="1">
        <v>41800</v>
      </c>
      <c r="B2103">
        <v>3.2863699999999998</v>
      </c>
      <c r="C2103">
        <v>4.0999999999999996</v>
      </c>
      <c r="D2103">
        <f>WEEKDAY(A2103,14)</f>
        <v>6</v>
      </c>
      <c r="E2103">
        <f>VLOOKUP(D2103,L$2:M$8,2,FALSE)</f>
        <v>0.7</v>
      </c>
      <c r="F2103">
        <f t="shared" si="96"/>
        <v>4</v>
      </c>
      <c r="G2103">
        <f>IF(F2103&gt;F2102,G2102+B2103*E2103,B2103*E2103)</f>
        <v>2.4636979999999995</v>
      </c>
      <c r="H2103">
        <f t="shared" si="97"/>
        <v>0.75</v>
      </c>
      <c r="I2103">
        <f t="shared" si="98"/>
        <v>0</v>
      </c>
    </row>
    <row r="2104" spans="1:9">
      <c r="A2104" s="1">
        <v>41801</v>
      </c>
      <c r="B2104">
        <v>3.2835999999999999</v>
      </c>
      <c r="C2104">
        <v>4.0999999999999996</v>
      </c>
      <c r="D2104">
        <f>WEEKDAY(A2104,14)</f>
        <v>7</v>
      </c>
      <c r="E2104">
        <f>VLOOKUP(D2104,L$2:M$8,2,FALSE)</f>
        <v>0.25</v>
      </c>
      <c r="F2104">
        <f t="shared" si="96"/>
        <v>5</v>
      </c>
      <c r="G2104">
        <f>IF(F2104&gt;F2103,G2103+B2104*E2104,B2104*E2104)</f>
        <v>3.2845979999999995</v>
      </c>
      <c r="H2104">
        <f t="shared" si="97"/>
        <v>1</v>
      </c>
      <c r="I2104">
        <f t="shared" si="98"/>
        <v>0</v>
      </c>
    </row>
    <row r="2105" spans="1:9">
      <c r="A2105" s="1">
        <v>41802</v>
      </c>
      <c r="B2105">
        <v>3.2368299999999999</v>
      </c>
      <c r="C2105">
        <v>4.07</v>
      </c>
      <c r="D2105">
        <f>WEEKDAY(A2105,14)</f>
        <v>1</v>
      </c>
      <c r="E2105">
        <f>VLOOKUP(D2105,L$2:M$8,2,FALSE)</f>
        <v>0</v>
      </c>
      <c r="F2105">
        <f t="shared" si="96"/>
        <v>1</v>
      </c>
      <c r="G2105">
        <f>IF(F2105&gt;F2104,G2104+B2105*E2105,B2105*E2105)</f>
        <v>0</v>
      </c>
      <c r="H2105">
        <f t="shared" si="97"/>
        <v>0</v>
      </c>
      <c r="I2105">
        <f t="shared" si="98"/>
        <v>3.2845979999999995</v>
      </c>
    </row>
    <row r="2106" spans="1:9">
      <c r="A2106" s="1">
        <v>41803</v>
      </c>
      <c r="B2106">
        <v>3.2532100000000002</v>
      </c>
      <c r="C2106">
        <v>4.07</v>
      </c>
      <c r="D2106">
        <f>WEEKDAY(A2106,14)</f>
        <v>2</v>
      </c>
      <c r="E2106">
        <f>VLOOKUP(D2106,L$2:M$8,2,FALSE)</f>
        <v>0</v>
      </c>
      <c r="F2106">
        <f t="shared" si="96"/>
        <v>2</v>
      </c>
      <c r="G2106">
        <f>IF(F2106&gt;F2105,G2105+B2106*E2106,B2106*E2106)</f>
        <v>0</v>
      </c>
      <c r="H2106">
        <f t="shared" si="97"/>
        <v>0</v>
      </c>
      <c r="I2106">
        <f t="shared" si="98"/>
        <v>0</v>
      </c>
    </row>
    <row r="2107" spans="1:9">
      <c r="A2107" s="1">
        <v>41806</v>
      </c>
      <c r="B2107">
        <v>3.2402000000000002</v>
      </c>
      <c r="C2107">
        <v>4.07</v>
      </c>
      <c r="D2107">
        <f>WEEKDAY(A2107,14)</f>
        <v>5</v>
      </c>
      <c r="E2107">
        <f>VLOOKUP(D2107,L$2:M$8,2,FALSE)</f>
        <v>0.05</v>
      </c>
      <c r="F2107">
        <f t="shared" si="96"/>
        <v>3</v>
      </c>
      <c r="G2107">
        <f>IF(F2107&gt;F2106,G2106+B2107*E2107,B2107*E2107)</f>
        <v>0.16201000000000002</v>
      </c>
      <c r="H2107">
        <f t="shared" si="97"/>
        <v>0.05</v>
      </c>
      <c r="I2107">
        <f t="shared" si="98"/>
        <v>0</v>
      </c>
    </row>
    <row r="2108" spans="1:9">
      <c r="A2108" s="1">
        <v>41807</v>
      </c>
      <c r="B2108">
        <v>3.2955199999999998</v>
      </c>
      <c r="C2108">
        <v>4.07</v>
      </c>
      <c r="D2108">
        <f>WEEKDAY(A2108,14)</f>
        <v>6</v>
      </c>
      <c r="E2108">
        <f>VLOOKUP(D2108,L$2:M$8,2,FALSE)</f>
        <v>0.7</v>
      </c>
      <c r="F2108">
        <f t="shared" si="96"/>
        <v>4</v>
      </c>
      <c r="G2108">
        <f>IF(F2108&gt;F2107,G2107+B2108*E2108,B2108*E2108)</f>
        <v>2.4688739999999996</v>
      </c>
      <c r="H2108">
        <f t="shared" si="97"/>
        <v>0.75</v>
      </c>
      <c r="I2108">
        <f t="shared" si="98"/>
        <v>0</v>
      </c>
    </row>
    <row r="2109" spans="1:9">
      <c r="A2109" s="1">
        <v>41808</v>
      </c>
      <c r="B2109">
        <v>3.2554500000000002</v>
      </c>
      <c r="C2109">
        <v>4.07</v>
      </c>
      <c r="D2109">
        <f>WEEKDAY(A2109,14)</f>
        <v>7</v>
      </c>
      <c r="E2109">
        <f>VLOOKUP(D2109,L$2:M$8,2,FALSE)</f>
        <v>0.25</v>
      </c>
      <c r="F2109">
        <f t="shared" si="96"/>
        <v>5</v>
      </c>
      <c r="G2109">
        <f>IF(F2109&gt;F2108,G2108+B2109*E2109,B2109*E2109)</f>
        <v>3.2827364999999995</v>
      </c>
      <c r="H2109">
        <f t="shared" si="97"/>
        <v>1</v>
      </c>
      <c r="I2109">
        <f t="shared" si="98"/>
        <v>0</v>
      </c>
    </row>
    <row r="2110" spans="1:9">
      <c r="A2110" s="1">
        <v>41809</v>
      </c>
      <c r="B2110">
        <v>3.2406999999999999</v>
      </c>
      <c r="C2110">
        <v>4.0149999999999997</v>
      </c>
      <c r="D2110">
        <f>WEEKDAY(A2110,14)</f>
        <v>1</v>
      </c>
      <c r="E2110">
        <f>VLOOKUP(D2110,L$2:M$8,2,FALSE)</f>
        <v>0</v>
      </c>
      <c r="F2110">
        <f t="shared" si="96"/>
        <v>1</v>
      </c>
      <c r="G2110">
        <f>IF(F2110&gt;F2109,G2109+B2110*E2110,B2110*E2110)</f>
        <v>0</v>
      </c>
      <c r="H2110">
        <f t="shared" si="97"/>
        <v>0</v>
      </c>
      <c r="I2110">
        <f t="shared" si="98"/>
        <v>3.2827364999999995</v>
      </c>
    </row>
    <row r="2111" spans="1:9">
      <c r="A2111" s="1">
        <v>41810</v>
      </c>
      <c r="B2111">
        <v>3.2387100000000002</v>
      </c>
      <c r="C2111">
        <v>4.0149999999999997</v>
      </c>
      <c r="D2111">
        <f>WEEKDAY(A2111,14)</f>
        <v>2</v>
      </c>
      <c r="E2111">
        <f>VLOOKUP(D2111,L$2:M$8,2,FALSE)</f>
        <v>0</v>
      </c>
      <c r="F2111">
        <f t="shared" si="96"/>
        <v>2</v>
      </c>
      <c r="G2111">
        <f>IF(F2111&gt;F2110,G2110+B2111*E2111,B2111*E2111)</f>
        <v>0</v>
      </c>
      <c r="H2111">
        <f t="shared" si="97"/>
        <v>0</v>
      </c>
      <c r="I2111">
        <f t="shared" si="98"/>
        <v>0</v>
      </c>
    </row>
    <row r="2112" spans="1:9">
      <c r="A2112" s="1">
        <v>41813</v>
      </c>
      <c r="B2112">
        <v>3.2420100000000001</v>
      </c>
      <c r="C2112">
        <v>4.0149999999999997</v>
      </c>
      <c r="D2112">
        <f>WEEKDAY(A2112,14)</f>
        <v>5</v>
      </c>
      <c r="E2112">
        <f>VLOOKUP(D2112,L$2:M$8,2,FALSE)</f>
        <v>0.05</v>
      </c>
      <c r="F2112">
        <f t="shared" si="96"/>
        <v>3</v>
      </c>
      <c r="G2112">
        <f>IF(F2112&gt;F2111,G2111+B2112*E2112,B2112*E2112)</f>
        <v>0.16210050000000001</v>
      </c>
      <c r="H2112">
        <f t="shared" si="97"/>
        <v>0.05</v>
      </c>
      <c r="I2112">
        <f t="shared" si="98"/>
        <v>0</v>
      </c>
    </row>
    <row r="2113" spans="1:9">
      <c r="A2113" s="1">
        <v>41814</v>
      </c>
      <c r="B2113">
        <v>3.2180499999999999</v>
      </c>
      <c r="C2113">
        <v>4.0149999999999997</v>
      </c>
      <c r="D2113">
        <f>WEEKDAY(A2113,14)</f>
        <v>6</v>
      </c>
      <c r="E2113">
        <f>VLOOKUP(D2113,L$2:M$8,2,FALSE)</f>
        <v>0.7</v>
      </c>
      <c r="F2113">
        <f t="shared" si="96"/>
        <v>4</v>
      </c>
      <c r="G2113">
        <f>IF(F2113&gt;F2112,G2112+B2113*E2113,B2113*E2113)</f>
        <v>2.4147354999999999</v>
      </c>
      <c r="H2113">
        <f t="shared" si="97"/>
        <v>0.75</v>
      </c>
      <c r="I2113">
        <f t="shared" si="98"/>
        <v>0</v>
      </c>
    </row>
    <row r="2114" spans="1:9">
      <c r="A2114" s="1">
        <v>41815</v>
      </c>
      <c r="B2114">
        <v>3.1949000000000001</v>
      </c>
      <c r="C2114">
        <v>4.0149999999999997</v>
      </c>
      <c r="D2114">
        <f>WEEKDAY(A2114,14)</f>
        <v>7</v>
      </c>
      <c r="E2114">
        <f>VLOOKUP(D2114,L$2:M$8,2,FALSE)</f>
        <v>0.25</v>
      </c>
      <c r="F2114">
        <f t="shared" si="96"/>
        <v>5</v>
      </c>
      <c r="G2114">
        <f>IF(F2114&gt;F2113,G2113+B2114*E2114,B2114*E2114)</f>
        <v>3.2134605000000001</v>
      </c>
      <c r="H2114">
        <f t="shared" si="97"/>
        <v>1</v>
      </c>
      <c r="I2114">
        <f t="shared" si="98"/>
        <v>0</v>
      </c>
    </row>
    <row r="2115" spans="1:9">
      <c r="A2115" s="1">
        <v>41816</v>
      </c>
      <c r="B2115">
        <v>3.1705000000000001</v>
      </c>
      <c r="C2115">
        <v>3.9950000000000001</v>
      </c>
      <c r="D2115">
        <f>WEEKDAY(A2115,14)</f>
        <v>1</v>
      </c>
      <c r="E2115">
        <f>VLOOKUP(D2115,L$2:M$8,2,FALSE)</f>
        <v>0</v>
      </c>
      <c r="F2115">
        <f t="shared" ref="F2115:F2178" si="99">IF(AND(D2115&gt;D2114,F2114&lt;6),F2114+1,1)</f>
        <v>1</v>
      </c>
      <c r="G2115">
        <f>IF(F2115&gt;F2114,G2114+B2115*E2115,B2115*E2115)</f>
        <v>0</v>
      </c>
      <c r="H2115">
        <f t="shared" si="97"/>
        <v>0</v>
      </c>
      <c r="I2115">
        <f t="shared" si="98"/>
        <v>3.2134605000000001</v>
      </c>
    </row>
    <row r="2116" spans="1:9">
      <c r="A2116" s="1">
        <v>41817</v>
      </c>
      <c r="B2116">
        <v>3.17238</v>
      </c>
      <c r="C2116">
        <v>3.9950000000000001</v>
      </c>
      <c r="D2116">
        <f>WEEKDAY(A2116,14)</f>
        <v>2</v>
      </c>
      <c r="E2116">
        <f>VLOOKUP(D2116,L$2:M$8,2,FALSE)</f>
        <v>0</v>
      </c>
      <c r="F2116">
        <f t="shared" si="99"/>
        <v>2</v>
      </c>
      <c r="G2116">
        <f>IF(F2116&gt;F2115,G2115+B2116*E2116,B2116*E2116)</f>
        <v>0</v>
      </c>
      <c r="H2116">
        <f t="shared" ref="H2116:H2179" si="100">IF(AND(F2116&lt;6,F2116&gt;F2115),E2116+H2115,E2116)</f>
        <v>0</v>
      </c>
      <c r="I2116">
        <f t="shared" ref="I2116:I2179" si="101">IF(F2115&gt;F2116,G2115/H2115,0)</f>
        <v>0</v>
      </c>
    </row>
    <row r="2117" spans="1:9">
      <c r="A2117" s="1">
        <v>41820</v>
      </c>
      <c r="B2117">
        <v>3.1600600000000001</v>
      </c>
      <c r="C2117">
        <v>3.9950000000000001</v>
      </c>
      <c r="D2117">
        <f>WEEKDAY(A2117,14)</f>
        <v>5</v>
      </c>
      <c r="E2117">
        <f>VLOOKUP(D2117,L$2:M$8,2,FALSE)</f>
        <v>0.05</v>
      </c>
      <c r="F2117">
        <f t="shared" si="99"/>
        <v>3</v>
      </c>
      <c r="G2117">
        <f>IF(F2117&gt;F2116,G2116+B2117*E2117,B2117*E2117)</f>
        <v>0.158003</v>
      </c>
      <c r="H2117">
        <f t="shared" si="100"/>
        <v>0.05</v>
      </c>
      <c r="I2117">
        <f t="shared" si="101"/>
        <v>0</v>
      </c>
    </row>
    <row r="2118" spans="1:9">
      <c r="A2118" s="1">
        <v>41821</v>
      </c>
      <c r="B2118">
        <v>3.2107800000000002</v>
      </c>
      <c r="C2118">
        <v>3.9950000000000001</v>
      </c>
      <c r="D2118">
        <f>WEEKDAY(A2118,14)</f>
        <v>6</v>
      </c>
      <c r="E2118">
        <f>VLOOKUP(D2118,L$2:M$8,2,FALSE)</f>
        <v>0.7</v>
      </c>
      <c r="F2118">
        <f t="shared" si="99"/>
        <v>4</v>
      </c>
      <c r="G2118">
        <f>IF(F2118&gt;F2117,G2117+B2118*E2118,B2118*E2118)</f>
        <v>2.4055489999999997</v>
      </c>
      <c r="H2118">
        <f t="shared" si="100"/>
        <v>0.75</v>
      </c>
      <c r="I2118">
        <f t="shared" si="101"/>
        <v>0</v>
      </c>
    </row>
    <row r="2119" spans="1:9">
      <c r="A2119" s="1">
        <v>41822</v>
      </c>
      <c r="B2119">
        <v>3.2580499999999999</v>
      </c>
      <c r="C2119">
        <v>3.9950000000000001</v>
      </c>
      <c r="D2119">
        <f>WEEKDAY(A2119,14)</f>
        <v>7</v>
      </c>
      <c r="E2119">
        <f>VLOOKUP(D2119,L$2:M$8,2,FALSE)</f>
        <v>0.25</v>
      </c>
      <c r="F2119">
        <f t="shared" si="99"/>
        <v>5</v>
      </c>
      <c r="G2119">
        <f>IF(F2119&gt;F2118,G2118+B2119*E2119,B2119*E2119)</f>
        <v>3.2200614999999999</v>
      </c>
      <c r="H2119">
        <f t="shared" si="100"/>
        <v>1</v>
      </c>
      <c r="I2119">
        <f t="shared" si="101"/>
        <v>0</v>
      </c>
    </row>
    <row r="2120" spans="1:9">
      <c r="A2120" s="1">
        <v>41823</v>
      </c>
      <c r="B2120">
        <v>3.2816999999999998</v>
      </c>
      <c r="C2120">
        <v>4.0750000000000002</v>
      </c>
      <c r="D2120">
        <f>WEEKDAY(A2120,14)</f>
        <v>1</v>
      </c>
      <c r="E2120">
        <f>VLOOKUP(D2120,L$2:M$8,2,FALSE)</f>
        <v>0</v>
      </c>
      <c r="F2120">
        <f t="shared" si="99"/>
        <v>1</v>
      </c>
      <c r="G2120">
        <f>IF(F2120&gt;F2119,G2119+B2120*E2120,B2120*E2120)</f>
        <v>0</v>
      </c>
      <c r="H2120">
        <f t="shared" si="100"/>
        <v>0</v>
      </c>
      <c r="I2120">
        <f t="shared" si="101"/>
        <v>3.2200614999999999</v>
      </c>
    </row>
    <row r="2121" spans="1:9">
      <c r="A2121" s="1">
        <v>41827</v>
      </c>
      <c r="B2121">
        <v>3.2664800000000001</v>
      </c>
      <c r="C2121">
        <v>4.0750000000000002</v>
      </c>
      <c r="D2121">
        <f>WEEKDAY(A2121,14)</f>
        <v>5</v>
      </c>
      <c r="E2121">
        <f>VLOOKUP(D2121,L$2:M$8,2,FALSE)</f>
        <v>0.05</v>
      </c>
      <c r="F2121">
        <f t="shared" si="99"/>
        <v>2</v>
      </c>
      <c r="G2121">
        <f>IF(F2121&gt;F2120,G2120+B2121*E2121,B2121*E2121)</f>
        <v>0.16332400000000002</v>
      </c>
      <c r="H2121">
        <f t="shared" si="100"/>
        <v>0.05</v>
      </c>
      <c r="I2121">
        <f t="shared" si="101"/>
        <v>0</v>
      </c>
    </row>
    <row r="2122" spans="1:9">
      <c r="A2122" s="1">
        <v>41828</v>
      </c>
      <c r="B2122">
        <v>3.2329400000000001</v>
      </c>
      <c r="C2122">
        <v>4.0750000000000002</v>
      </c>
      <c r="D2122">
        <f>WEEKDAY(A2122,14)</f>
        <v>6</v>
      </c>
      <c r="E2122">
        <f>VLOOKUP(D2122,L$2:M$8,2,FALSE)</f>
        <v>0.7</v>
      </c>
      <c r="F2122">
        <f t="shared" si="99"/>
        <v>3</v>
      </c>
      <c r="G2122">
        <f>IF(F2122&gt;F2121,G2121+B2122*E2122,B2122*E2122)</f>
        <v>2.4263820000000003</v>
      </c>
      <c r="H2122">
        <f t="shared" si="100"/>
        <v>0.75</v>
      </c>
      <c r="I2122">
        <f t="shared" si="101"/>
        <v>0</v>
      </c>
    </row>
    <row r="2123" spans="1:9">
      <c r="A2123" s="1">
        <v>41829</v>
      </c>
      <c r="B2123">
        <v>3.2185100000000002</v>
      </c>
      <c r="C2123">
        <v>4.0750000000000002</v>
      </c>
      <c r="D2123">
        <f>WEEKDAY(A2123,14)</f>
        <v>7</v>
      </c>
      <c r="E2123">
        <f>VLOOKUP(D2123,L$2:M$8,2,FALSE)</f>
        <v>0.25</v>
      </c>
      <c r="F2123">
        <f t="shared" si="99"/>
        <v>4</v>
      </c>
      <c r="G2123">
        <f>IF(F2123&gt;F2122,G2122+B2123*E2123,B2123*E2123)</f>
        <v>3.2310095000000003</v>
      </c>
      <c r="H2123">
        <f t="shared" si="100"/>
        <v>1</v>
      </c>
      <c r="I2123">
        <f t="shared" si="101"/>
        <v>0</v>
      </c>
    </row>
    <row r="2124" spans="1:9">
      <c r="A2124" s="1">
        <v>41830</v>
      </c>
      <c r="B2124">
        <v>3.20099</v>
      </c>
      <c r="C2124">
        <v>4.03</v>
      </c>
      <c r="D2124">
        <f>WEEKDAY(A2124,14)</f>
        <v>1</v>
      </c>
      <c r="E2124">
        <f>VLOOKUP(D2124,L$2:M$8,2,FALSE)</f>
        <v>0</v>
      </c>
      <c r="F2124">
        <f t="shared" si="99"/>
        <v>1</v>
      </c>
      <c r="G2124">
        <f>IF(F2124&gt;F2123,G2123+B2124*E2124,B2124*E2124)</f>
        <v>0</v>
      </c>
      <c r="H2124">
        <f t="shared" si="100"/>
        <v>0</v>
      </c>
      <c r="I2124">
        <f t="shared" si="101"/>
        <v>3.2310095000000003</v>
      </c>
    </row>
    <row r="2125" spans="1:9">
      <c r="A2125" s="1">
        <v>41831</v>
      </c>
      <c r="B2125">
        <v>3.1873999999999998</v>
      </c>
      <c r="C2125">
        <v>4.03</v>
      </c>
      <c r="D2125">
        <f>WEEKDAY(A2125,14)</f>
        <v>2</v>
      </c>
      <c r="E2125">
        <f>VLOOKUP(D2125,L$2:M$8,2,FALSE)</f>
        <v>0</v>
      </c>
      <c r="F2125">
        <f t="shared" si="99"/>
        <v>2</v>
      </c>
      <c r="G2125">
        <f>IF(F2125&gt;F2124,G2124+B2125*E2125,B2125*E2125)</f>
        <v>0</v>
      </c>
      <c r="H2125">
        <f t="shared" si="100"/>
        <v>0</v>
      </c>
      <c r="I2125">
        <f t="shared" si="101"/>
        <v>0</v>
      </c>
    </row>
    <row r="2126" spans="1:9">
      <c r="A2126" s="1">
        <v>41834</v>
      </c>
      <c r="B2126">
        <v>3.2238099999999998</v>
      </c>
      <c r="C2126">
        <v>4.03</v>
      </c>
      <c r="D2126">
        <f>WEEKDAY(A2126,14)</f>
        <v>5</v>
      </c>
      <c r="E2126">
        <f>VLOOKUP(D2126,L$2:M$8,2,FALSE)</f>
        <v>0.05</v>
      </c>
      <c r="F2126">
        <f t="shared" si="99"/>
        <v>3</v>
      </c>
      <c r="G2126">
        <f>IF(F2126&gt;F2125,G2125+B2126*E2126,B2126*E2126)</f>
        <v>0.16119050000000001</v>
      </c>
      <c r="H2126">
        <f t="shared" si="100"/>
        <v>0.05</v>
      </c>
      <c r="I2126">
        <f t="shared" si="101"/>
        <v>0</v>
      </c>
    </row>
    <row r="2127" spans="1:9">
      <c r="A2127" s="1">
        <v>41835</v>
      </c>
      <c r="B2127">
        <v>3.2327599999999999</v>
      </c>
      <c r="C2127">
        <v>4.03</v>
      </c>
      <c r="D2127">
        <f>WEEKDAY(A2127,14)</f>
        <v>6</v>
      </c>
      <c r="E2127">
        <f>VLOOKUP(D2127,L$2:M$8,2,FALSE)</f>
        <v>0.7</v>
      </c>
      <c r="F2127">
        <f t="shared" si="99"/>
        <v>4</v>
      </c>
      <c r="G2127">
        <f>IF(F2127&gt;F2126,G2126+B2127*E2127,B2127*E2127)</f>
        <v>2.4241224999999997</v>
      </c>
      <c r="H2127">
        <f t="shared" si="100"/>
        <v>0.75</v>
      </c>
      <c r="I2127">
        <f t="shared" si="101"/>
        <v>0</v>
      </c>
    </row>
    <row r="2128" spans="1:9">
      <c r="A2128" s="1">
        <v>41836</v>
      </c>
      <c r="B2128">
        <v>3.2358799999999999</v>
      </c>
      <c r="C2128">
        <v>4.03</v>
      </c>
      <c r="D2128">
        <f>WEEKDAY(A2128,14)</f>
        <v>7</v>
      </c>
      <c r="E2128">
        <f>VLOOKUP(D2128,L$2:M$8,2,FALSE)</f>
        <v>0.25</v>
      </c>
      <c r="F2128">
        <f t="shared" si="99"/>
        <v>5</v>
      </c>
      <c r="G2128">
        <f>IF(F2128&gt;F2127,G2127+B2128*E2128,B2128*E2128)</f>
        <v>3.2330924999999997</v>
      </c>
      <c r="H2128">
        <f t="shared" si="100"/>
        <v>1</v>
      </c>
      <c r="I2128">
        <f t="shared" si="101"/>
        <v>0</v>
      </c>
    </row>
    <row r="2129" spans="1:9">
      <c r="A2129" s="1">
        <v>41837</v>
      </c>
      <c r="B2129">
        <v>3.1840000000000002</v>
      </c>
      <c r="C2129">
        <v>4.03</v>
      </c>
      <c r="D2129">
        <f>WEEKDAY(A2129,14)</f>
        <v>1</v>
      </c>
      <c r="E2129">
        <f>VLOOKUP(D2129,L$2:M$8,2,FALSE)</f>
        <v>0</v>
      </c>
      <c r="F2129">
        <f t="shared" si="99"/>
        <v>1</v>
      </c>
      <c r="G2129">
        <f>IF(F2129&gt;F2128,G2128+B2129*E2129,B2129*E2129)</f>
        <v>0</v>
      </c>
      <c r="H2129">
        <f t="shared" si="100"/>
        <v>0</v>
      </c>
      <c r="I2129">
        <f t="shared" si="101"/>
        <v>3.2330924999999997</v>
      </c>
    </row>
    <row r="2130" spans="1:9">
      <c r="A2130" s="1">
        <v>41838</v>
      </c>
      <c r="B2130">
        <v>3.1834600000000002</v>
      </c>
      <c r="C2130">
        <v>4.03</v>
      </c>
      <c r="D2130">
        <f>WEEKDAY(A2130,14)</f>
        <v>2</v>
      </c>
      <c r="E2130">
        <f>VLOOKUP(D2130,L$2:M$8,2,FALSE)</f>
        <v>0</v>
      </c>
      <c r="F2130">
        <f t="shared" si="99"/>
        <v>2</v>
      </c>
      <c r="G2130">
        <f>IF(F2130&gt;F2129,G2129+B2130*E2130,B2130*E2130)</f>
        <v>0</v>
      </c>
      <c r="H2130">
        <f t="shared" si="100"/>
        <v>0</v>
      </c>
      <c r="I2130">
        <f t="shared" si="101"/>
        <v>0</v>
      </c>
    </row>
    <row r="2131" spans="1:9">
      <c r="A2131" s="1">
        <v>41841</v>
      </c>
      <c r="B2131">
        <v>3.1797300000000002</v>
      </c>
      <c r="C2131">
        <v>4.03</v>
      </c>
      <c r="D2131">
        <f>WEEKDAY(A2131,14)</f>
        <v>5</v>
      </c>
      <c r="E2131">
        <f>VLOOKUP(D2131,L$2:M$8,2,FALSE)</f>
        <v>0.05</v>
      </c>
      <c r="F2131">
        <f t="shared" si="99"/>
        <v>3</v>
      </c>
      <c r="G2131">
        <f>IF(F2131&gt;F2130,G2130+B2131*E2131,B2131*E2131)</f>
        <v>0.15898650000000003</v>
      </c>
      <c r="H2131">
        <f t="shared" si="100"/>
        <v>0.05</v>
      </c>
      <c r="I2131">
        <f t="shared" si="101"/>
        <v>0</v>
      </c>
    </row>
    <row r="2132" spans="1:9">
      <c r="A2132" s="1">
        <v>41842</v>
      </c>
      <c r="B2132">
        <v>3.1713399999999998</v>
      </c>
      <c r="C2132">
        <v>4.03</v>
      </c>
      <c r="D2132">
        <f>WEEKDAY(A2132,14)</f>
        <v>6</v>
      </c>
      <c r="E2132">
        <f>VLOOKUP(D2132,L$2:M$8,2,FALSE)</f>
        <v>0.7</v>
      </c>
      <c r="F2132">
        <f t="shared" si="99"/>
        <v>4</v>
      </c>
      <c r="G2132">
        <f>IF(F2132&gt;F2131,G2131+B2132*E2132,B2132*E2132)</f>
        <v>2.3789244999999997</v>
      </c>
      <c r="H2132">
        <f t="shared" si="100"/>
        <v>0.75</v>
      </c>
      <c r="I2132">
        <f t="shared" si="101"/>
        <v>0</v>
      </c>
    </row>
    <row r="2133" spans="1:9">
      <c r="A2133" s="1">
        <v>41843</v>
      </c>
      <c r="B2133">
        <v>3.1844299999999999</v>
      </c>
      <c r="C2133">
        <v>4.03</v>
      </c>
      <c r="D2133">
        <f>WEEKDAY(A2133,14)</f>
        <v>7</v>
      </c>
      <c r="E2133">
        <f>VLOOKUP(D2133,L$2:M$8,2,FALSE)</f>
        <v>0.25</v>
      </c>
      <c r="F2133">
        <f t="shared" si="99"/>
        <v>5</v>
      </c>
      <c r="G2133">
        <f>IF(F2133&gt;F2132,G2132+B2133*E2133,B2133*E2133)</f>
        <v>3.1750319999999999</v>
      </c>
      <c r="H2133">
        <f t="shared" si="100"/>
        <v>1</v>
      </c>
      <c r="I2133">
        <f t="shared" si="101"/>
        <v>0</v>
      </c>
    </row>
    <row r="2134" spans="1:9">
      <c r="A2134" s="1">
        <v>41844</v>
      </c>
      <c r="B2134">
        <v>3.2359300000000002</v>
      </c>
      <c r="C2134">
        <v>4.0199999999999996</v>
      </c>
      <c r="D2134">
        <f>WEEKDAY(A2134,14)</f>
        <v>1</v>
      </c>
      <c r="E2134">
        <f>VLOOKUP(D2134,L$2:M$8,2,FALSE)</f>
        <v>0</v>
      </c>
      <c r="F2134">
        <f t="shared" si="99"/>
        <v>1</v>
      </c>
      <c r="G2134">
        <f>IF(F2134&gt;F2133,G2133+B2134*E2134,B2134*E2134)</f>
        <v>0</v>
      </c>
      <c r="H2134">
        <f t="shared" si="100"/>
        <v>0</v>
      </c>
      <c r="I2134">
        <f t="shared" si="101"/>
        <v>3.1750319999999999</v>
      </c>
    </row>
    <row r="2135" spans="1:9">
      <c r="A2135" s="1">
        <v>41845</v>
      </c>
      <c r="B2135">
        <v>3.1915300000000002</v>
      </c>
      <c r="C2135">
        <v>4.0199999999999996</v>
      </c>
      <c r="D2135">
        <f>WEEKDAY(A2135,14)</f>
        <v>2</v>
      </c>
      <c r="E2135">
        <f>VLOOKUP(D2135,L$2:M$8,2,FALSE)</f>
        <v>0</v>
      </c>
      <c r="F2135">
        <f t="shared" si="99"/>
        <v>2</v>
      </c>
      <c r="G2135">
        <f>IF(F2135&gt;F2134,G2134+B2135*E2135,B2135*E2135)</f>
        <v>0</v>
      </c>
      <c r="H2135">
        <f t="shared" si="100"/>
        <v>0</v>
      </c>
      <c r="I2135">
        <f t="shared" si="101"/>
        <v>0</v>
      </c>
    </row>
    <row r="2136" spans="1:9">
      <c r="A2136" s="1">
        <v>41848</v>
      </c>
      <c r="B2136">
        <v>3.2049599999999998</v>
      </c>
      <c r="C2136">
        <v>4.0199999999999996</v>
      </c>
      <c r="D2136">
        <f>WEEKDAY(A2136,14)</f>
        <v>5</v>
      </c>
      <c r="E2136">
        <f>VLOOKUP(D2136,L$2:M$8,2,FALSE)</f>
        <v>0.05</v>
      </c>
      <c r="F2136">
        <f t="shared" si="99"/>
        <v>3</v>
      </c>
      <c r="G2136">
        <f>IF(F2136&gt;F2135,G2135+B2136*E2136,B2136*E2136)</f>
        <v>0.160248</v>
      </c>
      <c r="H2136">
        <f t="shared" si="100"/>
        <v>0.05</v>
      </c>
      <c r="I2136">
        <f t="shared" si="101"/>
        <v>0</v>
      </c>
    </row>
    <row r="2137" spans="1:9">
      <c r="A2137" s="1">
        <v>41849</v>
      </c>
      <c r="B2137">
        <v>3.1823800000000002</v>
      </c>
      <c r="C2137">
        <v>4.0199999999999996</v>
      </c>
      <c r="D2137">
        <f>WEEKDAY(A2137,14)</f>
        <v>6</v>
      </c>
      <c r="E2137">
        <f>VLOOKUP(D2137,L$2:M$8,2,FALSE)</f>
        <v>0.7</v>
      </c>
      <c r="F2137">
        <f t="shared" si="99"/>
        <v>4</v>
      </c>
      <c r="G2137">
        <f>IF(F2137&gt;F2136,G2136+B2137*E2137,B2137*E2137)</f>
        <v>2.3879140000000003</v>
      </c>
      <c r="H2137">
        <f t="shared" si="100"/>
        <v>0.75</v>
      </c>
      <c r="I2137">
        <f t="shared" si="101"/>
        <v>0</v>
      </c>
    </row>
    <row r="2138" spans="1:9">
      <c r="A2138" s="1">
        <v>41850</v>
      </c>
      <c r="B2138">
        <v>3.26579</v>
      </c>
      <c r="C2138">
        <v>4.0199999999999996</v>
      </c>
      <c r="D2138">
        <f>WEEKDAY(A2138,14)</f>
        <v>7</v>
      </c>
      <c r="E2138">
        <f>VLOOKUP(D2138,L$2:M$8,2,FALSE)</f>
        <v>0.25</v>
      </c>
      <c r="F2138">
        <f t="shared" si="99"/>
        <v>5</v>
      </c>
      <c r="G2138">
        <f>IF(F2138&gt;F2137,G2137+B2138*E2138,B2138*E2138)</f>
        <v>3.2043615000000001</v>
      </c>
      <c r="H2138">
        <f t="shared" si="100"/>
        <v>1</v>
      </c>
      <c r="I2138">
        <f t="shared" si="101"/>
        <v>0</v>
      </c>
    </row>
    <row r="2139" spans="1:9">
      <c r="A2139" s="1">
        <v>41851</v>
      </c>
      <c r="B2139">
        <v>3.2761100000000001</v>
      </c>
      <c r="C2139">
        <v>4.0650000000000004</v>
      </c>
      <c r="D2139">
        <f>WEEKDAY(A2139,14)</f>
        <v>1</v>
      </c>
      <c r="E2139">
        <f>VLOOKUP(D2139,L$2:M$8,2,FALSE)</f>
        <v>0</v>
      </c>
      <c r="F2139">
        <f t="shared" si="99"/>
        <v>1</v>
      </c>
      <c r="G2139">
        <f>IF(F2139&gt;F2138,G2138+B2139*E2139,B2139*E2139)</f>
        <v>0</v>
      </c>
      <c r="H2139">
        <f t="shared" si="100"/>
        <v>0</v>
      </c>
      <c r="I2139">
        <f t="shared" si="101"/>
        <v>3.2043615000000001</v>
      </c>
    </row>
    <row r="2140" spans="1:9">
      <c r="A2140" s="1">
        <v>41852</v>
      </c>
      <c r="B2140">
        <v>3.2284199999999998</v>
      </c>
      <c r="C2140">
        <v>4.0650000000000004</v>
      </c>
      <c r="D2140">
        <f>WEEKDAY(A2140,14)</f>
        <v>2</v>
      </c>
      <c r="E2140">
        <f>VLOOKUP(D2140,L$2:M$8,2,FALSE)</f>
        <v>0</v>
      </c>
      <c r="F2140">
        <f t="shared" si="99"/>
        <v>2</v>
      </c>
      <c r="G2140">
        <f>IF(F2140&gt;F2139,G2139+B2140*E2140,B2140*E2140)</f>
        <v>0</v>
      </c>
      <c r="H2140">
        <f t="shared" si="100"/>
        <v>0</v>
      </c>
      <c r="I2140">
        <f t="shared" si="101"/>
        <v>0</v>
      </c>
    </row>
    <row r="2141" spans="1:9">
      <c r="A2141" s="1">
        <v>41855</v>
      </c>
      <c r="B2141">
        <v>3.2178200000000001</v>
      </c>
      <c r="C2141">
        <v>4.0650000000000004</v>
      </c>
      <c r="D2141">
        <f>WEEKDAY(A2141,14)</f>
        <v>5</v>
      </c>
      <c r="E2141">
        <f>VLOOKUP(D2141,L$2:M$8,2,FALSE)</f>
        <v>0.05</v>
      </c>
      <c r="F2141">
        <f t="shared" si="99"/>
        <v>3</v>
      </c>
      <c r="G2141">
        <f>IF(F2141&gt;F2140,G2140+B2141*E2141,B2141*E2141)</f>
        <v>0.16089100000000001</v>
      </c>
      <c r="H2141">
        <f t="shared" si="100"/>
        <v>0.05</v>
      </c>
      <c r="I2141">
        <f t="shared" si="101"/>
        <v>0</v>
      </c>
    </row>
    <row r="2142" spans="1:9">
      <c r="A2142" s="1">
        <v>41856</v>
      </c>
      <c r="B2142">
        <v>3.2163200000000001</v>
      </c>
      <c r="C2142">
        <v>4.0650000000000004</v>
      </c>
      <c r="D2142">
        <f>WEEKDAY(A2142,14)</f>
        <v>6</v>
      </c>
      <c r="E2142">
        <f>VLOOKUP(D2142,L$2:M$8,2,FALSE)</f>
        <v>0.7</v>
      </c>
      <c r="F2142">
        <f t="shared" si="99"/>
        <v>4</v>
      </c>
      <c r="G2142">
        <f>IF(F2142&gt;F2141,G2141+B2142*E2142,B2142*E2142)</f>
        <v>2.412315</v>
      </c>
      <c r="H2142">
        <f t="shared" si="100"/>
        <v>0.75</v>
      </c>
      <c r="I2142">
        <f t="shared" si="101"/>
        <v>0</v>
      </c>
    </row>
    <row r="2143" spans="1:9">
      <c r="A2143" s="1">
        <v>41857</v>
      </c>
      <c r="B2143">
        <v>3.2168000000000001</v>
      </c>
      <c r="C2143">
        <v>4.0650000000000004</v>
      </c>
      <c r="D2143">
        <f>WEEKDAY(A2143,14)</f>
        <v>7</v>
      </c>
      <c r="E2143">
        <f>VLOOKUP(D2143,L$2:M$8,2,FALSE)</f>
        <v>0.25</v>
      </c>
      <c r="F2143">
        <f t="shared" si="99"/>
        <v>5</v>
      </c>
      <c r="G2143">
        <f>IF(F2143&gt;F2142,G2142+B2143*E2143,B2143*E2143)</f>
        <v>3.2165150000000002</v>
      </c>
      <c r="H2143">
        <f t="shared" si="100"/>
        <v>1</v>
      </c>
      <c r="I2143">
        <f t="shared" si="101"/>
        <v>0</v>
      </c>
    </row>
    <row r="2144" spans="1:9">
      <c r="A2144" s="1">
        <v>41858</v>
      </c>
      <c r="B2144">
        <v>3.1812999999999998</v>
      </c>
      <c r="C2144">
        <v>4.0199999999999996</v>
      </c>
      <c r="D2144">
        <f>WEEKDAY(A2144,14)</f>
        <v>1</v>
      </c>
      <c r="E2144">
        <f>VLOOKUP(D2144,L$2:M$8,2,FALSE)</f>
        <v>0</v>
      </c>
      <c r="F2144">
        <f t="shared" si="99"/>
        <v>1</v>
      </c>
      <c r="G2144">
        <f>IF(F2144&gt;F2143,G2143+B2144*E2144,B2144*E2144)</f>
        <v>0</v>
      </c>
      <c r="H2144">
        <f t="shared" si="100"/>
        <v>0</v>
      </c>
      <c r="I2144">
        <f t="shared" si="101"/>
        <v>3.2165150000000002</v>
      </c>
    </row>
    <row r="2145" spans="1:9">
      <c r="A2145" s="1">
        <v>41859</v>
      </c>
      <c r="B2145">
        <v>3.17218</v>
      </c>
      <c r="C2145">
        <v>4.0199999999999996</v>
      </c>
      <c r="D2145">
        <f>WEEKDAY(A2145,14)</f>
        <v>2</v>
      </c>
      <c r="E2145">
        <f>VLOOKUP(D2145,L$2:M$8,2,FALSE)</f>
        <v>0</v>
      </c>
      <c r="F2145">
        <f t="shared" si="99"/>
        <v>2</v>
      </c>
      <c r="G2145">
        <f>IF(F2145&gt;F2144,G2144+B2145*E2145,B2145*E2145)</f>
        <v>0</v>
      </c>
      <c r="H2145">
        <f t="shared" si="100"/>
        <v>0</v>
      </c>
      <c r="I2145">
        <f t="shared" si="101"/>
        <v>0</v>
      </c>
    </row>
    <row r="2146" spans="1:9">
      <c r="A2146" s="1">
        <v>41862</v>
      </c>
      <c r="B2146">
        <v>3.1826400000000001</v>
      </c>
      <c r="C2146">
        <v>4.0199999999999996</v>
      </c>
      <c r="D2146">
        <f>WEEKDAY(A2146,14)</f>
        <v>5</v>
      </c>
      <c r="E2146">
        <f>VLOOKUP(D2146,L$2:M$8,2,FALSE)</f>
        <v>0.05</v>
      </c>
      <c r="F2146">
        <f t="shared" si="99"/>
        <v>3</v>
      </c>
      <c r="G2146">
        <f>IF(F2146&gt;F2145,G2145+B2146*E2146,B2146*E2146)</f>
        <v>0.15913200000000002</v>
      </c>
      <c r="H2146">
        <f t="shared" si="100"/>
        <v>0.05</v>
      </c>
      <c r="I2146">
        <f t="shared" si="101"/>
        <v>0</v>
      </c>
    </row>
    <row r="2147" spans="1:9">
      <c r="A2147" s="1">
        <v>41863</v>
      </c>
      <c r="B2147">
        <v>3.1921200000000001</v>
      </c>
      <c r="C2147">
        <v>4.0199999999999996</v>
      </c>
      <c r="D2147">
        <f>WEEKDAY(A2147,14)</f>
        <v>6</v>
      </c>
      <c r="E2147">
        <f>VLOOKUP(D2147,L$2:M$8,2,FALSE)</f>
        <v>0.7</v>
      </c>
      <c r="F2147">
        <f t="shared" si="99"/>
        <v>4</v>
      </c>
      <c r="G2147">
        <f>IF(F2147&gt;F2146,G2146+B2147*E2147,B2147*E2147)</f>
        <v>2.3936159999999997</v>
      </c>
      <c r="H2147">
        <f t="shared" si="100"/>
        <v>0.75</v>
      </c>
      <c r="I2147">
        <f t="shared" si="101"/>
        <v>0</v>
      </c>
    </row>
    <row r="2148" spans="1:9">
      <c r="A2148" s="1">
        <v>41864</v>
      </c>
      <c r="B2148">
        <v>3.1611600000000002</v>
      </c>
      <c r="C2148">
        <v>4.0199999999999996</v>
      </c>
      <c r="D2148">
        <f>WEEKDAY(A2148,14)</f>
        <v>7</v>
      </c>
      <c r="E2148">
        <f>VLOOKUP(D2148,L$2:M$8,2,FALSE)</f>
        <v>0.25</v>
      </c>
      <c r="F2148">
        <f t="shared" si="99"/>
        <v>5</v>
      </c>
      <c r="G2148">
        <f>IF(F2148&gt;F2147,G2147+B2148*E2148,B2148*E2148)</f>
        <v>3.1839059999999999</v>
      </c>
      <c r="H2148">
        <f t="shared" si="100"/>
        <v>1</v>
      </c>
      <c r="I2148">
        <f t="shared" si="101"/>
        <v>0</v>
      </c>
    </row>
    <row r="2149" spans="1:9">
      <c r="A2149" s="1">
        <v>41865</v>
      </c>
      <c r="B2149">
        <v>3.1399599999999999</v>
      </c>
      <c r="C2149">
        <v>3.9750000000000001</v>
      </c>
      <c r="D2149">
        <f>WEEKDAY(A2149,14)</f>
        <v>1</v>
      </c>
      <c r="E2149">
        <f>VLOOKUP(D2149,L$2:M$8,2,FALSE)</f>
        <v>0</v>
      </c>
      <c r="F2149">
        <f t="shared" si="99"/>
        <v>1</v>
      </c>
      <c r="G2149">
        <f>IF(F2149&gt;F2148,G2148+B2149*E2149,B2149*E2149)</f>
        <v>0</v>
      </c>
      <c r="H2149">
        <f t="shared" si="100"/>
        <v>0</v>
      </c>
      <c r="I2149">
        <f t="shared" si="101"/>
        <v>3.1839059999999999</v>
      </c>
    </row>
    <row r="2150" spans="1:9">
      <c r="A2150" s="1">
        <v>41866</v>
      </c>
      <c r="B2150">
        <v>3.0935800000000002</v>
      </c>
      <c r="C2150">
        <v>3.9750000000000001</v>
      </c>
      <c r="D2150">
        <f>WEEKDAY(A2150,14)</f>
        <v>2</v>
      </c>
      <c r="E2150">
        <f>VLOOKUP(D2150,L$2:M$8,2,FALSE)</f>
        <v>0</v>
      </c>
      <c r="F2150">
        <f t="shared" si="99"/>
        <v>2</v>
      </c>
      <c r="G2150">
        <f>IF(F2150&gt;F2149,G2149+B2150*E2150,B2150*E2150)</f>
        <v>0</v>
      </c>
      <c r="H2150">
        <f t="shared" si="100"/>
        <v>0</v>
      </c>
      <c r="I2150">
        <f t="shared" si="101"/>
        <v>0</v>
      </c>
    </row>
    <row r="2151" spans="1:9">
      <c r="A2151" s="1">
        <v>41869</v>
      </c>
      <c r="B2151">
        <v>3.13998</v>
      </c>
      <c r="C2151">
        <v>3.9750000000000001</v>
      </c>
      <c r="D2151">
        <f>WEEKDAY(A2151,14)</f>
        <v>5</v>
      </c>
      <c r="E2151">
        <f>VLOOKUP(D2151,L$2:M$8,2,FALSE)</f>
        <v>0.05</v>
      </c>
      <c r="F2151">
        <f t="shared" si="99"/>
        <v>3</v>
      </c>
      <c r="G2151">
        <f>IF(F2151&gt;F2150,G2150+B2151*E2151,B2151*E2151)</f>
        <v>0.156999</v>
      </c>
      <c r="H2151">
        <f t="shared" si="100"/>
        <v>0.05</v>
      </c>
      <c r="I2151">
        <f t="shared" si="101"/>
        <v>0</v>
      </c>
    </row>
    <row r="2152" spans="1:9">
      <c r="A2152" s="1">
        <v>41870</v>
      </c>
      <c r="B2152">
        <v>3.1648399999999999</v>
      </c>
      <c r="C2152">
        <v>3.9750000000000001</v>
      </c>
      <c r="D2152">
        <f>WEEKDAY(A2152,14)</f>
        <v>6</v>
      </c>
      <c r="E2152">
        <f>VLOOKUP(D2152,L$2:M$8,2,FALSE)</f>
        <v>0.7</v>
      </c>
      <c r="F2152">
        <f t="shared" si="99"/>
        <v>4</v>
      </c>
      <c r="G2152">
        <f>IF(F2152&gt;F2151,G2151+B2152*E2152,B2152*E2152)</f>
        <v>2.3723869999999998</v>
      </c>
      <c r="H2152">
        <f t="shared" si="100"/>
        <v>0.75</v>
      </c>
      <c r="I2152">
        <f t="shared" si="101"/>
        <v>0</v>
      </c>
    </row>
    <row r="2153" spans="1:9">
      <c r="A2153" s="1">
        <v>41871</v>
      </c>
      <c r="B2153">
        <v>3.1828799999999999</v>
      </c>
      <c r="C2153">
        <v>3.9750000000000001</v>
      </c>
      <c r="D2153">
        <f>WEEKDAY(A2153,14)</f>
        <v>7</v>
      </c>
      <c r="E2153">
        <f>VLOOKUP(D2153,L$2:M$8,2,FALSE)</f>
        <v>0.25</v>
      </c>
      <c r="F2153">
        <f t="shared" si="99"/>
        <v>5</v>
      </c>
      <c r="G2153">
        <f>IF(F2153&gt;F2152,G2152+B2153*E2153,B2153*E2153)</f>
        <v>3.168107</v>
      </c>
      <c r="H2153">
        <f t="shared" si="100"/>
        <v>1</v>
      </c>
      <c r="I2153">
        <f t="shared" si="101"/>
        <v>0</v>
      </c>
    </row>
    <row r="2154" spans="1:9">
      <c r="A2154" s="1">
        <v>41872</v>
      </c>
      <c r="B2154">
        <v>3.1567799999999999</v>
      </c>
      <c r="C2154">
        <v>3.9750000000000001</v>
      </c>
      <c r="D2154">
        <f>WEEKDAY(A2154,14)</f>
        <v>1</v>
      </c>
      <c r="E2154">
        <f>VLOOKUP(D2154,L$2:M$8,2,FALSE)</f>
        <v>0</v>
      </c>
      <c r="F2154">
        <f t="shared" si="99"/>
        <v>1</v>
      </c>
      <c r="G2154">
        <f>IF(F2154&gt;F2153,G2153+B2154*E2154,B2154*E2154)</f>
        <v>0</v>
      </c>
      <c r="H2154">
        <f t="shared" si="100"/>
        <v>0</v>
      </c>
      <c r="I2154">
        <f t="shared" si="101"/>
        <v>3.168107</v>
      </c>
    </row>
    <row r="2155" spans="1:9">
      <c r="A2155" s="1">
        <v>41873</v>
      </c>
      <c r="B2155">
        <v>3.15082</v>
      </c>
      <c r="C2155">
        <v>3.9750000000000001</v>
      </c>
      <c r="D2155">
        <f>WEEKDAY(A2155,14)</f>
        <v>2</v>
      </c>
      <c r="E2155">
        <f>VLOOKUP(D2155,L$2:M$8,2,FALSE)</f>
        <v>0</v>
      </c>
      <c r="F2155">
        <f t="shared" si="99"/>
        <v>2</v>
      </c>
      <c r="G2155">
        <f>IF(F2155&gt;F2154,G2154+B2155*E2155,B2155*E2155)</f>
        <v>0</v>
      </c>
      <c r="H2155">
        <f t="shared" si="100"/>
        <v>0</v>
      </c>
      <c r="I2155">
        <f t="shared" si="101"/>
        <v>0</v>
      </c>
    </row>
    <row r="2156" spans="1:9">
      <c r="A2156" s="1">
        <v>41876</v>
      </c>
      <c r="B2156">
        <v>3.13856</v>
      </c>
      <c r="C2156">
        <v>3.9750000000000001</v>
      </c>
      <c r="D2156">
        <f>WEEKDAY(A2156,14)</f>
        <v>5</v>
      </c>
      <c r="E2156">
        <f>VLOOKUP(D2156,L$2:M$8,2,FALSE)</f>
        <v>0.05</v>
      </c>
      <c r="F2156">
        <f t="shared" si="99"/>
        <v>3</v>
      </c>
      <c r="G2156">
        <f>IF(F2156&gt;F2155,G2155+B2156*E2156,B2156*E2156)</f>
        <v>0.15692800000000001</v>
      </c>
      <c r="H2156">
        <f t="shared" si="100"/>
        <v>0.05</v>
      </c>
      <c r="I2156">
        <f t="shared" si="101"/>
        <v>0</v>
      </c>
    </row>
    <row r="2157" spans="1:9">
      <c r="A2157" s="1">
        <v>41877</v>
      </c>
      <c r="B2157">
        <v>3.1294400000000002</v>
      </c>
      <c r="C2157">
        <v>3.9750000000000001</v>
      </c>
      <c r="D2157">
        <f>WEEKDAY(A2157,14)</f>
        <v>6</v>
      </c>
      <c r="E2157">
        <f>VLOOKUP(D2157,L$2:M$8,2,FALSE)</f>
        <v>0.7</v>
      </c>
      <c r="F2157">
        <f t="shared" si="99"/>
        <v>4</v>
      </c>
      <c r="G2157">
        <f>IF(F2157&gt;F2156,G2156+B2157*E2157,B2157*E2157)</f>
        <v>2.3475360000000003</v>
      </c>
      <c r="H2157">
        <f t="shared" si="100"/>
        <v>0.75</v>
      </c>
      <c r="I2157">
        <f t="shared" si="101"/>
        <v>0</v>
      </c>
    </row>
    <row r="2158" spans="1:9">
      <c r="A2158" s="1">
        <v>41878</v>
      </c>
      <c r="B2158">
        <v>3.0988699999999998</v>
      </c>
      <c r="C2158">
        <v>3.9750000000000001</v>
      </c>
      <c r="D2158">
        <f>WEEKDAY(A2158,14)</f>
        <v>7</v>
      </c>
      <c r="E2158">
        <f>VLOOKUP(D2158,L$2:M$8,2,FALSE)</f>
        <v>0.25</v>
      </c>
      <c r="F2158">
        <f t="shared" si="99"/>
        <v>5</v>
      </c>
      <c r="G2158">
        <f>IF(F2158&gt;F2157,G2157+B2158*E2158,B2158*E2158)</f>
        <v>3.1222535000000002</v>
      </c>
      <c r="H2158">
        <f t="shared" si="100"/>
        <v>1</v>
      </c>
      <c r="I2158">
        <f t="shared" si="101"/>
        <v>0</v>
      </c>
    </row>
    <row r="2159" spans="1:9">
      <c r="A2159" s="1">
        <v>41879</v>
      </c>
      <c r="B2159">
        <v>3.0781200000000002</v>
      </c>
      <c r="C2159">
        <v>3.9750000000000001</v>
      </c>
      <c r="D2159">
        <f>WEEKDAY(A2159,14)</f>
        <v>1</v>
      </c>
      <c r="E2159">
        <f>VLOOKUP(D2159,L$2:M$8,2,FALSE)</f>
        <v>0</v>
      </c>
      <c r="F2159">
        <f t="shared" si="99"/>
        <v>1</v>
      </c>
      <c r="G2159">
        <f>IF(F2159&gt;F2158,G2158+B2159*E2159,B2159*E2159)</f>
        <v>0</v>
      </c>
      <c r="H2159">
        <f t="shared" si="100"/>
        <v>0</v>
      </c>
      <c r="I2159">
        <f t="shared" si="101"/>
        <v>3.1222535000000002</v>
      </c>
    </row>
    <row r="2160" spans="1:9">
      <c r="A2160" s="1">
        <v>41880</v>
      </c>
      <c r="B2160">
        <v>3.0803400000000001</v>
      </c>
      <c r="C2160">
        <v>3.9750000000000001</v>
      </c>
      <c r="D2160">
        <f>WEEKDAY(A2160,14)</f>
        <v>2</v>
      </c>
      <c r="E2160">
        <f>VLOOKUP(D2160,L$2:M$8,2,FALSE)</f>
        <v>0</v>
      </c>
      <c r="F2160">
        <f t="shared" si="99"/>
        <v>2</v>
      </c>
      <c r="G2160">
        <f>IF(F2160&gt;F2159,G2159+B2160*E2160,B2160*E2160)</f>
        <v>0</v>
      </c>
      <c r="H2160">
        <f t="shared" si="100"/>
        <v>0</v>
      </c>
      <c r="I2160">
        <f t="shared" si="101"/>
        <v>0</v>
      </c>
    </row>
    <row r="2161" spans="1:9">
      <c r="A2161" s="1">
        <v>41884</v>
      </c>
      <c r="B2161">
        <v>3.13347</v>
      </c>
      <c r="C2161">
        <v>3.9750000000000001</v>
      </c>
      <c r="D2161">
        <f>WEEKDAY(A2161,14)</f>
        <v>6</v>
      </c>
      <c r="E2161">
        <f>VLOOKUP(D2161,L$2:M$8,2,FALSE)</f>
        <v>0.7</v>
      </c>
      <c r="F2161">
        <f t="shared" si="99"/>
        <v>3</v>
      </c>
      <c r="G2161">
        <f>IF(F2161&gt;F2160,G2160+B2161*E2161,B2161*E2161)</f>
        <v>2.1934289999999996</v>
      </c>
      <c r="H2161">
        <f t="shared" si="100"/>
        <v>0.7</v>
      </c>
      <c r="I2161">
        <f t="shared" si="101"/>
        <v>0</v>
      </c>
    </row>
    <row r="2162" spans="1:9">
      <c r="A2162" s="1">
        <v>41885</v>
      </c>
      <c r="B2162">
        <v>3.1253600000000001</v>
      </c>
      <c r="C2162">
        <v>3.9750000000000001</v>
      </c>
      <c r="D2162">
        <f>WEEKDAY(A2162,14)</f>
        <v>7</v>
      </c>
      <c r="E2162">
        <f>VLOOKUP(D2162,L$2:M$8,2,FALSE)</f>
        <v>0.25</v>
      </c>
      <c r="F2162">
        <f t="shared" si="99"/>
        <v>4</v>
      </c>
      <c r="G2162">
        <f>IF(F2162&gt;F2161,G2161+B2162*E2162,B2162*E2162)</f>
        <v>2.9747689999999998</v>
      </c>
      <c r="H2162">
        <f t="shared" si="100"/>
        <v>0.95</v>
      </c>
      <c r="I2162">
        <f t="shared" si="101"/>
        <v>0</v>
      </c>
    </row>
    <row r="2163" spans="1:9">
      <c r="A2163" s="1">
        <v>41886</v>
      </c>
      <c r="B2163">
        <v>3.1528299999999998</v>
      </c>
      <c r="C2163">
        <v>3.9950000000000001</v>
      </c>
      <c r="D2163">
        <f>WEEKDAY(A2163,14)</f>
        <v>1</v>
      </c>
      <c r="E2163">
        <f>VLOOKUP(D2163,L$2:M$8,2,FALSE)</f>
        <v>0</v>
      </c>
      <c r="F2163">
        <f t="shared" si="99"/>
        <v>1</v>
      </c>
      <c r="G2163">
        <f>IF(F2163&gt;F2162,G2162+B2163*E2163,B2163*E2163)</f>
        <v>0</v>
      </c>
      <c r="H2163">
        <f t="shared" si="100"/>
        <v>0</v>
      </c>
      <c r="I2163">
        <f t="shared" si="101"/>
        <v>3.1313357894736842</v>
      </c>
    </row>
    <row r="2164" spans="1:9">
      <c r="A2164" s="1">
        <v>41887</v>
      </c>
      <c r="B2164">
        <v>3.16818</v>
      </c>
      <c r="C2164">
        <v>3.9950000000000001</v>
      </c>
      <c r="D2164">
        <f>WEEKDAY(A2164,14)</f>
        <v>2</v>
      </c>
      <c r="E2164">
        <f>VLOOKUP(D2164,L$2:M$8,2,FALSE)</f>
        <v>0</v>
      </c>
      <c r="F2164">
        <f t="shared" si="99"/>
        <v>2</v>
      </c>
      <c r="G2164">
        <f>IF(F2164&gt;F2163,G2163+B2164*E2164,B2164*E2164)</f>
        <v>0</v>
      </c>
      <c r="H2164">
        <f t="shared" si="100"/>
        <v>0</v>
      </c>
      <c r="I2164">
        <f t="shared" si="101"/>
        <v>0</v>
      </c>
    </row>
    <row r="2165" spans="1:9">
      <c r="A2165" s="1">
        <v>41890</v>
      </c>
      <c r="B2165">
        <v>3.1760799999999998</v>
      </c>
      <c r="C2165">
        <v>3.9950000000000001</v>
      </c>
      <c r="D2165">
        <f>WEEKDAY(A2165,14)</f>
        <v>5</v>
      </c>
      <c r="E2165">
        <f>VLOOKUP(D2165,L$2:M$8,2,FALSE)</f>
        <v>0.05</v>
      </c>
      <c r="F2165">
        <f t="shared" si="99"/>
        <v>3</v>
      </c>
      <c r="G2165">
        <f>IF(F2165&gt;F2164,G2164+B2165*E2165,B2165*E2165)</f>
        <v>0.158804</v>
      </c>
      <c r="H2165">
        <f t="shared" si="100"/>
        <v>0.05</v>
      </c>
      <c r="I2165">
        <f t="shared" si="101"/>
        <v>0</v>
      </c>
    </row>
    <row r="2166" spans="1:9">
      <c r="A2166" s="1">
        <v>41891</v>
      </c>
      <c r="B2166">
        <v>3.2042600000000001</v>
      </c>
      <c r="C2166">
        <v>3.9950000000000001</v>
      </c>
      <c r="D2166">
        <f>WEEKDAY(A2166,14)</f>
        <v>6</v>
      </c>
      <c r="E2166">
        <f>VLOOKUP(D2166,L$2:M$8,2,FALSE)</f>
        <v>0.7</v>
      </c>
      <c r="F2166">
        <f t="shared" si="99"/>
        <v>4</v>
      </c>
      <c r="G2166">
        <f>IF(F2166&gt;F2165,G2165+B2166*E2166,B2166*E2166)</f>
        <v>2.401786</v>
      </c>
      <c r="H2166">
        <f t="shared" si="100"/>
        <v>0.75</v>
      </c>
      <c r="I2166">
        <f t="shared" si="101"/>
        <v>0</v>
      </c>
    </row>
    <row r="2167" spans="1:9">
      <c r="A2167" s="1">
        <v>41892</v>
      </c>
      <c r="B2167">
        <v>3.2396699999999998</v>
      </c>
      <c r="C2167">
        <v>3.9950000000000001</v>
      </c>
      <c r="D2167">
        <f>WEEKDAY(A2167,14)</f>
        <v>7</v>
      </c>
      <c r="E2167">
        <f>VLOOKUP(D2167,L$2:M$8,2,FALSE)</f>
        <v>0.25</v>
      </c>
      <c r="F2167">
        <f t="shared" si="99"/>
        <v>5</v>
      </c>
      <c r="G2167">
        <f>IF(F2167&gt;F2166,G2166+B2167*E2167,B2167*E2167)</f>
        <v>3.2117035</v>
      </c>
      <c r="H2167">
        <f t="shared" si="100"/>
        <v>1</v>
      </c>
      <c r="I2167">
        <f t="shared" si="101"/>
        <v>0</v>
      </c>
    </row>
    <row r="2168" spans="1:9">
      <c r="A2168" s="1">
        <v>41893</v>
      </c>
      <c r="B2168">
        <v>3.23854</v>
      </c>
      <c r="C2168">
        <v>4.1050000000000004</v>
      </c>
      <c r="D2168">
        <f>WEEKDAY(A2168,14)</f>
        <v>1</v>
      </c>
      <c r="E2168">
        <f>VLOOKUP(D2168,L$2:M$8,2,FALSE)</f>
        <v>0</v>
      </c>
      <c r="F2168">
        <f t="shared" si="99"/>
        <v>1</v>
      </c>
      <c r="G2168">
        <f>IF(F2168&gt;F2167,G2167+B2168*E2168,B2168*E2168)</f>
        <v>0</v>
      </c>
      <c r="H2168">
        <f t="shared" si="100"/>
        <v>0</v>
      </c>
      <c r="I2168">
        <f t="shared" si="101"/>
        <v>3.2117035</v>
      </c>
    </row>
    <row r="2169" spans="1:9">
      <c r="A2169" s="1">
        <v>41894</v>
      </c>
      <c r="B2169">
        <v>3.30131</v>
      </c>
      <c r="C2169">
        <v>4.1050000000000004</v>
      </c>
      <c r="D2169">
        <f>WEEKDAY(A2169,14)</f>
        <v>2</v>
      </c>
      <c r="E2169">
        <f>VLOOKUP(D2169,L$2:M$8,2,FALSE)</f>
        <v>0</v>
      </c>
      <c r="F2169">
        <f t="shared" si="99"/>
        <v>2</v>
      </c>
      <c r="G2169">
        <f>IF(F2169&gt;F2168,G2168+B2169*E2169,B2169*E2169)</f>
        <v>0</v>
      </c>
      <c r="H2169">
        <f t="shared" si="100"/>
        <v>0</v>
      </c>
      <c r="I2169">
        <f t="shared" si="101"/>
        <v>0</v>
      </c>
    </row>
    <row r="2170" spans="1:9">
      <c r="A2170" s="1">
        <v>41897</v>
      </c>
      <c r="B2170">
        <v>3.2813400000000001</v>
      </c>
      <c r="C2170">
        <v>4.1050000000000004</v>
      </c>
      <c r="D2170">
        <f>WEEKDAY(A2170,14)</f>
        <v>5</v>
      </c>
      <c r="E2170">
        <f>VLOOKUP(D2170,L$2:M$8,2,FALSE)</f>
        <v>0.05</v>
      </c>
      <c r="F2170">
        <f t="shared" si="99"/>
        <v>3</v>
      </c>
      <c r="G2170">
        <f>IF(F2170&gt;F2169,G2169+B2170*E2170,B2170*E2170)</f>
        <v>0.16406700000000002</v>
      </c>
      <c r="H2170">
        <f t="shared" si="100"/>
        <v>0.05</v>
      </c>
      <c r="I2170">
        <f t="shared" si="101"/>
        <v>0</v>
      </c>
    </row>
    <row r="2171" spans="1:9">
      <c r="A2171" s="1">
        <v>41898</v>
      </c>
      <c r="B2171">
        <v>3.2840799999999999</v>
      </c>
      <c r="C2171">
        <v>4.1050000000000004</v>
      </c>
      <c r="D2171">
        <f>WEEKDAY(A2171,14)</f>
        <v>6</v>
      </c>
      <c r="E2171">
        <f>VLOOKUP(D2171,L$2:M$8,2,FALSE)</f>
        <v>0.7</v>
      </c>
      <c r="F2171">
        <f t="shared" si="99"/>
        <v>4</v>
      </c>
      <c r="G2171">
        <f>IF(F2171&gt;F2170,G2170+B2171*E2171,B2171*E2171)</f>
        <v>2.462923</v>
      </c>
      <c r="H2171">
        <f t="shared" si="100"/>
        <v>0.75</v>
      </c>
      <c r="I2171">
        <f t="shared" si="101"/>
        <v>0</v>
      </c>
    </row>
    <row r="2172" spans="1:9">
      <c r="A2172" s="1">
        <v>41899</v>
      </c>
      <c r="B2172">
        <v>3.2889499999999998</v>
      </c>
      <c r="C2172">
        <v>4.1050000000000004</v>
      </c>
      <c r="D2172">
        <f>WEEKDAY(A2172,14)</f>
        <v>7</v>
      </c>
      <c r="E2172">
        <f>VLOOKUP(D2172,L$2:M$8,2,FALSE)</f>
        <v>0.25</v>
      </c>
      <c r="F2172">
        <f t="shared" si="99"/>
        <v>5</v>
      </c>
      <c r="G2172">
        <f>IF(F2172&gt;F2171,G2171+B2172*E2172,B2172*E2172)</f>
        <v>3.2851604999999999</v>
      </c>
      <c r="H2172">
        <f t="shared" si="100"/>
        <v>1</v>
      </c>
      <c r="I2172">
        <f t="shared" si="101"/>
        <v>0</v>
      </c>
    </row>
    <row r="2173" spans="1:9">
      <c r="A2173" s="1">
        <v>41900</v>
      </c>
      <c r="B2173">
        <v>3.30017</v>
      </c>
      <c r="C2173">
        <v>4.0750000000000002</v>
      </c>
      <c r="D2173">
        <f>WEEKDAY(A2173,14)</f>
        <v>1</v>
      </c>
      <c r="E2173">
        <f>VLOOKUP(D2173,L$2:M$8,2,FALSE)</f>
        <v>0</v>
      </c>
      <c r="F2173">
        <f t="shared" si="99"/>
        <v>1</v>
      </c>
      <c r="G2173">
        <f>IF(F2173&gt;F2172,G2172+B2173*E2173,B2173*E2173)</f>
        <v>0</v>
      </c>
      <c r="H2173">
        <f t="shared" si="100"/>
        <v>0</v>
      </c>
      <c r="I2173">
        <f t="shared" si="101"/>
        <v>3.2851604999999999</v>
      </c>
    </row>
    <row r="2174" spans="1:9">
      <c r="A2174" s="1">
        <v>41901</v>
      </c>
      <c r="B2174">
        <v>3.2565</v>
      </c>
      <c r="C2174">
        <v>4.0750000000000002</v>
      </c>
      <c r="D2174">
        <f>WEEKDAY(A2174,14)</f>
        <v>2</v>
      </c>
      <c r="E2174">
        <f>VLOOKUP(D2174,L$2:M$8,2,FALSE)</f>
        <v>0</v>
      </c>
      <c r="F2174">
        <f t="shared" si="99"/>
        <v>2</v>
      </c>
      <c r="G2174">
        <f>IF(F2174&gt;F2173,G2173+B2174*E2174,B2174*E2174)</f>
        <v>0</v>
      </c>
      <c r="H2174">
        <f t="shared" si="100"/>
        <v>0</v>
      </c>
      <c r="I2174">
        <f t="shared" si="101"/>
        <v>0</v>
      </c>
    </row>
    <row r="2175" spans="1:9">
      <c r="A2175" s="1">
        <v>41904</v>
      </c>
      <c r="B2175">
        <v>3.23976</v>
      </c>
      <c r="C2175">
        <v>4.0750000000000002</v>
      </c>
      <c r="D2175">
        <f>WEEKDAY(A2175,14)</f>
        <v>5</v>
      </c>
      <c r="E2175">
        <f>VLOOKUP(D2175,L$2:M$8,2,FALSE)</f>
        <v>0.05</v>
      </c>
      <c r="F2175">
        <f t="shared" si="99"/>
        <v>3</v>
      </c>
      <c r="G2175">
        <f>IF(F2175&gt;F2174,G2174+B2175*E2175,B2175*E2175)</f>
        <v>0.16198800000000002</v>
      </c>
      <c r="H2175">
        <f t="shared" si="100"/>
        <v>0.05</v>
      </c>
      <c r="I2175">
        <f t="shared" si="101"/>
        <v>0</v>
      </c>
    </row>
    <row r="2176" spans="1:9">
      <c r="A2176" s="1">
        <v>41905</v>
      </c>
      <c r="B2176">
        <v>3.2147100000000002</v>
      </c>
      <c r="C2176">
        <v>4.0750000000000002</v>
      </c>
      <c r="D2176">
        <f>WEEKDAY(A2176,14)</f>
        <v>6</v>
      </c>
      <c r="E2176">
        <f>VLOOKUP(D2176,L$2:M$8,2,FALSE)</f>
        <v>0.7</v>
      </c>
      <c r="F2176">
        <f t="shared" si="99"/>
        <v>4</v>
      </c>
      <c r="G2176">
        <f>IF(F2176&gt;F2175,G2175+B2176*E2176,B2176*E2176)</f>
        <v>2.4122849999999998</v>
      </c>
      <c r="H2176">
        <f t="shared" si="100"/>
        <v>0.75</v>
      </c>
      <c r="I2176">
        <f t="shared" si="101"/>
        <v>0</v>
      </c>
    </row>
    <row r="2177" spans="1:9">
      <c r="A2177" s="1">
        <v>41906</v>
      </c>
      <c r="B2177">
        <v>3.2402000000000002</v>
      </c>
      <c r="C2177">
        <v>4.0750000000000002</v>
      </c>
      <c r="D2177">
        <f>WEEKDAY(A2177,14)</f>
        <v>7</v>
      </c>
      <c r="E2177">
        <f>VLOOKUP(D2177,L$2:M$8,2,FALSE)</f>
        <v>0.25</v>
      </c>
      <c r="F2177">
        <f t="shared" si="99"/>
        <v>5</v>
      </c>
      <c r="G2177">
        <f>IF(F2177&gt;F2176,G2176+B2177*E2177,B2177*E2177)</f>
        <v>3.2223349999999997</v>
      </c>
      <c r="H2177">
        <f t="shared" si="100"/>
        <v>1</v>
      </c>
      <c r="I2177">
        <f t="shared" si="101"/>
        <v>0</v>
      </c>
    </row>
    <row r="2178" spans="1:9">
      <c r="A2178" s="1">
        <v>41907</v>
      </c>
      <c r="B2178">
        <v>3.1966700000000001</v>
      </c>
      <c r="C2178">
        <v>4.04</v>
      </c>
      <c r="D2178">
        <f>WEEKDAY(A2178,14)</f>
        <v>1</v>
      </c>
      <c r="E2178">
        <f>VLOOKUP(D2178,L$2:M$8,2,FALSE)</f>
        <v>0</v>
      </c>
      <c r="F2178">
        <f t="shared" si="99"/>
        <v>1</v>
      </c>
      <c r="G2178">
        <f>IF(F2178&gt;F2177,G2177+B2178*E2178,B2178*E2178)</f>
        <v>0</v>
      </c>
      <c r="H2178">
        <f t="shared" si="100"/>
        <v>0</v>
      </c>
      <c r="I2178">
        <f t="shared" si="101"/>
        <v>3.2223349999999997</v>
      </c>
    </row>
    <row r="2179" spans="1:9">
      <c r="A2179" s="1">
        <v>41908</v>
      </c>
      <c r="B2179">
        <v>3.2151700000000001</v>
      </c>
      <c r="C2179">
        <v>4.04</v>
      </c>
      <c r="D2179">
        <f>WEEKDAY(A2179,14)</f>
        <v>2</v>
      </c>
      <c r="E2179">
        <f>VLOOKUP(D2179,L$2:M$8,2,FALSE)</f>
        <v>0</v>
      </c>
      <c r="F2179">
        <f t="shared" ref="F2179:F2242" si="102">IF(AND(D2179&gt;D2178,F2178&lt;6),F2178+1,1)</f>
        <v>2</v>
      </c>
      <c r="G2179">
        <f>IF(F2179&gt;F2178,G2178+B2179*E2179,B2179*E2179)</f>
        <v>0</v>
      </c>
      <c r="H2179">
        <f t="shared" si="100"/>
        <v>0</v>
      </c>
      <c r="I2179">
        <f t="shared" si="101"/>
        <v>0</v>
      </c>
    </row>
    <row r="2180" spans="1:9">
      <c r="A2180" s="1">
        <v>41911</v>
      </c>
      <c r="B2180">
        <v>3.1926800000000002</v>
      </c>
      <c r="C2180">
        <v>4.04</v>
      </c>
      <c r="D2180">
        <f>WEEKDAY(A2180,14)</f>
        <v>5</v>
      </c>
      <c r="E2180">
        <f>VLOOKUP(D2180,L$2:M$8,2,FALSE)</f>
        <v>0.05</v>
      </c>
      <c r="F2180">
        <f t="shared" si="102"/>
        <v>3</v>
      </c>
      <c r="G2180">
        <f>IF(F2180&gt;F2179,G2179+B2180*E2180,B2180*E2180)</f>
        <v>0.15963400000000003</v>
      </c>
      <c r="H2180">
        <f t="shared" ref="H2180:H2242" si="103">IF(AND(F2180&lt;6,F2180&gt;F2179),E2180+H2179,E2180)</f>
        <v>0.05</v>
      </c>
      <c r="I2180">
        <f t="shared" ref="I2180:I2243" si="104">IF(F2179&gt;F2180,G2179/H2179,0)</f>
        <v>0</v>
      </c>
    </row>
    <row r="2181" spans="1:9">
      <c r="A2181" s="1">
        <v>41912</v>
      </c>
      <c r="B2181">
        <v>3.2079</v>
      </c>
      <c r="C2181">
        <v>4.04</v>
      </c>
      <c r="D2181">
        <f>WEEKDAY(A2181,14)</f>
        <v>6</v>
      </c>
      <c r="E2181">
        <f>VLOOKUP(D2181,L$2:M$8,2,FALSE)</f>
        <v>0.7</v>
      </c>
      <c r="F2181">
        <f t="shared" si="102"/>
        <v>4</v>
      </c>
      <c r="G2181">
        <f>IF(F2181&gt;F2180,G2180+B2181*E2181,B2181*E2181)</f>
        <v>2.4051640000000001</v>
      </c>
      <c r="H2181">
        <f t="shared" si="103"/>
        <v>0.75</v>
      </c>
      <c r="I2181">
        <f t="shared" si="104"/>
        <v>0</v>
      </c>
    </row>
    <row r="2182" spans="1:9">
      <c r="A2182" s="1">
        <v>41913</v>
      </c>
      <c r="B2182">
        <v>3.1187900000000002</v>
      </c>
      <c r="C2182">
        <v>4.04</v>
      </c>
      <c r="D2182">
        <f>WEEKDAY(A2182,14)</f>
        <v>7</v>
      </c>
      <c r="E2182">
        <f>VLOOKUP(D2182,L$2:M$8,2,FALSE)</f>
        <v>0.25</v>
      </c>
      <c r="F2182">
        <f t="shared" si="102"/>
        <v>5</v>
      </c>
      <c r="G2182">
        <f>IF(F2182&gt;F2181,G2181+B2182*E2182,B2182*E2182)</f>
        <v>3.1848615000000002</v>
      </c>
      <c r="H2182">
        <f t="shared" si="103"/>
        <v>1</v>
      </c>
      <c r="I2182">
        <f t="shared" si="104"/>
        <v>0</v>
      </c>
    </row>
    <row r="2183" spans="1:9">
      <c r="A2183" s="1">
        <v>41914</v>
      </c>
      <c r="B2183">
        <v>3.1360999999999999</v>
      </c>
      <c r="C2183">
        <v>3.9950000000000001</v>
      </c>
      <c r="D2183">
        <f>WEEKDAY(A2183,14)</f>
        <v>1</v>
      </c>
      <c r="E2183">
        <f>VLOOKUP(D2183,L$2:M$8,2,FALSE)</f>
        <v>0</v>
      </c>
      <c r="F2183">
        <f t="shared" si="102"/>
        <v>1</v>
      </c>
      <c r="G2183">
        <f>IF(F2183&gt;F2182,G2182+B2183*E2183,B2183*E2183)</f>
        <v>0</v>
      </c>
      <c r="H2183">
        <f t="shared" si="103"/>
        <v>0</v>
      </c>
      <c r="I2183">
        <f t="shared" si="104"/>
        <v>3.1848615000000002</v>
      </c>
    </row>
    <row r="2184" spans="1:9">
      <c r="A2184" s="1">
        <v>41915</v>
      </c>
      <c r="B2184">
        <v>3.1408</v>
      </c>
      <c r="C2184">
        <v>3.9950000000000001</v>
      </c>
      <c r="D2184">
        <f>WEEKDAY(A2184,14)</f>
        <v>2</v>
      </c>
      <c r="E2184">
        <f>VLOOKUP(D2184,L$2:M$8,2,FALSE)</f>
        <v>0</v>
      </c>
      <c r="F2184">
        <f t="shared" si="102"/>
        <v>2</v>
      </c>
      <c r="G2184">
        <f>IF(F2184&gt;F2183,G2183+B2184*E2184,B2184*E2184)</f>
        <v>0</v>
      </c>
      <c r="H2184">
        <f t="shared" si="103"/>
        <v>0</v>
      </c>
      <c r="I2184">
        <f t="shared" si="104"/>
        <v>0</v>
      </c>
    </row>
    <row r="2185" spans="1:9">
      <c r="A2185" s="1">
        <v>41918</v>
      </c>
      <c r="B2185">
        <v>3.1229800000000001</v>
      </c>
      <c r="C2185">
        <v>3.9950000000000001</v>
      </c>
      <c r="D2185">
        <f>WEEKDAY(A2185,14)</f>
        <v>5</v>
      </c>
      <c r="E2185">
        <f>VLOOKUP(D2185,L$2:M$8,2,FALSE)</f>
        <v>0.05</v>
      </c>
      <c r="F2185">
        <f t="shared" si="102"/>
        <v>3</v>
      </c>
      <c r="G2185">
        <f>IF(F2185&gt;F2184,G2184+B2185*E2185,B2185*E2185)</f>
        <v>0.15614900000000001</v>
      </c>
      <c r="H2185">
        <f t="shared" si="103"/>
        <v>0.05</v>
      </c>
      <c r="I2185">
        <f t="shared" si="104"/>
        <v>0</v>
      </c>
    </row>
    <row r="2186" spans="1:9">
      <c r="A2186" s="1">
        <v>41919</v>
      </c>
      <c r="B2186">
        <v>3.0571700000000002</v>
      </c>
      <c r="C2186">
        <v>3.9950000000000001</v>
      </c>
      <c r="D2186">
        <f>WEEKDAY(A2186,14)</f>
        <v>6</v>
      </c>
      <c r="E2186">
        <f>VLOOKUP(D2186,L$2:M$8,2,FALSE)</f>
        <v>0.7</v>
      </c>
      <c r="F2186">
        <f t="shared" si="102"/>
        <v>4</v>
      </c>
      <c r="G2186">
        <f>IF(F2186&gt;F2185,G2185+B2186*E2186,B2186*E2186)</f>
        <v>2.2961680000000002</v>
      </c>
      <c r="H2186">
        <f t="shared" si="103"/>
        <v>0.75</v>
      </c>
      <c r="I2186">
        <f t="shared" si="104"/>
        <v>0</v>
      </c>
    </row>
    <row r="2187" spans="1:9">
      <c r="A2187" s="1">
        <v>41920</v>
      </c>
      <c r="B2187">
        <v>3.0069599999999999</v>
      </c>
      <c r="C2187">
        <v>3.9950000000000001</v>
      </c>
      <c r="D2187">
        <f>WEEKDAY(A2187,14)</f>
        <v>7</v>
      </c>
      <c r="E2187">
        <f>VLOOKUP(D2187,L$2:M$8,2,FALSE)</f>
        <v>0.25</v>
      </c>
      <c r="F2187">
        <f t="shared" si="102"/>
        <v>5</v>
      </c>
      <c r="G2187">
        <f>IF(F2187&gt;F2186,G2186+B2187*E2187,B2187*E2187)</f>
        <v>3.0479080000000001</v>
      </c>
      <c r="H2187">
        <f t="shared" si="103"/>
        <v>1</v>
      </c>
      <c r="I2187">
        <f t="shared" si="104"/>
        <v>0</v>
      </c>
    </row>
    <row r="2188" spans="1:9">
      <c r="A2188" s="1">
        <v>41921</v>
      </c>
      <c r="B2188">
        <v>3.00935</v>
      </c>
      <c r="C2188">
        <v>3.8450000000000002</v>
      </c>
      <c r="D2188">
        <f>WEEKDAY(A2188,14)</f>
        <v>1</v>
      </c>
      <c r="E2188">
        <f>VLOOKUP(D2188,L$2:M$8,2,FALSE)</f>
        <v>0</v>
      </c>
      <c r="F2188">
        <f t="shared" si="102"/>
        <v>1</v>
      </c>
      <c r="G2188">
        <f>IF(F2188&gt;F2187,G2187+B2188*E2188,B2188*E2188)</f>
        <v>0</v>
      </c>
      <c r="H2188">
        <f t="shared" si="103"/>
        <v>0</v>
      </c>
      <c r="I2188">
        <f t="shared" si="104"/>
        <v>3.0479080000000001</v>
      </c>
    </row>
    <row r="2189" spans="1:9">
      <c r="A2189" s="1">
        <v>41922</v>
      </c>
      <c r="B2189">
        <v>3.0064700000000002</v>
      </c>
      <c r="C2189">
        <v>3.8450000000000002</v>
      </c>
      <c r="D2189">
        <f>WEEKDAY(A2189,14)</f>
        <v>2</v>
      </c>
      <c r="E2189">
        <f>VLOOKUP(D2189,L$2:M$8,2,FALSE)</f>
        <v>0</v>
      </c>
      <c r="F2189">
        <f t="shared" si="102"/>
        <v>2</v>
      </c>
      <c r="G2189">
        <f>IF(F2189&gt;F2188,G2188+B2189*E2189,B2189*E2189)</f>
        <v>0</v>
      </c>
      <c r="H2189">
        <f t="shared" si="103"/>
        <v>0</v>
      </c>
      <c r="I2189">
        <f t="shared" si="104"/>
        <v>0</v>
      </c>
    </row>
    <row r="2190" spans="1:9">
      <c r="A2190" s="1">
        <v>41926</v>
      </c>
      <c r="B2190">
        <v>2.91567</v>
      </c>
      <c r="C2190">
        <v>3.8450000000000002</v>
      </c>
      <c r="D2190">
        <f>WEEKDAY(A2190,14)</f>
        <v>6</v>
      </c>
      <c r="E2190">
        <f>VLOOKUP(D2190,L$2:M$8,2,FALSE)</f>
        <v>0.7</v>
      </c>
      <c r="F2190">
        <f t="shared" si="102"/>
        <v>3</v>
      </c>
      <c r="G2190">
        <f>IF(F2190&gt;F2189,G2189+B2190*E2190,B2190*E2190)</f>
        <v>2.040969</v>
      </c>
      <c r="H2190">
        <f t="shared" si="103"/>
        <v>0.7</v>
      </c>
      <c r="I2190">
        <f t="shared" si="104"/>
        <v>0</v>
      </c>
    </row>
    <row r="2191" spans="1:9">
      <c r="A2191" s="1">
        <v>41927</v>
      </c>
      <c r="B2191">
        <v>2.8012800000000002</v>
      </c>
      <c r="C2191">
        <v>3.8450000000000002</v>
      </c>
      <c r="D2191">
        <f>WEEKDAY(A2191,14)</f>
        <v>7</v>
      </c>
      <c r="E2191">
        <f>VLOOKUP(D2191,L$2:M$8,2,FALSE)</f>
        <v>0.25</v>
      </c>
      <c r="F2191">
        <f t="shared" si="102"/>
        <v>4</v>
      </c>
      <c r="G2191">
        <f>IF(F2191&gt;F2190,G2190+B2191*E2191,B2191*E2191)</f>
        <v>2.7412890000000001</v>
      </c>
      <c r="H2191">
        <f t="shared" si="103"/>
        <v>0.95</v>
      </c>
      <c r="I2191">
        <f t="shared" si="104"/>
        <v>0</v>
      </c>
    </row>
    <row r="2192" spans="1:9">
      <c r="A2192" s="1">
        <v>41928</v>
      </c>
      <c r="B2192">
        <v>2.88998</v>
      </c>
      <c r="C2192">
        <v>3.7949999999999999</v>
      </c>
      <c r="D2192">
        <f>WEEKDAY(A2192,14)</f>
        <v>1</v>
      </c>
      <c r="E2192">
        <f>VLOOKUP(D2192,L$2:M$8,2,FALSE)</f>
        <v>0</v>
      </c>
      <c r="F2192">
        <f t="shared" si="102"/>
        <v>1</v>
      </c>
      <c r="G2192">
        <f>IF(F2192&gt;F2191,G2191+B2192*E2192,B2192*E2192)</f>
        <v>0</v>
      </c>
      <c r="H2192">
        <f t="shared" si="103"/>
        <v>0</v>
      </c>
      <c r="I2192">
        <f t="shared" si="104"/>
        <v>2.8855673684210528</v>
      </c>
    </row>
    <row r="2193" spans="1:9">
      <c r="A2193" s="1">
        <v>41929</v>
      </c>
      <c r="B2193">
        <v>2.9089700000000001</v>
      </c>
      <c r="C2193">
        <v>3.7949999999999999</v>
      </c>
      <c r="D2193">
        <f>WEEKDAY(A2193,14)</f>
        <v>2</v>
      </c>
      <c r="E2193">
        <f>VLOOKUP(D2193,L$2:M$8,2,FALSE)</f>
        <v>0</v>
      </c>
      <c r="F2193">
        <f t="shared" si="102"/>
        <v>2</v>
      </c>
      <c r="G2193">
        <f>IF(F2193&gt;F2192,G2192+B2193*E2193,B2193*E2193)</f>
        <v>0</v>
      </c>
      <c r="H2193">
        <f t="shared" si="103"/>
        <v>0</v>
      </c>
      <c r="I2193">
        <f t="shared" si="104"/>
        <v>0</v>
      </c>
    </row>
    <row r="2194" spans="1:9">
      <c r="A2194" s="1">
        <v>41932</v>
      </c>
      <c r="B2194">
        <v>2.8822800000000002</v>
      </c>
      <c r="C2194">
        <v>3.7949999999999999</v>
      </c>
      <c r="D2194">
        <f>WEEKDAY(A2194,14)</f>
        <v>5</v>
      </c>
      <c r="E2194">
        <f>VLOOKUP(D2194,L$2:M$8,2,FALSE)</f>
        <v>0.05</v>
      </c>
      <c r="F2194">
        <f t="shared" si="102"/>
        <v>3</v>
      </c>
      <c r="G2194">
        <f>IF(F2194&gt;F2193,G2193+B2194*E2194,B2194*E2194)</f>
        <v>0.14411400000000002</v>
      </c>
      <c r="H2194">
        <f t="shared" si="103"/>
        <v>0.05</v>
      </c>
      <c r="I2194">
        <f t="shared" si="104"/>
        <v>0</v>
      </c>
    </row>
    <row r="2195" spans="1:9">
      <c r="A2195" s="1">
        <v>41933</v>
      </c>
      <c r="B2195">
        <v>2.9026100000000001</v>
      </c>
      <c r="C2195">
        <v>3.7949999999999999</v>
      </c>
      <c r="D2195">
        <f>WEEKDAY(A2195,14)</f>
        <v>6</v>
      </c>
      <c r="E2195">
        <f>VLOOKUP(D2195,L$2:M$8,2,FALSE)</f>
        <v>0.7</v>
      </c>
      <c r="F2195">
        <f t="shared" si="102"/>
        <v>4</v>
      </c>
      <c r="G2195">
        <f>IF(F2195&gt;F2194,G2194+B2195*E2195,B2195*E2195)</f>
        <v>2.1759409999999999</v>
      </c>
      <c r="H2195">
        <f t="shared" si="103"/>
        <v>0.75</v>
      </c>
      <c r="I2195">
        <f t="shared" si="104"/>
        <v>0</v>
      </c>
    </row>
    <row r="2196" spans="1:9">
      <c r="A2196" s="1">
        <v>41934</v>
      </c>
      <c r="B2196">
        <v>2.91561</v>
      </c>
      <c r="C2196">
        <v>3.7949999999999999</v>
      </c>
      <c r="D2196">
        <f>WEEKDAY(A2196,14)</f>
        <v>7</v>
      </c>
      <c r="E2196">
        <f>VLOOKUP(D2196,L$2:M$8,2,FALSE)</f>
        <v>0.25</v>
      </c>
      <c r="F2196">
        <f t="shared" si="102"/>
        <v>5</v>
      </c>
      <c r="G2196">
        <f>IF(F2196&gt;F2195,G2195+B2196*E2196,B2196*E2196)</f>
        <v>2.9048435000000001</v>
      </c>
      <c r="H2196">
        <f t="shared" si="103"/>
        <v>1</v>
      </c>
      <c r="I2196">
        <f t="shared" si="104"/>
        <v>0</v>
      </c>
    </row>
    <row r="2197" spans="1:9">
      <c r="A2197" s="1">
        <v>41935</v>
      </c>
      <c r="B2197">
        <v>2.9569700000000001</v>
      </c>
      <c r="C2197">
        <v>3.855</v>
      </c>
      <c r="D2197">
        <f>WEEKDAY(A2197,14)</f>
        <v>1</v>
      </c>
      <c r="E2197">
        <f>VLOOKUP(D2197,L$2:M$8,2,FALSE)</f>
        <v>0</v>
      </c>
      <c r="F2197">
        <f t="shared" si="102"/>
        <v>1</v>
      </c>
      <c r="G2197">
        <f>IF(F2197&gt;F2196,G2196+B2197*E2197,B2197*E2197)</f>
        <v>0</v>
      </c>
      <c r="H2197">
        <f t="shared" si="103"/>
        <v>0</v>
      </c>
      <c r="I2197">
        <f t="shared" si="104"/>
        <v>2.9048435000000001</v>
      </c>
    </row>
    <row r="2198" spans="1:9">
      <c r="A2198" s="1">
        <v>41936</v>
      </c>
      <c r="B2198">
        <v>2.96706</v>
      </c>
      <c r="C2198">
        <v>3.855</v>
      </c>
      <c r="D2198">
        <f>WEEKDAY(A2198,14)</f>
        <v>2</v>
      </c>
      <c r="E2198">
        <f>VLOOKUP(D2198,L$2:M$8,2,FALSE)</f>
        <v>0</v>
      </c>
      <c r="F2198">
        <f t="shared" si="102"/>
        <v>2</v>
      </c>
      <c r="G2198">
        <f>IF(F2198&gt;F2197,G2197+B2198*E2198,B2198*E2198)</f>
        <v>0</v>
      </c>
      <c r="H2198">
        <f t="shared" si="103"/>
        <v>0</v>
      </c>
      <c r="I2198">
        <f t="shared" si="104"/>
        <v>0</v>
      </c>
    </row>
    <row r="2199" spans="1:9">
      <c r="A2199" s="1">
        <v>41939</v>
      </c>
      <c r="B2199">
        <v>2.9506299999999999</v>
      </c>
      <c r="C2199">
        <v>3.855</v>
      </c>
      <c r="D2199">
        <f>WEEKDAY(A2199,14)</f>
        <v>5</v>
      </c>
      <c r="E2199">
        <f>VLOOKUP(D2199,L$2:M$8,2,FALSE)</f>
        <v>0.05</v>
      </c>
      <c r="F2199">
        <f t="shared" si="102"/>
        <v>3</v>
      </c>
      <c r="G2199">
        <f>IF(F2199&gt;F2198,G2198+B2199*E2199,B2199*E2199)</f>
        <v>0.14753150000000001</v>
      </c>
      <c r="H2199">
        <f t="shared" si="103"/>
        <v>0.05</v>
      </c>
      <c r="I2199">
        <f t="shared" si="104"/>
        <v>0</v>
      </c>
    </row>
    <row r="2200" spans="1:9">
      <c r="A2200" s="1">
        <v>41940</v>
      </c>
      <c r="B2200">
        <v>2.9732599999999998</v>
      </c>
      <c r="C2200">
        <v>3.855</v>
      </c>
      <c r="D2200">
        <f>WEEKDAY(A2200,14)</f>
        <v>6</v>
      </c>
      <c r="E2200">
        <f>VLOOKUP(D2200,L$2:M$8,2,FALSE)</f>
        <v>0.7</v>
      </c>
      <c r="F2200">
        <f t="shared" si="102"/>
        <v>4</v>
      </c>
      <c r="G2200">
        <f>IF(F2200&gt;F2199,G2199+B2200*E2200,B2200*E2200)</f>
        <v>2.2288134999999998</v>
      </c>
      <c r="H2200">
        <f t="shared" si="103"/>
        <v>0.75</v>
      </c>
      <c r="I2200">
        <f t="shared" si="104"/>
        <v>0</v>
      </c>
    </row>
    <row r="2201" spans="1:9">
      <c r="A2201" s="1">
        <v>41941</v>
      </c>
      <c r="B2201">
        <v>3.0091000000000001</v>
      </c>
      <c r="C2201">
        <v>3.855</v>
      </c>
      <c r="D2201">
        <f>WEEKDAY(A2201,14)</f>
        <v>7</v>
      </c>
      <c r="E2201">
        <f>VLOOKUP(D2201,L$2:M$8,2,FALSE)</f>
        <v>0.25</v>
      </c>
      <c r="F2201">
        <f t="shared" si="102"/>
        <v>5</v>
      </c>
      <c r="G2201">
        <f>IF(F2201&gt;F2200,G2200+B2201*E2201,B2201*E2201)</f>
        <v>2.9810884999999998</v>
      </c>
      <c r="H2201">
        <f t="shared" si="103"/>
        <v>1</v>
      </c>
      <c r="I2201">
        <f t="shared" si="104"/>
        <v>0</v>
      </c>
    </row>
    <row r="2202" spans="1:9">
      <c r="A2202" s="1">
        <v>41942</v>
      </c>
      <c r="B2202">
        <v>2.98841</v>
      </c>
      <c r="C2202">
        <v>3.895</v>
      </c>
      <c r="D2202">
        <f>WEEKDAY(A2202,14)</f>
        <v>1</v>
      </c>
      <c r="E2202">
        <f>VLOOKUP(D2202,L$2:M$8,2,FALSE)</f>
        <v>0</v>
      </c>
      <c r="F2202">
        <f t="shared" si="102"/>
        <v>1</v>
      </c>
      <c r="G2202">
        <f>IF(F2202&gt;F2201,G2201+B2202*E2202,B2202*E2202)</f>
        <v>0</v>
      </c>
      <c r="H2202">
        <f t="shared" si="103"/>
        <v>0</v>
      </c>
      <c r="I2202">
        <f t="shared" si="104"/>
        <v>2.9810884999999998</v>
      </c>
    </row>
    <row r="2203" spans="1:9">
      <c r="A2203" s="1">
        <v>41943</v>
      </c>
      <c r="B2203">
        <v>3.0097399999999999</v>
      </c>
      <c r="C2203">
        <v>3.895</v>
      </c>
      <c r="D2203">
        <f>WEEKDAY(A2203,14)</f>
        <v>2</v>
      </c>
      <c r="E2203">
        <f>VLOOKUP(D2203,L$2:M$8,2,FALSE)</f>
        <v>0</v>
      </c>
      <c r="F2203">
        <f t="shared" si="102"/>
        <v>2</v>
      </c>
      <c r="G2203">
        <f>IF(F2203&gt;F2202,G2202+B2203*E2203,B2203*E2203)</f>
        <v>0</v>
      </c>
      <c r="H2203">
        <f t="shared" si="103"/>
        <v>0</v>
      </c>
      <c r="I2203">
        <f t="shared" si="104"/>
        <v>0</v>
      </c>
    </row>
    <row r="2204" spans="1:9">
      <c r="A2204" s="1">
        <v>41946</v>
      </c>
      <c r="B2204">
        <v>3.0472800000000002</v>
      </c>
      <c r="C2204">
        <v>3.895</v>
      </c>
      <c r="D2204">
        <f>WEEKDAY(A2204,14)</f>
        <v>5</v>
      </c>
      <c r="E2204">
        <f>VLOOKUP(D2204,L$2:M$8,2,FALSE)</f>
        <v>0.05</v>
      </c>
      <c r="F2204">
        <f t="shared" si="102"/>
        <v>3</v>
      </c>
      <c r="G2204">
        <f>IF(F2204&gt;F2203,G2203+B2204*E2204,B2204*E2204)</f>
        <v>0.15236400000000003</v>
      </c>
      <c r="H2204">
        <f t="shared" si="103"/>
        <v>0.05</v>
      </c>
      <c r="I2204">
        <f t="shared" si="104"/>
        <v>0</v>
      </c>
    </row>
    <row r="2205" spans="1:9">
      <c r="A2205" s="1">
        <v>41947</v>
      </c>
      <c r="B2205">
        <v>3.0442399999999998</v>
      </c>
      <c r="C2205">
        <v>3.895</v>
      </c>
      <c r="D2205">
        <f>WEEKDAY(A2205,14)</f>
        <v>6</v>
      </c>
      <c r="E2205">
        <f>VLOOKUP(D2205,L$2:M$8,2,FALSE)</f>
        <v>0.7</v>
      </c>
      <c r="F2205">
        <f t="shared" si="102"/>
        <v>4</v>
      </c>
      <c r="G2205">
        <f>IF(F2205&gt;F2204,G2204+B2205*E2205,B2205*E2205)</f>
        <v>2.2833319999999997</v>
      </c>
      <c r="H2205">
        <f t="shared" si="103"/>
        <v>0.75</v>
      </c>
      <c r="I2205">
        <f t="shared" si="104"/>
        <v>0</v>
      </c>
    </row>
    <row r="2206" spans="1:9">
      <c r="A2206" s="1">
        <v>41948</v>
      </c>
      <c r="B2206">
        <v>3.0444499999999999</v>
      </c>
      <c r="C2206">
        <v>3.895</v>
      </c>
      <c r="D2206">
        <f>WEEKDAY(A2206,14)</f>
        <v>7</v>
      </c>
      <c r="E2206">
        <f>VLOOKUP(D2206,L$2:M$8,2,FALSE)</f>
        <v>0.25</v>
      </c>
      <c r="F2206">
        <f t="shared" si="102"/>
        <v>5</v>
      </c>
      <c r="G2206">
        <f>IF(F2206&gt;F2205,G2205+B2206*E2206,B2206*E2206)</f>
        <v>3.0444444999999996</v>
      </c>
      <c r="H2206">
        <f t="shared" si="103"/>
        <v>1</v>
      </c>
      <c r="I2206">
        <f t="shared" si="104"/>
        <v>0</v>
      </c>
    </row>
    <row r="2207" spans="1:9">
      <c r="A2207" s="1">
        <v>41949</v>
      </c>
      <c r="B2207">
        <v>3.0520100000000001</v>
      </c>
      <c r="C2207">
        <v>3.8849999999999998</v>
      </c>
      <c r="D2207">
        <f>WEEKDAY(A2207,14)</f>
        <v>1</v>
      </c>
      <c r="E2207">
        <f>VLOOKUP(D2207,L$2:M$8,2,FALSE)</f>
        <v>0</v>
      </c>
      <c r="F2207">
        <f t="shared" si="102"/>
        <v>1</v>
      </c>
      <c r="G2207">
        <f>IF(F2207&gt;F2206,G2206+B2207*E2207,B2207*E2207)</f>
        <v>0</v>
      </c>
      <c r="H2207">
        <f t="shared" si="103"/>
        <v>0</v>
      </c>
      <c r="I2207">
        <f t="shared" si="104"/>
        <v>3.0444444999999996</v>
      </c>
    </row>
    <row r="2208" spans="1:9">
      <c r="A2208" s="1">
        <v>41950</v>
      </c>
      <c r="B2208">
        <v>3.00136</v>
      </c>
      <c r="C2208">
        <v>3.8849999999999998</v>
      </c>
      <c r="D2208">
        <f>WEEKDAY(A2208,14)</f>
        <v>2</v>
      </c>
      <c r="E2208">
        <f>VLOOKUP(D2208,L$2:M$8,2,FALSE)</f>
        <v>0</v>
      </c>
      <c r="F2208">
        <f t="shared" si="102"/>
        <v>2</v>
      </c>
      <c r="G2208">
        <f>IF(F2208&gt;F2207,G2207+B2208*E2208,B2208*E2208)</f>
        <v>0</v>
      </c>
      <c r="H2208">
        <f t="shared" si="103"/>
        <v>0</v>
      </c>
      <c r="I2208">
        <f t="shared" si="104"/>
        <v>0</v>
      </c>
    </row>
    <row r="2209" spans="1:9">
      <c r="A2209" s="1">
        <v>41953</v>
      </c>
      <c r="B2209">
        <v>3.03634</v>
      </c>
      <c r="C2209">
        <v>3.8849999999999998</v>
      </c>
      <c r="D2209">
        <f>WEEKDAY(A2209,14)</f>
        <v>5</v>
      </c>
      <c r="E2209">
        <f>VLOOKUP(D2209,L$2:M$8,2,FALSE)</f>
        <v>0.05</v>
      </c>
      <c r="F2209">
        <f t="shared" si="102"/>
        <v>3</v>
      </c>
      <c r="G2209">
        <f>IF(F2209&gt;F2208,G2208+B2209*E2209,B2209*E2209)</f>
        <v>0.15181700000000001</v>
      </c>
      <c r="H2209">
        <f t="shared" si="103"/>
        <v>0.05</v>
      </c>
      <c r="I2209">
        <f t="shared" si="104"/>
        <v>0</v>
      </c>
    </row>
    <row r="2210" spans="1:9">
      <c r="A2210" s="1">
        <v>41955</v>
      </c>
      <c r="B2210">
        <v>3.0364800000000001</v>
      </c>
      <c r="C2210">
        <v>3.8849999999999998</v>
      </c>
      <c r="D2210">
        <f>WEEKDAY(A2210,14)</f>
        <v>7</v>
      </c>
      <c r="E2210">
        <f>VLOOKUP(D2210,L$2:M$8,2,FALSE)</f>
        <v>0.25</v>
      </c>
      <c r="F2210">
        <f t="shared" si="102"/>
        <v>4</v>
      </c>
      <c r="G2210">
        <f>IF(F2210&gt;F2209,G2209+B2210*E2210,B2210*E2210)</f>
        <v>0.910937</v>
      </c>
      <c r="H2210">
        <f t="shared" si="103"/>
        <v>0.3</v>
      </c>
      <c r="I2210">
        <f t="shared" si="104"/>
        <v>0</v>
      </c>
    </row>
    <row r="2211" spans="1:9">
      <c r="A2211" s="1">
        <v>41956</v>
      </c>
      <c r="B2211">
        <v>3.0240900000000002</v>
      </c>
      <c r="C2211">
        <v>3.8650000000000002</v>
      </c>
      <c r="D2211">
        <f>WEEKDAY(A2211,14)</f>
        <v>1</v>
      </c>
      <c r="E2211">
        <f>VLOOKUP(D2211,L$2:M$8,2,FALSE)</f>
        <v>0</v>
      </c>
      <c r="F2211">
        <f t="shared" si="102"/>
        <v>1</v>
      </c>
      <c r="G2211">
        <f>IF(F2211&gt;F2210,G2210+B2211*E2211,B2211*E2211)</f>
        <v>0</v>
      </c>
      <c r="H2211">
        <f t="shared" si="103"/>
        <v>0</v>
      </c>
      <c r="I2211">
        <f t="shared" si="104"/>
        <v>3.0364566666666666</v>
      </c>
    </row>
    <row r="2212" spans="1:9">
      <c r="A2212" s="1">
        <v>41957</v>
      </c>
      <c r="B2212">
        <v>2.9883099999999998</v>
      </c>
      <c r="C2212">
        <v>3.8650000000000002</v>
      </c>
      <c r="D2212">
        <f>WEEKDAY(A2212,14)</f>
        <v>2</v>
      </c>
      <c r="E2212">
        <f>VLOOKUP(D2212,L$2:M$8,2,FALSE)</f>
        <v>0</v>
      </c>
      <c r="F2212">
        <f t="shared" si="102"/>
        <v>2</v>
      </c>
      <c r="G2212">
        <f>IF(F2212&gt;F2211,G2211+B2212*E2212,B2212*E2212)</f>
        <v>0</v>
      </c>
      <c r="H2212">
        <f t="shared" si="103"/>
        <v>0</v>
      </c>
      <c r="I2212">
        <f t="shared" si="104"/>
        <v>0</v>
      </c>
    </row>
    <row r="2213" spans="1:9">
      <c r="A2213" s="1">
        <v>41960</v>
      </c>
      <c r="B2213">
        <v>2.9941</v>
      </c>
      <c r="C2213">
        <v>3.8650000000000002</v>
      </c>
      <c r="D2213">
        <f>WEEKDAY(A2213,14)</f>
        <v>5</v>
      </c>
      <c r="E2213">
        <f>VLOOKUP(D2213,L$2:M$8,2,FALSE)</f>
        <v>0.05</v>
      </c>
      <c r="F2213">
        <f t="shared" si="102"/>
        <v>3</v>
      </c>
      <c r="G2213">
        <f>IF(F2213&gt;F2212,G2212+B2213*E2213,B2213*E2213)</f>
        <v>0.149705</v>
      </c>
      <c r="H2213">
        <f t="shared" si="103"/>
        <v>0.05</v>
      </c>
      <c r="I2213">
        <f t="shared" si="104"/>
        <v>0</v>
      </c>
    </row>
    <row r="2214" spans="1:9">
      <c r="A2214" s="1">
        <v>41961</v>
      </c>
      <c r="B2214">
        <v>2.9822600000000001</v>
      </c>
      <c r="C2214">
        <v>3.8650000000000002</v>
      </c>
      <c r="D2214">
        <f>WEEKDAY(A2214,14)</f>
        <v>6</v>
      </c>
      <c r="E2214">
        <f>VLOOKUP(D2214,L$2:M$8,2,FALSE)</f>
        <v>0.7</v>
      </c>
      <c r="F2214">
        <f t="shared" si="102"/>
        <v>4</v>
      </c>
      <c r="G2214">
        <f>IF(F2214&gt;F2213,G2213+B2214*E2214,B2214*E2214)</f>
        <v>2.2372869999999998</v>
      </c>
      <c r="H2214">
        <f t="shared" si="103"/>
        <v>0.75</v>
      </c>
      <c r="I2214">
        <f t="shared" si="104"/>
        <v>0</v>
      </c>
    </row>
    <row r="2215" spans="1:9">
      <c r="A2215" s="1">
        <v>41962</v>
      </c>
      <c r="B2215">
        <v>3.0039500000000001</v>
      </c>
      <c r="C2215">
        <v>3.8450000000000002</v>
      </c>
      <c r="D2215">
        <f>WEEKDAY(A2215,14)</f>
        <v>7</v>
      </c>
      <c r="E2215">
        <f>VLOOKUP(D2215,L$2:M$8,2,FALSE)</f>
        <v>0.25</v>
      </c>
      <c r="F2215">
        <f t="shared" si="102"/>
        <v>5</v>
      </c>
      <c r="G2215">
        <f>IF(F2215&gt;F2214,G2214+B2215*E2215,B2215*E2215)</f>
        <v>2.9882744999999997</v>
      </c>
      <c r="H2215">
        <f t="shared" si="103"/>
        <v>1</v>
      </c>
      <c r="I2215">
        <f t="shared" si="104"/>
        <v>0</v>
      </c>
    </row>
    <row r="2216" spans="1:9">
      <c r="A2216" s="1">
        <v>41963</v>
      </c>
      <c r="B2216">
        <v>2.98245</v>
      </c>
      <c r="C2216">
        <v>3.8450000000000002</v>
      </c>
      <c r="D2216">
        <f>WEEKDAY(A2216,14)</f>
        <v>1</v>
      </c>
      <c r="E2216">
        <f>VLOOKUP(D2216,L$2:M$8,2,FALSE)</f>
        <v>0</v>
      </c>
      <c r="F2216">
        <f t="shared" si="102"/>
        <v>1</v>
      </c>
      <c r="G2216">
        <f>IF(F2216&gt;F2215,G2215+B2216*E2216,B2216*E2216)</f>
        <v>0</v>
      </c>
      <c r="H2216">
        <f t="shared" si="103"/>
        <v>0</v>
      </c>
      <c r="I2216">
        <f t="shared" si="104"/>
        <v>2.9882744999999997</v>
      </c>
    </row>
    <row r="2217" spans="1:9">
      <c r="A2217" s="1">
        <v>41964</v>
      </c>
      <c r="B2217">
        <v>2.9650300000000001</v>
      </c>
      <c r="C2217">
        <v>3.8450000000000002</v>
      </c>
      <c r="D2217">
        <f>WEEKDAY(A2217,14)</f>
        <v>2</v>
      </c>
      <c r="E2217">
        <f>VLOOKUP(D2217,L$2:M$8,2,FALSE)</f>
        <v>0</v>
      </c>
      <c r="F2217">
        <f t="shared" si="102"/>
        <v>2</v>
      </c>
      <c r="G2217">
        <f>IF(F2217&gt;F2216,G2216+B2217*E2217,B2217*E2217)</f>
        <v>0</v>
      </c>
      <c r="H2217">
        <f t="shared" si="103"/>
        <v>0</v>
      </c>
      <c r="I2217">
        <f t="shared" si="104"/>
        <v>0</v>
      </c>
    </row>
    <row r="2218" spans="1:9">
      <c r="A2218" s="1">
        <v>41967</v>
      </c>
      <c r="B2218">
        <v>2.9533800000000001</v>
      </c>
      <c r="C2218">
        <v>3.8450000000000002</v>
      </c>
      <c r="D2218">
        <f>WEEKDAY(A2218,14)</f>
        <v>5</v>
      </c>
      <c r="E2218">
        <f>VLOOKUP(D2218,L$2:M$8,2,FALSE)</f>
        <v>0.05</v>
      </c>
      <c r="F2218">
        <f t="shared" si="102"/>
        <v>3</v>
      </c>
      <c r="G2218">
        <f>IF(F2218&gt;F2217,G2217+B2218*E2218,B2218*E2218)</f>
        <v>0.14766900000000002</v>
      </c>
      <c r="H2218">
        <f t="shared" si="103"/>
        <v>0.05</v>
      </c>
      <c r="I2218">
        <f t="shared" si="104"/>
        <v>0</v>
      </c>
    </row>
    <row r="2219" spans="1:9">
      <c r="A2219" s="1">
        <v>41968</v>
      </c>
      <c r="B2219">
        <v>2.89872</v>
      </c>
      <c r="C2219">
        <v>3.8450000000000002</v>
      </c>
      <c r="D2219">
        <f>WEEKDAY(A2219,14)</f>
        <v>6</v>
      </c>
      <c r="E2219">
        <f>VLOOKUP(D2219,L$2:M$8,2,FALSE)</f>
        <v>0.7</v>
      </c>
      <c r="F2219">
        <f t="shared" si="102"/>
        <v>4</v>
      </c>
      <c r="G2219">
        <f>IF(F2219&gt;F2218,G2218+B2219*E2219,B2219*E2219)</f>
        <v>2.1767729999999998</v>
      </c>
      <c r="H2219">
        <f t="shared" si="103"/>
        <v>0.75</v>
      </c>
      <c r="I2219">
        <f t="shared" si="104"/>
        <v>0</v>
      </c>
    </row>
    <row r="2220" spans="1:9">
      <c r="A2220" s="1">
        <v>41969</v>
      </c>
      <c r="B2220">
        <v>2.8841000000000001</v>
      </c>
      <c r="C2220">
        <v>3.8450000000000002</v>
      </c>
      <c r="D2220">
        <f>WEEKDAY(A2220,14)</f>
        <v>7</v>
      </c>
      <c r="E2220">
        <f>VLOOKUP(D2220,L$2:M$8,2,FALSE)</f>
        <v>0.25</v>
      </c>
      <c r="F2220">
        <f t="shared" si="102"/>
        <v>5</v>
      </c>
      <c r="G2220">
        <f>IF(F2220&gt;F2219,G2219+B2220*E2220,B2220*E2220)</f>
        <v>2.8977979999999999</v>
      </c>
      <c r="H2220">
        <f t="shared" si="103"/>
        <v>1</v>
      </c>
      <c r="I2220">
        <f t="shared" si="104"/>
        <v>0</v>
      </c>
    </row>
    <row r="2221" spans="1:9">
      <c r="A2221" s="1">
        <v>41971</v>
      </c>
      <c r="B2221">
        <v>2.8456899999999998</v>
      </c>
      <c r="C2221">
        <v>3.7650000000000001</v>
      </c>
      <c r="D2221">
        <f>WEEKDAY(A2221,14)</f>
        <v>2</v>
      </c>
      <c r="E2221">
        <f>VLOOKUP(D2221,L$2:M$8,2,FALSE)</f>
        <v>0</v>
      </c>
      <c r="F2221">
        <f t="shared" si="102"/>
        <v>1</v>
      </c>
      <c r="G2221">
        <f>IF(F2221&gt;F2220,G2220+B2221*E2221,B2221*E2221)</f>
        <v>0</v>
      </c>
      <c r="H2221">
        <f t="shared" si="103"/>
        <v>0</v>
      </c>
      <c r="I2221">
        <f t="shared" si="104"/>
        <v>2.8977979999999999</v>
      </c>
    </row>
    <row r="2222" spans="1:9">
      <c r="A2222" s="1">
        <v>41974</v>
      </c>
      <c r="B2222">
        <v>2.8622800000000002</v>
      </c>
      <c r="C2222">
        <v>3.7650000000000001</v>
      </c>
      <c r="D2222">
        <f>WEEKDAY(A2222,14)</f>
        <v>5</v>
      </c>
      <c r="E2222">
        <f>VLOOKUP(D2222,L$2:M$8,2,FALSE)</f>
        <v>0.05</v>
      </c>
      <c r="F2222">
        <f t="shared" si="102"/>
        <v>2</v>
      </c>
      <c r="G2222">
        <f>IF(F2222&gt;F2221,G2221+B2222*E2222,B2222*E2222)</f>
        <v>0.14311400000000002</v>
      </c>
      <c r="H2222">
        <f t="shared" si="103"/>
        <v>0.05</v>
      </c>
      <c r="I2222">
        <f t="shared" si="104"/>
        <v>0</v>
      </c>
    </row>
    <row r="2223" spans="1:9">
      <c r="A2223" s="1">
        <v>41975</v>
      </c>
      <c r="B2223">
        <v>2.9250400000000001</v>
      </c>
      <c r="C2223">
        <v>3.7650000000000001</v>
      </c>
      <c r="D2223">
        <f>WEEKDAY(A2223,14)</f>
        <v>6</v>
      </c>
      <c r="E2223">
        <f>VLOOKUP(D2223,L$2:M$8,2,FALSE)</f>
        <v>0.7</v>
      </c>
      <c r="F2223">
        <f t="shared" si="102"/>
        <v>3</v>
      </c>
      <c r="G2223">
        <f>IF(F2223&gt;F2222,G2222+B2223*E2223,B2223*E2223)</f>
        <v>2.190642</v>
      </c>
      <c r="H2223">
        <f t="shared" si="103"/>
        <v>0.75</v>
      </c>
      <c r="I2223">
        <f t="shared" si="104"/>
        <v>0</v>
      </c>
    </row>
    <row r="2224" spans="1:9">
      <c r="A2224" s="1">
        <v>41976</v>
      </c>
      <c r="B2224">
        <v>2.9323199999999998</v>
      </c>
      <c r="C2224">
        <v>3.7650000000000001</v>
      </c>
      <c r="D2224">
        <f>WEEKDAY(A2224,14)</f>
        <v>7</v>
      </c>
      <c r="E2224">
        <f>VLOOKUP(D2224,L$2:M$8,2,FALSE)</f>
        <v>0.25</v>
      </c>
      <c r="F2224">
        <f t="shared" si="102"/>
        <v>4</v>
      </c>
      <c r="G2224">
        <f>IF(F2224&gt;F2223,G2223+B2224*E2224,B2224*E2224)</f>
        <v>2.9237219999999997</v>
      </c>
      <c r="H2224">
        <f t="shared" si="103"/>
        <v>1</v>
      </c>
      <c r="I2224">
        <f t="shared" si="104"/>
        <v>0</v>
      </c>
    </row>
    <row r="2225" spans="1:9">
      <c r="A2225" s="1">
        <v>41977</v>
      </c>
      <c r="B2225">
        <v>2.9025099999999999</v>
      </c>
      <c r="C2225">
        <v>3.8050000000000002</v>
      </c>
      <c r="D2225">
        <f>WEEKDAY(A2225,14)</f>
        <v>1</v>
      </c>
      <c r="E2225">
        <f>VLOOKUP(D2225,L$2:M$8,2,FALSE)</f>
        <v>0</v>
      </c>
      <c r="F2225">
        <f t="shared" si="102"/>
        <v>1</v>
      </c>
      <c r="G2225">
        <f>IF(F2225&gt;F2224,G2224+B2225*E2225,B2225*E2225)</f>
        <v>0</v>
      </c>
      <c r="H2225">
        <f t="shared" si="103"/>
        <v>0</v>
      </c>
      <c r="I2225">
        <f t="shared" si="104"/>
        <v>2.9237219999999997</v>
      </c>
    </row>
    <row r="2226" spans="1:9">
      <c r="A2226" s="1">
        <v>41978</v>
      </c>
      <c r="B2226">
        <v>2.9546299999999999</v>
      </c>
      <c r="C2226">
        <v>3.8050000000000002</v>
      </c>
      <c r="D2226">
        <f>WEEKDAY(A2226,14)</f>
        <v>2</v>
      </c>
      <c r="E2226">
        <f>VLOOKUP(D2226,L$2:M$8,2,FALSE)</f>
        <v>0</v>
      </c>
      <c r="F2226">
        <f t="shared" si="102"/>
        <v>2</v>
      </c>
      <c r="G2226">
        <f>IF(F2226&gt;F2225,G2225+B2226*E2226,B2226*E2226)</f>
        <v>0</v>
      </c>
      <c r="H2226">
        <f t="shared" si="103"/>
        <v>0</v>
      </c>
      <c r="I2226">
        <f t="shared" si="104"/>
        <v>0</v>
      </c>
    </row>
    <row r="2227" spans="1:9">
      <c r="A2227" s="1">
        <v>41981</v>
      </c>
      <c r="B2227">
        <v>2.90876</v>
      </c>
      <c r="C2227">
        <v>3.8050000000000002</v>
      </c>
      <c r="D2227">
        <f>WEEKDAY(A2227,14)</f>
        <v>5</v>
      </c>
      <c r="E2227">
        <f>VLOOKUP(D2227,L$2:M$8,2,FALSE)</f>
        <v>0.05</v>
      </c>
      <c r="F2227">
        <f t="shared" si="102"/>
        <v>3</v>
      </c>
      <c r="G2227">
        <f>IF(F2227&gt;F2226,G2226+B2227*E2227,B2227*E2227)</f>
        <v>0.14543800000000001</v>
      </c>
      <c r="H2227">
        <f t="shared" si="103"/>
        <v>0.05</v>
      </c>
      <c r="I2227">
        <f t="shared" si="104"/>
        <v>0</v>
      </c>
    </row>
    <row r="2228" spans="1:9">
      <c r="A2228" s="1">
        <v>41982</v>
      </c>
      <c r="B2228">
        <v>2.8860199999999998</v>
      </c>
      <c r="C2228">
        <v>3.8050000000000002</v>
      </c>
      <c r="D2228">
        <f>WEEKDAY(A2228,14)</f>
        <v>6</v>
      </c>
      <c r="E2228">
        <f>VLOOKUP(D2228,L$2:M$8,2,FALSE)</f>
        <v>0.7</v>
      </c>
      <c r="F2228">
        <f t="shared" si="102"/>
        <v>4</v>
      </c>
      <c r="G2228">
        <f>IF(F2228&gt;F2227,G2227+B2228*E2228,B2228*E2228)</f>
        <v>2.1656519999999997</v>
      </c>
      <c r="H2228">
        <f t="shared" si="103"/>
        <v>0.75</v>
      </c>
      <c r="I2228">
        <f t="shared" si="104"/>
        <v>0</v>
      </c>
    </row>
    <row r="2229" spans="1:9">
      <c r="A2229" s="1">
        <v>41983</v>
      </c>
      <c r="B2229">
        <v>2.8515100000000002</v>
      </c>
      <c r="C2229">
        <v>3.8050000000000002</v>
      </c>
      <c r="D2229">
        <f>WEEKDAY(A2229,14)</f>
        <v>7</v>
      </c>
      <c r="E2229">
        <f>VLOOKUP(D2229,L$2:M$8,2,FALSE)</f>
        <v>0.25</v>
      </c>
      <c r="F2229">
        <f t="shared" si="102"/>
        <v>5</v>
      </c>
      <c r="G2229">
        <f>IF(F2229&gt;F2228,G2228+B2229*E2229,B2229*E2229)</f>
        <v>2.8785295</v>
      </c>
      <c r="H2229">
        <f t="shared" si="103"/>
        <v>1</v>
      </c>
      <c r="I2229">
        <f t="shared" si="104"/>
        <v>0</v>
      </c>
    </row>
    <row r="2230" spans="1:9">
      <c r="A2230" s="1">
        <v>41984</v>
      </c>
      <c r="B2230">
        <v>2.8634300000000001</v>
      </c>
      <c r="C2230">
        <v>3.7</v>
      </c>
      <c r="D2230">
        <f>WEEKDAY(A2230,14)</f>
        <v>1</v>
      </c>
      <c r="E2230">
        <f>VLOOKUP(D2230,L$2:M$8,2,FALSE)</f>
        <v>0</v>
      </c>
      <c r="F2230">
        <f t="shared" si="102"/>
        <v>1</v>
      </c>
      <c r="G2230">
        <f>IF(F2230&gt;F2229,G2229+B2230*E2230,B2230*E2230)</f>
        <v>0</v>
      </c>
      <c r="H2230">
        <f t="shared" si="103"/>
        <v>0</v>
      </c>
      <c r="I2230">
        <f t="shared" si="104"/>
        <v>2.8785295</v>
      </c>
    </row>
    <row r="2231" spans="1:9">
      <c r="A2231" s="1">
        <v>41985</v>
      </c>
      <c r="B2231">
        <v>2.8005800000000001</v>
      </c>
      <c r="C2231">
        <v>3.7</v>
      </c>
      <c r="D2231">
        <f>WEEKDAY(A2231,14)</f>
        <v>2</v>
      </c>
      <c r="E2231">
        <f>VLOOKUP(D2231,L$2:M$8,2,FALSE)</f>
        <v>0</v>
      </c>
      <c r="F2231">
        <f t="shared" si="102"/>
        <v>2</v>
      </c>
      <c r="G2231">
        <f>IF(F2231&gt;F2230,G2230+B2231*E2231,B2231*E2231)</f>
        <v>0</v>
      </c>
      <c r="H2231">
        <f t="shared" si="103"/>
        <v>0</v>
      </c>
      <c r="I2231">
        <f t="shared" si="104"/>
        <v>0</v>
      </c>
    </row>
    <row r="2232" spans="1:9">
      <c r="A2232" s="1">
        <v>41988</v>
      </c>
      <c r="B2232">
        <v>2.82917</v>
      </c>
      <c r="C2232">
        <v>3.7</v>
      </c>
      <c r="D2232">
        <f>WEEKDAY(A2232,14)</f>
        <v>5</v>
      </c>
      <c r="E2232">
        <f>VLOOKUP(D2232,L$2:M$8,2,FALSE)</f>
        <v>0.05</v>
      </c>
      <c r="F2232">
        <f t="shared" si="102"/>
        <v>3</v>
      </c>
      <c r="G2232">
        <f>IF(F2232&gt;F2231,G2231+B2232*E2232,B2232*E2232)</f>
        <v>0.14145850000000001</v>
      </c>
      <c r="H2232">
        <f t="shared" si="103"/>
        <v>0.05</v>
      </c>
      <c r="I2232">
        <f t="shared" si="104"/>
        <v>0</v>
      </c>
    </row>
    <row r="2233" spans="1:9">
      <c r="A2233" s="1">
        <v>41989</v>
      </c>
      <c r="B2233">
        <v>2.7872499999999998</v>
      </c>
      <c r="C2233">
        <v>3.7</v>
      </c>
      <c r="D2233">
        <f>WEEKDAY(A2233,14)</f>
        <v>6</v>
      </c>
      <c r="E2233">
        <f>VLOOKUP(D2233,L$2:M$8,2,FALSE)</f>
        <v>0.7</v>
      </c>
      <c r="F2233">
        <f t="shared" si="102"/>
        <v>4</v>
      </c>
      <c r="G2233">
        <f>IF(F2233&gt;F2232,G2232+B2233*E2233,B2233*E2233)</f>
        <v>2.0925334999999996</v>
      </c>
      <c r="H2233">
        <f t="shared" si="103"/>
        <v>0.75</v>
      </c>
      <c r="I2233">
        <f t="shared" si="104"/>
        <v>0</v>
      </c>
    </row>
    <row r="2234" spans="1:9">
      <c r="A2234" s="1">
        <v>41990</v>
      </c>
      <c r="B2234">
        <v>2.8371499999999998</v>
      </c>
      <c r="C2234">
        <v>3.7</v>
      </c>
      <c r="D2234">
        <f>WEEKDAY(A2234,14)</f>
        <v>7</v>
      </c>
      <c r="E2234">
        <f>VLOOKUP(D2234,L$2:M$8,2,FALSE)</f>
        <v>0.25</v>
      </c>
      <c r="F2234">
        <f t="shared" si="102"/>
        <v>5</v>
      </c>
      <c r="G2234">
        <f>IF(F2234&gt;F2233,G2233+B2234*E2234,B2234*E2234)</f>
        <v>2.8018209999999995</v>
      </c>
      <c r="H2234">
        <f t="shared" si="103"/>
        <v>1</v>
      </c>
      <c r="I2234">
        <f t="shared" si="104"/>
        <v>0</v>
      </c>
    </row>
    <row r="2235" spans="1:9">
      <c r="A2235" s="1">
        <v>41991</v>
      </c>
      <c r="B2235">
        <v>2.8582299999999998</v>
      </c>
      <c r="C2235">
        <v>3.73</v>
      </c>
      <c r="D2235">
        <f>WEEKDAY(A2235,14)</f>
        <v>1</v>
      </c>
      <c r="E2235">
        <f>VLOOKUP(D2235,L$2:M$8,2,FALSE)</f>
        <v>0</v>
      </c>
      <c r="F2235">
        <f t="shared" si="102"/>
        <v>1</v>
      </c>
      <c r="G2235">
        <f>IF(F2235&gt;F2234,G2234+B2235*E2235,B2235*E2235)</f>
        <v>0</v>
      </c>
      <c r="H2235">
        <f t="shared" si="103"/>
        <v>0</v>
      </c>
      <c r="I2235">
        <f t="shared" si="104"/>
        <v>2.8018209999999995</v>
      </c>
    </row>
    <row r="2236" spans="1:9">
      <c r="A2236" s="1">
        <v>41992</v>
      </c>
      <c r="B2236">
        <v>2.8337400000000001</v>
      </c>
      <c r="C2236">
        <v>3.73</v>
      </c>
      <c r="D2236">
        <f>WEEKDAY(A2236,14)</f>
        <v>2</v>
      </c>
      <c r="E2236">
        <f>VLOOKUP(D2236,L$2:M$8,2,FALSE)</f>
        <v>0</v>
      </c>
      <c r="F2236">
        <f t="shared" si="102"/>
        <v>2</v>
      </c>
      <c r="G2236">
        <f>IF(F2236&gt;F2235,G2235+B2236*E2236,B2236*E2236)</f>
        <v>0</v>
      </c>
      <c r="H2236">
        <f t="shared" si="103"/>
        <v>0</v>
      </c>
      <c r="I2236">
        <f t="shared" si="104"/>
        <v>0</v>
      </c>
    </row>
    <row r="2237" spans="1:9">
      <c r="A2237" s="1">
        <v>41995</v>
      </c>
      <c r="B2237">
        <v>2.8256399999999999</v>
      </c>
      <c r="C2237">
        <v>3.73</v>
      </c>
      <c r="D2237">
        <f>WEEKDAY(A2237,14)</f>
        <v>5</v>
      </c>
      <c r="E2237">
        <f>VLOOKUP(D2237,L$2:M$8,2,FALSE)</f>
        <v>0.05</v>
      </c>
      <c r="F2237">
        <f t="shared" si="102"/>
        <v>3</v>
      </c>
      <c r="G2237">
        <f>IF(F2237&gt;F2236,G2236+B2237*E2237,B2237*E2237)</f>
        <v>0.14128199999999999</v>
      </c>
      <c r="H2237">
        <f t="shared" si="103"/>
        <v>0.05</v>
      </c>
      <c r="I2237">
        <f t="shared" si="104"/>
        <v>0</v>
      </c>
    </row>
    <row r="2238" spans="1:9">
      <c r="A2238" s="1">
        <v>41996</v>
      </c>
      <c r="B2238">
        <v>2.91032</v>
      </c>
      <c r="C2238">
        <v>3.73</v>
      </c>
      <c r="D2238">
        <f>WEEKDAY(A2238,14)</f>
        <v>6</v>
      </c>
      <c r="E2238">
        <f>VLOOKUP(D2238,L$2:M$8,2,FALSE)</f>
        <v>0.7</v>
      </c>
      <c r="F2238">
        <f t="shared" si="102"/>
        <v>4</v>
      </c>
      <c r="G2238">
        <f>IF(F2238&gt;F2237,G2237+B2238*E2238,B2238*E2238)</f>
        <v>2.1785059999999996</v>
      </c>
      <c r="H2238">
        <f t="shared" si="103"/>
        <v>0.75</v>
      </c>
      <c r="I2238">
        <f t="shared" si="104"/>
        <v>0</v>
      </c>
    </row>
    <row r="2239" spans="1:9">
      <c r="A2239" s="1">
        <v>41997</v>
      </c>
      <c r="B2239">
        <v>2.9097499999999998</v>
      </c>
      <c r="C2239">
        <v>3.77</v>
      </c>
      <c r="D2239">
        <f>WEEKDAY(A2239,14)</f>
        <v>7</v>
      </c>
      <c r="E2239">
        <f>VLOOKUP(D2239,L$2:M$8,2,FALSE)</f>
        <v>0.25</v>
      </c>
      <c r="F2239">
        <f t="shared" si="102"/>
        <v>5</v>
      </c>
      <c r="G2239">
        <f>IF(F2239&gt;F2238,G2238+B2239*E2239,B2239*E2239)</f>
        <v>2.9059434999999993</v>
      </c>
      <c r="H2239">
        <f t="shared" si="103"/>
        <v>1</v>
      </c>
      <c r="I2239">
        <f t="shared" si="104"/>
        <v>0</v>
      </c>
    </row>
    <row r="2240" spans="1:9">
      <c r="A2240" s="1">
        <v>41999</v>
      </c>
      <c r="B2240">
        <v>2.8912399999999998</v>
      </c>
      <c r="C2240">
        <v>3.77</v>
      </c>
      <c r="D2240">
        <f>WEEKDAY(A2240,14)</f>
        <v>2</v>
      </c>
      <c r="E2240">
        <f>VLOOKUP(D2240,L$2:M$8,2,FALSE)</f>
        <v>0</v>
      </c>
      <c r="F2240">
        <f t="shared" si="102"/>
        <v>1</v>
      </c>
      <c r="G2240">
        <f>IF(F2240&gt;F2239,G2239+B2240*E2240,B2240*E2240)</f>
        <v>0</v>
      </c>
      <c r="H2240">
        <f t="shared" si="103"/>
        <v>0</v>
      </c>
      <c r="I2240">
        <f t="shared" si="104"/>
        <v>2.9059434999999993</v>
      </c>
    </row>
    <row r="2241" spans="1:12">
      <c r="A2241" s="1">
        <v>42002</v>
      </c>
      <c r="B2241">
        <v>2.8609800000000001</v>
      </c>
      <c r="C2241">
        <v>3.77</v>
      </c>
      <c r="D2241">
        <f>WEEKDAY(A2241,14)</f>
        <v>5</v>
      </c>
      <c r="E2241">
        <f>VLOOKUP(D2241,L$2:M$8,2,FALSE)</f>
        <v>0.05</v>
      </c>
      <c r="F2241">
        <f t="shared" si="102"/>
        <v>2</v>
      </c>
      <c r="G2241">
        <f>IF(F2241&gt;F2240,G2240+B2241*E2241,B2241*E2241)</f>
        <v>0.14304900000000001</v>
      </c>
      <c r="H2241">
        <f t="shared" si="103"/>
        <v>0.05</v>
      </c>
      <c r="I2241">
        <f t="shared" si="104"/>
        <v>0</v>
      </c>
    </row>
    <row r="2242" spans="1:12">
      <c r="A2242" s="1">
        <v>42003</v>
      </c>
      <c r="B2242">
        <v>2.8519999999999999</v>
      </c>
      <c r="C2242">
        <v>3.77</v>
      </c>
      <c r="D2242">
        <f>WEEKDAY(A2242,14)</f>
        <v>6</v>
      </c>
      <c r="E2242">
        <f>VLOOKUP(D2242,L$2:M$8,2,FALSE)</f>
        <v>0.7</v>
      </c>
      <c r="F2242">
        <f t="shared" si="102"/>
        <v>3</v>
      </c>
      <c r="G2242">
        <f>IF(F2242&gt;F2241,G2241+B2242*E2242,B2242*E2242)</f>
        <v>2.1394489999999999</v>
      </c>
      <c r="H2242">
        <f t="shared" si="103"/>
        <v>0.75</v>
      </c>
      <c r="I2242">
        <f t="shared" si="104"/>
        <v>0</v>
      </c>
    </row>
    <row r="2243" spans="1:12">
      <c r="A2243" s="1">
        <v>42004</v>
      </c>
      <c r="B2243">
        <v>2.8338700000000001</v>
      </c>
      <c r="C2243">
        <v>3.77</v>
      </c>
      <c r="D2243">
        <f>WEEKDAY(A2243,14)</f>
        <v>7</v>
      </c>
      <c r="E2243">
        <f>VLOOKUP(D2243,L$2:M$8,2,FALSE)</f>
        <v>0.25</v>
      </c>
      <c r="F2243">
        <f t="shared" ref="F2243:F2269" si="105">IF(AND(D2243&gt;D2242,F2242&lt;6),F2242+1,1)</f>
        <v>4</v>
      </c>
      <c r="G2243">
        <f>IF(F2243&gt;F2242,G2242+B2243*E2243,B2243*E2243)</f>
        <v>2.8479165000000002</v>
      </c>
      <c r="H2243">
        <f t="shared" ref="H2243:H2269" si="106">IF(AND(F2243&lt;6,F2243&gt;F2242),E2243+H2242,E2243)</f>
        <v>1</v>
      </c>
      <c r="I2243">
        <f t="shared" si="104"/>
        <v>0</v>
      </c>
      <c r="L2243" s="1"/>
    </row>
    <row r="2244" spans="1:12">
      <c r="A2244" s="1">
        <v>42006</v>
      </c>
      <c r="B2244">
        <v>2.78545</v>
      </c>
      <c r="C2244">
        <v>3.77</v>
      </c>
      <c r="D2244">
        <f>WEEKDAY(A2244,14)</f>
        <v>2</v>
      </c>
      <c r="E2244">
        <f>VLOOKUP(D2244,L$2:M$8,2,FALSE)</f>
        <v>0</v>
      </c>
      <c r="F2244">
        <f t="shared" si="105"/>
        <v>1</v>
      </c>
      <c r="G2244">
        <f>IF(F2244&gt;F2243,G2243+B2244*E2244,B2244*E2244)</f>
        <v>0</v>
      </c>
      <c r="H2244">
        <f t="shared" si="106"/>
        <v>0</v>
      </c>
      <c r="I2244">
        <f t="shared" ref="I2244:I2269" si="107">IF(F2243&gt;F2244,G2243/H2243,0)</f>
        <v>2.8479165000000002</v>
      </c>
      <c r="L2244" s="1"/>
    </row>
    <row r="2245" spans="1:12">
      <c r="A2245" s="1">
        <v>42009</v>
      </c>
      <c r="B2245">
        <v>2.6962700000000002</v>
      </c>
      <c r="C2245">
        <v>3.77</v>
      </c>
      <c r="D2245">
        <f>WEEKDAY(A2245,14)</f>
        <v>5</v>
      </c>
      <c r="E2245">
        <f>VLOOKUP(D2245,L$2:M$8,2,FALSE)</f>
        <v>0.05</v>
      </c>
      <c r="F2245">
        <f t="shared" si="105"/>
        <v>2</v>
      </c>
      <c r="G2245">
        <f>IF(F2245&gt;F2244,G2244+B2245*E2245,B2245*E2245)</f>
        <v>0.1348135</v>
      </c>
      <c r="H2245">
        <f t="shared" si="106"/>
        <v>0.05</v>
      </c>
      <c r="I2245">
        <f t="shared" si="107"/>
        <v>0</v>
      </c>
      <c r="L2245" s="1"/>
    </row>
    <row r="2246" spans="1:12">
      <c r="A2246" s="1">
        <v>42010</v>
      </c>
      <c r="B2246">
        <v>2.6163599999999998</v>
      </c>
      <c r="C2246">
        <v>3.77</v>
      </c>
      <c r="D2246">
        <f>WEEKDAY(A2246,14)</f>
        <v>6</v>
      </c>
      <c r="E2246">
        <f>VLOOKUP(D2246,L$2:M$8,2,FALSE)</f>
        <v>0.7</v>
      </c>
      <c r="F2246">
        <f t="shared" si="105"/>
        <v>3</v>
      </c>
      <c r="G2246">
        <f>IF(F2246&gt;F2245,G2245+B2246*E2246,B2246*E2246)</f>
        <v>1.9662654999999996</v>
      </c>
      <c r="H2246">
        <f t="shared" si="106"/>
        <v>0.75</v>
      </c>
      <c r="I2246">
        <f t="shared" si="107"/>
        <v>0</v>
      </c>
      <c r="L2246" s="1"/>
    </row>
    <row r="2247" spans="1:12">
      <c r="A2247" s="1">
        <v>42013</v>
      </c>
      <c r="B2247">
        <v>2.64629</v>
      </c>
      <c r="C2247">
        <v>3.56</v>
      </c>
      <c r="D2247">
        <f>WEEKDAY(A2247,14)</f>
        <v>2</v>
      </c>
      <c r="E2247">
        <f>VLOOKUP(D2247,L$2:M$8,2,FALSE)</f>
        <v>0</v>
      </c>
      <c r="F2247">
        <f t="shared" si="105"/>
        <v>1</v>
      </c>
      <c r="G2247">
        <f>IF(F2247&gt;F2246,G2246+B2247*E2247,B2247*E2247)</f>
        <v>0</v>
      </c>
      <c r="H2247">
        <f t="shared" si="106"/>
        <v>0</v>
      </c>
      <c r="I2247">
        <f t="shared" si="107"/>
        <v>2.6216873333333326</v>
      </c>
      <c r="L2247" s="1"/>
    </row>
    <row r="2248" spans="1:12">
      <c r="A2248" s="1">
        <v>42016</v>
      </c>
      <c r="B2248">
        <v>2.59362</v>
      </c>
      <c r="C2248">
        <v>3.56</v>
      </c>
      <c r="D2248">
        <f>WEEKDAY(A2248,14)</f>
        <v>5</v>
      </c>
      <c r="E2248">
        <f>VLOOKUP(D2248,L$2:M$8,2,FALSE)</f>
        <v>0.05</v>
      </c>
      <c r="F2248">
        <f t="shared" si="105"/>
        <v>2</v>
      </c>
      <c r="G2248">
        <f>IF(F2248&gt;F2247,G2247+B2248*E2248,B2248*E2248)</f>
        <v>0.12968100000000002</v>
      </c>
      <c r="H2248">
        <f t="shared" si="106"/>
        <v>0.05</v>
      </c>
      <c r="I2248">
        <f t="shared" si="107"/>
        <v>0</v>
      </c>
      <c r="L2248" s="1"/>
    </row>
    <row r="2249" spans="1:12">
      <c r="A2249" s="1">
        <v>42017</v>
      </c>
      <c r="B2249">
        <v>2.5795400000000002</v>
      </c>
      <c r="C2249">
        <v>3.56</v>
      </c>
      <c r="D2249">
        <f>WEEKDAY(A2249,14)</f>
        <v>6</v>
      </c>
      <c r="E2249">
        <f>VLOOKUP(D2249,L$2:M$8,2,FALSE)</f>
        <v>0.7</v>
      </c>
      <c r="F2249">
        <f t="shared" si="105"/>
        <v>3</v>
      </c>
      <c r="G2249">
        <f>IF(F2249&gt;F2248,G2248+B2249*E2249,B2249*E2249)</f>
        <v>1.9353589999999998</v>
      </c>
      <c r="H2249">
        <f t="shared" si="106"/>
        <v>0.75</v>
      </c>
      <c r="I2249">
        <f t="shared" si="107"/>
        <v>0</v>
      </c>
    </row>
    <row r="2250" spans="1:12">
      <c r="A2250" s="1">
        <v>42018</v>
      </c>
      <c r="B2250">
        <v>2.4910700000000001</v>
      </c>
      <c r="C2250">
        <v>3.56</v>
      </c>
      <c r="D2250">
        <f>WEEKDAY(A2250,14)</f>
        <v>7</v>
      </c>
      <c r="E2250">
        <f>VLOOKUP(D2250,L$2:M$8,2,FALSE)</f>
        <v>0.25</v>
      </c>
      <c r="F2250">
        <f t="shared" si="105"/>
        <v>4</v>
      </c>
      <c r="G2250">
        <f>IF(F2250&gt;F2249,G2249+B2250*E2250,B2250*E2250)</f>
        <v>2.5581264999999997</v>
      </c>
      <c r="H2250">
        <f t="shared" si="106"/>
        <v>1</v>
      </c>
      <c r="I2250">
        <f t="shared" si="107"/>
        <v>0</v>
      </c>
    </row>
    <row r="2251" spans="1:12">
      <c r="A2251" s="1">
        <v>42019</v>
      </c>
      <c r="B2251">
        <v>2.45533</v>
      </c>
      <c r="C2251">
        <v>3.5550000000000002</v>
      </c>
      <c r="D2251">
        <f>WEEKDAY(A2251,14)</f>
        <v>1</v>
      </c>
      <c r="E2251">
        <f>VLOOKUP(D2251,L$2:M$8,2,FALSE)</f>
        <v>0</v>
      </c>
      <c r="F2251">
        <f t="shared" si="105"/>
        <v>1</v>
      </c>
      <c r="G2251">
        <f>IF(F2251&gt;F2250,G2250+B2251*E2251,B2251*E2251)</f>
        <v>0</v>
      </c>
      <c r="H2251">
        <f t="shared" si="106"/>
        <v>0</v>
      </c>
      <c r="I2251">
        <f t="shared" si="107"/>
        <v>2.5581264999999997</v>
      </c>
    </row>
    <row r="2252" spans="1:12">
      <c r="A2252" s="1">
        <v>42020</v>
      </c>
      <c r="B2252">
        <v>2.54548</v>
      </c>
      <c r="C2252">
        <v>3.5550000000000002</v>
      </c>
      <c r="D2252">
        <f>WEEKDAY(A2252,14)</f>
        <v>2</v>
      </c>
      <c r="E2252">
        <f>VLOOKUP(D2252,L$2:M$8,2,FALSE)</f>
        <v>0</v>
      </c>
      <c r="F2252">
        <f t="shared" si="105"/>
        <v>2</v>
      </c>
      <c r="G2252">
        <f>IF(F2252&gt;F2251,G2251+B2252*E2252,B2252*E2252)</f>
        <v>0</v>
      </c>
      <c r="H2252">
        <f t="shared" si="106"/>
        <v>0</v>
      </c>
      <c r="I2252">
        <f t="shared" si="107"/>
        <v>0</v>
      </c>
    </row>
    <row r="2253" spans="1:12">
      <c r="A2253" s="1">
        <v>42024</v>
      </c>
      <c r="B2253">
        <v>2.5573700000000001</v>
      </c>
      <c r="C2253">
        <v>3.5550000000000002</v>
      </c>
      <c r="D2253">
        <f>WEEKDAY(A2253,14)</f>
        <v>6</v>
      </c>
      <c r="E2253">
        <f>VLOOKUP(D2253,L$2:M$8,2,FALSE)</f>
        <v>0.7</v>
      </c>
      <c r="F2253">
        <f t="shared" si="105"/>
        <v>3</v>
      </c>
      <c r="G2253">
        <f>IF(F2253&gt;F2252,G2252+B2253*E2253,B2253*E2253)</f>
        <v>1.7901590000000001</v>
      </c>
      <c r="H2253">
        <f t="shared" si="106"/>
        <v>0.7</v>
      </c>
      <c r="I2253">
        <f t="shared" si="107"/>
        <v>0</v>
      </c>
    </row>
    <row r="2254" spans="1:12">
      <c r="A2254" s="1">
        <v>42025</v>
      </c>
      <c r="B2254">
        <v>2.6084900000000002</v>
      </c>
      <c r="C2254">
        <v>3.5550000000000002</v>
      </c>
      <c r="D2254">
        <f>WEEKDAY(A2254,14)</f>
        <v>7</v>
      </c>
      <c r="E2254">
        <f>VLOOKUP(D2254,L$2:M$8,2,FALSE)</f>
        <v>0.25</v>
      </c>
      <c r="F2254">
        <f t="shared" si="105"/>
        <v>4</v>
      </c>
      <c r="G2254">
        <f>IF(F2254&gt;F2253,G2253+B2254*E2254,B2254*E2254)</f>
        <v>2.4422815</v>
      </c>
      <c r="H2254">
        <f t="shared" si="106"/>
        <v>0.95</v>
      </c>
      <c r="I2254">
        <f t="shared" si="107"/>
        <v>0</v>
      </c>
    </row>
    <row r="2255" spans="1:12">
      <c r="A2255" s="1">
        <v>42026</v>
      </c>
      <c r="B2255">
        <v>2.6170200000000001</v>
      </c>
      <c r="C2255">
        <v>3.56</v>
      </c>
      <c r="D2255">
        <f>WEEKDAY(A2255,14)</f>
        <v>1</v>
      </c>
      <c r="E2255">
        <f>VLOOKUP(D2255,L$2:M$8,2,FALSE)</f>
        <v>0</v>
      </c>
      <c r="F2255">
        <f t="shared" si="105"/>
        <v>1</v>
      </c>
      <c r="G2255">
        <f>IF(F2255&gt;F2254,G2254+B2255*E2255,B2255*E2255)</f>
        <v>0</v>
      </c>
      <c r="H2255">
        <f t="shared" si="106"/>
        <v>0</v>
      </c>
      <c r="I2255">
        <f t="shared" si="107"/>
        <v>2.5708226315789475</v>
      </c>
    </row>
    <row r="2256" spans="1:12">
      <c r="A2256" s="1">
        <v>42031</v>
      </c>
      <c r="B2256">
        <v>2.5856699999999999</v>
      </c>
      <c r="C2256">
        <v>3.56</v>
      </c>
      <c r="D2256">
        <f>WEEKDAY(A2256,14)</f>
        <v>6</v>
      </c>
      <c r="E2256">
        <f>VLOOKUP(D2256,L$2:M$8,2,FALSE)</f>
        <v>0.7</v>
      </c>
      <c r="F2256">
        <f t="shared" si="105"/>
        <v>2</v>
      </c>
      <c r="G2256">
        <f>IF(F2256&gt;F2255,G2255+B2256*E2256,B2256*E2256)</f>
        <v>1.8099689999999997</v>
      </c>
      <c r="H2256">
        <f t="shared" si="106"/>
        <v>0.7</v>
      </c>
      <c r="I2256">
        <f t="shared" si="107"/>
        <v>0</v>
      </c>
    </row>
    <row r="2257" spans="1:9">
      <c r="A2257" s="1">
        <v>42032</v>
      </c>
      <c r="B2257">
        <v>2.50759</v>
      </c>
      <c r="C2257">
        <v>3.56</v>
      </c>
      <c r="D2257">
        <f>WEEKDAY(A2257,14)</f>
        <v>7</v>
      </c>
      <c r="E2257">
        <f>VLOOKUP(D2257,L$2:M$8,2,FALSE)</f>
        <v>0.25</v>
      </c>
      <c r="F2257">
        <f t="shared" si="105"/>
        <v>3</v>
      </c>
      <c r="G2257">
        <f>IF(F2257&gt;F2256,G2256+B2257*E2257,B2257*E2257)</f>
        <v>2.4368664999999998</v>
      </c>
      <c r="H2257">
        <f t="shared" si="106"/>
        <v>0.95</v>
      </c>
      <c r="I2257">
        <f t="shared" si="107"/>
        <v>0</v>
      </c>
    </row>
    <row r="2258" spans="1:9">
      <c r="A2258" s="1">
        <v>42033</v>
      </c>
      <c r="B2258">
        <v>2.51336</v>
      </c>
      <c r="C2258">
        <v>3.5150000000000001</v>
      </c>
      <c r="D2258">
        <f>WEEKDAY(A2258,14)</f>
        <v>1</v>
      </c>
      <c r="E2258">
        <f>VLOOKUP(D2258,L$2:M$8,2,FALSE)</f>
        <v>0</v>
      </c>
      <c r="F2258">
        <f t="shared" si="105"/>
        <v>1</v>
      </c>
      <c r="G2258">
        <f>IF(F2258&gt;F2257,G2257+B2258*E2258,B2258*E2258)</f>
        <v>0</v>
      </c>
      <c r="H2258">
        <f t="shared" si="106"/>
        <v>0</v>
      </c>
      <c r="I2258">
        <f t="shared" si="107"/>
        <v>2.5651226315789475</v>
      </c>
    </row>
    <row r="2259" spans="1:9">
      <c r="A2259" s="1">
        <v>42034</v>
      </c>
      <c r="B2259">
        <v>2.4526699999999999</v>
      </c>
      <c r="C2259">
        <v>3.5150000000000001</v>
      </c>
      <c r="D2259">
        <f>WEEKDAY(A2259,14)</f>
        <v>2</v>
      </c>
      <c r="E2259">
        <f>VLOOKUP(D2259,L$2:M$8,2,FALSE)</f>
        <v>0</v>
      </c>
      <c r="F2259">
        <f t="shared" si="105"/>
        <v>2</v>
      </c>
      <c r="G2259">
        <f>IF(F2259&gt;F2258,G2258+B2259*E2259,B2259*E2259)</f>
        <v>0</v>
      </c>
      <c r="H2259">
        <f t="shared" si="106"/>
        <v>0</v>
      </c>
      <c r="I2259">
        <f t="shared" si="107"/>
        <v>0</v>
      </c>
    </row>
    <row r="2260" spans="1:9">
      <c r="A2260" s="1">
        <v>42037</v>
      </c>
      <c r="B2260">
        <v>2.4482400000000002</v>
      </c>
      <c r="C2260">
        <v>3.5150000000000001</v>
      </c>
      <c r="D2260">
        <f>WEEKDAY(A2260,14)</f>
        <v>5</v>
      </c>
      <c r="E2260">
        <f>VLOOKUP(D2260,L$2:M$8,2,FALSE)</f>
        <v>0.05</v>
      </c>
      <c r="F2260">
        <f t="shared" si="105"/>
        <v>3</v>
      </c>
      <c r="G2260">
        <f>IF(F2260&gt;F2259,G2259+B2260*E2260,B2260*E2260)</f>
        <v>0.12241200000000002</v>
      </c>
      <c r="H2260">
        <f t="shared" si="106"/>
        <v>0.05</v>
      </c>
      <c r="I2260">
        <f t="shared" si="107"/>
        <v>0</v>
      </c>
    </row>
    <row r="2261" spans="1:9">
      <c r="A2261" s="1">
        <v>42038</v>
      </c>
      <c r="B2261">
        <v>2.5386099999999998</v>
      </c>
      <c r="C2261">
        <v>3.5150000000000001</v>
      </c>
      <c r="D2261">
        <f>WEEKDAY(A2261,14)</f>
        <v>6</v>
      </c>
      <c r="E2261">
        <f>VLOOKUP(D2261,L$2:M$8,2,FALSE)</f>
        <v>0.7</v>
      </c>
      <c r="F2261">
        <f t="shared" si="105"/>
        <v>4</v>
      </c>
      <c r="G2261">
        <f>IF(F2261&gt;F2260,G2260+B2261*E2261,B2261*E2261)</f>
        <v>1.8994389999999997</v>
      </c>
      <c r="H2261">
        <f t="shared" si="106"/>
        <v>0.75</v>
      </c>
      <c r="I2261">
        <f t="shared" si="107"/>
        <v>0</v>
      </c>
    </row>
    <row r="2262" spans="1:9">
      <c r="A2262" s="1">
        <v>42039</v>
      </c>
      <c r="B2262">
        <v>2.5661999999999998</v>
      </c>
      <c r="C2262">
        <v>3.5150000000000001</v>
      </c>
      <c r="D2262">
        <f>WEEKDAY(A2262,14)</f>
        <v>7</v>
      </c>
      <c r="E2262">
        <f>VLOOKUP(D2262,L$2:M$8,2,FALSE)</f>
        <v>0.25</v>
      </c>
      <c r="F2262">
        <f t="shared" si="105"/>
        <v>5</v>
      </c>
      <c r="G2262">
        <f>IF(F2262&gt;F2261,G2261+B2262*E2262,B2262*E2262)</f>
        <v>2.5409889999999997</v>
      </c>
      <c r="H2262">
        <f t="shared" si="106"/>
        <v>1</v>
      </c>
      <c r="I2262">
        <f t="shared" si="107"/>
        <v>0</v>
      </c>
    </row>
    <row r="2263" spans="1:9">
      <c r="A2263" s="1">
        <v>42040</v>
      </c>
      <c r="B2263">
        <v>2.5588899999999999</v>
      </c>
      <c r="C2263">
        <v>3.59</v>
      </c>
      <c r="D2263">
        <f>WEEKDAY(A2263,14)</f>
        <v>1</v>
      </c>
      <c r="E2263">
        <f>VLOOKUP(D2263,L$2:M$8,2,FALSE)</f>
        <v>0</v>
      </c>
      <c r="F2263">
        <f t="shared" si="105"/>
        <v>1</v>
      </c>
      <c r="G2263">
        <f>IF(F2263&gt;F2262,G2262+B2263*E2263,B2263*E2263)</f>
        <v>0</v>
      </c>
      <c r="H2263">
        <f t="shared" si="106"/>
        <v>0</v>
      </c>
      <c r="I2263">
        <f t="shared" si="107"/>
        <v>2.5409889999999997</v>
      </c>
    </row>
    <row r="2264" spans="1:9">
      <c r="A2264" s="1">
        <v>42041</v>
      </c>
      <c r="B2264">
        <v>2.6748599999999998</v>
      </c>
      <c r="C2264">
        <v>3.59</v>
      </c>
      <c r="D2264">
        <f>WEEKDAY(A2264,14)</f>
        <v>2</v>
      </c>
      <c r="E2264">
        <f>VLOOKUP(D2264,L$2:M$8,2,FALSE)</f>
        <v>0</v>
      </c>
      <c r="F2264">
        <f t="shared" si="105"/>
        <v>2</v>
      </c>
      <c r="G2264">
        <f>IF(F2264&gt;F2263,G2263+B2264*E2264,B2264*E2264)</f>
        <v>0</v>
      </c>
      <c r="H2264">
        <f t="shared" si="106"/>
        <v>0</v>
      </c>
      <c r="I2264">
        <f t="shared" si="107"/>
        <v>0</v>
      </c>
    </row>
    <row r="2265" spans="1:9">
      <c r="A2265" s="1">
        <v>42044</v>
      </c>
      <c r="B2265">
        <v>2.6856599999999999</v>
      </c>
      <c r="C2265">
        <v>3.59</v>
      </c>
      <c r="D2265">
        <f>WEEKDAY(A2265,14)</f>
        <v>5</v>
      </c>
      <c r="E2265">
        <f>VLOOKUP(D2265,L$2:M$8,2,FALSE)</f>
        <v>0.05</v>
      </c>
      <c r="F2265">
        <f t="shared" si="105"/>
        <v>3</v>
      </c>
      <c r="G2265">
        <f>IF(F2265&gt;F2264,G2264+B2265*E2265,B2265*E2265)</f>
        <v>0.13428300000000001</v>
      </c>
      <c r="H2265">
        <f t="shared" si="106"/>
        <v>0.05</v>
      </c>
      <c r="I2265">
        <f t="shared" si="107"/>
        <v>0</v>
      </c>
    </row>
    <row r="2266" spans="1:9">
      <c r="A2266" s="1">
        <v>42045</v>
      </c>
      <c r="B2266">
        <v>2.7450600000000001</v>
      </c>
      <c r="C2266">
        <v>3.59</v>
      </c>
      <c r="D2266">
        <f>WEEKDAY(A2266,14)</f>
        <v>6</v>
      </c>
      <c r="E2266">
        <f>VLOOKUP(D2266,L$2:M$8,2,FALSE)</f>
        <v>0.7</v>
      </c>
      <c r="F2266">
        <f t="shared" si="105"/>
        <v>4</v>
      </c>
      <c r="G2266">
        <f>IF(F2266&gt;F2265,G2265+B2266*E2266,B2266*E2266)</f>
        <v>2.055825</v>
      </c>
      <c r="H2266">
        <f t="shared" si="106"/>
        <v>0.75</v>
      </c>
      <c r="I2266">
        <f t="shared" si="107"/>
        <v>0</v>
      </c>
    </row>
    <row r="2267" spans="1:9">
      <c r="A2267" s="1">
        <v>42046</v>
      </c>
      <c r="B2267">
        <v>2.73909</v>
      </c>
      <c r="C2267">
        <v>3.59</v>
      </c>
      <c r="D2267">
        <f>WEEKDAY(A2267,14)</f>
        <v>7</v>
      </c>
      <c r="E2267">
        <f>VLOOKUP(D2267,L$2:M$8,2,FALSE)</f>
        <v>0.25</v>
      </c>
      <c r="F2267">
        <f t="shared" si="105"/>
        <v>5</v>
      </c>
      <c r="G2267">
        <f>IF(F2267&gt;F2266,G2266+B2267*E2267,B2267*E2267)</f>
        <v>2.7405974999999998</v>
      </c>
      <c r="H2267">
        <f t="shared" si="106"/>
        <v>1</v>
      </c>
      <c r="I2267">
        <f t="shared" si="107"/>
        <v>0</v>
      </c>
    </row>
    <row r="2268" spans="1:9">
      <c r="A2268" s="1">
        <v>42047</v>
      </c>
      <c r="B2268">
        <v>2.7217500000000001</v>
      </c>
      <c r="C2268">
        <v>3.59</v>
      </c>
      <c r="D2268">
        <f>WEEKDAY(A2268,14)</f>
        <v>1</v>
      </c>
      <c r="E2268">
        <f>VLOOKUP(D2268,L$2:M$8,2,FALSE)</f>
        <v>0</v>
      </c>
      <c r="F2268">
        <f t="shared" si="105"/>
        <v>1</v>
      </c>
      <c r="G2268">
        <f>IF(F2268&gt;F2267,G2267+B2268*E2268,B2268*E2268)</f>
        <v>0</v>
      </c>
      <c r="H2268">
        <f t="shared" si="106"/>
        <v>0</v>
      </c>
      <c r="I2268">
        <f t="shared" si="107"/>
        <v>2.7405974999999998</v>
      </c>
    </row>
    <row r="2269" spans="1:9">
      <c r="A2269" s="1">
        <v>42048</v>
      </c>
      <c r="B2269">
        <v>2.7439499999999999</v>
      </c>
      <c r="C2269">
        <v>3.59</v>
      </c>
      <c r="D2269">
        <f>WEEKDAY(A2269,14)</f>
        <v>2</v>
      </c>
      <c r="E2269">
        <f>VLOOKUP(D2269,L$2:M$8,2,FALSE)</f>
        <v>0</v>
      </c>
      <c r="F2269">
        <f t="shared" si="105"/>
        <v>2</v>
      </c>
      <c r="G2269">
        <f>IF(F2269&gt;F2268,G2268+B2269*E2269,B2269*E2269)</f>
        <v>0</v>
      </c>
      <c r="H2269">
        <f t="shared" si="106"/>
        <v>0</v>
      </c>
      <c r="I2269">
        <f t="shared" si="107"/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Report</vt:lpstr>
      <vt:lpstr>Time Series Query</vt:lpstr>
      <vt:lpstr>WA Current Coupon</vt:lpstr>
      <vt:lpstr>CurrentCloseDate</vt:lpstr>
      <vt:lpstr>DatabaseEnv</vt:lpstr>
      <vt:lpstr>PDFReportName</vt:lpstr>
      <vt:lpstr>Report!Print_Area</vt:lpstr>
      <vt:lpstr>SaveRatesToDB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2015-02-17T16:09:54Z</dcterms:created>
  <dcterms:modified xsi:type="dcterms:W3CDTF">2015-03-10T20:48:49Z</dcterms:modified>
</cp:coreProperties>
</file>